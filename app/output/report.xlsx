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исание исследования" sheetId="1" r:id="rId1"/>
    <sheet name="Исходные данные" sheetId="2" r:id="rId2"/>
    <sheet name="Производные показатели" sheetId="3" r:id="rId3"/>
    <sheet name="Описательные статистики" sheetId="4" r:id="rId4"/>
    <sheet name="Динамика рынка" sheetId="5" r:id="rId5"/>
    <sheet name="Корреляционный анализ" sheetId="6" r:id="rId6"/>
    <sheet name="Проверка гипотез" sheetId="7" r:id="rId7"/>
    <sheet name="Регрессия" sheetId="8" r:id="rId8"/>
    <sheet name="Кластерный анализ" sheetId="9" r:id="rId9"/>
    <sheet name="Выводы" sheetId="10" r:id="rId10"/>
  </sheets>
  <calcPr calcId="124519" fullCalcOnLoad="1"/>
</workbook>
</file>

<file path=xl/sharedStrings.xml><?xml version="1.0" encoding="utf-8"?>
<sst xmlns="http://schemas.openxmlformats.org/spreadsheetml/2006/main" count="547" uniqueCount="270">
  <si>
    <t>Анализ рынка организации беговых мероприятий в России, ориентированный на сбыт</t>
  </si>
  <si>
    <t>Цель исследования:</t>
  </si>
  <si>
    <t>Оценить финансовое состояние и динамику развития компаний-организаторов массовых беговых мероприятий в России на основе данных бухгалтерской отчётности за 2021–2025 гг., выявить закономерности и различия в бизнес-моделях.</t>
  </si>
  <si>
    <t>Параметры исследования:</t>
  </si>
  <si>
    <t>Источник данных: ГИРБО (bo.nalog.gov.ru) — официальный ресурс ФНС России</t>
  </si>
  <si>
    <t>Период наблюдений: 2021–2025 (5 лет)</t>
  </si>
  <si>
    <t>Объём выборки: 11 компаний, 49 наблюдений (компания × год)</t>
  </si>
  <si>
    <t>Метод сбора: автоматизированный через API ГИРБО (скрипт collect_data.py)</t>
  </si>
  <si>
    <t>Гипотезы:</t>
  </si>
  <si>
    <t>№</t>
  </si>
  <si>
    <t>Гипотеза</t>
  </si>
  <si>
    <t>Метод проверки</t>
  </si>
  <si>
    <t>H1</t>
  </si>
  <si>
    <t>Рынок демонстрирует устойчивый рост выручки</t>
  </si>
  <si>
    <t>Тест Вилкоксона</t>
  </si>
  <si>
    <t>H2</t>
  </si>
  <si>
    <t>Существует зависимость между масштабом бизнеса и рентабельностью</t>
  </si>
  <si>
    <t>Корреляция Спирмена</t>
  </si>
  <si>
    <t>H3</t>
  </si>
  <si>
    <t>Доля себестоимости снижается с ростом выручки (эффект масштаба)</t>
  </si>
  <si>
    <t>H4</t>
  </si>
  <si>
    <t>Компании образуют кластеры по финансовому профилю</t>
  </si>
  <si>
    <t>k-means, силуэтный коэффициент</t>
  </si>
  <si>
    <t>H5</t>
  </si>
  <si>
    <t>Рост выручки сопровождается ростом кредиторской задолженности</t>
  </si>
  <si>
    <t>Состав выборки:</t>
  </si>
  <si>
    <t>Бренд</t>
  </si>
  <si>
    <t>Юрлицо</t>
  </si>
  <si>
    <t>ИНН</t>
  </si>
  <si>
    <t>Специализация</t>
  </si>
  <si>
    <t>Гонка Героев</t>
  </si>
  <si>
    <t>АНО «ЛИГА ГЕРОЕВ»</t>
  </si>
  <si>
    <t>7709445877</t>
  </si>
  <si>
    <t>Забеги с препятствиями</t>
  </si>
  <si>
    <t>Марафон Сервис</t>
  </si>
  <si>
    <t>ООО «МАРАФОН СЕРВИС»</t>
  </si>
  <si>
    <t>7704408575</t>
  </si>
  <si>
    <t>Марафоны, полумарафоны</t>
  </si>
  <si>
    <t>TIMERMAN</t>
  </si>
  <si>
    <t>ООО «АСМ «НОВЫЙ СПОРТ»</t>
  </si>
  <si>
    <t>1660308354</t>
  </si>
  <si>
    <t>Триатлон, забеги</t>
  </si>
  <si>
    <t>Бегом по Золотому кольцу</t>
  </si>
  <si>
    <t>ООО «АРЕНА ПЛЮС»</t>
  </si>
  <si>
    <t>7606117641</t>
  </si>
  <si>
    <t>Беговые туры</t>
  </si>
  <si>
    <t>PushkinRun</t>
  </si>
  <si>
    <t>АССОЦИАЦИЯ «ПЕТЕРБУРГСКИЙ СПОРТ»</t>
  </si>
  <si>
    <t>7810948438</t>
  </si>
  <si>
    <t>Городские забеги</t>
  </si>
  <si>
    <t>ГРУТ / Вайлд Трейл</t>
  </si>
  <si>
    <t>ООО «ГРУТ»</t>
  </si>
  <si>
    <t>9724029321</t>
  </si>
  <si>
    <t>Трейлраннинг</t>
  </si>
  <si>
    <t>IRONSTAR</t>
  </si>
  <si>
    <t>ООО «АРХИТЕКТУРА СПОРТА»</t>
  </si>
  <si>
    <t>9717014483</t>
  </si>
  <si>
    <t>Беги, Герой!</t>
  </si>
  <si>
    <t>АНО «РЕЙТИНГ СПОРТ»</t>
  </si>
  <si>
    <t>5252050062</t>
  </si>
  <si>
    <t>S95</t>
  </si>
  <si>
    <t>АНО «ФИЗКУЛЬТУРА»</t>
  </si>
  <si>
    <t>9721206702</t>
  </si>
  <si>
    <t>Парковые забеги</t>
  </si>
  <si>
    <t>parkrun</t>
  </si>
  <si>
    <t>АНО «ПАРКРАН»</t>
  </si>
  <si>
    <t>7729451893</t>
  </si>
  <si>
    <t>Ярославское беговое</t>
  </si>
  <si>
    <t>ООО «ЯРОСЛАВСКОЕ БЕГОВОЕ СООБЩЕСТВО»</t>
  </si>
  <si>
    <t>7603074566</t>
  </si>
  <si>
    <t>Региональные забеги</t>
  </si>
  <si>
    <t>Компания</t>
  </si>
  <si>
    <t>Период</t>
  </si>
  <si>
    <t>Нематериальные активы</t>
  </si>
  <si>
    <t>Основные средства</t>
  </si>
  <si>
    <t>Внеоборотные активы</t>
  </si>
  <si>
    <t>Запасы</t>
  </si>
  <si>
    <t>Дебиторская задолженность</t>
  </si>
  <si>
    <t>Краткосрочные финансовые вложения</t>
  </si>
  <si>
    <t>Денежные средства</t>
  </si>
  <si>
    <t>Оборотные активы</t>
  </si>
  <si>
    <t>Активы всего</t>
  </si>
  <si>
    <t>Уставный капитал</t>
  </si>
  <si>
    <t>Нераспределённая прибыль (убыток)</t>
  </si>
  <si>
    <t>Капитал и резервы</t>
  </si>
  <si>
    <t>Заёмные средства (долгосрочные)</t>
  </si>
  <si>
    <t>Долгосрочные обязательства</t>
  </si>
  <si>
    <t>Заёмные средства (краткосрочные)</t>
  </si>
  <si>
    <t>Кредиторская задолженность</t>
  </si>
  <si>
    <t>Краткосрочные обязательства</t>
  </si>
  <si>
    <t>Выручка</t>
  </si>
  <si>
    <t>Себестоимость продаж</t>
  </si>
  <si>
    <t>Валовая прибыль</t>
  </si>
  <si>
    <t>Коммерческие расходы</t>
  </si>
  <si>
    <t>Управленческие расходы</t>
  </si>
  <si>
    <t>Прибыль от продаж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</si>
  <si>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</si>
  <si>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</si>
  <si>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</si>
  <si>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</si>
  <si>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</si>
  <si>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Прибыль до налогообложения</t>
  </si>
  <si>
    <t>Чистая прибыль (убыток)</t>
  </si>
  <si>
    <t>АНО "ЛИГА ГЕРОЕВ"</t>
  </si>
  <si>
    <t>АНО "ПАРКРАН"</t>
  </si>
  <si>
    <t>АНО "РЕЙТИНГ СПОРТ"</t>
  </si>
  <si>
    <t>АНО "ФИЗКУЛЬТУРА"</t>
  </si>
  <si>
    <t>АССОЦИАЦИЯ "ПЕТЕРБУРГСКИЙ СПОРТ"</t>
  </si>
  <si>
    <t>ООО "АРЕНА ПЛЮС"</t>
  </si>
  <si>
    <t>ООО "АРХИТЕКТУРА СПОРТА"</t>
  </si>
  <si>
    <t>ООО "АСМ "НОВЫЙ СПОРТ"</t>
  </si>
  <si>
    <t>ООО "ГРУТ"</t>
  </si>
  <si>
    <t>ООО "МАРАФОН СЕРВИС"</t>
  </si>
  <si>
    <t>ООО "ЯРОСЛАВСКОЕ БЕГОВОЕ СООБЩЕСТВО"</t>
  </si>
  <si>
    <t>ОПФ</t>
  </si>
  <si>
    <t>Валовая рентабельность, %</t>
  </si>
  <si>
    <t>Рентабельность по ЧП, %</t>
  </si>
  <si>
    <t>Доля себестоимости, %</t>
  </si>
  <si>
    <t>Доля ОС в активах, %</t>
  </si>
  <si>
    <t>Доля ДС в активах, %</t>
  </si>
  <si>
    <t>Доля ДЗ в активах, %</t>
  </si>
  <si>
    <t>Доля КЗ в активах, %</t>
  </si>
  <si>
    <t>Коэффициент автономии</t>
  </si>
  <si>
    <t>Оборачиваемость активов</t>
  </si>
  <si>
    <t>Темп роста Выручка, %</t>
  </si>
  <si>
    <t>Темп роста Активы всего, %</t>
  </si>
  <si>
    <t>Темп роста Кредиторская задолженность, %</t>
  </si>
  <si>
    <t>НКО</t>
  </si>
  <si>
    <t>ООО</t>
  </si>
  <si>
    <t>Переменная</t>
  </si>
  <si>
    <t>Ед. изм.</t>
  </si>
  <si>
    <t>N</t>
  </si>
  <si>
    <t>Среднее</t>
  </si>
  <si>
    <t>Медиана</t>
  </si>
  <si>
    <t>Станд. откл.</t>
  </si>
  <si>
    <t>Min</t>
  </si>
  <si>
    <t>Max</t>
  </si>
  <si>
    <t>Q1</t>
  </si>
  <si>
    <t>Q3</t>
  </si>
  <si>
    <t>IQR</t>
  </si>
  <si>
    <t>Асимметрия</t>
  </si>
  <si>
    <t>Эксцесс</t>
  </si>
  <si>
    <t>Типичное среднее</t>
  </si>
  <si>
    <t>Шапиро-Уилк W</t>
  </si>
  <si>
    <t>Шапиро-Уилк p</t>
  </si>
  <si>
    <t>Нормальное (α=0.05)</t>
  </si>
  <si>
    <t>тыс. руб.</t>
  </si>
  <si>
    <t>%</t>
  </si>
  <si>
    <t>раз</t>
  </si>
  <si>
    <t>медиана</t>
  </si>
  <si>
    <t>среднее</t>
  </si>
  <si>
    <t>Нет</t>
  </si>
  <si>
    <t>Да</t>
  </si>
  <si>
    <t>Таблица 1. Выручка компаний по годам, тыс. руб.</t>
  </si>
  <si>
    <t>Таблица 2. Чистая прибыль (убыток) по годам, тыс. руб.</t>
  </si>
  <si>
    <t>Таблица 3. Валовая рентабельность по годам, %</t>
  </si>
  <si>
    <t>Таблица 4. Сводные показатели рынка по годам</t>
  </si>
  <si>
    <t>Год</t>
  </si>
  <si>
    <t>Сумма выручки, тыс. руб.</t>
  </si>
  <si>
    <t>Медиана выручки, тыс. руб.</t>
  </si>
  <si>
    <t>Медиана рентабельности, %</t>
  </si>
  <si>
    <t>Распределение показателей по компаниям (boxplot, PNG)</t>
  </si>
  <si>
    <t>Таблица 1. Матрица корреляций Спирмена (ρ)</t>
  </si>
  <si>
    <t>N = 33 полных наблюдений. Цветовая шкала: синий (−1) → белый (0) → красный (+1).</t>
  </si>
  <si>
    <t>Себестоимость</t>
  </si>
  <si>
    <t>Чист. прибыль</t>
  </si>
  <si>
    <t>Активы</t>
  </si>
  <si>
    <t>Ден. средства</t>
  </si>
  <si>
    <t>Кредит. задолж.</t>
  </si>
  <si>
    <t>Вал. рент., %</t>
  </si>
  <si>
    <t>Рент. по ЧП, %</t>
  </si>
  <si>
    <t>Оборач. активов</t>
  </si>
  <si>
    <t>Таблица 2. Статистическая значимость корреляций (p-value)</t>
  </si>
  <si>
    <t>p &lt; 0.05 — значима, p &lt; 0.01 — высоко значима. Зелёный фон — значимые.</t>
  </si>
  <si>
    <t>Формулировка</t>
  </si>
  <si>
    <t>Тест</t>
  </si>
  <si>
    <t>Статистика</t>
  </si>
  <si>
    <t>p-value</t>
  </si>
  <si>
    <t>Результат</t>
  </si>
  <si>
    <t>Детали</t>
  </si>
  <si>
    <t>H1: Устойчивый рост рынка</t>
  </si>
  <si>
    <t>H2: Масштаб → рентабельность</t>
  </si>
  <si>
    <t>H3: Эффект масштаба</t>
  </si>
  <si>
    <t>H5: Рост выручки → рост КЗ</t>
  </si>
  <si>
    <t>Медианный темп роста выручки &gt; 0 во все годы</t>
  </si>
  <si>
    <t>Корреляция между выручкой и рентабельностью по ЧП значима</t>
  </si>
  <si>
    <t>Доля себестоимости снижается при росте выручки</t>
  </si>
  <si>
    <t>Положительная корреляция приростов выручки и КЗ</t>
  </si>
  <si>
    <t>Вилкоксон (односторонний, H₁: медиана &gt; 0)</t>
  </si>
  <si>
    <t>W = 399</t>
  </si>
  <si>
    <t>ρ = -0.080</t>
  </si>
  <si>
    <t>ρ = -0.195</t>
  </si>
  <si>
    <t>ρ = 0.324</t>
  </si>
  <si>
    <t>ПОДТВЕРЖДЕНА</t>
  </si>
  <si>
    <t>НЕ ПОДТВЕРЖДЕНА</t>
  </si>
  <si>
    <t>Медиана = +33.9%. Положительных: 25/29 (86%). По годам: 2022: +49%, 2023: +55%, 2024: +32%, 2025: +20%. Темпы замедляются от ~50% к ~20%.</t>
  </si>
  <si>
    <t>ρ = -0.080, p = 0.638. Лига героев (выручка 1.16 млрд) убыточна 4 года из 5. Марафон Сервис с меньшей выручкой — самый прибыльный (медиана рент. ~25%).</t>
  </si>
  <si>
    <t>ρ = -0.195, p = 0.254. Направление ожидаемое (−), но незначимо. Затраты на организацию мероприятий растут пропорционально масштабу.</t>
  </si>
  <si>
    <t>ρ = 0.324, p = 0.114. Тенденция (+), но незначима. При расширении выборки может стать значимой.</t>
  </si>
  <si>
    <t>Данные для графика H2</t>
  </si>
  <si>
    <t>Выручка, тыс. руб.</t>
  </si>
  <si>
    <t>Данные для графика H3</t>
  </si>
  <si>
    <t>Данные для графика H5</t>
  </si>
  <si>
    <t>Темп роста выручки, %</t>
  </si>
  <si>
    <t>Темп роста КЗ, %</t>
  </si>
  <si>
    <t>Регрессионный анализ: Валовая рентабельность, % = a + b · ln(Выручка)</t>
  </si>
  <si>
    <t>Параметр</t>
  </si>
  <si>
    <t>Значение</t>
  </si>
  <si>
    <t>Intercept (a)</t>
  </si>
  <si>
    <t>Slope (b)</t>
  </si>
  <si>
    <t>Стд. ошибка slope</t>
  </si>
  <si>
    <t>R²</t>
  </si>
  <si>
    <t>p-value (slope)</t>
  </si>
  <si>
    <t>Нормальность остатков (Шапиро-Уилк p)</t>
  </si>
  <si>
    <t>Условия МНК</t>
  </si>
  <si>
    <t>Выполнены</t>
  </si>
  <si>
    <t>Данные для графика</t>
  </si>
  <si>
    <t>ln(Выручка)</t>
  </si>
  <si>
    <t>Вал. рентабельность, %</t>
  </si>
  <si>
    <t>Регрессия (предсказ.), %</t>
  </si>
  <si>
    <t>Диагностика остатков (PNG)</t>
  </si>
  <si>
    <t>Кластерный анализ (k-means, k=3, силуэт=0.211)</t>
  </si>
  <si>
    <t>Таблица 1. Принадлежность компаний к кластерам</t>
  </si>
  <si>
    <t>Кластер</t>
  </si>
  <si>
    <t>Таблица 2. Средние значения по кластерам</t>
  </si>
  <si>
    <t>Выручка, тыс.</t>
  </si>
  <si>
    <t>Оборач., раз</t>
  </si>
  <si>
    <t>Доля КЗ, %</t>
  </si>
  <si>
    <t>Доля ДС, %</t>
  </si>
  <si>
    <t>Кластер 0</t>
  </si>
  <si>
    <t>Кластер 1</t>
  </si>
  <si>
    <t>Кластер 2</t>
  </si>
  <si>
    <t>Таблица 3. Стандартизованный профиль кластеров (z-score)</t>
  </si>
  <si>
    <t>Показатель</t>
  </si>
  <si>
    <t>Вал. рент.</t>
  </si>
  <si>
    <t>Оборач.</t>
  </si>
  <si>
    <t>Доля КЗ</t>
  </si>
  <si>
    <t>Доля ДС</t>
  </si>
  <si>
    <t>Визуализация кластеров (PNG)</t>
  </si>
  <si>
    <t>Вердикты по гипотезам</t>
  </si>
  <si>
    <t>p-value / метрика</t>
  </si>
  <si>
    <t>Интерпретация</t>
  </si>
  <si>
    <t>p &lt; 0.0001</t>
  </si>
  <si>
    <t>Медианный рост +34% г/г. Суммарная выручка ×3.2 за 4 года. Темпы замедляются (50%→20%).</t>
  </si>
  <si>
    <t>p = 0.638</t>
  </si>
  <si>
    <t>ρ = −0.08. Крупнейшая компания убыточна 4 года из 5. Рентабельность определяется бизнес-моделью.</t>
  </si>
  <si>
    <t>p = 0.254</t>
  </si>
  <si>
    <t>ρ = −0.20. Направление ожидаемое, но незначимо. Затраты растут пропорционально масштабу.</t>
  </si>
  <si>
    <t>H4: Кластеры</t>
  </si>
  <si>
    <t>НЕ ПОДТВ. ФОРМАЛЬНО</t>
  </si>
  <si>
    <t>силуэт = 0.211</t>
  </si>
  <si>
    <t>3 содержательных кластера: «малые организаторы», «кэш-генераторы», «лидеры рынка».</t>
  </si>
  <si>
    <t>p = 0.114</t>
  </si>
  <si>
    <t>ρ = +0.32. Экономически логичная тенденция, но незначима при текущей выборке.</t>
  </si>
  <si>
    <t>Качественные выводы о рынке</t>
  </si>
  <si>
    <t>1. Рынок быстро растёт (×3.2 за 4 года), но темпы замедляются (от 50% к 20% г/г)</t>
  </si>
  <si>
    <t>2. Прибыльность не связана с масштабом — определяется бизнес-моделью и управлением затратами</t>
  </si>
  <si>
    <t>3. Две модели финансирования: предоплаты от участников (высокая ликвидность) vs КЗ поставщикам</t>
  </si>
  <si>
    <t>4. Себестоимость — ключевой фактор: медианная доля 89%, маржа ~10%</t>
  </si>
  <si>
    <t>5. Бизнес low-asset: компании с минимальными ОС показывают наибольшие темпы роста</t>
  </si>
  <si>
    <t>Рекомендации для ЛПР</t>
  </si>
  <si>
    <t>Для организаторов: контролировать себестоимость (маржа ~10%), использовать модель предоплат</t>
  </si>
  <si>
    <t>Для инвесторов: рынок растущий (+34% г/г), входной барьер низкий (low-asset)</t>
  </si>
  <si>
    <t>Для регуляторов: рынок прозрачен через ГИРБО, стандартизировать отчётность НКО</t>
  </si>
  <si>
    <t>Ограничения исследования</t>
  </si>
  <si>
    <t>1. Малая выборка (11 компаний, 49 наблюдений) — ограничивает мощность статистических тестов</t>
  </si>
  <si>
    <t>2. Только финансовые данные — нет операционных метрик (число участников, мероприятий)</t>
  </si>
  <si>
    <t>3. Разнородность ОПФ (ООО vs НКО) — ограничивает сопоставимость</t>
  </si>
  <si>
    <t>4. Юрлицо ≠ бренд — возможны связанные юрлица</t>
  </si>
  <si>
    <t>5. Факторный анализ не проведён из-за малого числа наблюдений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</si>
</sst>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"/>
    <numFmt numFmtId="166" formatCode="0.00"/>
    <numFmt numFmtId="167" formatCode="0.0000"/>
    <numFmt numFmtId="168" formatCode="#,##0.0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40404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5" fillId="2" borderId="0" xfId="0" applyFont="1" applyFill="1"/>
    <xf numFmtId="0" fontId="6" fillId="3" borderId="0" xfId="0" applyFont="1" applyFill="1"/>
  </cellXfs>
  <cellStyles count="1">
    <cellStyle name="Normal" xfId="0" builtinId="0"/>
  </cellStyles>
  <dxfs count="1">
    <dxf>
      <numFmt numFmtId="167" formatCode="0.0000"/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выручки по компаниям, тыс. руб.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'Динамика рынка'!$A$3</c:f>
              <c:strCache>
                <c:ptCount val="1"/>
                <c:pt idx="0">
                  <c:v>АНО "ЛИГА ГЕРОЕВ"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рынка'!$B$3:$F$3</c:f>
              <c:numCache>
                <c:formatCode>General</c:formatCode>
                <c:ptCount val="5"/>
                <c:pt idx="0">
                  <c:v>382870</c:v>
                </c:pt>
                <c:pt idx="1">
                  <c:v>592044</c:v>
                </c:pt>
                <c:pt idx="2">
                  <c:v>722644</c:v>
                </c:pt>
                <c:pt idx="3">
                  <c:v>967665</c:v>
                </c:pt>
                <c:pt idx="4">
                  <c:v>1164006</c:v>
                </c:pt>
              </c:numCache>
            </c:numRef>
          </c:val>
        </c:ser>
        <c:ser>
          <c:idx val="1"/>
          <c:order val="1"/>
          <c:tx>
            <c:strRef>
              <c:f>'Динамика рынка'!$A$4</c:f>
              <c:strCache>
                <c:ptCount val="1"/>
                <c:pt idx="0">
                  <c:v>АНО "ПАРКРАН"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рынка'!$B$4:$F$4</c:f>
              <c:numCache>
                <c:formatCode>General</c:formatCode>
                <c:ptCount val="5"/>
                <c:pt idx="0">
                  <c:v>829</c:v>
                </c:pt>
                <c:pt idx="1">
                  <c:v>2310</c:v>
                </c:pt>
                <c:pt idx="2">
                  <c:v>9174</c:v>
                </c:pt>
                <c:pt idx="3">
                  <c:v>12702</c:v>
                </c:pt>
                <c:pt idx="4">
                  <c:v>12521</c:v>
                </c:pt>
              </c:numCache>
            </c:numRef>
          </c:val>
        </c:ser>
        <c:ser>
          <c:idx val="2"/>
          <c:order val="2"/>
          <c:tx>
            <c:strRef>
              <c:f>'Динамика рынка'!$A$5</c:f>
              <c:strCache>
                <c:ptCount val="1"/>
                <c:pt idx="0">
                  <c:v>АССОЦИАЦИЯ "ПЕТЕРБУРГСКИЙ СПОРТ"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рынка'!$B$5:$F$5</c:f>
              <c:numCache>
                <c:formatCode>General</c:formatCode>
                <c:ptCount val="5"/>
                <c:pt idx="1">
                  <c:v>30327</c:v>
                </c:pt>
              </c:numCache>
            </c:numRef>
          </c:val>
        </c:ser>
        <c:ser>
          <c:idx val="3"/>
          <c:order val="3"/>
          <c:tx>
            <c:strRef>
              <c:f>'Динамика рынка'!$A$6</c:f>
              <c:strCache>
                <c:ptCount val="1"/>
                <c:pt idx="0">
                  <c:v>ООО "АРЕНА ПЛЮС"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рынка'!$B$6:$F$6</c:f>
              <c:numCache>
                <c:formatCode>General</c:formatCode>
                <c:ptCount val="5"/>
                <c:pt idx="0">
                  <c:v>98226</c:v>
                </c:pt>
                <c:pt idx="1">
                  <c:v>213877</c:v>
                </c:pt>
                <c:pt idx="2">
                  <c:v>240124</c:v>
                </c:pt>
                <c:pt idx="3">
                  <c:v>241307</c:v>
                </c:pt>
                <c:pt idx="4">
                  <c:v>266403</c:v>
                </c:pt>
              </c:numCache>
            </c:numRef>
          </c:val>
        </c:ser>
        <c:ser>
          <c:idx val="4"/>
          <c:order val="4"/>
          <c:tx>
            <c:strRef>
              <c:f>'Динамика рынка'!$A$7</c:f>
              <c:strCache>
                <c:ptCount val="1"/>
                <c:pt idx="0">
                  <c:v>ООО "АРХИТЕКТУРА СПОРТА"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рынка'!$B$7:$F$7</c:f>
              <c:numCache>
                <c:formatCode>General</c:formatCode>
                <c:ptCount val="5"/>
                <c:pt idx="0">
                  <c:v>240322</c:v>
                </c:pt>
                <c:pt idx="1">
                  <c:v>276106</c:v>
                </c:pt>
                <c:pt idx="2">
                  <c:v>321461</c:v>
                </c:pt>
                <c:pt idx="3">
                  <c:v>381088</c:v>
                </c:pt>
                <c:pt idx="4">
                  <c:v>364529</c:v>
                </c:pt>
              </c:numCache>
            </c:numRef>
          </c:val>
        </c:ser>
        <c:ser>
          <c:idx val="5"/>
          <c:order val="5"/>
          <c:tx>
            <c:strRef>
              <c:f>'Динамика рынка'!$A$8</c:f>
              <c:strCache>
                <c:ptCount val="1"/>
                <c:pt idx="0">
                  <c:v>ООО "АСМ "НОВЫЙ СПОРТ"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рынка'!$B$8:$F$8</c:f>
              <c:numCache>
                <c:formatCode>General</c:formatCode>
                <c:ptCount val="5"/>
                <c:pt idx="0">
                  <c:v>40436</c:v>
                </c:pt>
                <c:pt idx="1">
                  <c:v>52757</c:v>
                </c:pt>
                <c:pt idx="2">
                  <c:v>84481</c:v>
                </c:pt>
                <c:pt idx="3">
                  <c:v>167019</c:v>
                </c:pt>
                <c:pt idx="4">
                  <c:v>229304</c:v>
                </c:pt>
              </c:numCache>
            </c:numRef>
          </c:val>
        </c:ser>
        <c:ser>
          <c:idx val="6"/>
          <c:order val="6"/>
          <c:tx>
            <c:strRef>
              <c:f>'Динамика рынка'!$A$9</c:f>
              <c:strCache>
                <c:ptCount val="1"/>
                <c:pt idx="0">
                  <c:v>ООО "ГРУТ"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рынка'!$B$9:$F$9</c:f>
              <c:numCache>
                <c:formatCode>General</c:formatCode>
                <c:ptCount val="5"/>
                <c:pt idx="0">
                  <c:v>51542</c:v>
                </c:pt>
                <c:pt idx="1">
                  <c:v>85441</c:v>
                </c:pt>
                <c:pt idx="2">
                  <c:v>165536</c:v>
                </c:pt>
                <c:pt idx="3">
                  <c:v>218094</c:v>
                </c:pt>
                <c:pt idx="4">
                  <c:v>392726</c:v>
                </c:pt>
              </c:numCache>
            </c:numRef>
          </c:val>
        </c:ser>
        <c:ser>
          <c:idx val="7"/>
          <c:order val="7"/>
          <c:tx>
            <c:strRef>
              <c:f>'Динамика рынка'!$A$10</c:f>
              <c:strCache>
                <c:ptCount val="1"/>
                <c:pt idx="0">
                  <c:v>ООО "МАРАФОН СЕРВИС"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рынка'!$B$10:$F$10</c:f>
              <c:numCache>
                <c:formatCode>General</c:formatCode>
                <c:ptCount val="5"/>
                <c:pt idx="0">
                  <c:v>122541</c:v>
                </c:pt>
                <c:pt idx="1">
                  <c:v>175036</c:v>
                </c:pt>
                <c:pt idx="2">
                  <c:v>272143</c:v>
                </c:pt>
                <c:pt idx="3">
                  <c:v>235895</c:v>
                </c:pt>
                <c:pt idx="4">
                  <c:v>553024</c:v>
                </c:pt>
              </c:numCache>
            </c:numRef>
          </c:val>
        </c:ser>
        <c:ser>
          <c:idx val="8"/>
          <c:order val="8"/>
          <c:tx>
            <c:strRef>
              <c:f>'Динамика рынка'!$A$11</c:f>
              <c:strCache>
                <c:ptCount val="1"/>
                <c:pt idx="0">
                  <c:v>ООО "ЯРОСЛАВСКОЕ БЕГОВОЕ СООБЩЕСТВО"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рынка'!$B$11:$F$11</c:f>
              <c:numCache>
                <c:formatCode>General</c:formatCode>
                <c:ptCount val="5"/>
                <c:pt idx="0">
                  <c:v>43</c:v>
                </c:pt>
                <c:pt idx="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Год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тыс. руб.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чистой прибыли, тыс. руб.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'Динамика рынка'!$A$15</c:f>
              <c:strCache>
                <c:ptCount val="1"/>
                <c:pt idx="0">
                  <c:v>АНО "ЛИГА ГЕРОЕВ"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рынка'!$B$15:$F$15</c:f>
              <c:numCache>
                <c:formatCode>General</c:formatCode>
                <c:ptCount val="5"/>
                <c:pt idx="0">
                  <c:v>-19162</c:v>
                </c:pt>
                <c:pt idx="1">
                  <c:v>-186806</c:v>
                </c:pt>
                <c:pt idx="2">
                  <c:v>-57838</c:v>
                </c:pt>
                <c:pt idx="3">
                  <c:v>-57506</c:v>
                </c:pt>
                <c:pt idx="4">
                  <c:v>53312</c:v>
                </c:pt>
              </c:numCache>
            </c:numRef>
          </c:val>
        </c:ser>
        <c:ser>
          <c:idx val="1"/>
          <c:order val="1"/>
          <c:tx>
            <c:strRef>
              <c:f>'Динамика рынка'!$A$16</c:f>
              <c:strCache>
                <c:ptCount val="1"/>
                <c:pt idx="0">
                  <c:v>АНО "ПАРКРАН"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рынка'!$B$16:$F$16</c:f>
              <c:numCache>
                <c:formatCode>General</c:formatCode>
                <c:ptCount val="5"/>
                <c:pt idx="0">
                  <c:v>-89</c:v>
                </c:pt>
                <c:pt idx="1">
                  <c:v>351</c:v>
                </c:pt>
                <c:pt idx="2">
                  <c:v>116</c:v>
                </c:pt>
                <c:pt idx="3">
                  <c:v>2635</c:v>
                </c:pt>
                <c:pt idx="4">
                  <c:v>899</c:v>
                </c:pt>
              </c:numCache>
            </c:numRef>
          </c:val>
        </c:ser>
        <c:ser>
          <c:idx val="2"/>
          <c:order val="2"/>
          <c:tx>
            <c:strRef>
              <c:f>'Динамика рынка'!$A$17</c:f>
              <c:strCache>
                <c:ptCount val="1"/>
                <c:pt idx="0">
                  <c:v>АССОЦИАЦИЯ "ПЕТЕРБУРГСКИЙ СПОРТ"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рынка'!$B$17:$F$17</c:f>
              <c:numCache>
                <c:formatCode>General</c:formatCode>
                <c:ptCount val="5"/>
                <c:pt idx="1">
                  <c:v>3068</c:v>
                </c:pt>
              </c:numCache>
            </c:numRef>
          </c:val>
        </c:ser>
        <c:ser>
          <c:idx val="3"/>
          <c:order val="3"/>
          <c:tx>
            <c:strRef>
              <c:f>'Динамика рынка'!$A$18</c:f>
              <c:strCache>
                <c:ptCount val="1"/>
                <c:pt idx="0">
                  <c:v>ООО "АРЕНА ПЛЮС"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рынка'!$B$18:$F$18</c:f>
              <c:numCache>
                <c:formatCode>General</c:formatCode>
                <c:ptCount val="5"/>
                <c:pt idx="0">
                  <c:v>-6187</c:v>
                </c:pt>
                <c:pt idx="1">
                  <c:v>17978</c:v>
                </c:pt>
                <c:pt idx="2">
                  <c:v>2554</c:v>
                </c:pt>
                <c:pt idx="3">
                  <c:v>9861</c:v>
                </c:pt>
                <c:pt idx="4">
                  <c:v>3956</c:v>
                </c:pt>
              </c:numCache>
            </c:numRef>
          </c:val>
        </c:ser>
        <c:ser>
          <c:idx val="4"/>
          <c:order val="4"/>
          <c:tx>
            <c:strRef>
              <c:f>'Динамика рынка'!$A$19</c:f>
              <c:strCache>
                <c:ptCount val="1"/>
                <c:pt idx="0">
                  <c:v>ООО "АРХИТЕКТУРА СПОРТА"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рынка'!$B$19:$F$19</c:f>
              <c:numCache>
                <c:formatCode>General</c:formatCode>
                <c:ptCount val="5"/>
                <c:pt idx="0">
                  <c:v>26548</c:v>
                </c:pt>
                <c:pt idx="1">
                  <c:v>35472</c:v>
                </c:pt>
                <c:pt idx="2">
                  <c:v>53385</c:v>
                </c:pt>
                <c:pt idx="3">
                  <c:v>69831</c:v>
                </c:pt>
                <c:pt idx="4">
                  <c:v>20467</c:v>
                </c:pt>
              </c:numCache>
            </c:numRef>
          </c:val>
        </c:ser>
        <c:ser>
          <c:idx val="5"/>
          <c:order val="5"/>
          <c:tx>
            <c:strRef>
              <c:f>'Динамика рынка'!$A$20</c:f>
              <c:strCache>
                <c:ptCount val="1"/>
                <c:pt idx="0">
                  <c:v>ООО "АСМ "НОВЫЙ СПОРТ"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рынка'!$B$20:$F$20</c:f>
              <c:numCache>
                <c:formatCode>General</c:formatCode>
                <c:ptCount val="5"/>
                <c:pt idx="0">
                  <c:v>3838</c:v>
                </c:pt>
                <c:pt idx="1">
                  <c:v>4768</c:v>
                </c:pt>
                <c:pt idx="2">
                  <c:v>7607</c:v>
                </c:pt>
                <c:pt idx="3">
                  <c:v>53735</c:v>
                </c:pt>
                <c:pt idx="4">
                  <c:v>17371</c:v>
                </c:pt>
              </c:numCache>
            </c:numRef>
          </c:val>
        </c:ser>
        <c:ser>
          <c:idx val="6"/>
          <c:order val="6"/>
          <c:tx>
            <c:strRef>
              <c:f>'Динамика рынка'!$A$21</c:f>
              <c:strCache>
                <c:ptCount val="1"/>
                <c:pt idx="0">
                  <c:v>ООО "ГРУТ"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рынка'!$B$21:$F$21</c:f>
              <c:numCache>
                <c:formatCode>General</c:formatCode>
                <c:ptCount val="5"/>
                <c:pt idx="0">
                  <c:v>-6704</c:v>
                </c:pt>
                <c:pt idx="1">
                  <c:v>-2933</c:v>
                </c:pt>
                <c:pt idx="2">
                  <c:v>-11677</c:v>
                </c:pt>
                <c:pt idx="3">
                  <c:v>85</c:v>
                </c:pt>
                <c:pt idx="4">
                  <c:v>1</c:v>
                </c:pt>
              </c:numCache>
            </c:numRef>
          </c:val>
        </c:ser>
        <c:ser>
          <c:idx val="7"/>
          <c:order val="7"/>
          <c:tx>
            <c:strRef>
              <c:f>'Динамика рынка'!$A$22</c:f>
              <c:strCache>
                <c:ptCount val="1"/>
                <c:pt idx="0">
                  <c:v>ООО "МАРАФОН СЕРВИС"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рынка'!$B$22:$F$22</c:f>
              <c:numCache>
                <c:formatCode>General</c:formatCode>
                <c:ptCount val="5"/>
                <c:pt idx="0">
                  <c:v>30207</c:v>
                </c:pt>
                <c:pt idx="1">
                  <c:v>40021</c:v>
                </c:pt>
                <c:pt idx="2">
                  <c:v>45725</c:v>
                </c:pt>
                <c:pt idx="3">
                  <c:v>20114</c:v>
                </c:pt>
                <c:pt idx="4">
                  <c:v>82203</c:v>
                </c:pt>
              </c:numCache>
            </c:numRef>
          </c:val>
        </c:ser>
        <c:ser>
          <c:idx val="8"/>
          <c:order val="8"/>
          <c:tx>
            <c:strRef>
              <c:f>'Динамика рынка'!$A$23</c:f>
              <c:strCache>
                <c:ptCount val="1"/>
                <c:pt idx="0">
                  <c:v>ООО "ЯРОСЛАВСКОЕ БЕГОВОЕ СООБЩЕСТВО"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рынка'!$B$14:$F$14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рынка'!$B$23:$F$23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Год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тыс. руб.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валовой рентабельности,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'Динамика рынка'!$A$27</c:f>
              <c:strCache>
                <c:ptCount val="1"/>
                <c:pt idx="0">
                  <c:v>АНО "ЛИГА ГЕРОЕВ"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рынка'!$B$27:$F$27</c:f>
              <c:numCache>
                <c:formatCode>General</c:formatCode>
                <c:ptCount val="5"/>
                <c:pt idx="0">
                  <c:v>44.10452634053334</c:v>
                </c:pt>
                <c:pt idx="1">
                  <c:v>-15.28062103492308</c:v>
                </c:pt>
                <c:pt idx="2">
                  <c:v>5.208235313653749</c:v>
                </c:pt>
                <c:pt idx="3">
                  <c:v>-1.653051417587698</c:v>
                </c:pt>
                <c:pt idx="4">
                  <c:v>10.64934373190516</c:v>
                </c:pt>
              </c:numCache>
            </c:numRef>
          </c:val>
        </c:ser>
        <c:ser>
          <c:idx val="1"/>
          <c:order val="1"/>
          <c:tx>
            <c:strRef>
              <c:f>'Динамика рынка'!$A$28</c:f>
              <c:strCache>
                <c:ptCount val="1"/>
                <c:pt idx="0">
                  <c:v>АНО "ПАРКРАН"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рынка'!$B$28:$F$28</c:f>
              <c:numCache>
                <c:formatCode>General</c:formatCode>
                <c:ptCount val="5"/>
                <c:pt idx="0">
                  <c:v>-2.533172496984319</c:v>
                </c:pt>
                <c:pt idx="1">
                  <c:v>14.71861471861472</c:v>
                </c:pt>
                <c:pt idx="2">
                  <c:v>6.235011990407674</c:v>
                </c:pt>
                <c:pt idx="3">
                  <c:v>23.3034167847583</c:v>
                </c:pt>
                <c:pt idx="4">
                  <c:v>4.192955834198546</c:v>
                </c:pt>
              </c:numCache>
            </c:numRef>
          </c:val>
        </c:ser>
        <c:ser>
          <c:idx val="2"/>
          <c:order val="2"/>
          <c:tx>
            <c:strRef>
              <c:f>'Динамика рынка'!$A$29</c:f>
              <c:strCache>
                <c:ptCount val="1"/>
                <c:pt idx="0">
                  <c:v>АССОЦИАЦИЯ "ПЕТЕРБУРГСКИЙ СПОРТ"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рынка'!$B$29:$F$29</c:f>
              <c:numCache>
                <c:formatCode>General</c:formatCode>
                <c:ptCount val="5"/>
                <c:pt idx="1">
                  <c:v>1.44755498400765</c:v>
                </c:pt>
              </c:numCache>
            </c:numRef>
          </c:val>
        </c:ser>
        <c:ser>
          <c:idx val="3"/>
          <c:order val="3"/>
          <c:tx>
            <c:strRef>
              <c:f>'Динамика рынка'!$A$30</c:f>
              <c:strCache>
                <c:ptCount val="1"/>
                <c:pt idx="0">
                  <c:v>ООО "АРЕНА ПЛЮС"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рынка'!$B$30:$F$30</c:f>
              <c:numCache>
                <c:formatCode>General</c:formatCode>
                <c:ptCount val="5"/>
                <c:pt idx="0">
                  <c:v>-3.159041394335512</c:v>
                </c:pt>
                <c:pt idx="1">
                  <c:v>12.37486966808025</c:v>
                </c:pt>
                <c:pt idx="2">
                  <c:v>7.100081624494011</c:v>
                </c:pt>
                <c:pt idx="3">
                  <c:v>9.223105836134053</c:v>
                </c:pt>
                <c:pt idx="4">
                  <c:v>4.415866187693082</c:v>
                </c:pt>
              </c:numCache>
            </c:numRef>
          </c:val>
        </c:ser>
        <c:ser>
          <c:idx val="4"/>
          <c:order val="4"/>
          <c:tx>
            <c:strRef>
              <c:f>'Динамика рынка'!$A$31</c:f>
              <c:strCache>
                <c:ptCount val="1"/>
                <c:pt idx="0">
                  <c:v>ООО "АРХИТЕКТУРА СПОРТА"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рынка'!$B$31:$F$31</c:f>
              <c:numCache>
                <c:formatCode>General</c:formatCode>
                <c:ptCount val="5"/>
                <c:pt idx="0">
                  <c:v>18.66828671532361</c:v>
                </c:pt>
                <c:pt idx="1">
                  <c:v>19.02964803372618</c:v>
                </c:pt>
                <c:pt idx="2">
                  <c:v>29.74793209751727</c:v>
                </c:pt>
                <c:pt idx="3">
                  <c:v>22.47040053740868</c:v>
                </c:pt>
                <c:pt idx="4">
                  <c:v>5.498053652795799</c:v>
                </c:pt>
              </c:numCache>
            </c:numRef>
          </c:val>
        </c:ser>
        <c:ser>
          <c:idx val="5"/>
          <c:order val="5"/>
          <c:tx>
            <c:strRef>
              <c:f>'Динамика рынка'!$A$32</c:f>
              <c:strCache>
                <c:ptCount val="1"/>
                <c:pt idx="0">
                  <c:v>ООО "АСМ "НОВЫЙ СПОРТ"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рынка'!$B$32:$F$32</c:f>
              <c:numCache>
                <c:formatCode>General</c:formatCode>
                <c:ptCount val="5"/>
                <c:pt idx="0">
                  <c:v>10.54505885844297</c:v>
                </c:pt>
                <c:pt idx="1">
                  <c:v>10.04226927232405</c:v>
                </c:pt>
                <c:pt idx="2">
                  <c:v>10.28752027083013</c:v>
                </c:pt>
                <c:pt idx="3">
                  <c:v>34.83196522551327</c:v>
                </c:pt>
                <c:pt idx="4">
                  <c:v>11.49347590970938</c:v>
                </c:pt>
              </c:numCache>
            </c:numRef>
          </c:val>
        </c:ser>
        <c:ser>
          <c:idx val="6"/>
          <c:order val="6"/>
          <c:tx>
            <c:strRef>
              <c:f>'Динамика рынка'!$A$33</c:f>
              <c:strCache>
                <c:ptCount val="1"/>
                <c:pt idx="0">
                  <c:v>ООО "ГРУТ"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рынка'!$B$33:$F$33</c:f>
              <c:numCache>
                <c:formatCode>General</c:formatCode>
                <c:ptCount val="5"/>
                <c:pt idx="0">
                  <c:v>-9.303092623491521</c:v>
                </c:pt>
                <c:pt idx="1">
                  <c:v>2.944722088926861</c:v>
                </c:pt>
                <c:pt idx="2">
                  <c:v>-0.3606466267156389</c:v>
                </c:pt>
                <c:pt idx="3">
                  <c:v>15.64508881491467</c:v>
                </c:pt>
                <c:pt idx="4">
                  <c:v>15.73208802065562</c:v>
                </c:pt>
              </c:numCache>
            </c:numRef>
          </c:val>
        </c:ser>
        <c:ser>
          <c:idx val="7"/>
          <c:order val="7"/>
          <c:tx>
            <c:strRef>
              <c:f>'Динамика рынка'!$A$34</c:f>
              <c:strCache>
                <c:ptCount val="1"/>
                <c:pt idx="0">
                  <c:v>ООО "МАРАФОН СЕРВИС"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'Динамика рынка'!$B$26:$F$26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рынка'!$B$34:$F$34</c:f>
              <c:numCache>
                <c:formatCode>General</c:formatCode>
                <c:ptCount val="5"/>
                <c:pt idx="0">
                  <c:v>31.27851086575105</c:v>
                </c:pt>
                <c:pt idx="1">
                  <c:v>30.85822345117576</c:v>
                </c:pt>
                <c:pt idx="2">
                  <c:v>24.94240160503853</c:v>
                </c:pt>
                <c:pt idx="3">
                  <c:v>16.39415841794019</c:v>
                </c:pt>
                <c:pt idx="4">
                  <c:v>21.59219129730355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Год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0.0" sourceLinked="0"/>
        <c:tickLblPos val="nextTo"/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Суммарная выручка рынка, тыс. руб.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C72B0"/>
            </a:solidFill>
          </c:spPr>
          <c:cat>
            <c:numRef>
              <c:f>'Динамика рынка'!$A$122:$A$126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рынка'!$B$122:$B$126</c:f>
              <c:numCache>
                <c:formatCode>General</c:formatCode>
                <c:ptCount val="5"/>
                <c:pt idx="0">
                  <c:v>936809</c:v>
                </c:pt>
                <c:pt idx="1">
                  <c:v>1427898</c:v>
                </c:pt>
                <c:pt idx="2">
                  <c:v>1815563</c:v>
                </c:pt>
                <c:pt idx="3">
                  <c:v>2223770</c:v>
                </c:pt>
                <c:pt idx="4">
                  <c:v>2982513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Год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тыс. руб.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Медианная выручка, тыс. руб.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31750">
              <a:solidFill>
                <a:srgbClr val="DD8452"/>
              </a:solidFill>
            </a:ln>
          </c:spPr>
          <c:marker>
            <c:symbol val="circle"/>
            <c:size val="6"/>
            <c:spPr>
              <a:solidFill>
                <a:srgbClr val="DD8452"/>
              </a:solidFill>
            </c:spPr>
          </c:marker>
          <c:cat>
            <c:numRef>
              <c:f>'Динамика рынка'!$A$122:$A$126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'Динамика рынка'!$C$122:$C$126</c:f>
              <c:numCache>
                <c:formatCode>General</c:formatCode>
                <c:ptCount val="5"/>
                <c:pt idx="0">
                  <c:v>74884</c:v>
                </c:pt>
                <c:pt idx="1">
                  <c:v>85441</c:v>
                </c:pt>
                <c:pt idx="2">
                  <c:v>240124</c:v>
                </c:pt>
                <c:pt idx="3">
                  <c:v>235895</c:v>
                </c:pt>
                <c:pt idx="4">
                  <c:v>364529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Год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тыс. руб.</a:t>
                </a:r>
              </a:p>
            </c:rich>
          </c:tx>
          <c:layout/>
        </c:title>
        <c:numFmt formatCode="#,##0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H2: Масштаб vs Рентабельность (ρ=-0.08, p=0.638)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4C72B0"/>
              </a:solidFill>
            </c:spPr>
          </c:marker>
          <c:xVal>
            <c:numRef>
              <c:f>'Проверка гипотез'!$A$11:$A$47</c:f>
              <c:numCache>
                <c:formatCode>General</c:formatCode>
                <c:ptCount val="37"/>
                <c:pt idx="0">
                  <c:v>382870</c:v>
                </c:pt>
                <c:pt idx="1">
                  <c:v>592044</c:v>
                </c:pt>
                <c:pt idx="2">
                  <c:v>722644</c:v>
                </c:pt>
                <c:pt idx="3">
                  <c:v>967665</c:v>
                </c:pt>
                <c:pt idx="4">
                  <c:v>1164006</c:v>
                </c:pt>
                <c:pt idx="5">
                  <c:v>829</c:v>
                </c:pt>
                <c:pt idx="6">
                  <c:v>2310</c:v>
                </c:pt>
                <c:pt idx="7">
                  <c:v>9174</c:v>
                </c:pt>
                <c:pt idx="8">
                  <c:v>12702</c:v>
                </c:pt>
                <c:pt idx="9">
                  <c:v>12521</c:v>
                </c:pt>
                <c:pt idx="10">
                  <c:v>30327</c:v>
                </c:pt>
                <c:pt idx="11">
                  <c:v>98226</c:v>
                </c:pt>
                <c:pt idx="12">
                  <c:v>213877</c:v>
                </c:pt>
                <c:pt idx="13">
                  <c:v>240124</c:v>
                </c:pt>
                <c:pt idx="14">
                  <c:v>241307</c:v>
                </c:pt>
                <c:pt idx="15">
                  <c:v>266403</c:v>
                </c:pt>
                <c:pt idx="16">
                  <c:v>240322</c:v>
                </c:pt>
                <c:pt idx="17">
                  <c:v>276106</c:v>
                </c:pt>
                <c:pt idx="18">
                  <c:v>321461</c:v>
                </c:pt>
                <c:pt idx="19">
                  <c:v>381088</c:v>
                </c:pt>
                <c:pt idx="20">
                  <c:v>364529</c:v>
                </c:pt>
                <c:pt idx="21">
                  <c:v>40436</c:v>
                </c:pt>
                <c:pt idx="22">
                  <c:v>52757</c:v>
                </c:pt>
                <c:pt idx="23">
                  <c:v>84481</c:v>
                </c:pt>
                <c:pt idx="24">
                  <c:v>167019</c:v>
                </c:pt>
                <c:pt idx="25">
                  <c:v>229304</c:v>
                </c:pt>
                <c:pt idx="26">
                  <c:v>51542</c:v>
                </c:pt>
                <c:pt idx="27">
                  <c:v>85441</c:v>
                </c:pt>
                <c:pt idx="28">
                  <c:v>165536</c:v>
                </c:pt>
                <c:pt idx="29">
                  <c:v>218094</c:v>
                </c:pt>
                <c:pt idx="30">
                  <c:v>392726</c:v>
                </c:pt>
                <c:pt idx="31">
                  <c:v>122541</c:v>
                </c:pt>
                <c:pt idx="32">
                  <c:v>175036</c:v>
                </c:pt>
                <c:pt idx="33">
                  <c:v>272143</c:v>
                </c:pt>
                <c:pt idx="34">
                  <c:v>235895</c:v>
                </c:pt>
                <c:pt idx="35">
                  <c:v>553024</c:v>
                </c:pt>
                <c:pt idx="36">
                  <c:v>43</c:v>
                </c:pt>
              </c:numCache>
            </c:numRef>
          </c:xVal>
          <c:yVal>
            <c:numRef>
              <c:f>'Проверка гипотез'!$B$11:$B$47</c:f>
              <c:numCache>
                <c:formatCode>General</c:formatCode>
                <c:ptCount val="37"/>
                <c:pt idx="0">
                  <c:v>-5.004831927286024</c:v>
                </c:pt>
                <c:pt idx="1">
                  <c:v>-31.55272243279216</c:v>
                </c:pt>
                <c:pt idx="2">
                  <c:v>-8.003664321574663</c:v>
                </c:pt>
                <c:pt idx="3">
                  <c:v>-5.94275911601639</c:v>
                </c:pt>
                <c:pt idx="4">
                  <c:v>4.580045120042336</c:v>
                </c:pt>
                <c:pt idx="5">
                  <c:v>-10.73582629674307</c:v>
                </c:pt>
                <c:pt idx="6">
                  <c:v>15.19480519480519</c:v>
                </c:pt>
                <c:pt idx="7">
                  <c:v>1.264442991061696</c:v>
                </c:pt>
                <c:pt idx="8">
                  <c:v>20.74476460399937</c:v>
                </c:pt>
                <c:pt idx="9">
                  <c:v>7.179937704656178</c:v>
                </c:pt>
                <c:pt idx="10">
                  <c:v>10.11639792923797</c:v>
                </c:pt>
                <c:pt idx="11">
                  <c:v>-6.298739641235517</c:v>
                </c:pt>
                <c:pt idx="12">
                  <c:v>8.405765930885508</c:v>
                </c:pt>
                <c:pt idx="13">
                  <c:v>1.063617131148906</c:v>
                </c:pt>
                <c:pt idx="14">
                  <c:v>4.086495625903932</c:v>
                </c:pt>
                <c:pt idx="15">
                  <c:v>1.484968262369418</c:v>
                </c:pt>
                <c:pt idx="16">
                  <c:v>11.04684548231123</c:v>
                </c:pt>
                <c:pt idx="17">
                  <c:v>12.84723982818193</c:v>
                </c:pt>
                <c:pt idx="18">
                  <c:v>16.60699120577613</c:v>
                </c:pt>
                <c:pt idx="19">
                  <c:v>18.32411411537493</c:v>
                </c:pt>
                <c:pt idx="20">
                  <c:v>5.614642456430078</c:v>
                </c:pt>
                <c:pt idx="21">
                  <c:v>9.491542190127609</c:v>
                </c:pt>
                <c:pt idx="22">
                  <c:v>9.037663248478875</c:v>
                </c:pt>
                <c:pt idx="23">
                  <c:v>9.004391519986743</c:v>
                </c:pt>
                <c:pt idx="24">
                  <c:v>32.17298630694712</c:v>
                </c:pt>
                <c:pt idx="25">
                  <c:v>7.575532917001011</c:v>
                </c:pt>
                <c:pt idx="26">
                  <c:v>-13.00686818516938</c:v>
                </c:pt>
                <c:pt idx="27">
                  <c:v>-3.432778174412753</c:v>
                </c:pt>
                <c:pt idx="28">
                  <c:v>-7.054054707133192</c:v>
                </c:pt>
                <c:pt idx="29">
                  <c:v>0.03897402037653489</c:v>
                </c:pt>
                <c:pt idx="30">
                  <c:v>0.0002546304548209184</c:v>
                </c:pt>
                <c:pt idx="31">
                  <c:v>24.65052513036453</c:v>
                </c:pt>
                <c:pt idx="32">
                  <c:v>22.86443931534085</c:v>
                </c:pt>
                <c:pt idx="33">
                  <c:v>16.80182845048375</c:v>
                </c:pt>
                <c:pt idx="34">
                  <c:v>8.526675003709277</c:v>
                </c:pt>
                <c:pt idx="35">
                  <c:v>14.86427352158315</c:v>
                </c:pt>
                <c:pt idx="36">
                  <c:v>0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Выручка, тыс. руб.</a:t>
                </a:r>
              </a:p>
            </c:rich>
          </c:tx>
          <c:layout/>
        </c:title>
        <c:numFmt formatCode="#,##0" sourceLinked="0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Рентабельность по ЧП, 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H3: Масштаб vs Себестоимость (ρ=-0.20, p=0.254)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DD8452"/>
              </a:solidFill>
            </c:spPr>
          </c:marker>
          <c:xVal>
            <c:numRef>
              <c:f>'Проверка гипотез'!$D$11:$D$46</c:f>
              <c:numCache>
                <c:formatCode>General</c:formatCode>
                <c:ptCount val="36"/>
                <c:pt idx="0">
                  <c:v>382870</c:v>
                </c:pt>
                <c:pt idx="1">
                  <c:v>592044</c:v>
                </c:pt>
                <c:pt idx="2">
                  <c:v>722644</c:v>
                </c:pt>
                <c:pt idx="3">
                  <c:v>967665</c:v>
                </c:pt>
                <c:pt idx="4">
                  <c:v>1164006</c:v>
                </c:pt>
                <c:pt idx="5">
                  <c:v>829</c:v>
                </c:pt>
                <c:pt idx="6">
                  <c:v>2310</c:v>
                </c:pt>
                <c:pt idx="7">
                  <c:v>9174</c:v>
                </c:pt>
                <c:pt idx="8">
                  <c:v>12702</c:v>
                </c:pt>
                <c:pt idx="9">
                  <c:v>12521</c:v>
                </c:pt>
                <c:pt idx="10">
                  <c:v>30327</c:v>
                </c:pt>
                <c:pt idx="11">
                  <c:v>98226</c:v>
                </c:pt>
                <c:pt idx="12">
                  <c:v>213877</c:v>
                </c:pt>
                <c:pt idx="13">
                  <c:v>240124</c:v>
                </c:pt>
                <c:pt idx="14">
                  <c:v>241307</c:v>
                </c:pt>
                <c:pt idx="15">
                  <c:v>266403</c:v>
                </c:pt>
                <c:pt idx="16">
                  <c:v>240322</c:v>
                </c:pt>
                <c:pt idx="17">
                  <c:v>276106</c:v>
                </c:pt>
                <c:pt idx="18">
                  <c:v>321461</c:v>
                </c:pt>
                <c:pt idx="19">
                  <c:v>381088</c:v>
                </c:pt>
                <c:pt idx="20">
                  <c:v>364529</c:v>
                </c:pt>
                <c:pt idx="21">
                  <c:v>40436</c:v>
                </c:pt>
                <c:pt idx="22">
                  <c:v>52757</c:v>
                </c:pt>
                <c:pt idx="23">
                  <c:v>84481</c:v>
                </c:pt>
                <c:pt idx="24">
                  <c:v>167019</c:v>
                </c:pt>
                <c:pt idx="25">
                  <c:v>229304</c:v>
                </c:pt>
                <c:pt idx="26">
                  <c:v>51542</c:v>
                </c:pt>
                <c:pt idx="27">
                  <c:v>85441</c:v>
                </c:pt>
                <c:pt idx="28">
                  <c:v>165536</c:v>
                </c:pt>
                <c:pt idx="29">
                  <c:v>218094</c:v>
                </c:pt>
                <c:pt idx="30">
                  <c:v>392726</c:v>
                </c:pt>
                <c:pt idx="31">
                  <c:v>122541</c:v>
                </c:pt>
                <c:pt idx="32">
                  <c:v>175036</c:v>
                </c:pt>
                <c:pt idx="33">
                  <c:v>272143</c:v>
                </c:pt>
                <c:pt idx="34">
                  <c:v>235895</c:v>
                </c:pt>
                <c:pt idx="35">
                  <c:v>553024</c:v>
                </c:pt>
              </c:numCache>
            </c:numRef>
          </c:xVal>
          <c:yVal>
            <c:numRef>
              <c:f>'Проверка гипотез'!$E$11:$E$46</c:f>
              <c:numCache>
                <c:formatCode>General</c:formatCode>
                <c:ptCount val="36"/>
                <c:pt idx="0">
                  <c:v>55.89547365946665</c:v>
                </c:pt>
                <c:pt idx="1">
                  <c:v>115.2806210349231</c:v>
                </c:pt>
                <c:pt idx="2">
                  <c:v>94.79176468634624</c:v>
                </c:pt>
                <c:pt idx="3">
                  <c:v>101.6530514175877</c:v>
                </c:pt>
                <c:pt idx="4">
                  <c:v>89.35065626809484</c:v>
                </c:pt>
                <c:pt idx="5">
                  <c:v>102.5331724969843</c:v>
                </c:pt>
                <c:pt idx="6">
                  <c:v>85.28138528138528</c:v>
                </c:pt>
                <c:pt idx="7">
                  <c:v>93.76498800959233</c:v>
                </c:pt>
                <c:pt idx="8">
                  <c:v>76.6965832152417</c:v>
                </c:pt>
                <c:pt idx="9">
                  <c:v>95.80704416580146</c:v>
                </c:pt>
                <c:pt idx="10">
                  <c:v>98.55244501599235</c:v>
                </c:pt>
                <c:pt idx="11">
                  <c:v>103.1590413943355</c:v>
                </c:pt>
                <c:pt idx="12">
                  <c:v>87.62513033191975</c:v>
                </c:pt>
                <c:pt idx="13">
                  <c:v>92.89991837550599</c:v>
                </c:pt>
                <c:pt idx="14">
                  <c:v>90.77689416386595</c:v>
                </c:pt>
                <c:pt idx="15">
                  <c:v>95.58413381230692</c:v>
                </c:pt>
                <c:pt idx="16">
                  <c:v>81.33171328467638</c:v>
                </c:pt>
                <c:pt idx="17">
                  <c:v>80.97035196627382</c:v>
                </c:pt>
                <c:pt idx="18">
                  <c:v>70.25206790248274</c:v>
                </c:pt>
                <c:pt idx="19">
                  <c:v>77.52959946259132</c:v>
                </c:pt>
                <c:pt idx="20">
                  <c:v>94.5019463472042</c:v>
                </c:pt>
                <c:pt idx="21">
                  <c:v>89.45494114155703</c:v>
                </c:pt>
                <c:pt idx="22">
                  <c:v>89.95773072767594</c:v>
                </c:pt>
                <c:pt idx="23">
                  <c:v>89.71247972916987</c:v>
                </c:pt>
                <c:pt idx="24">
                  <c:v>65.16803477448674</c:v>
                </c:pt>
                <c:pt idx="25">
                  <c:v>88.50652409029061</c:v>
                </c:pt>
                <c:pt idx="26">
                  <c:v>109.3030926234915</c:v>
                </c:pt>
                <c:pt idx="27">
                  <c:v>97.05527791107313</c:v>
                </c:pt>
                <c:pt idx="28">
                  <c:v>100.3606466267156</c:v>
                </c:pt>
                <c:pt idx="29">
                  <c:v>84.35491118508534</c:v>
                </c:pt>
                <c:pt idx="30">
                  <c:v>84.26791197934438</c:v>
                </c:pt>
                <c:pt idx="31">
                  <c:v>68.72148913424894</c:v>
                </c:pt>
                <c:pt idx="32">
                  <c:v>69.14177654882424</c:v>
                </c:pt>
                <c:pt idx="33">
                  <c:v>75.05759839496147</c:v>
                </c:pt>
                <c:pt idx="34">
                  <c:v>83.60584158205981</c:v>
                </c:pt>
                <c:pt idx="35">
                  <c:v>78.40780870269644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Выручка, тыс. руб.</a:t>
                </a:r>
              </a:p>
            </c:rich>
          </c:tx>
          <c:layout/>
        </c:title>
        <c:numFmt formatCode="#,##0" sourceLinked="0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Доля себестоимости, %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H5: Рост выручки vs Рост КЗ (ρ=0.32, p=0.114)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6"/>
            <c:spPr>
              <a:solidFill>
                <a:srgbClr val="55A868"/>
              </a:solidFill>
            </c:spPr>
          </c:marker>
          <c:xVal>
            <c:numRef>
              <c:f>'Проверка гипотез'!$G$11:$G$35</c:f>
              <c:numCache>
                <c:formatCode>General</c:formatCode>
                <c:ptCount val="25"/>
                <c:pt idx="0">
                  <c:v>54.63316530415023</c:v>
                </c:pt>
                <c:pt idx="1">
                  <c:v>22.05917127781043</c:v>
                </c:pt>
                <c:pt idx="2">
                  <c:v>33.90618340427651</c:v>
                </c:pt>
                <c:pt idx="3">
                  <c:v>20.29018306955404</c:v>
                </c:pt>
                <c:pt idx="4">
                  <c:v>-1.424972445284212</c:v>
                </c:pt>
                <c:pt idx="5">
                  <c:v>117.7397023191416</c:v>
                </c:pt>
                <c:pt idx="6">
                  <c:v>12.27200680765113</c:v>
                </c:pt>
                <c:pt idx="7">
                  <c:v>0.4926621245689766</c:v>
                </c:pt>
                <c:pt idx="8">
                  <c:v>10.40002983750989</c:v>
                </c:pt>
                <c:pt idx="9">
                  <c:v>14.89002255307463</c:v>
                </c:pt>
                <c:pt idx="10">
                  <c:v>16.4266622239285</c:v>
                </c:pt>
                <c:pt idx="11">
                  <c:v>18.54875085935774</c:v>
                </c:pt>
                <c:pt idx="12">
                  <c:v>-4.34519061214208</c:v>
                </c:pt>
                <c:pt idx="13">
                  <c:v>30.47037293500841</c:v>
                </c:pt>
                <c:pt idx="14">
                  <c:v>60.13230471785735</c:v>
                </c:pt>
                <c:pt idx="15">
                  <c:v>97.70007457298091</c:v>
                </c:pt>
                <c:pt idx="16">
                  <c:v>37.29216436453338</c:v>
                </c:pt>
                <c:pt idx="17">
                  <c:v>65.76966357533662</c:v>
                </c:pt>
                <c:pt idx="18">
                  <c:v>93.74305076017369</c:v>
                </c:pt>
                <c:pt idx="19">
                  <c:v>31.7501933114247</c:v>
                </c:pt>
                <c:pt idx="20">
                  <c:v>80.07189560464754</c:v>
                </c:pt>
                <c:pt idx="21">
                  <c:v>42.83872336605707</c:v>
                </c:pt>
                <c:pt idx="22">
                  <c:v>55.47830160652665</c:v>
                </c:pt>
                <c:pt idx="23">
                  <c:v>-13.31946807377004</c:v>
                </c:pt>
                <c:pt idx="24">
                  <c:v>134.4365077682868</c:v>
                </c:pt>
              </c:numCache>
            </c:numRef>
          </c:xVal>
          <c:yVal>
            <c:numRef>
              <c:f>'Проверка гипотез'!$H$11:$H$35</c:f>
              <c:numCache>
                <c:formatCode>General</c:formatCode>
                <c:ptCount val="25"/>
                <c:pt idx="0">
                  <c:v>119.9197951831796</c:v>
                </c:pt>
                <c:pt idx="1">
                  <c:v>77.56681021160861</c:v>
                </c:pt>
                <c:pt idx="2">
                  <c:v>-8.643107039458798</c:v>
                </c:pt>
                <c:pt idx="3">
                  <c:v>75.00317540962784</c:v>
                </c:pt>
                <c:pt idx="4">
                  <c:v>19.41747572815533</c:v>
                </c:pt>
                <c:pt idx="5">
                  <c:v>37.33576552370153</c:v>
                </c:pt>
                <c:pt idx="6">
                  <c:v>80.19851740168362</c:v>
                </c:pt>
                <c:pt idx="7">
                  <c:v>-46.61334342689803</c:v>
                </c:pt>
                <c:pt idx="8">
                  <c:v>40.64220012314122</c:v>
                </c:pt>
                <c:pt idx="9">
                  <c:v>-24.14437733678458</c:v>
                </c:pt>
                <c:pt idx="10">
                  <c:v>21.99052132701422</c:v>
                </c:pt>
                <c:pt idx="11">
                  <c:v>-9.48082220809493</c:v>
                </c:pt>
                <c:pt idx="12">
                  <c:v>68.6378250148266</c:v>
                </c:pt>
                <c:pt idx="13">
                  <c:v>55.90551181102362</c:v>
                </c:pt>
                <c:pt idx="14">
                  <c:v>891.9191919191919</c:v>
                </c:pt>
                <c:pt idx="15">
                  <c:v>1540.885947046843</c:v>
                </c:pt>
                <c:pt idx="16">
                  <c:v>-61.00474757191174</c:v>
                </c:pt>
                <c:pt idx="17">
                  <c:v>68.11490125673249</c:v>
                </c:pt>
                <c:pt idx="18">
                  <c:v>115.2178556172576</c:v>
                </c:pt>
                <c:pt idx="19">
                  <c:v>-47.6256636729023</c:v>
                </c:pt>
                <c:pt idx="20">
                  <c:v>100.2321174798674</c:v>
                </c:pt>
                <c:pt idx="21">
                  <c:v>-0.7052387310888419</c:v>
                </c:pt>
                <c:pt idx="22">
                  <c:v>-2.100714164479778</c:v>
                </c:pt>
                <c:pt idx="23">
                  <c:v>2.754587645364337</c:v>
                </c:pt>
                <c:pt idx="24">
                  <c:v>19.62829090389944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 роста выручки, %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Темп роста КЗ, %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Регрессия: рентабельность от масштаба (R²=0.031, p=0.301)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Наблюдения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4C72B0"/>
              </a:solidFill>
            </c:spPr>
          </c:marker>
          <c:xVal>
            <c:strRef>
              <c:f>Регрессия!$A$15:$A$50</c:f>
              <c:strCache>
                <c:ptCount val="36"/>
                <c:pt idx="0">
                  <c:v>6.720220155135295</c:v>
                </c:pt>
                <c:pt idx="1">
                  <c:v>7.745002803515839</c:v>
                </c:pt>
                <c:pt idx="2">
                  <c:v>9.124128675157117</c:v>
                </c:pt>
                <c:pt idx="3">
                  <c:v>9.435162513668947</c:v>
                </c:pt>
                <c:pt idx="4">
                  <c:v>9.44951474036292</c:v>
                </c:pt>
                <c:pt idx="5">
                  <c:v>10.31979368382217</c:v>
                </c:pt>
                <c:pt idx="6">
                  <c:v>10.60747575627395</c:v>
                </c:pt>
                <c:pt idx="7">
                  <c:v>10.85015228826527</c:v>
                </c:pt>
                <c:pt idx="8">
                  <c:v>10.87345174395606</c:v>
                </c:pt>
                <c:pt idx="9">
                  <c:v>11.34428193599124</c:v>
                </c:pt>
                <c:pt idx="10">
                  <c:v>11.35558135824538</c:v>
                </c:pt>
                <c:pt idx="11">
                  <c:v>11.4950262250824</c:v>
                </c:pt>
                <c:pt idx="12">
                  <c:v>11.71620094684697</c:v>
                </c:pt>
                <c:pt idx="13">
                  <c:v>12.01694397280324</c:v>
                </c:pt>
                <c:pt idx="14">
                  <c:v>12.02586285738239</c:v>
                </c:pt>
                <c:pt idx="15">
                  <c:v>12.07274694603508</c:v>
                </c:pt>
                <c:pt idx="16">
                  <c:v>12.27315636240735</c:v>
                </c:pt>
                <c:pt idx="17">
                  <c:v>12.29268144149494</c:v>
                </c:pt>
                <c:pt idx="18">
                  <c:v>12.34280391308983</c:v>
                </c:pt>
                <c:pt idx="19">
                  <c:v>12.37114206974935</c:v>
                </c:pt>
                <c:pt idx="20">
                  <c:v>12.38891073556453</c:v>
                </c:pt>
                <c:pt idx="21">
                  <c:v>12.38973496976029</c:v>
                </c:pt>
                <c:pt idx="22">
                  <c:v>12.39382526072406</c:v>
                </c:pt>
                <c:pt idx="23">
                  <c:v>12.49276547884623</c:v>
                </c:pt>
                <c:pt idx="24">
                  <c:v>Диагностика остатков (PNG)</c:v>
                </c:pt>
                <c:pt idx="25">
                  <c:v>12.52854012893892</c:v>
                </c:pt>
                <c:pt idx="26">
                  <c:v>12.68063150892524</c:v>
                </c:pt>
                <c:pt idx="27">
                  <c:v>12.80636138830856</c:v>
                </c:pt>
                <c:pt idx="28">
                  <c:v>12.85078559856772</c:v>
                </c:pt>
                <c:pt idx="29">
                  <c:v>12.85545078495741</c:v>
                </c:pt>
                <c:pt idx="30">
                  <c:v>12.88086744667593</c:v>
                </c:pt>
                <c:pt idx="31">
                  <c:v>13.22315667920107</c:v>
                </c:pt>
                <c:pt idx="32">
                  <c:v>13.29133623542855</c:v>
                </c:pt>
                <c:pt idx="33">
                  <c:v>13.49067198706801</c:v>
                </c:pt>
                <c:pt idx="34">
                  <c:v>13.78264123198099</c:v>
                </c:pt>
                <c:pt idx="35">
                  <c:v>13.96737806189941</c:v>
                </c:pt>
              </c:strCache>
            </c:strRef>
          </c:xVal>
          <c:yVal>
            <c:numRef>
              <c:f>Регрессия!$B$15:$B$50</c:f>
              <c:numCache>
                <c:formatCode>General</c:formatCode>
                <c:ptCount val="36"/>
                <c:pt idx="0">
                  <c:v>-2.533172496984319</c:v>
                </c:pt>
                <c:pt idx="1">
                  <c:v>14.71861471861472</c:v>
                </c:pt>
                <c:pt idx="2">
                  <c:v>6.235011990407674</c:v>
                </c:pt>
                <c:pt idx="3">
                  <c:v>4.192955834198546</c:v>
                </c:pt>
                <c:pt idx="4">
                  <c:v>23.3034167847583</c:v>
                </c:pt>
                <c:pt idx="5">
                  <c:v>1.44755498400765</c:v>
                </c:pt>
                <c:pt idx="6">
                  <c:v>10.54505885844297</c:v>
                </c:pt>
                <c:pt idx="7">
                  <c:v>-9.303092623491521</c:v>
                </c:pt>
                <c:pt idx="8">
                  <c:v>10.04226927232405</c:v>
                </c:pt>
                <c:pt idx="9">
                  <c:v>10.28752027083013</c:v>
                </c:pt>
                <c:pt idx="10">
                  <c:v>2.944722088926861</c:v>
                </c:pt>
                <c:pt idx="11">
                  <c:v>-3.159041394335512</c:v>
                </c:pt>
                <c:pt idx="12">
                  <c:v>31.27851086575105</c:v>
                </c:pt>
                <c:pt idx="13">
                  <c:v>-0.3606466267156389</c:v>
                </c:pt>
                <c:pt idx="14">
                  <c:v>34.83196522551327</c:v>
                </c:pt>
                <c:pt idx="15">
                  <c:v>30.85822345117576</c:v>
                </c:pt>
                <c:pt idx="16">
                  <c:v>12.37486966808025</c:v>
                </c:pt>
                <c:pt idx="17">
                  <c:v>15.64508881491467</c:v>
                </c:pt>
                <c:pt idx="18">
                  <c:v>11.49347590970938</c:v>
                </c:pt>
                <c:pt idx="19">
                  <c:v>16.39415841794019</c:v>
                </c:pt>
                <c:pt idx="20">
                  <c:v>7.100081624494011</c:v>
                </c:pt>
                <c:pt idx="21">
                  <c:v>18.66828671532361</c:v>
                </c:pt>
                <c:pt idx="22">
                  <c:v>9.223105836134053</c:v>
                </c:pt>
                <c:pt idx="23">
                  <c:v>4.415866187693082</c:v>
                </c:pt>
                <c:pt idx="24">
                  <c:v>24.94240160503853</c:v>
                </c:pt>
                <c:pt idx="25">
                  <c:v>19.02964803372618</c:v>
                </c:pt>
                <c:pt idx="26">
                  <c:v>29.74793209751727</c:v>
                </c:pt>
                <c:pt idx="27">
                  <c:v>5.498053652795799</c:v>
                </c:pt>
                <c:pt idx="28">
                  <c:v>22.47040053740868</c:v>
                </c:pt>
                <c:pt idx="29">
                  <c:v>44.10452634053334</c:v>
                </c:pt>
                <c:pt idx="30">
                  <c:v>15.73208802065562</c:v>
                </c:pt>
                <c:pt idx="31">
                  <c:v>21.59219129730355</c:v>
                </c:pt>
                <c:pt idx="32">
                  <c:v>-15.28062103492308</c:v>
                </c:pt>
                <c:pt idx="33">
                  <c:v>5.208235313653749</c:v>
                </c:pt>
                <c:pt idx="34">
                  <c:v>-1.653051417587698</c:v>
                </c:pt>
                <c:pt idx="35">
                  <c:v>10.64934373190516</c:v>
                </c:pt>
              </c:numCache>
            </c:numRef>
          </c:yVal>
        </c:ser>
        <c:ser>
          <c:idx val="1"/>
          <c:order val="1"/>
          <c:tx>
            <c:v>y = -4.2 + 1.40·x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strRef>
              <c:f>Регрессия!$A$15:$A$50</c:f>
              <c:strCache>
                <c:ptCount val="36"/>
                <c:pt idx="0">
                  <c:v>6.720220155135295</c:v>
                </c:pt>
                <c:pt idx="1">
                  <c:v>7.745002803515839</c:v>
                </c:pt>
                <c:pt idx="2">
                  <c:v>9.124128675157117</c:v>
                </c:pt>
                <c:pt idx="3">
                  <c:v>9.435162513668947</c:v>
                </c:pt>
                <c:pt idx="4">
                  <c:v>9.44951474036292</c:v>
                </c:pt>
                <c:pt idx="5">
                  <c:v>10.31979368382217</c:v>
                </c:pt>
                <c:pt idx="6">
                  <c:v>10.60747575627395</c:v>
                </c:pt>
                <c:pt idx="7">
                  <c:v>10.85015228826527</c:v>
                </c:pt>
                <c:pt idx="8">
                  <c:v>10.87345174395606</c:v>
                </c:pt>
                <c:pt idx="9">
                  <c:v>11.34428193599124</c:v>
                </c:pt>
                <c:pt idx="10">
                  <c:v>11.35558135824538</c:v>
                </c:pt>
                <c:pt idx="11">
                  <c:v>11.4950262250824</c:v>
                </c:pt>
                <c:pt idx="12">
                  <c:v>11.71620094684697</c:v>
                </c:pt>
                <c:pt idx="13">
                  <c:v>12.01694397280324</c:v>
                </c:pt>
                <c:pt idx="14">
                  <c:v>12.02586285738239</c:v>
                </c:pt>
                <c:pt idx="15">
                  <c:v>12.07274694603508</c:v>
                </c:pt>
                <c:pt idx="16">
                  <c:v>12.27315636240735</c:v>
                </c:pt>
                <c:pt idx="17">
                  <c:v>12.29268144149494</c:v>
                </c:pt>
                <c:pt idx="18">
                  <c:v>12.34280391308983</c:v>
                </c:pt>
                <c:pt idx="19">
                  <c:v>12.37114206974935</c:v>
                </c:pt>
                <c:pt idx="20">
                  <c:v>12.38891073556453</c:v>
                </c:pt>
                <c:pt idx="21">
                  <c:v>12.38973496976029</c:v>
                </c:pt>
                <c:pt idx="22">
                  <c:v>12.39382526072406</c:v>
                </c:pt>
                <c:pt idx="23">
                  <c:v>12.49276547884623</c:v>
                </c:pt>
                <c:pt idx="24">
                  <c:v>Диагностика остатков (PNG)</c:v>
                </c:pt>
                <c:pt idx="25">
                  <c:v>12.52854012893892</c:v>
                </c:pt>
                <c:pt idx="26">
                  <c:v>12.68063150892524</c:v>
                </c:pt>
                <c:pt idx="27">
                  <c:v>12.80636138830856</c:v>
                </c:pt>
                <c:pt idx="28">
                  <c:v>12.85078559856772</c:v>
                </c:pt>
                <c:pt idx="29">
                  <c:v>12.85545078495741</c:v>
                </c:pt>
                <c:pt idx="30">
                  <c:v>12.88086744667593</c:v>
                </c:pt>
                <c:pt idx="31">
                  <c:v>13.22315667920107</c:v>
                </c:pt>
                <c:pt idx="32">
                  <c:v>13.29133623542855</c:v>
                </c:pt>
                <c:pt idx="33">
                  <c:v>13.49067198706801</c:v>
                </c:pt>
                <c:pt idx="34">
                  <c:v>13.78264123198099</c:v>
                </c:pt>
                <c:pt idx="35">
                  <c:v>13.96737806189941</c:v>
                </c:pt>
              </c:strCache>
            </c:strRef>
          </c:xVal>
          <c:yVal>
            <c:numRef>
              <c:f>Регрессия!$C$15:$C$50</c:f>
              <c:numCache>
                <c:formatCode>General</c:formatCode>
                <c:ptCount val="36"/>
                <c:pt idx="0">
                  <c:v>5.24308054794338</c:v>
                </c:pt>
                <c:pt idx="1">
                  <c:v>6.680483620306436</c:v>
                </c:pt>
                <c:pt idx="2">
                  <c:v>8.614903341605636</c:v>
                </c:pt>
                <c:pt idx="3">
                  <c:v>9.051172433195251</c:v>
                </c:pt>
                <c:pt idx="4">
                  <c:v>9.071303467593392</c:v>
                </c:pt>
                <c:pt idx="5">
                  <c:v>10.29199317103251</c:v>
                </c:pt>
                <c:pt idx="6">
                  <c:v>10.69550809730437</c:v>
                </c:pt>
                <c:pt idx="7">
                  <c:v>11.03589636717406</c:v>
                </c:pt>
                <c:pt idx="8">
                  <c:v>11.06857715977653</c:v>
                </c:pt>
                <c:pt idx="9">
                  <c:v>11.72898331093664</c:v>
                </c:pt>
                <c:pt idx="10">
                  <c:v>11.74483235394072</c:v>
                </c:pt>
                <c:pt idx="11">
                  <c:v>11.94042356572942</c:v>
                </c:pt>
                <c:pt idx="12">
                  <c:v>12.25065249583069</c:v>
                </c:pt>
                <c:pt idx="13">
                  <c:v>12.67248726263168</c:v>
                </c:pt>
                <c:pt idx="14">
                  <c:v>12.68499726376839</c:v>
                </c:pt>
                <c:pt idx="15">
                  <c:v>12.7507588505603</c:v>
                </c:pt>
                <c:pt idx="16">
                  <c:v>13.03186149342727</c:v>
                </c:pt>
                <c:pt idx="17">
                  <c:v>13.05924818729156</c:v>
                </c:pt>
                <c:pt idx="18">
                  <c:v>13.12955206565912</c:v>
                </c:pt>
                <c:pt idx="19">
                  <c:v>13.16930035131937</c:v>
                </c:pt>
                <c:pt idx="20">
                  <c:v>13.19422342634888</c:v>
                </c:pt>
                <c:pt idx="21">
                  <c:v>13.19537953176032</c:v>
                </c:pt>
                <c:pt idx="22">
                  <c:v>13.20111674521477</c:v>
                </c:pt>
                <c:pt idx="23">
                  <c:v>13.33989443991307</c:v>
                </c:pt>
                <c:pt idx="24">
                  <c:v>13.36979520734609</c:v>
                </c:pt>
                <c:pt idx="25">
                  <c:v>13.390073462789</c:v>
                </c:pt>
                <c:pt idx="26">
                  <c:v>13.60340320370309</c:v>
                </c:pt>
                <c:pt idx="27">
                  <c:v>13.77975719954701</c:v>
                </c:pt>
                <c:pt idx="28">
                  <c:v>13.84206845785601</c:v>
                </c:pt>
                <c:pt idx="29">
                  <c:v>13.84861204371813</c:v>
                </c:pt>
                <c:pt idx="30">
                  <c:v>13.88426251818815</c:v>
                </c:pt>
                <c:pt idx="31">
                  <c:v>14.36437173475807</c:v>
                </c:pt>
                <c:pt idx="32">
                  <c:v>14.46000323647075</c:v>
                </c:pt>
                <c:pt idx="33">
                  <c:v>14.73959991220599</c:v>
                </c:pt>
                <c:pt idx="34">
                  <c:v>15.14912820616828</c:v>
                </c:pt>
                <c:pt idx="35">
                  <c:v>15.40824782272597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ln(Выручка)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Валовая рентабельность, %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Профиль кластеров (стандартизованные значения)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'Кластерный анализ'!$B$22</c:f>
              <c:strCache>
                <c:ptCount val="1"/>
                <c:pt idx="0">
                  <c:v>Кластер 0</c:v>
                </c:pt>
              </c:strCache>
            </c:strRef>
          </c:tx>
          <c:spPr>
            <a:solidFill>
              <a:srgbClr val="4C72B0"/>
            </a:solidFill>
          </c:spPr>
          <c:cat>
            <c:strRef>
              <c:f>'Кластерный анализ'!$A$23:$A$27</c:f>
              <c:strCache>
                <c:ptCount val="5"/>
                <c:pt idx="0">
                  <c:v>Выручка</c:v>
                </c:pt>
                <c:pt idx="1">
                  <c:v>Вал. рент.</c:v>
                </c:pt>
                <c:pt idx="2">
                  <c:v>Оборач.</c:v>
                </c:pt>
                <c:pt idx="3">
                  <c:v>Доля КЗ</c:v>
                </c:pt>
                <c:pt idx="4">
                  <c:v>Доля ДС</c:v>
                </c:pt>
              </c:strCache>
            </c:strRef>
          </c:cat>
          <c:val>
            <c:numRef>
              <c:f>'Кластерный анализ'!$B$23:$B$27</c:f>
              <c:numCache>
                <c:formatCode>General</c:formatCode>
                <c:ptCount val="5"/>
                <c:pt idx="0">
                  <c:v>-0.7067015031701356</c:v>
                </c:pt>
                <c:pt idx="1">
                  <c:v>-0.6259365449639627</c:v>
                </c:pt>
                <c:pt idx="2">
                  <c:v>0.01607557287385498</c:v>
                </c:pt>
                <c:pt idx="3">
                  <c:v>-0.6555053524555666</c:v>
                </c:pt>
                <c:pt idx="4">
                  <c:v>-0.5491746355588045</c:v>
                </c:pt>
              </c:numCache>
            </c:numRef>
          </c:val>
        </c:ser>
        <c:ser>
          <c:idx val="1"/>
          <c:order val="1"/>
          <c:tx>
            <c:strRef>
              <c:f>'Кластерный анализ'!$C$22</c:f>
              <c:strCache>
                <c:ptCount val="1"/>
                <c:pt idx="0">
                  <c:v>Кластер 1</c:v>
                </c:pt>
              </c:strCache>
            </c:strRef>
          </c:tx>
          <c:spPr>
            <a:solidFill>
              <a:srgbClr val="DD8452"/>
            </a:solidFill>
          </c:spPr>
          <c:cat>
            <c:strRef>
              <c:f>'Кластерный анализ'!$A$23:$A$27</c:f>
              <c:strCache>
                <c:ptCount val="5"/>
                <c:pt idx="0">
                  <c:v>Выручка</c:v>
                </c:pt>
                <c:pt idx="1">
                  <c:v>Вал. рент.</c:v>
                </c:pt>
                <c:pt idx="2">
                  <c:v>Оборач.</c:v>
                </c:pt>
                <c:pt idx="3">
                  <c:v>Доля КЗ</c:v>
                </c:pt>
                <c:pt idx="4">
                  <c:v>Доля ДС</c:v>
                </c:pt>
              </c:strCache>
            </c:strRef>
          </c:cat>
          <c:val>
            <c:numRef>
              <c:f>'Кластерный анализ'!$C$23:$C$27</c:f>
              <c:numCache>
                <c:formatCode>General</c:formatCode>
                <c:ptCount val="5"/>
                <c:pt idx="0">
                  <c:v>0.005907037821025037</c:v>
                </c:pt>
                <c:pt idx="1">
                  <c:v>0.194104481838694</c:v>
                </c:pt>
                <c:pt idx="2">
                  <c:v>0.4181187748202648</c:v>
                </c:pt>
                <c:pt idx="3">
                  <c:v>0.6398242179002801</c:v>
                </c:pt>
                <c:pt idx="4">
                  <c:v>1.706942053208546</c:v>
                </c:pt>
              </c:numCache>
            </c:numRef>
          </c:val>
        </c:ser>
        <c:ser>
          <c:idx val="2"/>
          <c:order val="2"/>
          <c:tx>
            <c:strRef>
              <c:f>'Кластерный анализ'!$D$22</c:f>
              <c:strCache>
                <c:ptCount val="1"/>
                <c:pt idx="0">
                  <c:v>Кластер 2</c:v>
                </c:pt>
              </c:strCache>
            </c:strRef>
          </c:tx>
          <c:spPr>
            <a:solidFill>
              <a:srgbClr val="55A868"/>
            </a:solidFill>
          </c:spPr>
          <c:cat>
            <c:strRef>
              <c:f>'Кластерный анализ'!$A$23:$A$27</c:f>
              <c:strCache>
                <c:ptCount val="5"/>
                <c:pt idx="0">
                  <c:v>Выручка</c:v>
                </c:pt>
                <c:pt idx="1">
                  <c:v>Вал. рент.</c:v>
                </c:pt>
                <c:pt idx="2">
                  <c:v>Оборач.</c:v>
                </c:pt>
                <c:pt idx="3">
                  <c:v>Доля КЗ</c:v>
                </c:pt>
                <c:pt idx="4">
                  <c:v>Доля ДС</c:v>
                </c:pt>
              </c:strCache>
            </c:strRef>
          </c:cat>
          <c:val>
            <c:numRef>
              <c:f>'Кластерный анализ'!$D$23:$D$27</c:f>
              <c:numCache>
                <c:formatCode>General</c:formatCode>
                <c:ptCount val="5"/>
                <c:pt idx="0">
                  <c:v>1.407495968519246</c:v>
                </c:pt>
                <c:pt idx="1">
                  <c:v>1.057768608089231</c:v>
                </c:pt>
                <c:pt idx="2">
                  <c:v>-0.4502699205679753</c:v>
                </c:pt>
                <c:pt idx="3">
                  <c:v>0.6711864870108524</c:v>
                </c:pt>
                <c:pt idx="4">
                  <c:v>-0.608592782090937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z-score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11</xdr:col>
      <xdr:colOff>591944</xdr:colOff>
      <xdr:row>196</xdr:row>
      <xdr:rowOff>139227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0"/>
          <a:ext cx="11631419" cy="89022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6</xdr:col>
      <xdr:colOff>0</xdr:colOff>
      <xdr:row>87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6</xdr:col>
      <xdr:colOff>0</xdr:colOff>
      <xdr:row>115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3</xdr:col>
      <xdr:colOff>85725</xdr:colOff>
      <xdr:row>144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127</xdr:row>
      <xdr:rowOff>0</xdr:rowOff>
    </xdr:from>
    <xdr:to>
      <xdr:col>14</xdr:col>
      <xdr:colOff>495300</xdr:colOff>
      <xdr:row>144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7</xdr:col>
      <xdr:colOff>1238250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18</xdr:col>
      <xdr:colOff>495300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7</xdr:col>
      <xdr:colOff>1238250</xdr:colOff>
      <xdr:row>49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6</xdr:col>
      <xdr:colOff>388796</xdr:colOff>
      <xdr:row>54</xdr:row>
      <xdr:rowOff>160085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29500"/>
          <a:ext cx="8161196" cy="301758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13</xdr:col>
      <xdr:colOff>228600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7</xdr:col>
      <xdr:colOff>767172</xdr:colOff>
      <xdr:row>69</xdr:row>
      <xdr:rowOff>119434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53500"/>
          <a:ext cx="10168347" cy="431043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38100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80.7109375" customWidth="1"/>
    <col min="2" max="2" width="45.7109375" customWidth="1"/>
    <col min="3" max="3" width="15.7109375" customWidth="1"/>
    <col min="4" max="4" width="25.7109375" customWidth="1"/>
  </cols>
  <sheetData>
    <row r="1" spans="1:3">
      <c r="A1" s="1" t="s">
        <v>0</v>
      </c>
    </row>
    <row r="3" spans="1:3">
      <c r="A3" s="2" t="s">
        <v>1</v>
      </c>
    </row>
    <row r="4" spans="1:3">
      <c r="A4" s="3" t="s">
        <v>2</v>
      </c>
    </row>
    <row r="6" spans="1:3">
      <c r="A6" s="2" t="s">
        <v>3</v>
      </c>
    </row>
    <row r="7" spans="1:3">
      <c r="A7" s="3" t="s">
        <v>4</v>
      </c>
    </row>
    <row r="8" spans="1:3">
      <c r="A8" s="3" t="s">
        <v>5</v>
      </c>
    </row>
    <row r="9" spans="1:3">
      <c r="A9" s="3" t="s">
        <v>6</v>
      </c>
    </row>
    <row r="10" spans="1:3">
      <c r="A10" s="3" t="s">
        <v>7</v>
      </c>
    </row>
    <row r="12" spans="1:3">
      <c r="A12" s="2" t="s">
        <v>8</v>
      </c>
    </row>
    <row r="13" spans="1:3">
      <c r="A13" s="2" t="s">
        <v>9</v>
      </c>
      <c r="B13" s="2" t="s">
        <v>10</v>
      </c>
      <c r="C13" s="2" t="s">
        <v>11</v>
      </c>
    </row>
    <row r="14" spans="1:3">
      <c r="A14" s="3" t="s">
        <v>12</v>
      </c>
      <c r="B14" s="3" t="s">
        <v>13</v>
      </c>
      <c r="C14" s="3" t="s">
        <v>14</v>
      </c>
    </row>
    <row r="15" spans="1:3">
      <c r="A15" s="3" t="s">
        <v>15</v>
      </c>
      <c r="B15" s="3" t="s">
        <v>16</v>
      </c>
      <c r="C15" s="3" t="s">
        <v>17</v>
      </c>
    </row>
    <row r="16" spans="1:3">
      <c r="A16" s="3" t="s">
        <v>18</v>
      </c>
      <c r="B16" s="3" t="s">
        <v>19</v>
      </c>
      <c r="C16" s="3" t="s">
        <v>17</v>
      </c>
    </row>
    <row r="17" spans="1:4">
      <c r="A17" s="3" t="s">
        <v>20</v>
      </c>
      <c r="B17" s="3" t="s">
        <v>21</v>
      </c>
      <c r="C17" s="3" t="s">
        <v>22</v>
      </c>
    </row>
    <row r="18" spans="1:4">
      <c r="A18" s="3" t="s">
        <v>23</v>
      </c>
      <c r="B18" s="3" t="s">
        <v>24</v>
      </c>
      <c r="C18" s="3" t="s">
        <v>17</v>
      </c>
    </row>
    <row r="20" spans="1:4">
      <c r="A20" s="2" t="s">
        <v>25</v>
      </c>
    </row>
    <row r="21" spans="1:4">
      <c r="A21" s="2" t="s">
        <v>26</v>
      </c>
      <c r="B21" s="2" t="s">
        <v>27</v>
      </c>
      <c r="C21" s="2" t="s">
        <v>28</v>
      </c>
      <c r="D21" s="2" t="s">
        <v>29</v>
      </c>
    </row>
    <row r="22" spans="1:4">
      <c r="A22" s="3" t="s">
        <v>30</v>
      </c>
      <c r="B22" s="3" t="s">
        <v>31</v>
      </c>
      <c r="C22" s="3" t="s">
        <v>32</v>
      </c>
      <c r="D22" s="3" t="s">
        <v>33</v>
      </c>
    </row>
    <row r="23" spans="1:4">
      <c r="A23" s="3" t="s">
        <v>34</v>
      </c>
      <c r="B23" s="3" t="s">
        <v>35</v>
      </c>
      <c r="C23" s="3" t="s">
        <v>36</v>
      </c>
      <c r="D23" s="3" t="s">
        <v>37</v>
      </c>
    </row>
    <row r="24" spans="1:4">
      <c r="A24" s="3" t="s">
        <v>38</v>
      </c>
      <c r="B24" s="3" t="s">
        <v>39</v>
      </c>
      <c r="C24" s="3" t="s">
        <v>40</v>
      </c>
      <c r="D24" s="3" t="s">
        <v>41</v>
      </c>
    </row>
    <row r="25" spans="1:4">
      <c r="A25" s="3" t="s">
        <v>42</v>
      </c>
      <c r="B25" s="3" t="s">
        <v>43</v>
      </c>
      <c r="C25" s="3" t="s">
        <v>44</v>
      </c>
      <c r="D25" s="3" t="s">
        <v>45</v>
      </c>
    </row>
    <row r="26" spans="1:4">
      <c r="A26" s="3" t="s">
        <v>46</v>
      </c>
      <c r="B26" s="3" t="s">
        <v>47</v>
      </c>
      <c r="C26" s="3" t="s">
        <v>48</v>
      </c>
      <c r="D26" s="3" t="s">
        <v>49</v>
      </c>
    </row>
    <row r="27" spans="1:4">
      <c r="A27" s="3" t="s">
        <v>50</v>
      </c>
      <c r="B27" s="3" t="s">
        <v>51</v>
      </c>
      <c r="C27" s="3" t="s">
        <v>52</v>
      </c>
      <c r="D27" s="3" t="s">
        <v>53</v>
      </c>
    </row>
    <row r="28" spans="1:4">
      <c r="A28" s="3" t="s">
        <v>54</v>
      </c>
      <c r="B28" s="3" t="s">
        <v>55</v>
      </c>
      <c r="C28" s="3" t="s">
        <v>56</v>
      </c>
      <c r="D28" s="3" t="s">
        <v>41</v>
      </c>
    </row>
    <row r="29" spans="1:4">
      <c r="A29" s="3" t="s">
        <v>57</v>
      </c>
      <c r="B29" s="3" t="s">
        <v>58</v>
      </c>
      <c r="C29" s="3" t="s">
        <v>59</v>
      </c>
      <c r="D29" s="3" t="s">
        <v>49</v>
      </c>
    </row>
    <row r="30" spans="1:4">
      <c r="A30" s="3" t="s">
        <v>60</v>
      </c>
      <c r="B30" s="3" t="s">
        <v>61</v>
      </c>
      <c r="C30" s="3" t="s">
        <v>62</v>
      </c>
      <c r="D30" s="3" t="s">
        <v>63</v>
      </c>
    </row>
    <row r="31" spans="1:4">
      <c r="A31" s="3" t="s">
        <v>64</v>
      </c>
      <c r="B31" s="3" t="s">
        <v>65</v>
      </c>
      <c r="C31" s="3" t="s">
        <v>66</v>
      </c>
      <c r="D31" s="3" t="s">
        <v>63</v>
      </c>
    </row>
    <row r="32" spans="1:4">
      <c r="A32" s="3" t="s">
        <v>67</v>
      </c>
      <c r="B32" s="3" t="s">
        <v>68</v>
      </c>
      <c r="C32" s="3" t="s">
        <v>69</v>
      </c>
      <c r="D32" s="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sheetFormatPr defaultRowHeight="15"/>
  <cols>
    <col min="1" max="1" width="40.7109375" customWidth="1"/>
    <col min="2" max="2" width="15.7109375" customWidth="1"/>
    <col min="3" max="3" width="10.7109375" customWidth="1"/>
    <col min="4" max="33" width="14.7109375" style="4" customWidth="1"/>
  </cols>
  <sheetData>
    <row r="1" spans="1:33">
      <c r="A1" t="s">
        <v>71</v>
      </c>
      <c r="B1" t="s">
        <v>28</v>
      </c>
      <c r="C1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s="4" t="s">
        <v>85</v>
      </c>
      <c r="Q1" s="4" t="s">
        <v>86</v>
      </c>
      <c r="R1" s="4" t="s">
        <v>87</v>
      </c>
      <c r="S1" s="4" t="s">
        <v>88</v>
      </c>
      <c r="T1" s="4" t="s">
        <v>89</v>
      </c>
      <c r="U1" s="4" t="s">
        <v>90</v>
      </c>
      <c r="V1" s="4" t="s">
        <v>91</v>
      </c>
      <c r="W1" s="4" t="s">
        <v>92</v>
      </c>
      <c r="X1" s="4" t="s">
        <v>93</v>
      </c>
      <c r="Y1" s="4" t="s">
        <v>94</v>
      </c>
      <c r="Z1" s="4" t="s">
        <v>95</v>
      </c>
      <c r="AA1" s="4" t="s">
        <v>96</v>
      </c>
      <c r="AB1" s="4" t="s">
        <v>97</v>
      </c>
      <c r="AC1" s="4" t="s">
        <v>98</v>
      </c>
      <c r="AD1" s="4" t="s">
        <v>99</v>
      </c>
      <c r="AE1" s="4" t="s">
        <v>100</v>
      </c>
      <c r="AF1" s="4" t="s">
        <v>101</v>
      </c>
      <c r="AG1" s="4" t="s">
        <v>102</v>
      </c>
    </row>
    <row r="2" spans="1:33">
      <c r="A2" t="s">
        <v>103</v>
      </c>
      <c r="B2">
        <v>7709445877</v>
      </c>
      <c r="C2">
        <v>2021</v>
      </c>
      <c r="D2" s="4">
        <v>0</v>
      </c>
      <c r="E2" s="4">
        <v>235348</v>
      </c>
      <c r="F2" s="4">
        <v>238037</v>
      </c>
      <c r="G2" s="4">
        <v>5928</v>
      </c>
      <c r="H2" s="4">
        <v>41187</v>
      </c>
      <c r="I2" s="4">
        <v>3440</v>
      </c>
      <c r="J2" s="4">
        <v>35003</v>
      </c>
      <c r="K2" s="4">
        <v>88187</v>
      </c>
      <c r="L2" s="4">
        <v>326224</v>
      </c>
      <c r="P2" s="4">
        <v>0</v>
      </c>
      <c r="Q2" s="4">
        <v>559</v>
      </c>
      <c r="R2" s="4">
        <v>149150</v>
      </c>
      <c r="S2" s="4">
        <v>44137</v>
      </c>
      <c r="T2" s="4">
        <v>201629</v>
      </c>
      <c r="U2" s="4">
        <v>382870</v>
      </c>
      <c r="V2" s="4">
        <v>214007</v>
      </c>
      <c r="W2" s="4">
        <v>168863</v>
      </c>
      <c r="Y2" s="4">
        <v>132039</v>
      </c>
      <c r="Z2" s="4">
        <v>36824</v>
      </c>
      <c r="AB2" s="4">
        <v>4277</v>
      </c>
      <c r="AC2" s="4">
        <v>12480</v>
      </c>
      <c r="AD2" s="4">
        <v>97758</v>
      </c>
      <c r="AE2" s="4">
        <v>139489</v>
      </c>
      <c r="AF2" s="4">
        <v>-13110</v>
      </c>
      <c r="AG2" s="4">
        <v>-19162</v>
      </c>
    </row>
    <row r="3" spans="1:33">
      <c r="A3" t="s">
        <v>103</v>
      </c>
      <c r="B3">
        <v>7709445877</v>
      </c>
      <c r="C3">
        <v>2022</v>
      </c>
      <c r="D3" s="4">
        <v>245</v>
      </c>
      <c r="E3" s="4">
        <v>102973</v>
      </c>
      <c r="F3" s="4">
        <v>185462</v>
      </c>
      <c r="G3" s="4">
        <v>2329</v>
      </c>
      <c r="H3" s="4">
        <v>53231</v>
      </c>
      <c r="I3" s="4">
        <v>0</v>
      </c>
      <c r="J3" s="4">
        <v>28810</v>
      </c>
      <c r="K3" s="4">
        <v>90281</v>
      </c>
      <c r="L3" s="4">
        <v>275743</v>
      </c>
      <c r="P3" s="4">
        <v>0</v>
      </c>
      <c r="Q3" s="4">
        <v>483</v>
      </c>
      <c r="R3" s="4">
        <v>160821</v>
      </c>
      <c r="S3" s="4">
        <v>97066</v>
      </c>
      <c r="T3" s="4">
        <v>268961</v>
      </c>
      <c r="U3" s="4">
        <v>592044</v>
      </c>
      <c r="V3" s="4">
        <v>682512</v>
      </c>
      <c r="W3" s="4">
        <v>-90468</v>
      </c>
      <c r="Y3" s="4">
        <v>0</v>
      </c>
      <c r="Z3" s="4">
        <v>-90468</v>
      </c>
      <c r="AB3" s="4">
        <v>10047</v>
      </c>
      <c r="AC3" s="4">
        <v>12369</v>
      </c>
      <c r="AD3" s="4">
        <v>94108</v>
      </c>
      <c r="AE3" s="4">
        <v>240340</v>
      </c>
      <c r="AF3" s="4">
        <v>-239022</v>
      </c>
      <c r="AG3" s="4">
        <v>-186806</v>
      </c>
    </row>
    <row r="4" spans="1:33">
      <c r="A4" t="s">
        <v>103</v>
      </c>
      <c r="B4">
        <v>7709445877</v>
      </c>
      <c r="C4">
        <v>2023</v>
      </c>
      <c r="D4" s="4">
        <v>245</v>
      </c>
      <c r="E4" s="4">
        <v>245750</v>
      </c>
      <c r="F4" s="4">
        <v>364909</v>
      </c>
      <c r="G4" s="4">
        <v>2686</v>
      </c>
      <c r="H4" s="4">
        <v>165219</v>
      </c>
      <c r="I4" s="4">
        <v>0</v>
      </c>
      <c r="J4" s="4">
        <v>75795</v>
      </c>
      <c r="K4" s="4">
        <v>246230</v>
      </c>
      <c r="L4" s="4">
        <v>611139</v>
      </c>
      <c r="Q4" s="4">
        <v>219900</v>
      </c>
      <c r="R4" s="4">
        <v>178611</v>
      </c>
      <c r="S4" s="4">
        <v>172357</v>
      </c>
      <c r="T4" s="4">
        <v>355389</v>
      </c>
      <c r="U4" s="4">
        <v>722644</v>
      </c>
      <c r="V4" s="4">
        <v>685007</v>
      </c>
      <c r="W4" s="4">
        <v>37637</v>
      </c>
      <c r="Z4" s="4">
        <v>37637</v>
      </c>
      <c r="AB4" s="4">
        <v>4177</v>
      </c>
      <c r="AC4" s="4">
        <v>13710</v>
      </c>
      <c r="AD4" s="4">
        <v>1868</v>
      </c>
      <c r="AE4" s="4">
        <v>85333</v>
      </c>
      <c r="AF4" s="4">
        <v>-55361</v>
      </c>
      <c r="AG4" s="4">
        <v>-57838</v>
      </c>
    </row>
    <row r="5" spans="1:33">
      <c r="A5" t="s">
        <v>103</v>
      </c>
      <c r="B5">
        <v>7709445877</v>
      </c>
      <c r="C5">
        <v>2024</v>
      </c>
      <c r="D5" s="4">
        <v>2299</v>
      </c>
      <c r="E5" s="4">
        <v>210535</v>
      </c>
      <c r="F5" s="4">
        <v>364608</v>
      </c>
      <c r="G5" s="4">
        <v>13178</v>
      </c>
      <c r="H5" s="4">
        <v>144134</v>
      </c>
      <c r="J5" s="4">
        <v>30484</v>
      </c>
      <c r="K5" s="4">
        <v>197641</v>
      </c>
      <c r="L5" s="4">
        <v>562249</v>
      </c>
      <c r="P5" s="4">
        <v>198475</v>
      </c>
      <c r="Q5" s="4">
        <v>409395</v>
      </c>
      <c r="R5" s="4">
        <v>35129</v>
      </c>
      <c r="S5" s="4">
        <v>157460</v>
      </c>
      <c r="T5" s="4">
        <v>210726</v>
      </c>
      <c r="U5" s="4">
        <v>967665</v>
      </c>
      <c r="V5" s="4">
        <v>983661</v>
      </c>
      <c r="W5" s="4">
        <v>-15996</v>
      </c>
      <c r="X5" s="4">
        <v>3</v>
      </c>
      <c r="Z5" s="4">
        <v>-15999</v>
      </c>
      <c r="AB5" s="4">
        <v>11625</v>
      </c>
      <c r="AC5" s="4">
        <v>14995</v>
      </c>
      <c r="AD5" s="4">
        <v>14738</v>
      </c>
      <c r="AE5" s="4">
        <v>85333</v>
      </c>
      <c r="AF5" s="4">
        <v>-89964</v>
      </c>
      <c r="AG5" s="4">
        <v>-57506</v>
      </c>
    </row>
    <row r="6" spans="1:33">
      <c r="A6" t="s">
        <v>103</v>
      </c>
      <c r="B6">
        <v>7709445877</v>
      </c>
      <c r="C6">
        <v>2025</v>
      </c>
      <c r="D6" s="4">
        <v>2066</v>
      </c>
      <c r="E6" s="4">
        <v>133664</v>
      </c>
      <c r="F6" s="4">
        <v>158219</v>
      </c>
      <c r="G6" s="4">
        <v>5660</v>
      </c>
      <c r="H6" s="4">
        <v>114984</v>
      </c>
      <c r="I6" s="4">
        <v>4000</v>
      </c>
      <c r="J6" s="4">
        <v>14181</v>
      </c>
      <c r="K6" s="4">
        <v>139273</v>
      </c>
      <c r="L6" s="4">
        <v>297492</v>
      </c>
      <c r="P6" s="4">
        <v>6309</v>
      </c>
      <c r="Q6" s="4">
        <v>84837</v>
      </c>
      <c r="R6" s="4">
        <v>354925</v>
      </c>
      <c r="S6" s="4">
        <v>275560</v>
      </c>
      <c r="T6" s="4">
        <v>705745</v>
      </c>
      <c r="U6" s="4">
        <v>1164006</v>
      </c>
      <c r="V6" s="4">
        <v>1040047</v>
      </c>
      <c r="W6" s="4">
        <v>123959</v>
      </c>
      <c r="X6" s="4">
        <v>0</v>
      </c>
      <c r="Z6" s="4">
        <v>123959</v>
      </c>
      <c r="AB6" s="4">
        <v>6883</v>
      </c>
      <c r="AC6" s="4">
        <v>40812</v>
      </c>
      <c r="AD6" s="4">
        <v>62</v>
      </c>
      <c r="AE6" s="4">
        <v>43633</v>
      </c>
      <c r="AF6" s="4">
        <v>46459</v>
      </c>
      <c r="AG6" s="4">
        <v>53312</v>
      </c>
    </row>
    <row r="7" spans="1:33">
      <c r="A7" t="s">
        <v>104</v>
      </c>
      <c r="B7">
        <v>7729451893</v>
      </c>
      <c r="C7">
        <v>2021</v>
      </c>
      <c r="G7" s="4">
        <v>47</v>
      </c>
      <c r="J7" s="4">
        <v>123</v>
      </c>
      <c r="L7" s="4">
        <v>170</v>
      </c>
      <c r="U7" s="4">
        <v>829</v>
      </c>
      <c r="V7" s="4">
        <v>850</v>
      </c>
      <c r="AE7" s="4">
        <v>43</v>
      </c>
      <c r="AG7" s="4">
        <v>-89</v>
      </c>
    </row>
    <row r="8" spans="1:33">
      <c r="A8" t="s">
        <v>104</v>
      </c>
      <c r="B8">
        <v>7729451893</v>
      </c>
      <c r="C8">
        <v>2022</v>
      </c>
      <c r="G8" s="4">
        <v>97</v>
      </c>
      <c r="J8" s="4">
        <v>1537</v>
      </c>
      <c r="L8" s="4">
        <v>1634</v>
      </c>
      <c r="U8" s="4">
        <v>2310</v>
      </c>
      <c r="V8" s="4">
        <v>1970</v>
      </c>
      <c r="AD8" s="4">
        <v>98</v>
      </c>
      <c r="AE8" s="4">
        <v>15</v>
      </c>
      <c r="AG8" s="4">
        <v>351</v>
      </c>
    </row>
    <row r="9" spans="1:33">
      <c r="A9" t="s">
        <v>104</v>
      </c>
      <c r="B9">
        <v>7729451893</v>
      </c>
      <c r="C9">
        <v>2023</v>
      </c>
      <c r="G9" s="4">
        <v>357</v>
      </c>
      <c r="J9" s="4">
        <v>281</v>
      </c>
      <c r="L9" s="4">
        <v>638</v>
      </c>
      <c r="U9" s="4">
        <v>9174</v>
      </c>
      <c r="V9" s="4">
        <v>8602</v>
      </c>
      <c r="AD9" s="4">
        <v>11</v>
      </c>
      <c r="AE9" s="4">
        <v>143</v>
      </c>
      <c r="AG9" s="4">
        <v>116</v>
      </c>
    </row>
    <row r="10" spans="1:33">
      <c r="A10" t="s">
        <v>104</v>
      </c>
      <c r="B10">
        <v>7729451893</v>
      </c>
      <c r="C10">
        <v>2024</v>
      </c>
      <c r="G10" s="4">
        <v>272</v>
      </c>
      <c r="H10" s="4">
        <v>132</v>
      </c>
      <c r="J10" s="4">
        <v>4929</v>
      </c>
      <c r="K10" s="4">
        <v>5333</v>
      </c>
      <c r="L10" s="4">
        <v>5333</v>
      </c>
      <c r="S10" s="4">
        <v>103</v>
      </c>
      <c r="T10" s="4">
        <v>103</v>
      </c>
      <c r="U10" s="4">
        <v>12702</v>
      </c>
      <c r="V10" s="4">
        <v>9742</v>
      </c>
      <c r="W10" s="4">
        <v>2960</v>
      </c>
      <c r="Z10" s="4">
        <v>2960</v>
      </c>
      <c r="AB10" s="4">
        <v>166</v>
      </c>
      <c r="AD10" s="4">
        <v>7</v>
      </c>
      <c r="AE10" s="4">
        <v>112</v>
      </c>
      <c r="AF10" s="4">
        <v>3021</v>
      </c>
      <c r="AG10" s="4">
        <v>2635</v>
      </c>
    </row>
    <row r="11" spans="1:33">
      <c r="A11" t="s">
        <v>104</v>
      </c>
      <c r="B11">
        <v>7729451893</v>
      </c>
      <c r="C11">
        <v>2025</v>
      </c>
      <c r="D11" s="4">
        <v>0</v>
      </c>
      <c r="E11" s="4">
        <v>0</v>
      </c>
      <c r="F11" s="4">
        <v>0</v>
      </c>
      <c r="G11" s="4">
        <v>2446</v>
      </c>
      <c r="H11" s="4">
        <v>161</v>
      </c>
      <c r="I11" s="4">
        <v>5034</v>
      </c>
      <c r="J11" s="4">
        <v>1006</v>
      </c>
      <c r="K11" s="4">
        <v>8648</v>
      </c>
      <c r="L11" s="4">
        <v>8648</v>
      </c>
      <c r="P11" s="4">
        <v>0</v>
      </c>
      <c r="Q11" s="4">
        <v>0</v>
      </c>
      <c r="R11" s="4">
        <v>0</v>
      </c>
      <c r="S11" s="4">
        <v>123</v>
      </c>
      <c r="T11" s="4">
        <v>123</v>
      </c>
      <c r="U11" s="4">
        <v>12521</v>
      </c>
      <c r="V11" s="4">
        <v>11996</v>
      </c>
      <c r="W11" s="4">
        <v>525</v>
      </c>
      <c r="Z11" s="4">
        <v>525</v>
      </c>
      <c r="AB11" s="4">
        <v>925</v>
      </c>
      <c r="AC11" s="4">
        <v>0</v>
      </c>
      <c r="AD11" s="4">
        <v>21</v>
      </c>
      <c r="AE11" s="4">
        <v>154</v>
      </c>
      <c r="AF11" s="4">
        <v>1317</v>
      </c>
      <c r="AG11" s="4">
        <v>899</v>
      </c>
    </row>
    <row r="12" spans="1:33">
      <c r="A12" t="s">
        <v>105</v>
      </c>
      <c r="B12">
        <v>5252050062</v>
      </c>
      <c r="C12">
        <v>2023</v>
      </c>
      <c r="H12" s="4">
        <v>23</v>
      </c>
      <c r="J12" s="4">
        <v>295</v>
      </c>
      <c r="L12" s="4">
        <v>318</v>
      </c>
    </row>
    <row r="13" spans="1:33">
      <c r="A13" t="s">
        <v>105</v>
      </c>
      <c r="B13">
        <v>5252050062</v>
      </c>
      <c r="C13">
        <v>2024</v>
      </c>
      <c r="H13" s="4">
        <v>1446</v>
      </c>
      <c r="J13" s="4">
        <v>1918</v>
      </c>
      <c r="L13" s="4">
        <v>3364</v>
      </c>
      <c r="S13" s="4">
        <v>1796</v>
      </c>
    </row>
    <row r="14" spans="1:33">
      <c r="A14" t="s">
        <v>105</v>
      </c>
      <c r="B14">
        <v>5252050062</v>
      </c>
      <c r="C14">
        <v>2025</v>
      </c>
      <c r="I14" s="4">
        <v>1549</v>
      </c>
      <c r="J14" s="4">
        <v>6318</v>
      </c>
      <c r="L14" s="4">
        <v>7867</v>
      </c>
      <c r="S14" s="4">
        <v>1620</v>
      </c>
    </row>
    <row r="15" spans="1:33">
      <c r="A15" t="s">
        <v>106</v>
      </c>
      <c r="B15">
        <v>9721206702</v>
      </c>
      <c r="C15">
        <v>2024</v>
      </c>
      <c r="J15" s="4">
        <v>1705</v>
      </c>
      <c r="L15" s="4">
        <v>1705</v>
      </c>
    </row>
    <row r="16" spans="1:33">
      <c r="A16" t="s">
        <v>106</v>
      </c>
      <c r="B16">
        <v>9721206702</v>
      </c>
      <c r="C16">
        <v>2025</v>
      </c>
      <c r="I16" s="4">
        <v>238</v>
      </c>
      <c r="J16" s="4">
        <v>2172</v>
      </c>
      <c r="L16" s="4">
        <v>2410</v>
      </c>
    </row>
    <row r="17" spans="1:33">
      <c r="A17" t="s">
        <v>107</v>
      </c>
      <c r="B17">
        <v>7810948438</v>
      </c>
      <c r="C17">
        <v>2022</v>
      </c>
      <c r="E17" s="4">
        <v>256</v>
      </c>
      <c r="H17" s="4">
        <v>4693</v>
      </c>
      <c r="J17" s="4">
        <v>111</v>
      </c>
      <c r="L17" s="4">
        <v>5060</v>
      </c>
      <c r="O17" s="4">
        <v>3069</v>
      </c>
      <c r="P17" s="4">
        <v>1950</v>
      </c>
      <c r="S17" s="4">
        <v>41</v>
      </c>
      <c r="U17" s="4">
        <v>30327</v>
      </c>
      <c r="V17" s="4">
        <v>29888</v>
      </c>
      <c r="AD17" s="4">
        <v>3000</v>
      </c>
      <c r="AE17" s="4">
        <v>47</v>
      </c>
      <c r="AG17" s="4">
        <v>3068</v>
      </c>
    </row>
    <row r="18" spans="1:33">
      <c r="A18" t="s">
        <v>107</v>
      </c>
      <c r="B18">
        <v>7810948438</v>
      </c>
      <c r="C18">
        <v>2023</v>
      </c>
      <c r="E18" s="4">
        <v>102</v>
      </c>
      <c r="G18" s="4">
        <v>85</v>
      </c>
      <c r="H18" s="4">
        <v>12877</v>
      </c>
      <c r="J18" s="4">
        <v>496</v>
      </c>
      <c r="L18" s="4">
        <v>13560</v>
      </c>
      <c r="P18" s="4">
        <v>10222</v>
      </c>
      <c r="S18" s="4">
        <v>5074</v>
      </c>
    </row>
    <row r="19" spans="1:33">
      <c r="A19" t="s">
        <v>107</v>
      </c>
      <c r="B19">
        <v>7810948438</v>
      </c>
      <c r="C19">
        <v>2024</v>
      </c>
      <c r="E19" s="4">
        <v>0</v>
      </c>
      <c r="G19" s="4">
        <v>0</v>
      </c>
      <c r="H19" s="4">
        <v>18972</v>
      </c>
      <c r="J19" s="4">
        <v>15</v>
      </c>
      <c r="L19" s="4">
        <v>18987</v>
      </c>
      <c r="P19" s="4">
        <v>0</v>
      </c>
      <c r="S19" s="4">
        <v>6862</v>
      </c>
    </row>
    <row r="20" spans="1:33">
      <c r="A20" t="s">
        <v>107</v>
      </c>
      <c r="B20">
        <v>7810948438</v>
      </c>
      <c r="C20">
        <v>2025</v>
      </c>
      <c r="E20" s="4">
        <v>0</v>
      </c>
      <c r="G20" s="4">
        <v>553</v>
      </c>
      <c r="I20" s="4">
        <v>25720</v>
      </c>
      <c r="J20" s="4">
        <v>137</v>
      </c>
      <c r="L20" s="4">
        <v>40758</v>
      </c>
      <c r="P20" s="4">
        <v>2350</v>
      </c>
      <c r="S20" s="4">
        <v>24975</v>
      </c>
    </row>
    <row r="21" spans="1:33">
      <c r="A21" t="s">
        <v>108</v>
      </c>
      <c r="B21">
        <v>7606117641</v>
      </c>
      <c r="C21">
        <v>2021</v>
      </c>
      <c r="E21" s="4">
        <v>1841</v>
      </c>
      <c r="G21" s="4">
        <v>5484</v>
      </c>
      <c r="H21" s="4">
        <v>17206</v>
      </c>
      <c r="J21" s="4">
        <v>7536</v>
      </c>
      <c r="L21" s="4">
        <v>46566</v>
      </c>
      <c r="O21" s="4">
        <v>-22359</v>
      </c>
      <c r="P21" s="4">
        <v>4865</v>
      </c>
      <c r="R21" s="4">
        <v>3993</v>
      </c>
      <c r="S21" s="4">
        <v>40567</v>
      </c>
      <c r="U21" s="4">
        <v>98226</v>
      </c>
      <c r="V21" s="4">
        <v>101329</v>
      </c>
      <c r="AC21" s="4">
        <v>281</v>
      </c>
      <c r="AD21" s="4">
        <v>3518</v>
      </c>
      <c r="AE21" s="4">
        <v>5316</v>
      </c>
      <c r="AG21" s="4">
        <v>-6187</v>
      </c>
    </row>
    <row r="22" spans="1:33">
      <c r="A22" t="s">
        <v>108</v>
      </c>
      <c r="B22">
        <v>7606117641</v>
      </c>
      <c r="C22">
        <v>2022</v>
      </c>
      <c r="E22" s="4">
        <v>3109</v>
      </c>
      <c r="G22" s="4">
        <v>6567</v>
      </c>
      <c r="H22" s="4">
        <v>29266</v>
      </c>
      <c r="J22" s="4">
        <v>11303</v>
      </c>
      <c r="L22" s="4">
        <v>77643</v>
      </c>
      <c r="O22" s="4">
        <v>-4453</v>
      </c>
      <c r="P22" s="4">
        <v>4280</v>
      </c>
      <c r="R22" s="4">
        <v>3686</v>
      </c>
      <c r="S22" s="4">
        <v>55713</v>
      </c>
      <c r="U22" s="4">
        <v>213877</v>
      </c>
      <c r="V22" s="4">
        <v>187410</v>
      </c>
      <c r="AC22" s="4">
        <v>194</v>
      </c>
      <c r="AD22" s="4">
        <v>3136</v>
      </c>
      <c r="AE22" s="4">
        <v>9450</v>
      </c>
      <c r="AG22" s="4">
        <v>17978</v>
      </c>
    </row>
    <row r="23" spans="1:33">
      <c r="A23" t="s">
        <v>108</v>
      </c>
      <c r="B23">
        <v>7606117641</v>
      </c>
      <c r="C23">
        <v>2023</v>
      </c>
      <c r="E23" s="4">
        <v>3490</v>
      </c>
      <c r="G23" s="4">
        <v>6177</v>
      </c>
      <c r="H23" s="4">
        <v>34830</v>
      </c>
      <c r="J23" s="4">
        <v>22776</v>
      </c>
      <c r="L23" s="4">
        <v>113674</v>
      </c>
      <c r="O23" s="4">
        <v>-1887</v>
      </c>
      <c r="P23" s="4">
        <v>0</v>
      </c>
      <c r="R23" s="4">
        <v>0</v>
      </c>
      <c r="S23" s="4">
        <v>100394</v>
      </c>
      <c r="U23" s="4">
        <v>240124</v>
      </c>
      <c r="V23" s="4">
        <v>223075</v>
      </c>
      <c r="AC23" s="4">
        <v>245</v>
      </c>
      <c r="AD23" s="4">
        <v>4864</v>
      </c>
      <c r="AE23" s="4">
        <v>16629</v>
      </c>
      <c r="AG23" s="4">
        <v>2554</v>
      </c>
    </row>
    <row r="24" spans="1:33">
      <c r="A24" t="s">
        <v>108</v>
      </c>
      <c r="B24">
        <v>7606117641</v>
      </c>
      <c r="C24">
        <v>2024</v>
      </c>
      <c r="E24" s="4">
        <v>4449</v>
      </c>
      <c r="G24" s="4">
        <v>4998</v>
      </c>
      <c r="H24" s="4">
        <v>15365</v>
      </c>
      <c r="J24" s="4">
        <v>20834</v>
      </c>
      <c r="L24" s="4">
        <v>79641</v>
      </c>
      <c r="O24" s="4">
        <v>14127</v>
      </c>
      <c r="P24" s="4">
        <v>0</v>
      </c>
      <c r="R24" s="4">
        <v>0</v>
      </c>
      <c r="S24" s="4">
        <v>53597</v>
      </c>
      <c r="U24" s="4">
        <v>241307</v>
      </c>
      <c r="V24" s="4">
        <v>219051</v>
      </c>
      <c r="AC24" s="4">
        <v>0</v>
      </c>
      <c r="AD24" s="4">
        <v>8159</v>
      </c>
      <c r="AE24" s="4">
        <v>18068</v>
      </c>
      <c r="AG24" s="4">
        <v>9861</v>
      </c>
    </row>
    <row r="25" spans="1:33">
      <c r="A25" t="s">
        <v>108</v>
      </c>
      <c r="B25">
        <v>7606117641</v>
      </c>
      <c r="C25">
        <v>2025</v>
      </c>
      <c r="E25" s="4">
        <v>6813</v>
      </c>
      <c r="G25" s="4">
        <v>8659</v>
      </c>
      <c r="I25" s="4">
        <v>38363</v>
      </c>
      <c r="J25" s="4">
        <v>5518</v>
      </c>
      <c r="L25" s="4">
        <v>101982</v>
      </c>
      <c r="O25" s="4">
        <v>17935</v>
      </c>
      <c r="S25" s="4">
        <v>75380</v>
      </c>
      <c r="U25" s="4">
        <v>266403</v>
      </c>
      <c r="V25" s="4">
        <v>254639</v>
      </c>
      <c r="AD25" s="4">
        <v>8067</v>
      </c>
      <c r="AE25" s="4">
        <v>13215</v>
      </c>
      <c r="AG25" s="4">
        <v>3956</v>
      </c>
    </row>
    <row r="26" spans="1:33">
      <c r="A26" t="s">
        <v>109</v>
      </c>
      <c r="B26">
        <v>9717014483</v>
      </c>
      <c r="C26">
        <v>2021</v>
      </c>
      <c r="E26" s="4">
        <v>1797</v>
      </c>
      <c r="G26" s="4">
        <v>7012</v>
      </c>
      <c r="H26" s="4">
        <v>16723</v>
      </c>
      <c r="J26" s="4">
        <v>68715</v>
      </c>
      <c r="L26" s="4">
        <v>95630</v>
      </c>
      <c r="O26" s="4">
        <v>18177</v>
      </c>
      <c r="P26" s="4">
        <v>959</v>
      </c>
      <c r="S26" s="4">
        <v>76494</v>
      </c>
      <c r="U26" s="4">
        <v>240322</v>
      </c>
      <c r="V26" s="4">
        <v>195458</v>
      </c>
      <c r="AD26" s="4">
        <v>2602</v>
      </c>
      <c r="AE26" s="4">
        <v>5459</v>
      </c>
      <c r="AG26" s="4">
        <v>26548</v>
      </c>
    </row>
    <row r="27" spans="1:33">
      <c r="A27" t="s">
        <v>109</v>
      </c>
      <c r="B27">
        <v>9717014483</v>
      </c>
      <c r="C27">
        <v>2022</v>
      </c>
      <c r="E27" s="4">
        <v>1711</v>
      </c>
      <c r="G27" s="4">
        <v>3638</v>
      </c>
      <c r="H27" s="4">
        <v>16767</v>
      </c>
      <c r="J27" s="4">
        <v>71105</v>
      </c>
      <c r="L27" s="4">
        <v>94604</v>
      </c>
      <c r="O27" s="4">
        <v>35656</v>
      </c>
      <c r="P27" s="4">
        <v>959</v>
      </c>
      <c r="S27" s="4">
        <v>58025</v>
      </c>
      <c r="U27" s="4">
        <v>276106</v>
      </c>
      <c r="V27" s="4">
        <v>223564</v>
      </c>
      <c r="AD27" s="4">
        <v>6455</v>
      </c>
      <c r="AE27" s="4">
        <v>7317</v>
      </c>
      <c r="AG27" s="4">
        <v>35472</v>
      </c>
    </row>
    <row r="28" spans="1:33">
      <c r="A28" t="s">
        <v>109</v>
      </c>
      <c r="B28">
        <v>9717014483</v>
      </c>
      <c r="C28">
        <v>2023</v>
      </c>
      <c r="D28" s="4">
        <v>576</v>
      </c>
      <c r="E28" s="4">
        <v>1911</v>
      </c>
      <c r="F28" s="4">
        <v>2487</v>
      </c>
      <c r="G28" s="4">
        <v>161</v>
      </c>
      <c r="H28" s="4">
        <v>2025</v>
      </c>
      <c r="I28" s="4">
        <v>0</v>
      </c>
      <c r="J28" s="4">
        <v>122573</v>
      </c>
      <c r="K28" s="4">
        <v>124934</v>
      </c>
      <c r="L28" s="4">
        <v>127421</v>
      </c>
      <c r="M28" s="4">
        <v>15</v>
      </c>
      <c r="N28" s="4">
        <v>55178</v>
      </c>
      <c r="O28" s="4">
        <v>55194</v>
      </c>
      <c r="Q28" s="4">
        <v>1442</v>
      </c>
      <c r="R28" s="4">
        <v>0</v>
      </c>
      <c r="S28" s="4">
        <v>70785</v>
      </c>
      <c r="T28" s="4">
        <v>70785</v>
      </c>
      <c r="U28" s="4">
        <v>321461</v>
      </c>
      <c r="V28" s="4">
        <v>225833</v>
      </c>
      <c r="W28" s="4">
        <v>95628</v>
      </c>
      <c r="Y28" s="4">
        <v>16953</v>
      </c>
      <c r="Z28" s="4">
        <v>78675</v>
      </c>
      <c r="AB28" s="4">
        <v>8841</v>
      </c>
      <c r="AD28" s="4">
        <v>346</v>
      </c>
      <c r="AE28" s="4">
        <v>14013</v>
      </c>
      <c r="AF28" s="4">
        <v>73849</v>
      </c>
      <c r="AG28" s="4">
        <v>53385</v>
      </c>
    </row>
    <row r="29" spans="1:33">
      <c r="A29" t="s">
        <v>109</v>
      </c>
      <c r="B29">
        <v>9717014483</v>
      </c>
      <c r="C29">
        <v>2024</v>
      </c>
      <c r="D29" s="4">
        <v>513</v>
      </c>
      <c r="E29" s="4">
        <v>2727</v>
      </c>
      <c r="F29" s="4">
        <v>3240</v>
      </c>
      <c r="G29" s="4">
        <v>2484</v>
      </c>
      <c r="H29" s="4">
        <v>9603</v>
      </c>
      <c r="J29" s="4">
        <v>120727</v>
      </c>
      <c r="K29" s="4">
        <v>133031</v>
      </c>
      <c r="L29" s="4">
        <v>136271</v>
      </c>
      <c r="M29" s="4">
        <v>15</v>
      </c>
      <c r="N29" s="4">
        <v>70010</v>
      </c>
      <c r="O29" s="4">
        <v>70025</v>
      </c>
      <c r="Q29" s="4">
        <v>1244</v>
      </c>
      <c r="R29" s="4">
        <v>0</v>
      </c>
      <c r="S29" s="4">
        <v>64074</v>
      </c>
      <c r="T29" s="4">
        <v>65002</v>
      </c>
      <c r="U29" s="4">
        <v>381088</v>
      </c>
      <c r="V29" s="4">
        <v>295456</v>
      </c>
      <c r="W29" s="4">
        <v>85632</v>
      </c>
      <c r="Y29" s="4">
        <v>12144</v>
      </c>
      <c r="Z29" s="4">
        <v>73488</v>
      </c>
      <c r="AB29" s="4">
        <v>22632</v>
      </c>
      <c r="AD29" s="4">
        <v>3214</v>
      </c>
      <c r="AE29" s="4">
        <v>5492</v>
      </c>
      <c r="AF29" s="4">
        <v>93842</v>
      </c>
      <c r="AG29" s="4">
        <v>69831</v>
      </c>
    </row>
    <row r="30" spans="1:33">
      <c r="A30" t="s">
        <v>109</v>
      </c>
      <c r="B30">
        <v>9717014483</v>
      </c>
      <c r="C30">
        <v>2025</v>
      </c>
      <c r="E30" s="4">
        <v>1768</v>
      </c>
      <c r="G30" s="4">
        <v>8105</v>
      </c>
      <c r="I30" s="4">
        <v>7926</v>
      </c>
      <c r="J30" s="4">
        <v>131296</v>
      </c>
      <c r="L30" s="4">
        <v>149544</v>
      </c>
      <c r="O30" s="4">
        <v>41491</v>
      </c>
      <c r="S30" s="4">
        <v>108053</v>
      </c>
      <c r="U30" s="4">
        <v>364529</v>
      </c>
      <c r="V30" s="4">
        <v>344487</v>
      </c>
      <c r="AD30" s="4">
        <v>23575</v>
      </c>
      <c r="AE30" s="4">
        <v>9005</v>
      </c>
      <c r="AG30" s="4">
        <v>20467</v>
      </c>
    </row>
    <row r="31" spans="1:33">
      <c r="A31" t="s">
        <v>110</v>
      </c>
      <c r="B31">
        <v>1660308354</v>
      </c>
      <c r="C31">
        <v>2021</v>
      </c>
      <c r="J31" s="4">
        <v>127</v>
      </c>
      <c r="L31" s="4">
        <v>127</v>
      </c>
      <c r="S31" s="4">
        <v>127</v>
      </c>
      <c r="U31" s="4">
        <v>40436</v>
      </c>
      <c r="V31" s="4">
        <v>36172</v>
      </c>
      <c r="AG31" s="4">
        <v>3838</v>
      </c>
    </row>
    <row r="32" spans="1:33">
      <c r="A32" t="s">
        <v>110</v>
      </c>
      <c r="B32">
        <v>1660308354</v>
      </c>
      <c r="C32">
        <v>2022</v>
      </c>
      <c r="J32" s="4">
        <v>198</v>
      </c>
      <c r="L32" s="4">
        <v>198</v>
      </c>
      <c r="S32" s="4">
        <v>198</v>
      </c>
      <c r="U32" s="4">
        <v>52757</v>
      </c>
      <c r="V32" s="4">
        <v>47459</v>
      </c>
      <c r="AG32" s="4">
        <v>4768</v>
      </c>
    </row>
    <row r="33" spans="1:33">
      <c r="A33" t="s">
        <v>110</v>
      </c>
      <c r="B33">
        <v>1660308354</v>
      </c>
      <c r="C33">
        <v>2023</v>
      </c>
      <c r="J33" s="4">
        <v>1964</v>
      </c>
      <c r="L33" s="4">
        <v>1964</v>
      </c>
      <c r="S33" s="4">
        <v>1964</v>
      </c>
      <c r="U33" s="4">
        <v>84481</v>
      </c>
      <c r="V33" s="4">
        <v>75790</v>
      </c>
      <c r="AD33" s="4">
        <v>26</v>
      </c>
      <c r="AE33" s="4">
        <v>265</v>
      </c>
      <c r="AG33" s="4">
        <v>7607</v>
      </c>
    </row>
    <row r="34" spans="1:33">
      <c r="A34" t="s">
        <v>110</v>
      </c>
      <c r="B34">
        <v>1660308354</v>
      </c>
      <c r="C34">
        <v>2024</v>
      </c>
      <c r="H34" s="4">
        <v>33000</v>
      </c>
      <c r="J34" s="4">
        <v>2589</v>
      </c>
      <c r="L34" s="4">
        <v>35589</v>
      </c>
      <c r="O34" s="4">
        <v>10</v>
      </c>
      <c r="S34" s="4">
        <v>32227</v>
      </c>
      <c r="U34" s="4">
        <v>167019</v>
      </c>
      <c r="V34" s="4">
        <v>108843</v>
      </c>
      <c r="AD34" s="4">
        <v>1803</v>
      </c>
      <c r="AE34" s="4">
        <v>273</v>
      </c>
      <c r="AG34" s="4">
        <v>53735</v>
      </c>
    </row>
    <row r="35" spans="1:33">
      <c r="A35" t="s">
        <v>110</v>
      </c>
      <c r="B35">
        <v>1660308354</v>
      </c>
      <c r="C35">
        <v>2025</v>
      </c>
      <c r="E35" s="4">
        <v>6189</v>
      </c>
      <c r="I35" s="4">
        <v>54693</v>
      </c>
      <c r="J35" s="4">
        <v>5810</v>
      </c>
      <c r="L35" s="4">
        <v>68301</v>
      </c>
      <c r="O35" s="4">
        <v>55734</v>
      </c>
      <c r="S35" s="4">
        <v>12567</v>
      </c>
      <c r="U35" s="4">
        <v>229304</v>
      </c>
      <c r="V35" s="4">
        <v>202949</v>
      </c>
      <c r="AD35" s="4">
        <v>3190</v>
      </c>
      <c r="AE35" s="4">
        <v>8737</v>
      </c>
      <c r="AG35" s="4">
        <v>17371</v>
      </c>
    </row>
    <row r="36" spans="1:33">
      <c r="A36" t="s">
        <v>111</v>
      </c>
      <c r="B36">
        <v>9724029321</v>
      </c>
      <c r="C36">
        <v>2021</v>
      </c>
      <c r="H36" s="4">
        <v>4282</v>
      </c>
      <c r="J36" s="4">
        <v>159</v>
      </c>
      <c r="L36" s="4">
        <v>4440</v>
      </c>
      <c r="O36" s="4">
        <v>-6704</v>
      </c>
      <c r="R36" s="4">
        <v>4</v>
      </c>
      <c r="S36" s="4">
        <v>11140</v>
      </c>
      <c r="U36" s="4">
        <v>51542</v>
      </c>
      <c r="V36" s="4">
        <v>56337</v>
      </c>
      <c r="AE36" s="4">
        <v>1243</v>
      </c>
      <c r="AG36" s="4">
        <v>-6704</v>
      </c>
    </row>
    <row r="37" spans="1:33">
      <c r="A37" t="s">
        <v>111</v>
      </c>
      <c r="B37">
        <v>9724029321</v>
      </c>
      <c r="C37">
        <v>2022</v>
      </c>
      <c r="G37" s="4">
        <v>2534</v>
      </c>
      <c r="H37" s="4">
        <v>12840</v>
      </c>
      <c r="J37" s="4">
        <v>41</v>
      </c>
      <c r="L37" s="4">
        <v>15415</v>
      </c>
      <c r="O37" s="4">
        <v>-9156</v>
      </c>
      <c r="P37" s="4">
        <v>5833</v>
      </c>
      <c r="R37" s="4">
        <v>9</v>
      </c>
      <c r="S37" s="4">
        <v>18728</v>
      </c>
      <c r="U37" s="4">
        <v>85441</v>
      </c>
      <c r="V37" s="4">
        <v>82925</v>
      </c>
      <c r="AD37" s="4">
        <v>792</v>
      </c>
      <c r="AE37" s="4">
        <v>5387</v>
      </c>
      <c r="AG37" s="4">
        <v>-2933</v>
      </c>
    </row>
    <row r="38" spans="1:33">
      <c r="A38" t="s">
        <v>111</v>
      </c>
      <c r="B38">
        <v>9724029321</v>
      </c>
      <c r="C38">
        <v>2023</v>
      </c>
      <c r="E38" s="4">
        <v>253</v>
      </c>
      <c r="G38" s="4">
        <v>0</v>
      </c>
      <c r="H38" s="4">
        <v>26363</v>
      </c>
      <c r="J38" s="4">
        <v>93</v>
      </c>
      <c r="L38" s="4">
        <v>26708</v>
      </c>
      <c r="O38" s="4">
        <v>-20740</v>
      </c>
      <c r="P38" s="4">
        <v>7133</v>
      </c>
      <c r="R38" s="4">
        <v>9</v>
      </c>
      <c r="S38" s="4">
        <v>40306</v>
      </c>
      <c r="U38" s="4">
        <v>165536</v>
      </c>
      <c r="V38" s="4">
        <v>166133</v>
      </c>
      <c r="AD38" s="4">
        <v>0</v>
      </c>
      <c r="AE38" s="4">
        <v>8674</v>
      </c>
      <c r="AG38" s="4">
        <v>-11677</v>
      </c>
    </row>
    <row r="39" spans="1:33">
      <c r="A39" t="s">
        <v>111</v>
      </c>
      <c r="B39">
        <v>9724029321</v>
      </c>
      <c r="C39">
        <v>2024</v>
      </c>
      <c r="E39" s="4">
        <v>162</v>
      </c>
      <c r="G39" s="4">
        <v>0</v>
      </c>
      <c r="H39" s="4">
        <v>46818</v>
      </c>
      <c r="J39" s="4">
        <v>594</v>
      </c>
      <c r="L39" s="4">
        <v>47573</v>
      </c>
      <c r="O39" s="4">
        <v>-19456</v>
      </c>
      <c r="P39" s="4">
        <v>14701</v>
      </c>
      <c r="R39" s="4">
        <v>31218</v>
      </c>
      <c r="S39" s="4">
        <v>21110</v>
      </c>
      <c r="U39" s="4">
        <v>218094</v>
      </c>
      <c r="V39" s="4">
        <v>183973</v>
      </c>
      <c r="AD39" s="4">
        <v>15</v>
      </c>
      <c r="AE39" s="4">
        <v>31788</v>
      </c>
      <c r="AG39" s="4">
        <v>85</v>
      </c>
    </row>
    <row r="40" spans="1:33">
      <c r="A40" t="s">
        <v>111</v>
      </c>
      <c r="B40">
        <v>9724029321</v>
      </c>
      <c r="C40">
        <v>2025</v>
      </c>
      <c r="E40" s="4">
        <v>71</v>
      </c>
      <c r="I40" s="4">
        <v>4595</v>
      </c>
      <c r="J40" s="4">
        <v>48452</v>
      </c>
      <c r="L40" s="4">
        <v>70226</v>
      </c>
      <c r="O40" s="4">
        <v>-20959</v>
      </c>
      <c r="P40" s="4">
        <v>48884</v>
      </c>
      <c r="R40" s="4">
        <v>32</v>
      </c>
      <c r="S40" s="4">
        <v>42269</v>
      </c>
      <c r="U40" s="4">
        <v>392726</v>
      </c>
      <c r="V40" s="4">
        <v>330942</v>
      </c>
      <c r="AC40" s="4">
        <v>2735</v>
      </c>
      <c r="AD40" s="4">
        <v>43</v>
      </c>
      <c r="AE40" s="4">
        <v>54996</v>
      </c>
      <c r="AG40" s="4">
        <v>1</v>
      </c>
    </row>
    <row r="41" spans="1:33">
      <c r="A41" t="s">
        <v>112</v>
      </c>
      <c r="B41">
        <v>7704408575</v>
      </c>
      <c r="C41">
        <v>2021</v>
      </c>
      <c r="E41" s="4">
        <v>1652</v>
      </c>
      <c r="G41" s="4">
        <v>16118</v>
      </c>
      <c r="H41" s="4">
        <v>194232</v>
      </c>
      <c r="J41" s="4">
        <v>13097</v>
      </c>
      <c r="L41" s="4">
        <v>225098</v>
      </c>
      <c r="O41" s="4">
        <v>70824</v>
      </c>
      <c r="S41" s="4">
        <v>154274</v>
      </c>
      <c r="U41" s="4">
        <v>122541</v>
      </c>
      <c r="V41" s="4">
        <v>84212</v>
      </c>
      <c r="AD41" s="4">
        <v>1084</v>
      </c>
      <c r="AE41" s="4">
        <v>5350</v>
      </c>
      <c r="AG41" s="4">
        <v>30207</v>
      </c>
    </row>
    <row r="42" spans="1:33">
      <c r="A42" t="s">
        <v>112</v>
      </c>
      <c r="B42">
        <v>7704408575</v>
      </c>
      <c r="C42">
        <v>2022</v>
      </c>
      <c r="E42" s="4">
        <v>482</v>
      </c>
      <c r="G42" s="4">
        <v>15079</v>
      </c>
      <c r="H42" s="4">
        <v>183365</v>
      </c>
      <c r="J42" s="4">
        <v>40033</v>
      </c>
      <c r="L42" s="4">
        <v>238960</v>
      </c>
      <c r="O42" s="4">
        <v>85774</v>
      </c>
      <c r="S42" s="4">
        <v>153186</v>
      </c>
      <c r="U42" s="4">
        <v>175036</v>
      </c>
      <c r="V42" s="4">
        <v>121023</v>
      </c>
      <c r="AD42" s="4">
        <v>8501</v>
      </c>
      <c r="AE42" s="4">
        <v>14397</v>
      </c>
      <c r="AG42" s="4">
        <v>40021</v>
      </c>
    </row>
    <row r="43" spans="1:33">
      <c r="A43" t="s">
        <v>112</v>
      </c>
      <c r="B43">
        <v>7704408575</v>
      </c>
      <c r="C43">
        <v>2023</v>
      </c>
      <c r="E43" s="4">
        <v>543</v>
      </c>
      <c r="G43" s="4">
        <v>35351</v>
      </c>
      <c r="H43" s="4">
        <v>112224</v>
      </c>
      <c r="J43" s="4">
        <v>105788</v>
      </c>
      <c r="L43" s="4">
        <v>253906</v>
      </c>
      <c r="O43" s="4">
        <v>103938</v>
      </c>
      <c r="S43" s="4">
        <v>149968</v>
      </c>
      <c r="U43" s="4">
        <v>272143</v>
      </c>
      <c r="V43" s="4">
        <v>204264</v>
      </c>
      <c r="AD43" s="4">
        <v>5335</v>
      </c>
      <c r="AE43" s="4">
        <v>12192</v>
      </c>
      <c r="AG43" s="4">
        <v>45725</v>
      </c>
    </row>
    <row r="44" spans="1:33">
      <c r="A44" t="s">
        <v>112</v>
      </c>
      <c r="B44">
        <v>7704408575</v>
      </c>
      <c r="C44">
        <v>2024</v>
      </c>
      <c r="E44" s="4">
        <v>15051</v>
      </c>
      <c r="G44" s="4">
        <v>28945</v>
      </c>
      <c r="H44" s="4">
        <v>197569</v>
      </c>
      <c r="J44" s="4">
        <v>38207</v>
      </c>
      <c r="L44" s="4">
        <v>279771</v>
      </c>
      <c r="O44" s="4">
        <v>125672</v>
      </c>
      <c r="S44" s="4">
        <v>154099</v>
      </c>
      <c r="U44" s="4">
        <v>235895</v>
      </c>
      <c r="V44" s="4">
        <v>197222</v>
      </c>
      <c r="AD44" s="4">
        <v>5935</v>
      </c>
      <c r="AE44" s="4">
        <v>9913</v>
      </c>
      <c r="AG44" s="4">
        <v>20114</v>
      </c>
    </row>
    <row r="45" spans="1:33">
      <c r="A45" t="s">
        <v>112</v>
      </c>
      <c r="B45">
        <v>7704408575</v>
      </c>
      <c r="C45">
        <v>2025</v>
      </c>
      <c r="E45" s="4">
        <v>17072</v>
      </c>
      <c r="G45" s="4">
        <v>62433</v>
      </c>
      <c r="I45" s="4">
        <v>334169</v>
      </c>
      <c r="J45" s="4">
        <v>23510</v>
      </c>
      <c r="L45" s="4">
        <v>440183</v>
      </c>
      <c r="O45" s="4">
        <v>192237</v>
      </c>
      <c r="P45" s="4">
        <v>63600</v>
      </c>
      <c r="S45" s="4">
        <v>184346</v>
      </c>
      <c r="U45" s="4">
        <v>553024</v>
      </c>
      <c r="V45" s="4">
        <v>433614</v>
      </c>
      <c r="AD45" s="4">
        <v>4536</v>
      </c>
      <c r="AE45" s="4">
        <v>25580</v>
      </c>
      <c r="AG45" s="4">
        <v>82203</v>
      </c>
    </row>
    <row r="46" spans="1:33">
      <c r="A46" t="s">
        <v>113</v>
      </c>
      <c r="B46">
        <v>7603074566</v>
      </c>
      <c r="C46">
        <v>2021</v>
      </c>
      <c r="D46" s="4">
        <v>0</v>
      </c>
      <c r="F46" s="4">
        <v>0</v>
      </c>
      <c r="G46" s="4">
        <v>0</v>
      </c>
      <c r="H46" s="4">
        <v>0</v>
      </c>
      <c r="J46" s="4">
        <v>10</v>
      </c>
      <c r="K46" s="4">
        <v>10</v>
      </c>
      <c r="L46" s="4">
        <v>10</v>
      </c>
      <c r="M46" s="4">
        <v>10</v>
      </c>
      <c r="O46" s="4">
        <v>10</v>
      </c>
      <c r="U46" s="4">
        <v>43</v>
      </c>
      <c r="W46" s="4">
        <v>43</v>
      </c>
      <c r="X46" s="4">
        <v>38</v>
      </c>
      <c r="Z46" s="4">
        <v>5</v>
      </c>
      <c r="AF46" s="4">
        <v>5</v>
      </c>
      <c r="AG46" s="4">
        <v>0</v>
      </c>
    </row>
    <row r="47" spans="1:33">
      <c r="A47" t="s">
        <v>113</v>
      </c>
      <c r="B47">
        <v>7603074566</v>
      </c>
      <c r="C47">
        <v>2022</v>
      </c>
      <c r="D47" s="4">
        <v>0</v>
      </c>
      <c r="F47" s="4">
        <v>0</v>
      </c>
      <c r="G47" s="4">
        <v>0</v>
      </c>
      <c r="H47" s="4">
        <v>0</v>
      </c>
      <c r="J47" s="4">
        <v>10</v>
      </c>
      <c r="K47" s="4">
        <v>10</v>
      </c>
      <c r="L47" s="4">
        <v>10</v>
      </c>
      <c r="M47" s="4">
        <v>10</v>
      </c>
      <c r="O47" s="4">
        <v>10</v>
      </c>
      <c r="U47" s="4">
        <v>0</v>
      </c>
      <c r="W47" s="4">
        <v>0</v>
      </c>
      <c r="X47" s="4">
        <v>0</v>
      </c>
      <c r="Z47" s="4">
        <v>0</v>
      </c>
      <c r="AF47" s="4">
        <v>0</v>
      </c>
    </row>
    <row r="48" spans="1:33">
      <c r="A48" t="s">
        <v>113</v>
      </c>
      <c r="B48">
        <v>7603074566</v>
      </c>
      <c r="C48">
        <v>2023</v>
      </c>
      <c r="G48" s="4">
        <v>0</v>
      </c>
      <c r="H48" s="4">
        <v>0</v>
      </c>
      <c r="J48" s="4">
        <v>10</v>
      </c>
      <c r="L48" s="4">
        <v>10</v>
      </c>
      <c r="O48" s="4">
        <v>10</v>
      </c>
    </row>
    <row r="49" spans="1:15">
      <c r="A49" t="s">
        <v>113</v>
      </c>
      <c r="B49">
        <v>7603074566</v>
      </c>
      <c r="C49">
        <v>2024</v>
      </c>
      <c r="J49" s="4">
        <v>10</v>
      </c>
      <c r="L49" s="4">
        <v>10</v>
      </c>
      <c r="O49" s="4">
        <v>10</v>
      </c>
    </row>
    <row r="50" spans="1:15">
      <c r="A50" t="s">
        <v>113</v>
      </c>
      <c r="B50">
        <v>7603074566</v>
      </c>
      <c r="C50">
        <v>2025</v>
      </c>
      <c r="J50" s="4">
        <v>10</v>
      </c>
      <c r="L50" s="4">
        <v>10</v>
      </c>
      <c r="O50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cols>
    <col min="1" max="1" width="40.7109375" customWidth="1"/>
    <col min="2" max="2" width="10.7109375" customWidth="1"/>
    <col min="3" max="3" width="8.7109375" customWidth="1"/>
    <col min="4" max="15" width="16.7109375" style="5" customWidth="1"/>
  </cols>
  <sheetData>
    <row r="1" spans="1:15">
      <c r="A1" t="s">
        <v>71</v>
      </c>
      <c r="B1" t="s">
        <v>72</v>
      </c>
      <c r="C1" t="s">
        <v>114</v>
      </c>
      <c r="D1" s="5" t="s">
        <v>115</v>
      </c>
      <c r="E1" s="5" t="s">
        <v>116</v>
      </c>
      <c r="F1" s="5" t="s">
        <v>117</v>
      </c>
      <c r="G1" s="5" t="s">
        <v>118</v>
      </c>
      <c r="H1" s="5" t="s">
        <v>119</v>
      </c>
      <c r="I1" s="5" t="s">
        <v>120</v>
      </c>
      <c r="J1" s="5" t="s">
        <v>121</v>
      </c>
      <c r="K1" s="5" t="s">
        <v>122</v>
      </c>
      <c r="L1" s="5" t="s">
        <v>123</v>
      </c>
      <c r="M1" s="5" t="s">
        <v>124</v>
      </c>
      <c r="N1" s="5" t="s">
        <v>125</v>
      </c>
      <c r="O1" s="5" t="s">
        <v>126</v>
      </c>
    </row>
    <row r="2" spans="1:15">
      <c r="A2" t="s">
        <v>103</v>
      </c>
      <c r="B2">
        <v>2021</v>
      </c>
      <c r="C2" t="s">
        <v>127</v>
      </c>
      <c r="D2" s="5">
        <v>44.10452634053334</v>
      </c>
      <c r="E2" s="5">
        <v>-5.004831927286024</v>
      </c>
      <c r="F2" s="5">
        <v>55.89547365946665</v>
      </c>
      <c r="G2" s="5">
        <v>72.14306734023248</v>
      </c>
      <c r="H2" s="5">
        <v>10.72974397959684</v>
      </c>
      <c r="I2" s="5">
        <v>12.62537397616362</v>
      </c>
      <c r="J2" s="5">
        <v>13.52966060130462</v>
      </c>
      <c r="L2" s="5">
        <v>1.173641424297415</v>
      </c>
    </row>
    <row r="3" spans="1:15">
      <c r="A3" t="s">
        <v>103</v>
      </c>
      <c r="B3">
        <v>2022</v>
      </c>
      <c r="C3" t="s">
        <v>127</v>
      </c>
      <c r="D3" s="5">
        <v>-15.28062103492308</v>
      </c>
      <c r="E3" s="5">
        <v>-31.55272243279216</v>
      </c>
      <c r="F3" s="5">
        <v>115.2806210349231</v>
      </c>
      <c r="G3" s="5">
        <v>37.34383103106879</v>
      </c>
      <c r="H3" s="5">
        <v>10.44813467612959</v>
      </c>
      <c r="I3" s="5">
        <v>19.30456983495501</v>
      </c>
      <c r="J3" s="5">
        <v>35.20161889875718</v>
      </c>
      <c r="L3" s="5">
        <v>2.147086236096655</v>
      </c>
      <c r="M3" s="5">
        <v>54.63316530415023</v>
      </c>
      <c r="N3" s="5">
        <v>-15.47433665211634</v>
      </c>
      <c r="O3" s="5">
        <v>119.9197951831796</v>
      </c>
    </row>
    <row r="4" spans="1:15">
      <c r="A4" t="s">
        <v>103</v>
      </c>
      <c r="B4">
        <v>2023</v>
      </c>
      <c r="C4" t="s">
        <v>127</v>
      </c>
      <c r="D4" s="5">
        <v>5.208235313653749</v>
      </c>
      <c r="E4" s="5">
        <v>-8.003664321574663</v>
      </c>
      <c r="F4" s="5">
        <v>94.79176468634624</v>
      </c>
      <c r="G4" s="5">
        <v>40.21180124325235</v>
      </c>
      <c r="H4" s="5">
        <v>12.40225218812741</v>
      </c>
      <c r="I4" s="5">
        <v>27.03460260268123</v>
      </c>
      <c r="J4" s="5">
        <v>28.20258566381789</v>
      </c>
      <c r="L4" s="5">
        <v>1.182454400717349</v>
      </c>
      <c r="M4" s="5">
        <v>22.05917127781043</v>
      </c>
      <c r="N4" s="5">
        <v>121.6335500810537</v>
      </c>
      <c r="O4" s="5">
        <v>77.56681021160861</v>
      </c>
    </row>
    <row r="5" spans="1:15">
      <c r="A5" t="s">
        <v>103</v>
      </c>
      <c r="B5">
        <v>2024</v>
      </c>
      <c r="C5" t="s">
        <v>127</v>
      </c>
      <c r="D5" s="5">
        <v>-1.653051417587698</v>
      </c>
      <c r="E5" s="5">
        <v>-5.94275911601639</v>
      </c>
      <c r="F5" s="5">
        <v>101.6530514175877</v>
      </c>
      <c r="G5" s="5">
        <v>37.44515330396319</v>
      </c>
      <c r="H5" s="5">
        <v>5.421797104130021</v>
      </c>
      <c r="I5" s="5">
        <v>25.63526124546242</v>
      </c>
      <c r="J5" s="5">
        <v>28.00538551424724</v>
      </c>
      <c r="L5" s="5">
        <v>1.721061309135276</v>
      </c>
      <c r="M5" s="5">
        <v>33.90618340427651</v>
      </c>
      <c r="N5" s="5">
        <v>-7.999816735636244</v>
      </c>
      <c r="O5" s="5">
        <v>-8.643107039458798</v>
      </c>
    </row>
    <row r="6" spans="1:15">
      <c r="A6" t="s">
        <v>103</v>
      </c>
      <c r="B6">
        <v>2025</v>
      </c>
      <c r="C6" t="s">
        <v>127</v>
      </c>
      <c r="D6" s="5">
        <v>10.64934373190516</v>
      </c>
      <c r="E6" s="5">
        <v>4.580045120042336</v>
      </c>
      <c r="F6" s="5">
        <v>89.35065626809484</v>
      </c>
      <c r="G6" s="5">
        <v>44.93028383956543</v>
      </c>
      <c r="H6" s="5">
        <v>4.766850873300794</v>
      </c>
      <c r="I6" s="5">
        <v>38.65112339155339</v>
      </c>
      <c r="J6" s="5">
        <v>92.62770091296572</v>
      </c>
      <c r="L6" s="5">
        <v>3.912730426364406</v>
      </c>
      <c r="M6" s="5">
        <v>20.29018306955404</v>
      </c>
      <c r="N6" s="5">
        <v>-47.08892323507911</v>
      </c>
      <c r="O6" s="5">
        <v>75.00317540962784</v>
      </c>
    </row>
    <row r="7" spans="1:15">
      <c r="A7" t="s">
        <v>104</v>
      </c>
      <c r="B7">
        <v>2021</v>
      </c>
      <c r="C7" t="s">
        <v>127</v>
      </c>
      <c r="D7" s="5">
        <v>-2.533172496984319</v>
      </c>
      <c r="E7" s="5">
        <v>-10.73582629674307</v>
      </c>
      <c r="F7" s="5">
        <v>102.5331724969843</v>
      </c>
      <c r="H7" s="5">
        <v>72.35294117647058</v>
      </c>
      <c r="L7" s="5">
        <v>4.876470588235295</v>
      </c>
    </row>
    <row r="8" spans="1:15">
      <c r="A8" t="s">
        <v>104</v>
      </c>
      <c r="B8">
        <v>2022</v>
      </c>
      <c r="C8" t="s">
        <v>127</v>
      </c>
      <c r="D8" s="5">
        <v>14.71861471861472</v>
      </c>
      <c r="E8" s="5">
        <v>15.19480519480519</v>
      </c>
      <c r="F8" s="5">
        <v>85.28138528138528</v>
      </c>
      <c r="H8" s="5">
        <v>94.06364749082007</v>
      </c>
      <c r="L8" s="5">
        <v>1.413708690330477</v>
      </c>
      <c r="M8" s="5">
        <v>178.648974668275</v>
      </c>
      <c r="N8" s="5">
        <v>861.1764705882352</v>
      </c>
    </row>
    <row r="9" spans="1:15">
      <c r="A9" t="s">
        <v>104</v>
      </c>
      <c r="B9">
        <v>2023</v>
      </c>
      <c r="C9" t="s">
        <v>127</v>
      </c>
      <c r="D9" s="5">
        <v>6.235011990407674</v>
      </c>
      <c r="E9" s="5">
        <v>1.264442991061696</v>
      </c>
      <c r="F9" s="5">
        <v>93.76498800959233</v>
      </c>
      <c r="H9" s="5">
        <v>44.04388714733543</v>
      </c>
      <c r="L9" s="5">
        <v>14.37931034482759</v>
      </c>
      <c r="M9" s="5">
        <v>297.1428571428572</v>
      </c>
      <c r="N9" s="5">
        <v>-60.9547123623011</v>
      </c>
    </row>
    <row r="10" spans="1:15">
      <c r="A10" t="s">
        <v>104</v>
      </c>
      <c r="B10">
        <v>2024</v>
      </c>
      <c r="C10" t="s">
        <v>127</v>
      </c>
      <c r="D10" s="5">
        <v>23.3034167847583</v>
      </c>
      <c r="E10" s="5">
        <v>20.74476460399937</v>
      </c>
      <c r="F10" s="5">
        <v>76.6965832152417</v>
      </c>
      <c r="H10" s="5">
        <v>92.4245265329083</v>
      </c>
      <c r="I10" s="5">
        <v>2.475154697168573</v>
      </c>
      <c r="J10" s="5">
        <v>1.931370710669417</v>
      </c>
      <c r="L10" s="5">
        <v>2.381773860866304</v>
      </c>
      <c r="M10" s="5">
        <v>38.45650752125571</v>
      </c>
      <c r="N10" s="5">
        <v>735.8934169278998</v>
      </c>
    </row>
    <row r="11" spans="1:15">
      <c r="A11" t="s">
        <v>104</v>
      </c>
      <c r="B11">
        <v>2025</v>
      </c>
      <c r="C11" t="s">
        <v>127</v>
      </c>
      <c r="D11" s="5">
        <v>4.192955834198546</v>
      </c>
      <c r="E11" s="5">
        <v>7.179937704656178</v>
      </c>
      <c r="F11" s="5">
        <v>95.80704416580146</v>
      </c>
      <c r="G11" s="5">
        <v>0</v>
      </c>
      <c r="H11" s="5">
        <v>11.6327474560592</v>
      </c>
      <c r="I11" s="5">
        <v>1.861702127659574</v>
      </c>
      <c r="J11" s="5">
        <v>1.422294172062905</v>
      </c>
      <c r="L11" s="5">
        <v>1.447849213691027</v>
      </c>
      <c r="M11" s="5">
        <v>-1.424972445284212</v>
      </c>
      <c r="N11" s="5">
        <v>62.16013500843802</v>
      </c>
      <c r="O11" s="5">
        <v>19.41747572815533</v>
      </c>
    </row>
    <row r="12" spans="1:15">
      <c r="A12" t="s">
        <v>105</v>
      </c>
      <c r="B12">
        <v>2023</v>
      </c>
      <c r="C12" t="s">
        <v>127</v>
      </c>
      <c r="H12" s="5">
        <v>92.76729559748428</v>
      </c>
      <c r="I12" s="5">
        <v>7.232704402515723</v>
      </c>
    </row>
    <row r="13" spans="1:15">
      <c r="A13" t="s">
        <v>105</v>
      </c>
      <c r="B13">
        <v>2024</v>
      </c>
      <c r="C13" t="s">
        <v>127</v>
      </c>
      <c r="H13" s="5">
        <v>57.0154577883472</v>
      </c>
      <c r="I13" s="5">
        <v>42.98454221165279</v>
      </c>
      <c r="J13" s="5">
        <v>53.38882282996433</v>
      </c>
      <c r="N13" s="5">
        <v>957.8616352201259</v>
      </c>
    </row>
    <row r="14" spans="1:15">
      <c r="A14" t="s">
        <v>105</v>
      </c>
      <c r="B14">
        <v>2025</v>
      </c>
      <c r="C14" t="s">
        <v>127</v>
      </c>
      <c r="H14" s="5">
        <v>80.31015634930723</v>
      </c>
      <c r="J14" s="5">
        <v>20.59234778187365</v>
      </c>
      <c r="N14" s="5">
        <v>133.858501783591</v>
      </c>
      <c r="O14" s="5">
        <v>-9.799554565701563</v>
      </c>
    </row>
    <row r="15" spans="1:15">
      <c r="A15" t="s">
        <v>106</v>
      </c>
      <c r="B15">
        <v>2024</v>
      </c>
      <c r="C15" t="s">
        <v>127</v>
      </c>
      <c r="H15" s="5">
        <v>100</v>
      </c>
    </row>
    <row r="16" spans="1:15">
      <c r="A16" t="s">
        <v>106</v>
      </c>
      <c r="B16">
        <v>2025</v>
      </c>
      <c r="C16" t="s">
        <v>127</v>
      </c>
      <c r="H16" s="5">
        <v>90.12448132780084</v>
      </c>
      <c r="N16" s="5">
        <v>41.34897360703813</v>
      </c>
    </row>
    <row r="17" spans="1:15">
      <c r="A17" t="s">
        <v>107</v>
      </c>
      <c r="B17">
        <v>2022</v>
      </c>
      <c r="C17" t="s">
        <v>127</v>
      </c>
      <c r="D17" s="5">
        <v>1.44755498400765</v>
      </c>
      <c r="E17" s="5">
        <v>10.11639792923797</v>
      </c>
      <c r="F17" s="5">
        <v>98.55244501599235</v>
      </c>
      <c r="G17" s="5">
        <v>5.059288537549407</v>
      </c>
      <c r="H17" s="5">
        <v>2.193675889328063</v>
      </c>
      <c r="I17" s="5">
        <v>92.74703557312253</v>
      </c>
      <c r="J17" s="5">
        <v>0.8102766798418972</v>
      </c>
      <c r="K17" s="5">
        <v>0.6065217391304348</v>
      </c>
      <c r="L17" s="5">
        <v>5.993478260869566</v>
      </c>
    </row>
    <row r="18" spans="1:15">
      <c r="A18" t="s">
        <v>107</v>
      </c>
      <c r="B18">
        <v>2023</v>
      </c>
      <c r="C18" t="s">
        <v>127</v>
      </c>
      <c r="G18" s="5">
        <v>0.7522123893805309</v>
      </c>
      <c r="H18" s="5">
        <v>3.657817109144543</v>
      </c>
      <c r="I18" s="5">
        <v>94.96312684365782</v>
      </c>
      <c r="J18" s="5">
        <v>37.4188790560472</v>
      </c>
      <c r="N18" s="5">
        <v>167.9841897233202</v>
      </c>
      <c r="O18" s="5">
        <v>12275.60975609756</v>
      </c>
    </row>
    <row r="19" spans="1:15">
      <c r="A19" t="s">
        <v>107</v>
      </c>
      <c r="B19">
        <v>2024</v>
      </c>
      <c r="C19" t="s">
        <v>127</v>
      </c>
      <c r="G19" s="5">
        <v>0</v>
      </c>
      <c r="H19" s="5">
        <v>0.07900142202559646</v>
      </c>
      <c r="I19" s="5">
        <v>99.9209985779744</v>
      </c>
      <c r="J19" s="5">
        <v>36.14051719597619</v>
      </c>
      <c r="N19" s="5">
        <v>40.02212389380531</v>
      </c>
      <c r="O19" s="5">
        <v>35.23847063460781</v>
      </c>
    </row>
    <row r="20" spans="1:15">
      <c r="A20" t="s">
        <v>107</v>
      </c>
      <c r="B20">
        <v>2025</v>
      </c>
      <c r="C20" t="s">
        <v>127</v>
      </c>
      <c r="G20" s="5">
        <v>0</v>
      </c>
      <c r="H20" s="5">
        <v>0.3361303302419157</v>
      </c>
      <c r="J20" s="5">
        <v>61.27631385249521</v>
      </c>
      <c r="N20" s="5">
        <v>114.6626639279507</v>
      </c>
      <c r="O20" s="5">
        <v>263.9609443310988</v>
      </c>
    </row>
    <row r="21" spans="1:15">
      <c r="A21" t="s">
        <v>108</v>
      </c>
      <c r="B21">
        <v>2021</v>
      </c>
      <c r="C21" t="s">
        <v>128</v>
      </c>
      <c r="D21" s="5">
        <v>-3.159041394335512</v>
      </c>
      <c r="E21" s="5">
        <v>-6.298739641235517</v>
      </c>
      <c r="F21" s="5">
        <v>103.1590413943355</v>
      </c>
      <c r="G21" s="5">
        <v>3.953528325387622</v>
      </c>
      <c r="H21" s="5">
        <v>16.18348151011467</v>
      </c>
      <c r="I21" s="5">
        <v>36.9497057939269</v>
      </c>
      <c r="J21" s="5">
        <v>87.11720998153159</v>
      </c>
      <c r="K21" s="5">
        <v>-0.4801571962375982</v>
      </c>
      <c r="L21" s="5">
        <v>2.109393119443371</v>
      </c>
    </row>
    <row r="22" spans="1:15">
      <c r="A22" t="s">
        <v>108</v>
      </c>
      <c r="B22">
        <v>2022</v>
      </c>
      <c r="C22" t="s">
        <v>128</v>
      </c>
      <c r="D22" s="5">
        <v>12.37486966808025</v>
      </c>
      <c r="E22" s="5">
        <v>8.405765930885508</v>
      </c>
      <c r="F22" s="5">
        <v>87.62513033191975</v>
      </c>
      <c r="G22" s="5">
        <v>4.004224463248458</v>
      </c>
      <c r="H22" s="5">
        <v>14.55765490771866</v>
      </c>
      <c r="I22" s="5">
        <v>37.69303092358616</v>
      </c>
      <c r="J22" s="5">
        <v>71.75534175650091</v>
      </c>
      <c r="K22" s="5">
        <v>-0.05735224038226241</v>
      </c>
      <c r="L22" s="5">
        <v>2.754620506678001</v>
      </c>
      <c r="M22" s="5">
        <v>117.7397023191416</v>
      </c>
      <c r="N22" s="5">
        <v>66.73753382296096</v>
      </c>
      <c r="O22" s="5">
        <v>37.33576552370153</v>
      </c>
    </row>
    <row r="23" spans="1:15">
      <c r="A23" t="s">
        <v>108</v>
      </c>
      <c r="B23">
        <v>2023</v>
      </c>
      <c r="C23" t="s">
        <v>128</v>
      </c>
      <c r="D23" s="5">
        <v>7.100081624494011</v>
      </c>
      <c r="E23" s="5">
        <v>1.063617131148906</v>
      </c>
      <c r="F23" s="5">
        <v>92.89991837550599</v>
      </c>
      <c r="G23" s="5">
        <v>3.070183155338952</v>
      </c>
      <c r="H23" s="5">
        <v>20.03624399598853</v>
      </c>
      <c r="I23" s="5">
        <v>30.64025194855463</v>
      </c>
      <c r="J23" s="5">
        <v>88.31746925418301</v>
      </c>
      <c r="K23" s="5">
        <v>-0.0166001020462023</v>
      </c>
      <c r="L23" s="5">
        <v>2.112391575910058</v>
      </c>
      <c r="M23" s="5">
        <v>12.27200680765113</v>
      </c>
      <c r="N23" s="5">
        <v>46.40598637353013</v>
      </c>
      <c r="O23" s="5">
        <v>80.19851740168362</v>
      </c>
    </row>
    <row r="24" spans="1:15">
      <c r="A24" t="s">
        <v>108</v>
      </c>
      <c r="B24">
        <v>2024</v>
      </c>
      <c r="C24" t="s">
        <v>128</v>
      </c>
      <c r="D24" s="5">
        <v>9.223105836134053</v>
      </c>
      <c r="E24" s="5">
        <v>4.086495625903932</v>
      </c>
      <c r="F24" s="5">
        <v>90.77689416386595</v>
      </c>
      <c r="G24" s="5">
        <v>5.586318604738765</v>
      </c>
      <c r="H24" s="5">
        <v>26.15989251767306</v>
      </c>
      <c r="I24" s="5">
        <v>19.29282655918434</v>
      </c>
      <c r="J24" s="5">
        <v>67.29825090091786</v>
      </c>
      <c r="K24" s="5">
        <v>0.1773835084943685</v>
      </c>
      <c r="L24" s="5">
        <v>3.029934330307254</v>
      </c>
      <c r="M24" s="5">
        <v>0.4926621245689766</v>
      </c>
      <c r="N24" s="5">
        <v>-29.93912416207752</v>
      </c>
      <c r="O24" s="5">
        <v>-46.61334342689803</v>
      </c>
    </row>
    <row r="25" spans="1:15">
      <c r="A25" t="s">
        <v>108</v>
      </c>
      <c r="B25">
        <v>2025</v>
      </c>
      <c r="C25" t="s">
        <v>128</v>
      </c>
      <c r="D25" s="5">
        <v>4.415866187693082</v>
      </c>
      <c r="E25" s="5">
        <v>1.484968262369418</v>
      </c>
      <c r="F25" s="5">
        <v>95.58413381230692</v>
      </c>
      <c r="G25" s="5">
        <v>6.680590692475143</v>
      </c>
      <c r="H25" s="5">
        <v>5.410758761350042</v>
      </c>
      <c r="J25" s="5">
        <v>73.91500460865643</v>
      </c>
      <c r="K25" s="5">
        <v>0.1758643682218431</v>
      </c>
      <c r="L25" s="5">
        <v>2.612255103841854</v>
      </c>
      <c r="M25" s="5">
        <v>10.40002983750989</v>
      </c>
      <c r="N25" s="5">
        <v>28.0521339511056</v>
      </c>
      <c r="O25" s="5">
        <v>40.64220012314122</v>
      </c>
    </row>
    <row r="26" spans="1:15">
      <c r="A26" t="s">
        <v>109</v>
      </c>
      <c r="B26">
        <v>2021</v>
      </c>
      <c r="C26" t="s">
        <v>128</v>
      </c>
      <c r="D26" s="5">
        <v>18.66828671532361</v>
      </c>
      <c r="E26" s="5">
        <v>11.04684548231123</v>
      </c>
      <c r="F26" s="5">
        <v>81.33171328467638</v>
      </c>
      <c r="G26" s="5">
        <v>1.879117431768274</v>
      </c>
      <c r="H26" s="5">
        <v>71.85506640175677</v>
      </c>
      <c r="I26" s="5">
        <v>17.48719021227648</v>
      </c>
      <c r="J26" s="5">
        <v>79.98954303042977</v>
      </c>
      <c r="K26" s="5">
        <v>0.1900763358778626</v>
      </c>
      <c r="L26" s="5">
        <v>2.513039841054062</v>
      </c>
    </row>
    <row r="27" spans="1:15">
      <c r="A27" t="s">
        <v>109</v>
      </c>
      <c r="B27">
        <v>2022</v>
      </c>
      <c r="C27" t="s">
        <v>128</v>
      </c>
      <c r="D27" s="5">
        <v>19.02964803372618</v>
      </c>
      <c r="E27" s="5">
        <v>12.84723982818193</v>
      </c>
      <c r="F27" s="5">
        <v>80.97035196627382</v>
      </c>
      <c r="G27" s="5">
        <v>1.808591602892055</v>
      </c>
      <c r="H27" s="5">
        <v>75.16066973912308</v>
      </c>
      <c r="I27" s="5">
        <v>17.72335207813623</v>
      </c>
      <c r="J27" s="5">
        <v>61.33461587247897</v>
      </c>
      <c r="K27" s="5">
        <v>0.3768973827745127</v>
      </c>
      <c r="L27" s="5">
        <v>2.918544670415627</v>
      </c>
      <c r="M27" s="5">
        <v>14.89002255307463</v>
      </c>
      <c r="N27" s="5">
        <v>-1.072885077904429</v>
      </c>
      <c r="O27" s="5">
        <v>-24.14437733678458</v>
      </c>
    </row>
    <row r="28" spans="1:15">
      <c r="A28" t="s">
        <v>109</v>
      </c>
      <c r="B28">
        <v>2023</v>
      </c>
      <c r="C28" t="s">
        <v>128</v>
      </c>
      <c r="D28" s="5">
        <v>29.74793209751727</v>
      </c>
      <c r="E28" s="5">
        <v>16.60699120577613</v>
      </c>
      <c r="F28" s="5">
        <v>70.25206790248274</v>
      </c>
      <c r="G28" s="5">
        <v>1.499752788001978</v>
      </c>
      <c r="H28" s="5">
        <v>96.19528963043768</v>
      </c>
      <c r="I28" s="5">
        <v>1.58921998728624</v>
      </c>
      <c r="J28" s="5">
        <v>55.55206755558346</v>
      </c>
      <c r="K28" s="5">
        <v>0.4331625085347</v>
      </c>
      <c r="L28" s="5">
        <v>2.522825907817393</v>
      </c>
      <c r="M28" s="5">
        <v>16.4266622239285</v>
      </c>
      <c r="N28" s="5">
        <v>34.68880808422477</v>
      </c>
      <c r="O28" s="5">
        <v>21.99052132701422</v>
      </c>
    </row>
    <row r="29" spans="1:15">
      <c r="A29" t="s">
        <v>109</v>
      </c>
      <c r="B29">
        <v>2024</v>
      </c>
      <c r="C29" t="s">
        <v>128</v>
      </c>
      <c r="D29" s="5">
        <v>22.47040053740868</v>
      </c>
      <c r="E29" s="5">
        <v>18.32411411537493</v>
      </c>
      <c r="F29" s="5">
        <v>77.52959946259132</v>
      </c>
      <c r="G29" s="5">
        <v>2.001159454322636</v>
      </c>
      <c r="H29" s="5">
        <v>88.59331772717599</v>
      </c>
      <c r="I29" s="5">
        <v>7.046987253340769</v>
      </c>
      <c r="J29" s="5">
        <v>47.01954194215938</v>
      </c>
      <c r="K29" s="5">
        <v>0.5138657528014031</v>
      </c>
      <c r="L29" s="5">
        <v>2.796545119651283</v>
      </c>
      <c r="M29" s="5">
        <v>18.54875085935774</v>
      </c>
      <c r="N29" s="5">
        <v>6.94547994443615</v>
      </c>
      <c r="O29" s="5">
        <v>-9.48082220809493</v>
      </c>
    </row>
    <row r="30" spans="1:15">
      <c r="A30" t="s">
        <v>109</v>
      </c>
      <c r="B30">
        <v>2025</v>
      </c>
      <c r="C30" t="s">
        <v>128</v>
      </c>
      <c r="D30" s="5">
        <v>5.498053652795799</v>
      </c>
      <c r="E30" s="5">
        <v>5.614642456430078</v>
      </c>
      <c r="F30" s="5">
        <v>94.5019463472042</v>
      </c>
      <c r="G30" s="5">
        <v>1.182260739314182</v>
      </c>
      <c r="H30" s="5">
        <v>87.7975712833681</v>
      </c>
      <c r="J30" s="5">
        <v>72.25498849836838</v>
      </c>
      <c r="K30" s="5">
        <v>0.2774501150163163</v>
      </c>
      <c r="L30" s="5">
        <v>2.437603648424544</v>
      </c>
      <c r="M30" s="5">
        <v>-4.34519061214208</v>
      </c>
      <c r="N30" s="5">
        <v>9.740150141996473</v>
      </c>
      <c r="O30" s="5">
        <v>68.6378250148266</v>
      </c>
    </row>
    <row r="31" spans="1:15">
      <c r="A31" t="s">
        <v>110</v>
      </c>
      <c r="B31">
        <v>2021</v>
      </c>
      <c r="C31" t="s">
        <v>128</v>
      </c>
      <c r="D31" s="5">
        <v>10.54505885844297</v>
      </c>
      <c r="E31" s="5">
        <v>9.491542190127609</v>
      </c>
      <c r="F31" s="5">
        <v>89.45494114155703</v>
      </c>
      <c r="H31" s="5">
        <v>100</v>
      </c>
      <c r="J31" s="5">
        <v>100</v>
      </c>
      <c r="L31" s="5">
        <v>318.3937007874016</v>
      </c>
    </row>
    <row r="32" spans="1:15">
      <c r="A32" t="s">
        <v>110</v>
      </c>
      <c r="B32">
        <v>2022</v>
      </c>
      <c r="C32" t="s">
        <v>128</v>
      </c>
      <c r="D32" s="5">
        <v>10.04226927232405</v>
      </c>
      <c r="E32" s="5">
        <v>9.037663248478875</v>
      </c>
      <c r="F32" s="5">
        <v>89.95773072767594</v>
      </c>
      <c r="H32" s="5">
        <v>100</v>
      </c>
      <c r="J32" s="5">
        <v>100</v>
      </c>
      <c r="L32" s="5">
        <v>266.449494949495</v>
      </c>
      <c r="M32" s="5">
        <v>30.47037293500841</v>
      </c>
      <c r="N32" s="5">
        <v>55.90551181102362</v>
      </c>
      <c r="O32" s="5">
        <v>55.90551181102362</v>
      </c>
    </row>
    <row r="33" spans="1:15">
      <c r="A33" t="s">
        <v>110</v>
      </c>
      <c r="B33">
        <v>2023</v>
      </c>
      <c r="C33" t="s">
        <v>128</v>
      </c>
      <c r="D33" s="5">
        <v>10.28752027083013</v>
      </c>
      <c r="E33" s="5">
        <v>9.004391519986743</v>
      </c>
      <c r="F33" s="5">
        <v>89.71247972916987</v>
      </c>
      <c r="H33" s="5">
        <v>100</v>
      </c>
      <c r="J33" s="5">
        <v>100</v>
      </c>
      <c r="L33" s="5">
        <v>43.01476578411405</v>
      </c>
      <c r="M33" s="5">
        <v>60.13230471785735</v>
      </c>
      <c r="N33" s="5">
        <v>891.9191919191919</v>
      </c>
      <c r="O33" s="5">
        <v>891.9191919191919</v>
      </c>
    </row>
    <row r="34" spans="1:15">
      <c r="A34" t="s">
        <v>110</v>
      </c>
      <c r="B34">
        <v>2024</v>
      </c>
      <c r="C34" t="s">
        <v>128</v>
      </c>
      <c r="D34" s="5">
        <v>34.83196522551327</v>
      </c>
      <c r="E34" s="5">
        <v>32.17298630694712</v>
      </c>
      <c r="F34" s="5">
        <v>65.16803477448674</v>
      </c>
      <c r="H34" s="5">
        <v>7.274719716766416</v>
      </c>
      <c r="I34" s="5">
        <v>92.72528028323357</v>
      </c>
      <c r="J34" s="5">
        <v>90.5532608390233</v>
      </c>
      <c r="K34" s="5">
        <v>0.0002809856978279805</v>
      </c>
      <c r="L34" s="5">
        <v>4.692995026553149</v>
      </c>
      <c r="M34" s="5">
        <v>97.70007457298091</v>
      </c>
      <c r="N34" s="5">
        <v>1712.067209775967</v>
      </c>
      <c r="O34" s="5">
        <v>1540.885947046843</v>
      </c>
    </row>
    <row r="35" spans="1:15">
      <c r="A35" t="s">
        <v>110</v>
      </c>
      <c r="B35">
        <v>2025</v>
      </c>
      <c r="C35" t="s">
        <v>128</v>
      </c>
      <c r="D35" s="5">
        <v>11.49347590970938</v>
      </c>
      <c r="E35" s="5">
        <v>7.575532917001011</v>
      </c>
      <c r="F35" s="5">
        <v>88.50652409029061</v>
      </c>
      <c r="G35" s="5">
        <v>9.061360741423991</v>
      </c>
      <c r="H35" s="5">
        <v>8.506464034201549</v>
      </c>
      <c r="J35" s="5">
        <v>18.39943778275574</v>
      </c>
      <c r="K35" s="5">
        <v>0.8160056221724425</v>
      </c>
      <c r="L35" s="5">
        <v>3.357256848362396</v>
      </c>
      <c r="M35" s="5">
        <v>37.29216436453338</v>
      </c>
      <c r="N35" s="5">
        <v>91.916041473489</v>
      </c>
      <c r="O35" s="5">
        <v>-61.00474757191174</v>
      </c>
    </row>
    <row r="36" spans="1:15">
      <c r="A36" t="s">
        <v>111</v>
      </c>
      <c r="B36">
        <v>2021</v>
      </c>
      <c r="C36" t="s">
        <v>128</v>
      </c>
      <c r="D36" s="5">
        <v>-9.303092623491521</v>
      </c>
      <c r="E36" s="5">
        <v>-13.00686818516938</v>
      </c>
      <c r="F36" s="5">
        <v>109.3030926234915</v>
      </c>
      <c r="H36" s="5">
        <v>3.581081081081081</v>
      </c>
      <c r="I36" s="5">
        <v>96.44144144144144</v>
      </c>
      <c r="J36" s="5">
        <v>250.9009009009009</v>
      </c>
      <c r="K36" s="5">
        <v>-1.50990990990991</v>
      </c>
      <c r="L36" s="5">
        <v>11.60855855855856</v>
      </c>
    </row>
    <row r="37" spans="1:15">
      <c r="A37" t="s">
        <v>111</v>
      </c>
      <c r="B37">
        <v>2022</v>
      </c>
      <c r="C37" t="s">
        <v>128</v>
      </c>
      <c r="D37" s="5">
        <v>2.944722088926861</v>
      </c>
      <c r="E37" s="5">
        <v>-3.432778174412753</v>
      </c>
      <c r="F37" s="5">
        <v>97.05527791107313</v>
      </c>
      <c r="H37" s="5">
        <v>0.2659746999675641</v>
      </c>
      <c r="I37" s="5">
        <v>83.29549140447617</v>
      </c>
      <c r="J37" s="5">
        <v>121.49205319494</v>
      </c>
      <c r="K37" s="5">
        <v>-0.5939669153421991</v>
      </c>
      <c r="L37" s="5">
        <v>5.542718131689912</v>
      </c>
      <c r="M37" s="5">
        <v>65.76966357533662</v>
      </c>
      <c r="N37" s="5">
        <v>247.1846846846847</v>
      </c>
      <c r="O37" s="5">
        <v>68.11490125673249</v>
      </c>
    </row>
    <row r="38" spans="1:15">
      <c r="A38" t="s">
        <v>111</v>
      </c>
      <c r="B38">
        <v>2023</v>
      </c>
      <c r="C38" t="s">
        <v>128</v>
      </c>
      <c r="D38" s="5">
        <v>-0.3606466267156389</v>
      </c>
      <c r="E38" s="5">
        <v>-7.054054707133192</v>
      </c>
      <c r="F38" s="5">
        <v>100.3606466267156</v>
      </c>
      <c r="G38" s="5">
        <v>0.9472817133443162</v>
      </c>
      <c r="H38" s="5">
        <v>0.3482102740751835</v>
      </c>
      <c r="I38" s="5">
        <v>98.70825220907594</v>
      </c>
      <c r="J38" s="5">
        <v>150.9135839448854</v>
      </c>
      <c r="K38" s="5">
        <v>-0.7765463531526134</v>
      </c>
      <c r="L38" s="5">
        <v>6.197993110678448</v>
      </c>
      <c r="M38" s="5">
        <v>93.74305076017369</v>
      </c>
      <c r="N38" s="5">
        <v>73.25981187155368</v>
      </c>
      <c r="O38" s="5">
        <v>115.2178556172576</v>
      </c>
    </row>
    <row r="39" spans="1:15">
      <c r="A39" t="s">
        <v>111</v>
      </c>
      <c r="B39">
        <v>2024</v>
      </c>
      <c r="C39" t="s">
        <v>128</v>
      </c>
      <c r="D39" s="5">
        <v>15.64508881491467</v>
      </c>
      <c r="E39" s="5">
        <v>0.03897402037653489</v>
      </c>
      <c r="F39" s="5">
        <v>84.35491118508534</v>
      </c>
      <c r="G39" s="5">
        <v>0.340529291825195</v>
      </c>
      <c r="H39" s="5">
        <v>1.248607403359048</v>
      </c>
      <c r="I39" s="5">
        <v>98.41296533748134</v>
      </c>
      <c r="J39" s="5">
        <v>44.37390957055472</v>
      </c>
      <c r="K39" s="5">
        <v>-0.408971475416728</v>
      </c>
      <c r="L39" s="5">
        <v>4.584407121686671</v>
      </c>
      <c r="M39" s="5">
        <v>31.7501933114247</v>
      </c>
      <c r="N39" s="5">
        <v>78.12265987719036</v>
      </c>
      <c r="O39" s="5">
        <v>-47.6256636729023</v>
      </c>
    </row>
    <row r="40" spans="1:15">
      <c r="A40" t="s">
        <v>111</v>
      </c>
      <c r="B40">
        <v>2025</v>
      </c>
      <c r="C40" t="s">
        <v>128</v>
      </c>
      <c r="D40" s="5">
        <v>15.73208802065562</v>
      </c>
      <c r="E40" s="5">
        <v>0.0002546304548209184</v>
      </c>
      <c r="F40" s="5">
        <v>84.26791197934438</v>
      </c>
      <c r="G40" s="5">
        <v>0.1011021558966765</v>
      </c>
      <c r="H40" s="5">
        <v>68.99438954233474</v>
      </c>
      <c r="J40" s="5">
        <v>60.18995813516361</v>
      </c>
      <c r="K40" s="5">
        <v>-0.2984507162589354</v>
      </c>
      <c r="L40" s="5">
        <v>5.592316236151853</v>
      </c>
      <c r="M40" s="5">
        <v>80.07189560464754</v>
      </c>
      <c r="N40" s="5">
        <v>47.61734597355643</v>
      </c>
      <c r="O40" s="5">
        <v>100.2321174798674</v>
      </c>
    </row>
    <row r="41" spans="1:15">
      <c r="A41" t="s">
        <v>112</v>
      </c>
      <c r="B41">
        <v>2021</v>
      </c>
      <c r="C41" t="s">
        <v>128</v>
      </c>
      <c r="D41" s="5">
        <v>31.27851086575105</v>
      </c>
      <c r="E41" s="5">
        <v>24.65052513036453</v>
      </c>
      <c r="F41" s="5">
        <v>68.72148913424894</v>
      </c>
      <c r="G41" s="5">
        <v>0.7339025668819803</v>
      </c>
      <c r="H41" s="5">
        <v>5.818354672187225</v>
      </c>
      <c r="I41" s="5">
        <v>86.28775022434672</v>
      </c>
      <c r="J41" s="5">
        <v>68.53637082515172</v>
      </c>
      <c r="K41" s="5">
        <v>0.3146362917484829</v>
      </c>
      <c r="L41" s="5">
        <v>0.5443895547716995</v>
      </c>
    </row>
    <row r="42" spans="1:15">
      <c r="A42" t="s">
        <v>112</v>
      </c>
      <c r="B42">
        <v>2022</v>
      </c>
      <c r="C42" t="s">
        <v>128</v>
      </c>
      <c r="D42" s="5">
        <v>30.85822345117576</v>
      </c>
      <c r="E42" s="5">
        <v>22.86443931534085</v>
      </c>
      <c r="F42" s="5">
        <v>69.14177654882424</v>
      </c>
      <c r="G42" s="5">
        <v>0.2017073987278206</v>
      </c>
      <c r="H42" s="5">
        <v>16.75301305657851</v>
      </c>
      <c r="I42" s="5">
        <v>76.73459993304319</v>
      </c>
      <c r="J42" s="5">
        <v>64.1052895882156</v>
      </c>
      <c r="K42" s="5">
        <v>0.358947104117844</v>
      </c>
      <c r="L42" s="5">
        <v>0.7324907934382323</v>
      </c>
      <c r="M42" s="5">
        <v>42.83872336605707</v>
      </c>
      <c r="N42" s="5">
        <v>6.158206647771203</v>
      </c>
      <c r="O42" s="5">
        <v>-0.7052387310888419</v>
      </c>
    </row>
    <row r="43" spans="1:15">
      <c r="A43" t="s">
        <v>112</v>
      </c>
      <c r="B43">
        <v>2023</v>
      </c>
      <c r="C43" t="s">
        <v>128</v>
      </c>
      <c r="D43" s="5">
        <v>24.94240160503853</v>
      </c>
      <c r="E43" s="5">
        <v>16.80182845048375</v>
      </c>
      <c r="F43" s="5">
        <v>75.05759839496147</v>
      </c>
      <c r="G43" s="5">
        <v>0.2138586721070002</v>
      </c>
      <c r="H43" s="5">
        <v>41.66423794632659</v>
      </c>
      <c r="I43" s="5">
        <v>44.19903428827992</v>
      </c>
      <c r="J43" s="5">
        <v>59.06437815569542</v>
      </c>
      <c r="K43" s="5">
        <v>0.4093562184430459</v>
      </c>
      <c r="L43" s="5">
        <v>1.071825793797705</v>
      </c>
      <c r="M43" s="5">
        <v>55.47830160652665</v>
      </c>
      <c r="N43" s="5">
        <v>6.25460328088383</v>
      </c>
      <c r="O43" s="5">
        <v>-2.100714164479778</v>
      </c>
    </row>
    <row r="44" spans="1:15">
      <c r="A44" t="s">
        <v>112</v>
      </c>
      <c r="B44">
        <v>2024</v>
      </c>
      <c r="C44" t="s">
        <v>128</v>
      </c>
      <c r="D44" s="5">
        <v>16.39415841794019</v>
      </c>
      <c r="E44" s="5">
        <v>8.526675003709277</v>
      </c>
      <c r="F44" s="5">
        <v>83.60584158205981</v>
      </c>
      <c r="G44" s="5">
        <v>5.379757015559154</v>
      </c>
      <c r="H44" s="5">
        <v>13.65652623038128</v>
      </c>
      <c r="I44" s="5">
        <v>70.61811267071998</v>
      </c>
      <c r="J44" s="5">
        <v>55.08040504555511</v>
      </c>
      <c r="K44" s="5">
        <v>0.4491959495444489</v>
      </c>
      <c r="L44" s="5">
        <v>0.8431717368848094</v>
      </c>
      <c r="M44" s="5">
        <v>-13.31946807377004</v>
      </c>
      <c r="N44" s="5">
        <v>10.18684079935095</v>
      </c>
      <c r="O44" s="5">
        <v>2.754587645364337</v>
      </c>
    </row>
    <row r="45" spans="1:15">
      <c r="A45" t="s">
        <v>112</v>
      </c>
      <c r="B45">
        <v>2025</v>
      </c>
      <c r="C45" t="s">
        <v>128</v>
      </c>
      <c r="D45" s="5">
        <v>21.59219129730355</v>
      </c>
      <c r="E45" s="5">
        <v>14.86427352158315</v>
      </c>
      <c r="F45" s="5">
        <v>78.40780870269644</v>
      </c>
      <c r="G45" s="5">
        <v>3.878386943612089</v>
      </c>
      <c r="H45" s="5">
        <v>5.340960464170584</v>
      </c>
      <c r="J45" s="5">
        <v>41.87940015857041</v>
      </c>
      <c r="K45" s="5">
        <v>0.4367206366443048</v>
      </c>
      <c r="L45" s="5">
        <v>1.256350199803264</v>
      </c>
      <c r="M45" s="5">
        <v>134.4365077682868</v>
      </c>
      <c r="N45" s="5">
        <v>57.33689338780646</v>
      </c>
      <c r="O45" s="5">
        <v>19.62829090389944</v>
      </c>
    </row>
    <row r="46" spans="1:15">
      <c r="A46" t="s">
        <v>113</v>
      </c>
      <c r="B46">
        <v>2021</v>
      </c>
      <c r="C46" t="s">
        <v>128</v>
      </c>
      <c r="E46" s="5">
        <v>0</v>
      </c>
      <c r="H46" s="5">
        <v>100</v>
      </c>
      <c r="I46" s="5">
        <v>0</v>
      </c>
      <c r="K46" s="5">
        <v>1</v>
      </c>
      <c r="L46" s="5">
        <v>4.3</v>
      </c>
    </row>
    <row r="47" spans="1:15">
      <c r="A47" t="s">
        <v>113</v>
      </c>
      <c r="B47">
        <v>2022</v>
      </c>
      <c r="C47" t="s">
        <v>128</v>
      </c>
      <c r="H47" s="5">
        <v>100</v>
      </c>
      <c r="I47" s="5">
        <v>0</v>
      </c>
      <c r="K47" s="5">
        <v>1</v>
      </c>
      <c r="L47" s="5">
        <v>0</v>
      </c>
      <c r="M47" s="5">
        <v>-100</v>
      </c>
      <c r="N47" s="5">
        <v>0</v>
      </c>
    </row>
    <row r="48" spans="1:15">
      <c r="A48" t="s">
        <v>113</v>
      </c>
      <c r="B48">
        <v>2023</v>
      </c>
      <c r="C48" t="s">
        <v>128</v>
      </c>
      <c r="H48" s="5">
        <v>100</v>
      </c>
      <c r="I48" s="5">
        <v>0</v>
      </c>
      <c r="K48" s="5">
        <v>1</v>
      </c>
      <c r="N48" s="5">
        <v>0</v>
      </c>
    </row>
    <row r="49" spans="1:14">
      <c r="A49" t="s">
        <v>113</v>
      </c>
      <c r="B49">
        <v>2024</v>
      </c>
      <c r="C49" t="s">
        <v>128</v>
      </c>
      <c r="H49" s="5">
        <v>100</v>
      </c>
      <c r="K49" s="5">
        <v>1</v>
      </c>
      <c r="N49" s="5">
        <v>0</v>
      </c>
    </row>
    <row r="50" spans="1:14">
      <c r="A50" t="s">
        <v>113</v>
      </c>
      <c r="B50">
        <v>2025</v>
      </c>
      <c r="C50" t="s">
        <v>128</v>
      </c>
      <c r="H50" s="5">
        <v>100</v>
      </c>
      <c r="K50" s="5">
        <v>1</v>
      </c>
      <c r="N50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cols>
    <col min="1" max="1" width="35.7109375" customWidth="1"/>
    <col min="2" max="2" width="10.7109375" customWidth="1"/>
  </cols>
  <sheetData>
    <row r="1" spans="1:17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</row>
    <row r="2" spans="1:17">
      <c r="A2" t="s">
        <v>90</v>
      </c>
      <c r="B2" t="s">
        <v>146</v>
      </c>
      <c r="C2">
        <v>38</v>
      </c>
      <c r="D2">
        <v>247014.6</v>
      </c>
      <c r="E2">
        <v>215985.5</v>
      </c>
      <c r="F2">
        <v>263212.6</v>
      </c>
      <c r="G2">
        <v>0</v>
      </c>
      <c r="H2">
        <v>1164006</v>
      </c>
      <c r="I2">
        <v>51845.8</v>
      </c>
      <c r="J2">
        <v>310122.2</v>
      </c>
      <c r="K2">
        <v>258276.5</v>
      </c>
      <c r="L2">
        <v>1.85</v>
      </c>
      <c r="M2">
        <v>3.93</v>
      </c>
      <c r="N2" t="s">
        <v>149</v>
      </c>
      <c r="O2">
        <v>0.8086</v>
      </c>
      <c r="P2">
        <v>0</v>
      </c>
      <c r="Q2" t="s">
        <v>151</v>
      </c>
    </row>
    <row r="3" spans="1:17">
      <c r="A3" t="s">
        <v>91</v>
      </c>
      <c r="B3" t="s">
        <v>146</v>
      </c>
      <c r="C3">
        <v>36</v>
      </c>
      <c r="D3">
        <v>229734.5</v>
      </c>
      <c r="E3">
        <v>191434</v>
      </c>
      <c r="F3">
        <v>251749</v>
      </c>
      <c r="G3">
        <v>850</v>
      </c>
      <c r="H3">
        <v>1040047</v>
      </c>
      <c r="I3">
        <v>70926.8</v>
      </c>
      <c r="J3">
        <v>233034.5</v>
      </c>
      <c r="K3">
        <v>162107.8</v>
      </c>
      <c r="L3">
        <v>2.01</v>
      </c>
      <c r="M3">
        <v>3.99</v>
      </c>
      <c r="N3" t="s">
        <v>149</v>
      </c>
      <c r="O3">
        <v>0.756</v>
      </c>
      <c r="P3">
        <v>0</v>
      </c>
      <c r="Q3" t="s">
        <v>151</v>
      </c>
    </row>
    <row r="4" spans="1:17">
      <c r="A4" t="s">
        <v>102</v>
      </c>
      <c r="B4" t="s">
        <v>146</v>
      </c>
      <c r="C4">
        <v>37</v>
      </c>
      <c r="D4">
        <v>6951.5</v>
      </c>
      <c r="E4">
        <v>3838</v>
      </c>
      <c r="F4">
        <v>43721.9</v>
      </c>
      <c r="G4">
        <v>-186806</v>
      </c>
      <c r="H4">
        <v>82203</v>
      </c>
      <c r="I4">
        <v>0</v>
      </c>
      <c r="J4">
        <v>26548</v>
      </c>
      <c r="K4">
        <v>26548</v>
      </c>
      <c r="L4">
        <v>-2.36</v>
      </c>
      <c r="M4">
        <v>10.31</v>
      </c>
      <c r="N4" t="s">
        <v>149</v>
      </c>
      <c r="O4">
        <v>0.7718</v>
      </c>
      <c r="P4">
        <v>0</v>
      </c>
      <c r="Q4" t="s">
        <v>151</v>
      </c>
    </row>
    <row r="5" spans="1:17">
      <c r="A5" t="s">
        <v>81</v>
      </c>
      <c r="B5" t="s">
        <v>146</v>
      </c>
      <c r="C5">
        <v>38</v>
      </c>
      <c r="D5">
        <v>126994.3</v>
      </c>
      <c r="E5">
        <v>73934.5</v>
      </c>
      <c r="F5">
        <v>157630.8</v>
      </c>
      <c r="G5">
        <v>10</v>
      </c>
      <c r="H5">
        <v>611139</v>
      </c>
      <c r="I5">
        <v>5128.2</v>
      </c>
      <c r="J5">
        <v>206209.5</v>
      </c>
      <c r="K5">
        <v>201081.2</v>
      </c>
      <c r="L5">
        <v>1.62</v>
      </c>
      <c r="M5">
        <v>2.29</v>
      </c>
      <c r="N5" t="s">
        <v>149</v>
      </c>
      <c r="O5">
        <v>0.7882</v>
      </c>
      <c r="P5">
        <v>0</v>
      </c>
      <c r="Q5" t="s">
        <v>151</v>
      </c>
    </row>
    <row r="6" spans="1:17">
      <c r="A6" t="s">
        <v>79</v>
      </c>
      <c r="B6" t="s">
        <v>146</v>
      </c>
      <c r="C6">
        <v>38</v>
      </c>
      <c r="D6">
        <v>27771.7</v>
      </c>
      <c r="E6">
        <v>9419.5</v>
      </c>
      <c r="F6">
        <v>38486</v>
      </c>
      <c r="G6">
        <v>10</v>
      </c>
      <c r="H6">
        <v>131296</v>
      </c>
      <c r="I6">
        <v>359.2</v>
      </c>
      <c r="J6">
        <v>37406</v>
      </c>
      <c r="K6">
        <v>37046.8</v>
      </c>
      <c r="L6">
        <v>1.58</v>
      </c>
      <c r="M6">
        <v>1.5</v>
      </c>
      <c r="N6" t="s">
        <v>149</v>
      </c>
      <c r="O6">
        <v>0.7396</v>
      </c>
      <c r="P6">
        <v>0</v>
      </c>
      <c r="Q6" t="s">
        <v>151</v>
      </c>
    </row>
    <row r="7" spans="1:17">
      <c r="A7" t="s">
        <v>88</v>
      </c>
      <c r="B7" t="s">
        <v>146</v>
      </c>
      <c r="C7">
        <v>33</v>
      </c>
      <c r="D7">
        <v>73528.39999999999</v>
      </c>
      <c r="E7">
        <v>55713</v>
      </c>
      <c r="F7">
        <v>68420.5</v>
      </c>
      <c r="G7">
        <v>41</v>
      </c>
      <c r="H7">
        <v>275560</v>
      </c>
      <c r="I7">
        <v>18728</v>
      </c>
      <c r="J7">
        <v>108053</v>
      </c>
      <c r="K7">
        <v>89325</v>
      </c>
      <c r="L7">
        <v>1.03</v>
      </c>
      <c r="M7">
        <v>0.74</v>
      </c>
      <c r="N7" t="s">
        <v>149</v>
      </c>
      <c r="O7">
        <v>0.8899</v>
      </c>
      <c r="P7">
        <v>0.003</v>
      </c>
      <c r="Q7" t="s">
        <v>151</v>
      </c>
    </row>
    <row r="8" spans="1:17">
      <c r="A8" t="s">
        <v>115</v>
      </c>
      <c r="B8" t="s">
        <v>147</v>
      </c>
      <c r="C8">
        <v>36</v>
      </c>
      <c r="D8">
        <v>12.3</v>
      </c>
      <c r="E8">
        <v>10.6</v>
      </c>
      <c r="F8">
        <v>12.8</v>
      </c>
      <c r="G8">
        <v>-15.3</v>
      </c>
      <c r="H8">
        <v>44.1</v>
      </c>
      <c r="I8">
        <v>4.4</v>
      </c>
      <c r="J8">
        <v>19.7</v>
      </c>
      <c r="K8">
        <v>15.3</v>
      </c>
      <c r="L8">
        <v>0.31</v>
      </c>
      <c r="M8">
        <v>0.17</v>
      </c>
      <c r="N8" t="s">
        <v>150</v>
      </c>
      <c r="O8">
        <v>0.9886</v>
      </c>
      <c r="P8">
        <v>0.9664</v>
      </c>
      <c r="Q8" t="s">
        <v>152</v>
      </c>
    </row>
    <row r="9" spans="1:17">
      <c r="A9" t="s">
        <v>116</v>
      </c>
      <c r="B9" t="s">
        <v>147</v>
      </c>
      <c r="C9">
        <v>37</v>
      </c>
      <c r="D9">
        <v>5.5</v>
      </c>
      <c r="E9">
        <v>7.2</v>
      </c>
      <c r="F9">
        <v>12.1</v>
      </c>
      <c r="G9">
        <v>-31.6</v>
      </c>
      <c r="H9">
        <v>32.2</v>
      </c>
      <c r="I9">
        <v>0</v>
      </c>
      <c r="J9">
        <v>12.8</v>
      </c>
      <c r="K9">
        <v>12.8</v>
      </c>
      <c r="L9">
        <v>-0.47</v>
      </c>
      <c r="M9">
        <v>1.34</v>
      </c>
      <c r="N9" t="s">
        <v>150</v>
      </c>
      <c r="O9">
        <v>0.977</v>
      </c>
      <c r="P9">
        <v>0.629</v>
      </c>
      <c r="Q9" t="s">
        <v>152</v>
      </c>
    </row>
    <row r="10" spans="1:17">
      <c r="A10" t="s">
        <v>117</v>
      </c>
      <c r="B10" t="s">
        <v>147</v>
      </c>
      <c r="C10">
        <v>36</v>
      </c>
      <c r="D10">
        <v>87.7</v>
      </c>
      <c r="E10">
        <v>89.40000000000001</v>
      </c>
      <c r="F10">
        <v>12.8</v>
      </c>
      <c r="G10">
        <v>55.9</v>
      </c>
      <c r="H10">
        <v>115.3</v>
      </c>
      <c r="I10">
        <v>80.3</v>
      </c>
      <c r="J10">
        <v>95.59999999999999</v>
      </c>
      <c r="K10">
        <v>15.3</v>
      </c>
      <c r="L10">
        <v>-0.31</v>
      </c>
      <c r="M10">
        <v>0.17</v>
      </c>
      <c r="N10" t="s">
        <v>150</v>
      </c>
      <c r="O10">
        <v>0.9886</v>
      </c>
      <c r="P10">
        <v>0.9664</v>
      </c>
      <c r="Q10" t="s">
        <v>152</v>
      </c>
    </row>
    <row r="11" spans="1:17">
      <c r="A11" t="s">
        <v>123</v>
      </c>
      <c r="B11" t="s">
        <v>148</v>
      </c>
      <c r="C11">
        <v>38</v>
      </c>
      <c r="D11">
        <v>19.6</v>
      </c>
      <c r="E11">
        <v>2.7</v>
      </c>
      <c r="F11">
        <v>65.8</v>
      </c>
      <c r="G11">
        <v>0</v>
      </c>
      <c r="H11">
        <v>318.4</v>
      </c>
      <c r="I11">
        <v>1.5</v>
      </c>
      <c r="J11">
        <v>4.8</v>
      </c>
      <c r="K11">
        <v>3.3</v>
      </c>
      <c r="L11">
        <v>4.16</v>
      </c>
      <c r="M11">
        <v>16.53</v>
      </c>
      <c r="N11" t="s">
        <v>149</v>
      </c>
      <c r="O11">
        <v>0.2953</v>
      </c>
      <c r="P11">
        <v>0</v>
      </c>
      <c r="Q11" t="s">
        <v>151</v>
      </c>
    </row>
    <row r="12" spans="1:17">
      <c r="A12" t="s">
        <v>124</v>
      </c>
      <c r="B12" t="s">
        <v>147</v>
      </c>
      <c r="C12">
        <v>29</v>
      </c>
      <c r="D12">
        <v>49.9</v>
      </c>
      <c r="E12">
        <v>33.9</v>
      </c>
      <c r="F12">
        <v>70.40000000000001</v>
      </c>
      <c r="G12">
        <v>-100</v>
      </c>
      <c r="H12">
        <v>297.1</v>
      </c>
      <c r="I12">
        <v>14.9</v>
      </c>
      <c r="J12">
        <v>65.8</v>
      </c>
      <c r="K12">
        <v>50.9</v>
      </c>
      <c r="L12">
        <v>1.55</v>
      </c>
      <c r="M12">
        <v>5.03</v>
      </c>
      <c r="N12" t="s">
        <v>149</v>
      </c>
      <c r="O12">
        <v>0.856</v>
      </c>
      <c r="P12">
        <v>0.001</v>
      </c>
      <c r="Q12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FormatPr defaultRowHeight="15"/>
  <cols>
    <col min="1" max="1" width="40.7109375" customWidth="1"/>
    <col min="2" max="7" width="14.7109375" customWidth="1"/>
  </cols>
  <sheetData>
    <row r="1" spans="1:6">
      <c r="A1" s="6" t="s">
        <v>153</v>
      </c>
    </row>
    <row r="2" spans="1:6">
      <c r="A2" s="2" t="s">
        <v>71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>
      <c r="A3" s="3" t="s">
        <v>103</v>
      </c>
      <c r="B3" s="4">
        <v>382870</v>
      </c>
      <c r="C3" s="4">
        <v>592044</v>
      </c>
      <c r="D3" s="4">
        <v>722644</v>
      </c>
      <c r="E3" s="4">
        <v>967665</v>
      </c>
      <c r="F3" s="4">
        <v>1164006</v>
      </c>
    </row>
    <row r="4" spans="1:6">
      <c r="A4" s="3" t="s">
        <v>104</v>
      </c>
      <c r="B4" s="4">
        <v>829</v>
      </c>
      <c r="C4" s="4">
        <v>2310</v>
      </c>
      <c r="D4" s="4">
        <v>9174</v>
      </c>
      <c r="E4" s="4">
        <v>12702</v>
      </c>
      <c r="F4" s="4">
        <v>12521</v>
      </c>
    </row>
    <row r="5" spans="1:6">
      <c r="A5" s="3" t="s">
        <v>107</v>
      </c>
      <c r="C5" s="4">
        <v>30327</v>
      </c>
    </row>
    <row r="6" spans="1:6">
      <c r="A6" s="3" t="s">
        <v>108</v>
      </c>
      <c r="B6" s="4">
        <v>98226</v>
      </c>
      <c r="C6" s="4">
        <v>213877</v>
      </c>
      <c r="D6" s="4">
        <v>240124</v>
      </c>
      <c r="E6" s="4">
        <v>241307</v>
      </c>
      <c r="F6" s="4">
        <v>266403</v>
      </c>
    </row>
    <row r="7" spans="1:6">
      <c r="A7" s="3" t="s">
        <v>109</v>
      </c>
      <c r="B7" s="4">
        <v>240322</v>
      </c>
      <c r="C7" s="4">
        <v>276106</v>
      </c>
      <c r="D7" s="4">
        <v>321461</v>
      </c>
      <c r="E7" s="4">
        <v>381088</v>
      </c>
      <c r="F7" s="4">
        <v>364529</v>
      </c>
    </row>
    <row r="8" spans="1:6">
      <c r="A8" s="3" t="s">
        <v>110</v>
      </c>
      <c r="B8" s="4">
        <v>40436</v>
      </c>
      <c r="C8" s="4">
        <v>52757</v>
      </c>
      <c r="D8" s="4">
        <v>84481</v>
      </c>
      <c r="E8" s="4">
        <v>167019</v>
      </c>
      <c r="F8" s="4">
        <v>229304</v>
      </c>
    </row>
    <row r="9" spans="1:6">
      <c r="A9" s="3" t="s">
        <v>111</v>
      </c>
      <c r="B9" s="4">
        <v>51542</v>
      </c>
      <c r="C9" s="4">
        <v>85441</v>
      </c>
      <c r="D9" s="4">
        <v>165536</v>
      </c>
      <c r="E9" s="4">
        <v>218094</v>
      </c>
      <c r="F9" s="4">
        <v>392726</v>
      </c>
    </row>
    <row r="10" spans="1:6">
      <c r="A10" s="3" t="s">
        <v>112</v>
      </c>
      <c r="B10" s="4">
        <v>122541</v>
      </c>
      <c r="C10" s="4">
        <v>175036</v>
      </c>
      <c r="D10" s="4">
        <v>272143</v>
      </c>
      <c r="E10" s="4">
        <v>235895</v>
      </c>
      <c r="F10" s="4">
        <v>553024</v>
      </c>
    </row>
    <row r="11" spans="1:6">
      <c r="A11" s="3" t="s">
        <v>113</v>
      </c>
      <c r="B11" s="4">
        <v>43</v>
      </c>
      <c r="C11" s="4">
        <v>0</v>
      </c>
    </row>
    <row r="13" spans="1:6">
      <c r="A13" s="6" t="s">
        <v>154</v>
      </c>
    </row>
    <row r="14" spans="1:6">
      <c r="A14" s="2" t="s">
        <v>71</v>
      </c>
      <c r="B14" s="2">
        <v>2021</v>
      </c>
      <c r="C14" s="2">
        <v>2022</v>
      </c>
      <c r="D14" s="2">
        <v>2023</v>
      </c>
      <c r="E14" s="2">
        <v>2024</v>
      </c>
      <c r="F14" s="2">
        <v>2025</v>
      </c>
    </row>
    <row r="15" spans="1:6">
      <c r="A15" s="3" t="s">
        <v>103</v>
      </c>
      <c r="B15" s="4">
        <v>-19162</v>
      </c>
      <c r="C15" s="4">
        <v>-186806</v>
      </c>
      <c r="D15" s="4">
        <v>-57838</v>
      </c>
      <c r="E15" s="4">
        <v>-57506</v>
      </c>
      <c r="F15" s="4">
        <v>53312</v>
      </c>
    </row>
    <row r="16" spans="1:6">
      <c r="A16" s="3" t="s">
        <v>104</v>
      </c>
      <c r="B16" s="4">
        <v>-89</v>
      </c>
      <c r="C16" s="4">
        <v>351</v>
      </c>
      <c r="D16" s="4">
        <v>116</v>
      </c>
      <c r="E16" s="4">
        <v>2635</v>
      </c>
      <c r="F16" s="4">
        <v>899</v>
      </c>
    </row>
    <row r="17" spans="1:6">
      <c r="A17" s="3" t="s">
        <v>107</v>
      </c>
      <c r="C17" s="4">
        <v>3068</v>
      </c>
    </row>
    <row r="18" spans="1:6">
      <c r="A18" s="3" t="s">
        <v>108</v>
      </c>
      <c r="B18" s="4">
        <v>-6187</v>
      </c>
      <c r="C18" s="4">
        <v>17978</v>
      </c>
      <c r="D18" s="4">
        <v>2554</v>
      </c>
      <c r="E18" s="4">
        <v>9861</v>
      </c>
      <c r="F18" s="4">
        <v>3956</v>
      </c>
    </row>
    <row r="19" spans="1:6">
      <c r="A19" s="3" t="s">
        <v>109</v>
      </c>
      <c r="B19" s="4">
        <v>26548</v>
      </c>
      <c r="C19" s="4">
        <v>35472</v>
      </c>
      <c r="D19" s="4">
        <v>53385</v>
      </c>
      <c r="E19" s="4">
        <v>69831</v>
      </c>
      <c r="F19" s="4">
        <v>20467</v>
      </c>
    </row>
    <row r="20" spans="1:6">
      <c r="A20" s="3" t="s">
        <v>110</v>
      </c>
      <c r="B20" s="4">
        <v>3838</v>
      </c>
      <c r="C20" s="4">
        <v>4768</v>
      </c>
      <c r="D20" s="4">
        <v>7607</v>
      </c>
      <c r="E20" s="4">
        <v>53735</v>
      </c>
      <c r="F20" s="4">
        <v>17371</v>
      </c>
    </row>
    <row r="21" spans="1:6">
      <c r="A21" s="3" t="s">
        <v>111</v>
      </c>
      <c r="B21" s="4">
        <v>-6704</v>
      </c>
      <c r="C21" s="4">
        <v>-2933</v>
      </c>
      <c r="D21" s="4">
        <v>-11677</v>
      </c>
      <c r="E21" s="4">
        <v>85</v>
      </c>
      <c r="F21" s="4">
        <v>1</v>
      </c>
    </row>
    <row r="22" spans="1:6">
      <c r="A22" s="3" t="s">
        <v>112</v>
      </c>
      <c r="B22" s="4">
        <v>30207</v>
      </c>
      <c r="C22" s="4">
        <v>40021</v>
      </c>
      <c r="D22" s="4">
        <v>45725</v>
      </c>
      <c r="E22" s="4">
        <v>20114</v>
      </c>
      <c r="F22" s="4">
        <v>82203</v>
      </c>
    </row>
    <row r="23" spans="1:6">
      <c r="A23" s="3" t="s">
        <v>113</v>
      </c>
      <c r="B23" s="4">
        <v>0</v>
      </c>
    </row>
    <row r="25" spans="1:6">
      <c r="A25" s="6" t="s">
        <v>155</v>
      </c>
    </row>
    <row r="26" spans="1:6">
      <c r="A26" s="2" t="s">
        <v>71</v>
      </c>
      <c r="B26" s="2">
        <v>2021</v>
      </c>
      <c r="C26" s="2">
        <v>2022</v>
      </c>
      <c r="D26" s="2">
        <v>2023</v>
      </c>
      <c r="E26" s="2">
        <v>2024</v>
      </c>
      <c r="F26" s="2">
        <v>2025</v>
      </c>
    </row>
    <row r="27" spans="1:6">
      <c r="A27" s="3" t="s">
        <v>103</v>
      </c>
      <c r="B27" s="5">
        <v>44.10452634053334</v>
      </c>
      <c r="C27" s="5">
        <v>-15.28062103492308</v>
      </c>
      <c r="D27" s="5">
        <v>5.208235313653749</v>
      </c>
      <c r="E27" s="5">
        <v>-1.653051417587698</v>
      </c>
      <c r="F27" s="5">
        <v>10.64934373190516</v>
      </c>
    </row>
    <row r="28" spans="1:6">
      <c r="A28" s="3" t="s">
        <v>104</v>
      </c>
      <c r="B28" s="5">
        <v>-2.533172496984319</v>
      </c>
      <c r="C28" s="5">
        <v>14.71861471861472</v>
      </c>
      <c r="D28" s="5">
        <v>6.235011990407674</v>
      </c>
      <c r="E28" s="5">
        <v>23.3034167847583</v>
      </c>
      <c r="F28" s="5">
        <v>4.192955834198546</v>
      </c>
    </row>
    <row r="29" spans="1:6">
      <c r="A29" s="3" t="s">
        <v>107</v>
      </c>
      <c r="C29" s="5">
        <v>1.44755498400765</v>
      </c>
    </row>
    <row r="30" spans="1:6">
      <c r="A30" s="3" t="s">
        <v>108</v>
      </c>
      <c r="B30" s="5">
        <v>-3.159041394335512</v>
      </c>
      <c r="C30" s="5">
        <v>12.37486966808025</v>
      </c>
      <c r="D30" s="5">
        <v>7.100081624494011</v>
      </c>
      <c r="E30" s="5">
        <v>9.223105836134053</v>
      </c>
      <c r="F30" s="5">
        <v>4.415866187693082</v>
      </c>
    </row>
    <row r="31" spans="1:6">
      <c r="A31" s="3" t="s">
        <v>109</v>
      </c>
      <c r="B31" s="5">
        <v>18.66828671532361</v>
      </c>
      <c r="C31" s="5">
        <v>19.02964803372618</v>
      </c>
      <c r="D31" s="5">
        <v>29.74793209751727</v>
      </c>
      <c r="E31" s="5">
        <v>22.47040053740868</v>
      </c>
      <c r="F31" s="5">
        <v>5.498053652795799</v>
      </c>
    </row>
    <row r="32" spans="1:6">
      <c r="A32" s="3" t="s">
        <v>110</v>
      </c>
      <c r="B32" s="5">
        <v>10.54505885844297</v>
      </c>
      <c r="C32" s="5">
        <v>10.04226927232405</v>
      </c>
      <c r="D32" s="5">
        <v>10.28752027083013</v>
      </c>
      <c r="E32" s="5">
        <v>34.83196522551327</v>
      </c>
      <c r="F32" s="5">
        <v>11.49347590970938</v>
      </c>
    </row>
    <row r="33" spans="1:6">
      <c r="A33" s="3" t="s">
        <v>111</v>
      </c>
      <c r="B33" s="5">
        <v>-9.303092623491521</v>
      </c>
      <c r="C33" s="5">
        <v>2.944722088926861</v>
      </c>
      <c r="D33" s="5">
        <v>-0.3606466267156389</v>
      </c>
      <c r="E33" s="5">
        <v>15.64508881491467</v>
      </c>
      <c r="F33" s="5">
        <v>15.73208802065562</v>
      </c>
    </row>
    <row r="34" spans="1:6">
      <c r="A34" s="3" t="s">
        <v>112</v>
      </c>
      <c r="B34" s="5">
        <v>31.27851086575105</v>
      </c>
      <c r="C34" s="5">
        <v>30.85822345117576</v>
      </c>
      <c r="D34" s="5">
        <v>24.94240160503853</v>
      </c>
      <c r="E34" s="5">
        <v>16.39415841794019</v>
      </c>
      <c r="F34" s="5">
        <v>21.59219129730355</v>
      </c>
    </row>
    <row r="120" spans="1:4">
      <c r="A120" s="6" t="s">
        <v>156</v>
      </c>
    </row>
    <row r="121" spans="1:4">
      <c r="A121" s="2" t="s">
        <v>157</v>
      </c>
      <c r="B121" s="2" t="s">
        <v>158</v>
      </c>
      <c r="C121" s="2" t="s">
        <v>159</v>
      </c>
      <c r="D121" s="2" t="s">
        <v>160</v>
      </c>
    </row>
    <row r="122" spans="1:4">
      <c r="A122" s="3">
        <v>2021</v>
      </c>
      <c r="B122" s="4">
        <v>936809</v>
      </c>
      <c r="C122" s="4">
        <v>74884</v>
      </c>
      <c r="D122" s="5">
        <v>10.54505885844297</v>
      </c>
    </row>
    <row r="123" spans="1:4">
      <c r="A123" s="3">
        <v>2022</v>
      </c>
      <c r="B123" s="4">
        <v>1427898</v>
      </c>
      <c r="C123" s="4">
        <v>85441</v>
      </c>
      <c r="D123" s="5">
        <v>11.20856947020215</v>
      </c>
    </row>
    <row r="124" spans="1:4">
      <c r="A124" s="3">
        <v>2023</v>
      </c>
      <c r="B124" s="4">
        <v>1815563</v>
      </c>
      <c r="C124" s="4">
        <v>240124</v>
      </c>
      <c r="D124" s="5">
        <v>7.100081624494011</v>
      </c>
    </row>
    <row r="125" spans="1:4">
      <c r="A125" s="3">
        <v>2024</v>
      </c>
      <c r="B125" s="4">
        <v>2223770</v>
      </c>
      <c r="C125" s="4">
        <v>235895</v>
      </c>
      <c r="D125" s="5">
        <v>16.39415841794019</v>
      </c>
    </row>
    <row r="126" spans="1:4">
      <c r="A126" s="3">
        <v>2025</v>
      </c>
      <c r="B126" s="4">
        <v>2982513</v>
      </c>
      <c r="C126" s="4">
        <v>364529</v>
      </c>
      <c r="D126" s="5">
        <v>10.64934373190516</v>
      </c>
    </row>
    <row r="150" spans="1:1">
      <c r="A150" s="7" t="s">
        <v>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35.7109375" customWidth="1"/>
    <col min="2" max="10" width="14.7109375" customWidth="1"/>
  </cols>
  <sheetData>
    <row r="1" spans="1:10">
      <c r="A1" s="6" t="s">
        <v>162</v>
      </c>
    </row>
    <row r="2" spans="1:10">
      <c r="A2" s="7" t="s">
        <v>163</v>
      </c>
    </row>
    <row r="3" spans="1:10">
      <c r="A3" s="2"/>
      <c r="B3" s="2" t="s">
        <v>90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170</v>
      </c>
      <c r="J3" s="2" t="s">
        <v>171</v>
      </c>
    </row>
    <row r="4" spans="1:10">
      <c r="A4" s="3" t="s">
        <v>90</v>
      </c>
      <c r="B4" s="8">
        <v>1</v>
      </c>
      <c r="C4" s="8">
        <v>0.9786096256684492</v>
      </c>
      <c r="D4" s="8">
        <v>0.1149732620320856</v>
      </c>
      <c r="E4" s="8">
        <v>0.8439171122994652</v>
      </c>
      <c r="F4" s="8">
        <v>0.7443181818181818</v>
      </c>
      <c r="G4" s="8">
        <v>0.7697192513368984</v>
      </c>
      <c r="H4" s="8">
        <v>0.1356951871657754</v>
      </c>
      <c r="I4" s="8">
        <v>-0.2182486631016043</v>
      </c>
      <c r="J4" s="8">
        <v>-0.3465909090909091</v>
      </c>
    </row>
    <row r="5" spans="1:10">
      <c r="A5" s="3" t="s">
        <v>164</v>
      </c>
      <c r="B5" s="8">
        <v>0.9786096256684492</v>
      </c>
      <c r="C5" s="8">
        <v>1</v>
      </c>
      <c r="D5" s="8">
        <v>0.1079545454545455</v>
      </c>
      <c r="E5" s="8">
        <v>0.8061497326203209</v>
      </c>
      <c r="F5" s="8">
        <v>0.7042112299465241</v>
      </c>
      <c r="G5" s="8">
        <v>0.7710561497326203</v>
      </c>
      <c r="H5" s="8">
        <v>0.01838235294117647</v>
      </c>
      <c r="I5" s="8">
        <v>-0.2643716577540107</v>
      </c>
      <c r="J5" s="8">
        <v>-0.304144385026738</v>
      </c>
    </row>
    <row r="6" spans="1:10">
      <c r="A6" s="3" t="s">
        <v>165</v>
      </c>
      <c r="B6" s="8">
        <v>0.1149732620320856</v>
      </c>
      <c r="C6" s="8">
        <v>0.1079545454545455</v>
      </c>
      <c r="D6" s="8">
        <v>1</v>
      </c>
      <c r="E6" s="8">
        <v>0.170120320855615</v>
      </c>
      <c r="F6" s="8">
        <v>0.3599598930481284</v>
      </c>
      <c r="G6" s="8">
        <v>0.2977941176470588</v>
      </c>
      <c r="H6" s="8">
        <v>0.6651069518716578</v>
      </c>
      <c r="I6" s="8">
        <v>0.8312165775401069</v>
      </c>
      <c r="J6" s="8">
        <v>-0.09792780748663102</v>
      </c>
    </row>
    <row r="7" spans="1:10">
      <c r="A7" s="3" t="s">
        <v>166</v>
      </c>
      <c r="B7" s="8">
        <v>0.8439171122994652</v>
      </c>
      <c r="C7" s="8">
        <v>0.8061497326203209</v>
      </c>
      <c r="D7" s="8">
        <v>0.170120320855615</v>
      </c>
      <c r="E7" s="8">
        <v>1</v>
      </c>
      <c r="F7" s="8">
        <v>0.7513368983957219</v>
      </c>
      <c r="G7" s="8">
        <v>0.920120320855615</v>
      </c>
      <c r="H7" s="8">
        <v>0.2576871657754011</v>
      </c>
      <c r="I7" s="8">
        <v>-0.05681818181818182</v>
      </c>
      <c r="J7" s="8">
        <v>-0.7456550802139037</v>
      </c>
    </row>
    <row r="8" spans="1:10">
      <c r="A8" s="3" t="s">
        <v>167</v>
      </c>
      <c r="B8" s="8">
        <v>0.7443181818181818</v>
      </c>
      <c r="C8" s="8">
        <v>0.7042112299465241</v>
      </c>
      <c r="D8" s="8">
        <v>0.3599598930481284</v>
      </c>
      <c r="E8" s="8">
        <v>0.7513368983957219</v>
      </c>
      <c r="F8" s="8">
        <v>1</v>
      </c>
      <c r="G8" s="8">
        <v>0.6991978609625669</v>
      </c>
      <c r="H8" s="8">
        <v>0.4144385026737968</v>
      </c>
      <c r="I8" s="8">
        <v>0.1804812834224599</v>
      </c>
      <c r="J8" s="8">
        <v>-0.5835561497326203</v>
      </c>
    </row>
    <row r="9" spans="1:10">
      <c r="A9" s="3" t="s">
        <v>168</v>
      </c>
      <c r="B9" s="8">
        <v>0.7697192513368984</v>
      </c>
      <c r="C9" s="8">
        <v>0.7710561497326203</v>
      </c>
      <c r="D9" s="8">
        <v>0.2977941176470588</v>
      </c>
      <c r="E9" s="8">
        <v>0.920120320855615</v>
      </c>
      <c r="F9" s="8">
        <v>0.6991978609625669</v>
      </c>
      <c r="G9" s="8">
        <v>1</v>
      </c>
      <c r="H9" s="8">
        <v>0.1985294117647059</v>
      </c>
      <c r="I9" s="8">
        <v>0.008355614973262033</v>
      </c>
      <c r="J9" s="8">
        <v>-0.6500668449197861</v>
      </c>
    </row>
    <row r="10" spans="1:10">
      <c r="A10" s="3" t="s">
        <v>169</v>
      </c>
      <c r="B10" s="8">
        <v>0.1356951871657754</v>
      </c>
      <c r="C10" s="8">
        <v>0.01838235294117647</v>
      </c>
      <c r="D10" s="8">
        <v>0.6651069518716578</v>
      </c>
      <c r="E10" s="8">
        <v>0.2576871657754011</v>
      </c>
      <c r="F10" s="8">
        <v>0.4144385026737968</v>
      </c>
      <c r="G10" s="8">
        <v>0.1985294117647059</v>
      </c>
      <c r="H10" s="8">
        <v>1</v>
      </c>
      <c r="I10" s="8">
        <v>0.7466577540106952</v>
      </c>
      <c r="J10" s="8">
        <v>-0.303475935828877</v>
      </c>
    </row>
    <row r="11" spans="1:10">
      <c r="A11" s="3" t="s">
        <v>170</v>
      </c>
      <c r="B11" s="8">
        <v>-0.2182486631016043</v>
      </c>
      <c r="C11" s="8">
        <v>-0.2643716577540107</v>
      </c>
      <c r="D11" s="8">
        <v>0.8312165775401069</v>
      </c>
      <c r="E11" s="8">
        <v>-0.05681818181818182</v>
      </c>
      <c r="F11" s="8">
        <v>0.1804812834224599</v>
      </c>
      <c r="G11" s="8">
        <v>0.008355614973262033</v>
      </c>
      <c r="H11" s="8">
        <v>0.7466577540106952</v>
      </c>
      <c r="I11" s="8">
        <v>1</v>
      </c>
      <c r="J11" s="8">
        <v>-0.1270053475935829</v>
      </c>
    </row>
    <row r="12" spans="1:10">
      <c r="A12" s="3" t="s">
        <v>171</v>
      </c>
      <c r="B12" s="8">
        <v>-0.3465909090909091</v>
      </c>
      <c r="C12" s="8">
        <v>-0.304144385026738</v>
      </c>
      <c r="D12" s="8">
        <v>-0.09792780748663102</v>
      </c>
      <c r="E12" s="8">
        <v>-0.7456550802139037</v>
      </c>
      <c r="F12" s="8">
        <v>-0.5835561497326203</v>
      </c>
      <c r="G12" s="8">
        <v>-0.6500668449197861</v>
      </c>
      <c r="H12" s="8">
        <v>-0.303475935828877</v>
      </c>
      <c r="I12" s="8">
        <v>-0.1270053475935829</v>
      </c>
      <c r="J12" s="8">
        <v>1</v>
      </c>
    </row>
    <row r="15" spans="1:10">
      <c r="A15" s="6" t="s">
        <v>172</v>
      </c>
    </row>
    <row r="16" spans="1:10">
      <c r="A16" s="7" t="s">
        <v>173</v>
      </c>
    </row>
    <row r="17" spans="1:10">
      <c r="A17" s="2"/>
      <c r="B17" s="2" t="s">
        <v>90</v>
      </c>
      <c r="C17" s="2" t="s">
        <v>164</v>
      </c>
      <c r="D17" s="2" t="s">
        <v>165</v>
      </c>
      <c r="E17" s="2" t="s">
        <v>166</v>
      </c>
      <c r="F17" s="2" t="s">
        <v>167</v>
      </c>
      <c r="G17" s="2" t="s">
        <v>168</v>
      </c>
      <c r="H17" s="2" t="s">
        <v>169</v>
      </c>
      <c r="I17" s="2" t="s">
        <v>170</v>
      </c>
      <c r="J17" s="2" t="s">
        <v>171</v>
      </c>
    </row>
    <row r="18" spans="1:10">
      <c r="A18" s="3" t="s">
        <v>90</v>
      </c>
      <c r="B18" s="9">
        <v>1</v>
      </c>
      <c r="C18" s="9">
        <v>7.615053178208727E-27</v>
      </c>
      <c r="D18" s="9">
        <v>0.2489214099746236</v>
      </c>
      <c r="E18" s="9">
        <v>6.241227696657421E-14</v>
      </c>
      <c r="F18" s="9">
        <v>1.137784341163278E-09</v>
      </c>
      <c r="G18" s="9">
        <v>1.641676736165625E-07</v>
      </c>
      <c r="H18" s="9">
        <v>0.2535051266973358</v>
      </c>
      <c r="I18" s="9">
        <v>0.6383129562096617</v>
      </c>
      <c r="J18" s="9">
        <v>0.1014936718137329</v>
      </c>
    </row>
    <row r="19" spans="1:10">
      <c r="A19" s="3" t="s">
        <v>164</v>
      </c>
      <c r="B19" s="9">
        <v>7.615053178208727E-27</v>
      </c>
      <c r="C19" s="9">
        <v>1</v>
      </c>
      <c r="D19" s="9">
        <v>0.3241391618686015</v>
      </c>
      <c r="E19" s="9">
        <v>1.031710985241109E-10</v>
      </c>
      <c r="F19" s="9">
        <v>2.806412103058108E-07</v>
      </c>
      <c r="G19" s="9">
        <v>1.515282464371052E-07</v>
      </c>
      <c r="H19" s="9">
        <v>0.5754646078975392</v>
      </c>
      <c r="I19" s="9">
        <v>0.3392984400820844</v>
      </c>
      <c r="J19" s="9">
        <v>0.05671274199281031</v>
      </c>
    </row>
    <row r="20" spans="1:10">
      <c r="A20" s="3" t="s">
        <v>165</v>
      </c>
      <c r="B20" s="9">
        <v>0.2489214099746236</v>
      </c>
      <c r="C20" s="9">
        <v>0.3241391618686015</v>
      </c>
      <c r="D20" s="9">
        <v>1</v>
      </c>
      <c r="E20" s="9">
        <v>0.1664292621183998</v>
      </c>
      <c r="F20" s="9">
        <v>0.01207223609765524</v>
      </c>
      <c r="G20" s="9">
        <v>0.09234282405876892</v>
      </c>
      <c r="H20" s="9">
        <v>9.946469675241496E-06</v>
      </c>
      <c r="I20" s="9">
        <v>1.229783408685032E-10</v>
      </c>
      <c r="J20" s="9">
        <v>0.402584325604431</v>
      </c>
    </row>
    <row r="21" spans="1:10">
      <c r="A21" s="3" t="s">
        <v>166</v>
      </c>
      <c r="B21" s="9">
        <v>6.241227696657421E-14</v>
      </c>
      <c r="C21" s="9">
        <v>1.031710985241109E-10</v>
      </c>
      <c r="D21" s="9">
        <v>0.1664292621183998</v>
      </c>
      <c r="E21" s="9">
        <v>1</v>
      </c>
      <c r="F21" s="9">
        <v>4.419266011896543E-10</v>
      </c>
      <c r="G21" s="9">
        <v>3.680544668578867E-14</v>
      </c>
      <c r="H21" s="9">
        <v>0.0829604705742028</v>
      </c>
      <c r="I21" s="9">
        <v>0.8106196195737553</v>
      </c>
      <c r="J21" s="9">
        <v>0.0001335447345766682</v>
      </c>
    </row>
    <row r="22" spans="1:10">
      <c r="A22" s="3" t="s">
        <v>167</v>
      </c>
      <c r="B22" s="9">
        <v>1.137784341163278E-09</v>
      </c>
      <c r="C22" s="9">
        <v>2.806412103058108E-07</v>
      </c>
      <c r="D22" s="9">
        <v>0.01207223609765524</v>
      </c>
      <c r="E22" s="9">
        <v>4.419266011896543E-10</v>
      </c>
      <c r="F22" s="9">
        <v>1</v>
      </c>
      <c r="G22" s="9">
        <v>5.990051870637366E-06</v>
      </c>
      <c r="H22" s="9">
        <v>0.00511963484135626</v>
      </c>
      <c r="I22" s="9">
        <v>0.1232282237373969</v>
      </c>
      <c r="J22" s="9">
        <v>0.002106432460103524</v>
      </c>
    </row>
    <row r="23" spans="1:10">
      <c r="A23" s="3" t="s">
        <v>168</v>
      </c>
      <c r="B23" s="9">
        <v>1.641676736165625E-07</v>
      </c>
      <c r="C23" s="9">
        <v>1.515282464371052E-07</v>
      </c>
      <c r="D23" s="9">
        <v>0.09234282405876892</v>
      </c>
      <c r="E23" s="9">
        <v>3.680544668578867E-14</v>
      </c>
      <c r="F23" s="9">
        <v>5.990051870637366E-06</v>
      </c>
      <c r="G23" s="9">
        <v>1</v>
      </c>
      <c r="H23" s="9">
        <v>0.2680520068083982</v>
      </c>
      <c r="I23" s="9">
        <v>0.9631912536997344</v>
      </c>
      <c r="J23" s="9">
        <v>4.230013060692897E-05</v>
      </c>
    </row>
    <row r="24" spans="1:10">
      <c r="A24" s="3" t="s">
        <v>169</v>
      </c>
      <c r="B24" s="9">
        <v>0.2535051266973358</v>
      </c>
      <c r="C24" s="9">
        <v>0.5754646078975392</v>
      </c>
      <c r="D24" s="9">
        <v>9.946469675241496E-06</v>
      </c>
      <c r="E24" s="9">
        <v>0.0829604705742028</v>
      </c>
      <c r="F24" s="9">
        <v>0.00511963484135626</v>
      </c>
      <c r="G24" s="9">
        <v>0.2680520068083982</v>
      </c>
      <c r="H24" s="9">
        <v>1</v>
      </c>
      <c r="I24" s="9">
        <v>6.748854396812832E-08</v>
      </c>
      <c r="J24" s="9">
        <v>0.03953996622273372</v>
      </c>
    </row>
    <row r="25" spans="1:10">
      <c r="A25" s="3" t="s">
        <v>170</v>
      </c>
      <c r="B25" s="9">
        <v>0.6383129562096617</v>
      </c>
      <c r="C25" s="9">
        <v>0.3392984400820844</v>
      </c>
      <c r="D25" s="9">
        <v>1.229783408685032E-10</v>
      </c>
      <c r="E25" s="9">
        <v>0.8106196195737553</v>
      </c>
      <c r="F25" s="9">
        <v>0.1232282237373969</v>
      </c>
      <c r="G25" s="9">
        <v>0.9631912536997344</v>
      </c>
      <c r="H25" s="9">
        <v>6.748854396812832E-08</v>
      </c>
      <c r="I25" s="9">
        <v>1</v>
      </c>
      <c r="J25" s="9">
        <v>0.2079038434384862</v>
      </c>
    </row>
    <row r="26" spans="1:10">
      <c r="A26" s="3" t="s">
        <v>171</v>
      </c>
      <c r="B26" s="9">
        <v>0.1014936718137329</v>
      </c>
      <c r="C26" s="9">
        <v>0.05671274199281031</v>
      </c>
      <c r="D26" s="9">
        <v>0.402584325604431</v>
      </c>
      <c r="E26" s="9">
        <v>0.0001335447345766682</v>
      </c>
      <c r="F26" s="9">
        <v>0.002106432460103524</v>
      </c>
      <c r="G26" s="9">
        <v>4.230013060692897E-05</v>
      </c>
      <c r="H26" s="9">
        <v>0.03953996622273372</v>
      </c>
      <c r="I26" s="9">
        <v>0.2079038434384862</v>
      </c>
      <c r="J26" s="9">
        <v>1</v>
      </c>
    </row>
  </sheetData>
  <conditionalFormatting sqref="B18:J26">
    <cfRule type="cellIs" dxfId="0" priority="2" operator="lessThan">
      <formula>0.05</formula>
    </cfRule>
  </conditionalFormatting>
  <conditionalFormatting sqref="B4:J12">
    <cfRule type="colorScale" priority="1">
      <colorScale>
        <cfvo type="num" val="-1"/>
        <cfvo type="num" val="0"/>
        <cfvo type="num" val="1"/>
        <color rgb="FF2166AC"/>
        <color rgb="FFFFFFFF"/>
        <color rgb="FFB2182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cols>
    <col min="1" max="1" width="30.7109375" customWidth="1"/>
    <col min="2" max="2" width="55.7109375" customWidth="1"/>
    <col min="3" max="3" width="40.7109375" customWidth="1"/>
    <col min="4" max="4" width="6.7109375" customWidth="1"/>
    <col min="5" max="6" width="12.7109375" customWidth="1"/>
    <col min="7" max="7" width="20.7109375" customWidth="1"/>
    <col min="8" max="8" width="90.7109375" customWidth="1"/>
  </cols>
  <sheetData>
    <row r="1" spans="1:8">
      <c r="A1" t="s">
        <v>10</v>
      </c>
      <c r="B1" t="s">
        <v>174</v>
      </c>
      <c r="C1" t="s">
        <v>175</v>
      </c>
      <c r="D1" t="s">
        <v>131</v>
      </c>
      <c r="E1" t="s">
        <v>176</v>
      </c>
      <c r="F1" t="s">
        <v>177</v>
      </c>
      <c r="G1" t="s">
        <v>178</v>
      </c>
      <c r="H1" t="s">
        <v>179</v>
      </c>
    </row>
    <row r="2" spans="1:8">
      <c r="A2" t="s">
        <v>180</v>
      </c>
      <c r="B2" t="s">
        <v>184</v>
      </c>
      <c r="C2" t="s">
        <v>188</v>
      </c>
      <c r="D2">
        <v>29</v>
      </c>
      <c r="E2" t="s">
        <v>189</v>
      </c>
      <c r="F2">
        <v>9E-06</v>
      </c>
      <c r="G2" t="s">
        <v>193</v>
      </c>
      <c r="H2" t="s">
        <v>195</v>
      </c>
    </row>
    <row r="3" spans="1:8">
      <c r="A3" t="s">
        <v>181</v>
      </c>
      <c r="B3" t="s">
        <v>185</v>
      </c>
      <c r="C3" t="s">
        <v>17</v>
      </c>
      <c r="D3">
        <v>37</v>
      </c>
      <c r="E3" t="s">
        <v>190</v>
      </c>
      <c r="F3">
        <v>0.638313</v>
      </c>
      <c r="G3" t="s">
        <v>194</v>
      </c>
      <c r="H3" t="s">
        <v>196</v>
      </c>
    </row>
    <row r="4" spans="1:8">
      <c r="A4" t="s">
        <v>182</v>
      </c>
      <c r="B4" t="s">
        <v>186</v>
      </c>
      <c r="C4" t="s">
        <v>17</v>
      </c>
      <c r="D4">
        <v>36</v>
      </c>
      <c r="E4" t="s">
        <v>191</v>
      </c>
      <c r="F4">
        <v>0.253505</v>
      </c>
      <c r="G4" t="s">
        <v>194</v>
      </c>
      <c r="H4" t="s">
        <v>197</v>
      </c>
    </row>
    <row r="5" spans="1:8">
      <c r="A5" t="s">
        <v>183</v>
      </c>
      <c r="B5" t="s">
        <v>187</v>
      </c>
      <c r="C5" t="s">
        <v>17</v>
      </c>
      <c r="D5">
        <v>25</v>
      </c>
      <c r="E5" t="s">
        <v>192</v>
      </c>
      <c r="F5">
        <v>0.114283</v>
      </c>
      <c r="G5" t="s">
        <v>194</v>
      </c>
      <c r="H5" t="s">
        <v>198</v>
      </c>
    </row>
    <row r="9" spans="1:8">
      <c r="A9" s="7" t="s">
        <v>199</v>
      </c>
      <c r="D9" s="7" t="s">
        <v>201</v>
      </c>
      <c r="G9" s="7" t="s">
        <v>202</v>
      </c>
    </row>
    <row r="10" spans="1:8">
      <c r="A10" s="2" t="s">
        <v>200</v>
      </c>
      <c r="B10" s="2" t="s">
        <v>116</v>
      </c>
      <c r="D10" s="2" t="s">
        <v>200</v>
      </c>
      <c r="E10" s="2" t="s">
        <v>117</v>
      </c>
      <c r="G10" s="2" t="s">
        <v>203</v>
      </c>
      <c r="H10" s="2" t="s">
        <v>204</v>
      </c>
    </row>
    <row r="11" spans="1:8">
      <c r="A11" s="4">
        <v>382870</v>
      </c>
      <c r="B11" s="5">
        <v>-5.004831927286024</v>
      </c>
      <c r="D11" s="4">
        <v>382870</v>
      </c>
      <c r="E11" s="5">
        <v>55.89547365946665</v>
      </c>
      <c r="G11" s="5">
        <v>54.63316530415023</v>
      </c>
      <c r="H11" s="5">
        <v>119.9197951831796</v>
      </c>
    </row>
    <row r="12" spans="1:8">
      <c r="A12" s="4">
        <v>592044</v>
      </c>
      <c r="B12" s="5">
        <v>-31.55272243279216</v>
      </c>
      <c r="D12" s="4">
        <v>592044</v>
      </c>
      <c r="E12" s="5">
        <v>115.2806210349231</v>
      </c>
      <c r="G12" s="5">
        <v>22.05917127781043</v>
      </c>
      <c r="H12" s="5">
        <v>77.56681021160861</v>
      </c>
    </row>
    <row r="13" spans="1:8">
      <c r="A13" s="4">
        <v>722644</v>
      </c>
      <c r="B13" s="5">
        <v>-8.003664321574663</v>
      </c>
      <c r="D13" s="4">
        <v>722644</v>
      </c>
      <c r="E13" s="5">
        <v>94.79176468634624</v>
      </c>
      <c r="G13" s="5">
        <v>33.90618340427651</v>
      </c>
      <c r="H13" s="5">
        <v>-8.643107039458798</v>
      </c>
    </row>
    <row r="14" spans="1:8">
      <c r="A14" s="4">
        <v>967665</v>
      </c>
      <c r="B14" s="5">
        <v>-5.94275911601639</v>
      </c>
      <c r="D14" s="4">
        <v>967665</v>
      </c>
      <c r="E14" s="5">
        <v>101.6530514175877</v>
      </c>
      <c r="G14" s="5">
        <v>20.29018306955404</v>
      </c>
      <c r="H14" s="5">
        <v>75.00317540962784</v>
      </c>
    </row>
    <row r="15" spans="1:8">
      <c r="A15" s="4">
        <v>1164006</v>
      </c>
      <c r="B15" s="5">
        <v>4.580045120042336</v>
      </c>
      <c r="D15" s="4">
        <v>1164006</v>
      </c>
      <c r="E15" s="5">
        <v>89.35065626809484</v>
      </c>
      <c r="G15" s="5">
        <v>-1.424972445284212</v>
      </c>
      <c r="H15" s="5">
        <v>19.41747572815533</v>
      </c>
    </row>
    <row r="16" spans="1:8">
      <c r="A16" s="4">
        <v>829</v>
      </c>
      <c r="B16" s="5">
        <v>-10.73582629674307</v>
      </c>
      <c r="D16" s="4">
        <v>829</v>
      </c>
      <c r="E16" s="5">
        <v>102.5331724969843</v>
      </c>
      <c r="G16" s="5">
        <v>117.7397023191416</v>
      </c>
      <c r="H16" s="5">
        <v>37.33576552370153</v>
      </c>
    </row>
    <row r="17" spans="1:8">
      <c r="A17" s="4">
        <v>2310</v>
      </c>
      <c r="B17" s="5">
        <v>15.19480519480519</v>
      </c>
      <c r="D17" s="4">
        <v>2310</v>
      </c>
      <c r="E17" s="5">
        <v>85.28138528138528</v>
      </c>
      <c r="G17" s="5">
        <v>12.27200680765113</v>
      </c>
      <c r="H17" s="5">
        <v>80.19851740168362</v>
      </c>
    </row>
    <row r="18" spans="1:8">
      <c r="A18" s="4">
        <v>9174</v>
      </c>
      <c r="B18" s="5">
        <v>1.264442991061696</v>
      </c>
      <c r="D18" s="4">
        <v>9174</v>
      </c>
      <c r="E18" s="5">
        <v>93.76498800959233</v>
      </c>
      <c r="G18" s="5">
        <v>0.4926621245689766</v>
      </c>
      <c r="H18" s="5">
        <v>-46.61334342689803</v>
      </c>
    </row>
    <row r="19" spans="1:8">
      <c r="A19" s="4">
        <v>12702</v>
      </c>
      <c r="B19" s="5">
        <v>20.74476460399937</v>
      </c>
      <c r="D19" s="4">
        <v>12702</v>
      </c>
      <c r="E19" s="5">
        <v>76.6965832152417</v>
      </c>
      <c r="G19" s="5">
        <v>10.40002983750989</v>
      </c>
      <c r="H19" s="5">
        <v>40.64220012314122</v>
      </c>
    </row>
    <row r="20" spans="1:8">
      <c r="A20" s="4">
        <v>12521</v>
      </c>
      <c r="B20" s="5">
        <v>7.179937704656178</v>
      </c>
      <c r="D20" s="4">
        <v>12521</v>
      </c>
      <c r="E20" s="5">
        <v>95.80704416580146</v>
      </c>
      <c r="G20" s="5">
        <v>14.89002255307463</v>
      </c>
      <c r="H20" s="5">
        <v>-24.14437733678458</v>
      </c>
    </row>
    <row r="21" spans="1:8">
      <c r="A21" s="4">
        <v>30327</v>
      </c>
      <c r="B21" s="5">
        <v>10.11639792923797</v>
      </c>
      <c r="D21" s="4">
        <v>30327</v>
      </c>
      <c r="E21" s="5">
        <v>98.55244501599235</v>
      </c>
      <c r="G21" s="5">
        <v>16.4266622239285</v>
      </c>
      <c r="H21" s="5">
        <v>21.99052132701422</v>
      </c>
    </row>
    <row r="22" spans="1:8">
      <c r="A22" s="4">
        <v>98226</v>
      </c>
      <c r="B22" s="5">
        <v>-6.298739641235517</v>
      </c>
      <c r="D22" s="4">
        <v>98226</v>
      </c>
      <c r="E22" s="5">
        <v>103.1590413943355</v>
      </c>
      <c r="G22" s="5">
        <v>18.54875085935774</v>
      </c>
      <c r="H22" s="5">
        <v>-9.48082220809493</v>
      </c>
    </row>
    <row r="23" spans="1:8">
      <c r="A23" s="4">
        <v>213877</v>
      </c>
      <c r="B23" s="5">
        <v>8.405765930885508</v>
      </c>
      <c r="D23" s="4">
        <v>213877</v>
      </c>
      <c r="E23" s="5">
        <v>87.62513033191975</v>
      </c>
      <c r="G23" s="5">
        <v>-4.34519061214208</v>
      </c>
      <c r="H23" s="5">
        <v>68.6378250148266</v>
      </c>
    </row>
    <row r="24" spans="1:8">
      <c r="A24" s="4">
        <v>240124</v>
      </c>
      <c r="B24" s="5">
        <v>1.063617131148906</v>
      </c>
      <c r="D24" s="4">
        <v>240124</v>
      </c>
      <c r="E24" s="5">
        <v>92.89991837550599</v>
      </c>
      <c r="G24" s="5">
        <v>30.47037293500841</v>
      </c>
      <c r="H24" s="5">
        <v>55.90551181102362</v>
      </c>
    </row>
    <row r="25" spans="1:8">
      <c r="A25" s="4">
        <v>241307</v>
      </c>
      <c r="B25" s="5">
        <v>4.086495625903932</v>
      </c>
      <c r="D25" s="4">
        <v>241307</v>
      </c>
      <c r="E25" s="5">
        <v>90.77689416386595</v>
      </c>
      <c r="G25" s="5">
        <v>60.13230471785735</v>
      </c>
      <c r="H25" s="5">
        <v>891.9191919191919</v>
      </c>
    </row>
    <row r="26" spans="1:8">
      <c r="A26" s="4">
        <v>266403</v>
      </c>
      <c r="B26" s="5">
        <v>1.484968262369418</v>
      </c>
      <c r="D26" s="4">
        <v>266403</v>
      </c>
      <c r="E26" s="5">
        <v>95.58413381230692</v>
      </c>
      <c r="G26" s="5">
        <v>97.70007457298091</v>
      </c>
      <c r="H26" s="5">
        <v>1540.885947046843</v>
      </c>
    </row>
    <row r="27" spans="1:8">
      <c r="A27" s="4">
        <v>240322</v>
      </c>
      <c r="B27" s="5">
        <v>11.04684548231123</v>
      </c>
      <c r="D27" s="4">
        <v>240322</v>
      </c>
      <c r="E27" s="5">
        <v>81.33171328467638</v>
      </c>
      <c r="G27" s="5">
        <v>37.29216436453338</v>
      </c>
      <c r="H27" s="5">
        <v>-61.00474757191174</v>
      </c>
    </row>
    <row r="28" spans="1:8">
      <c r="A28" s="4">
        <v>276106</v>
      </c>
      <c r="B28" s="5">
        <v>12.84723982818193</v>
      </c>
      <c r="D28" s="4">
        <v>276106</v>
      </c>
      <c r="E28" s="5">
        <v>80.97035196627382</v>
      </c>
      <c r="G28" s="5">
        <v>65.76966357533662</v>
      </c>
      <c r="H28" s="5">
        <v>68.11490125673249</v>
      </c>
    </row>
    <row r="29" spans="1:8">
      <c r="A29" s="4">
        <v>321461</v>
      </c>
      <c r="B29" s="5">
        <v>16.60699120577613</v>
      </c>
      <c r="D29" s="4">
        <v>321461</v>
      </c>
      <c r="E29" s="5">
        <v>70.25206790248274</v>
      </c>
      <c r="G29" s="5">
        <v>93.74305076017369</v>
      </c>
      <c r="H29" s="5">
        <v>115.2178556172576</v>
      </c>
    </row>
    <row r="30" spans="1:8">
      <c r="A30" s="4">
        <v>381088</v>
      </c>
      <c r="B30" s="5">
        <v>18.32411411537493</v>
      </c>
      <c r="D30" s="4">
        <v>381088</v>
      </c>
      <c r="E30" s="5">
        <v>77.52959946259132</v>
      </c>
      <c r="G30" s="5">
        <v>31.7501933114247</v>
      </c>
      <c r="H30" s="5">
        <v>-47.6256636729023</v>
      </c>
    </row>
    <row r="31" spans="1:8">
      <c r="A31" s="4">
        <v>364529</v>
      </c>
      <c r="B31" s="5">
        <v>5.614642456430078</v>
      </c>
      <c r="D31" s="4">
        <v>364529</v>
      </c>
      <c r="E31" s="5">
        <v>94.5019463472042</v>
      </c>
      <c r="G31" s="5">
        <v>80.07189560464754</v>
      </c>
      <c r="H31" s="5">
        <v>100.2321174798674</v>
      </c>
    </row>
    <row r="32" spans="1:8">
      <c r="A32" s="4">
        <v>40436</v>
      </c>
      <c r="B32" s="5">
        <v>9.491542190127609</v>
      </c>
      <c r="D32" s="4">
        <v>40436</v>
      </c>
      <c r="E32" s="5">
        <v>89.45494114155703</v>
      </c>
      <c r="G32" s="5">
        <v>42.83872336605707</v>
      </c>
      <c r="H32" s="5">
        <v>-0.7052387310888419</v>
      </c>
    </row>
    <row r="33" spans="1:8">
      <c r="A33" s="4">
        <v>52757</v>
      </c>
      <c r="B33" s="5">
        <v>9.037663248478875</v>
      </c>
      <c r="D33" s="4">
        <v>52757</v>
      </c>
      <c r="E33" s="5">
        <v>89.95773072767594</v>
      </c>
      <c r="G33" s="5">
        <v>55.47830160652665</v>
      </c>
      <c r="H33" s="5">
        <v>-2.100714164479778</v>
      </c>
    </row>
    <row r="34" spans="1:8">
      <c r="A34" s="4">
        <v>84481</v>
      </c>
      <c r="B34" s="5">
        <v>9.004391519986743</v>
      </c>
      <c r="D34" s="4">
        <v>84481</v>
      </c>
      <c r="E34" s="5">
        <v>89.71247972916987</v>
      </c>
      <c r="G34" s="5">
        <v>-13.31946807377004</v>
      </c>
      <c r="H34" s="5">
        <v>2.754587645364337</v>
      </c>
    </row>
    <row r="35" spans="1:8">
      <c r="A35" s="4">
        <v>167019</v>
      </c>
      <c r="B35" s="5">
        <v>32.17298630694712</v>
      </c>
      <c r="D35" s="4">
        <v>167019</v>
      </c>
      <c r="E35" s="5">
        <v>65.16803477448674</v>
      </c>
      <c r="G35" s="5">
        <v>134.4365077682868</v>
      </c>
      <c r="H35" s="5">
        <v>19.62829090389944</v>
      </c>
    </row>
    <row r="36" spans="1:8">
      <c r="A36" s="4">
        <v>229304</v>
      </c>
      <c r="B36" s="5">
        <v>7.575532917001011</v>
      </c>
      <c r="D36" s="4">
        <v>229304</v>
      </c>
      <c r="E36" s="5">
        <v>88.50652409029061</v>
      </c>
    </row>
    <row r="37" spans="1:8">
      <c r="A37" s="4">
        <v>51542</v>
      </c>
      <c r="B37" s="5">
        <v>-13.00686818516938</v>
      </c>
      <c r="D37" s="4">
        <v>51542</v>
      </c>
      <c r="E37" s="5">
        <v>109.3030926234915</v>
      </c>
    </row>
    <row r="38" spans="1:8">
      <c r="A38" s="4">
        <v>85441</v>
      </c>
      <c r="B38" s="5">
        <v>-3.432778174412753</v>
      </c>
      <c r="D38" s="4">
        <v>85441</v>
      </c>
      <c r="E38" s="5">
        <v>97.05527791107313</v>
      </c>
    </row>
    <row r="39" spans="1:8">
      <c r="A39" s="4">
        <v>165536</v>
      </c>
      <c r="B39" s="5">
        <v>-7.054054707133192</v>
      </c>
      <c r="D39" s="4">
        <v>165536</v>
      </c>
      <c r="E39" s="5">
        <v>100.3606466267156</v>
      </c>
    </row>
    <row r="40" spans="1:8">
      <c r="A40" s="4">
        <v>218094</v>
      </c>
      <c r="B40" s="5">
        <v>0.03897402037653489</v>
      </c>
      <c r="D40" s="4">
        <v>218094</v>
      </c>
      <c r="E40" s="5">
        <v>84.35491118508534</v>
      </c>
    </row>
    <row r="41" spans="1:8">
      <c r="A41" s="4">
        <v>392726</v>
      </c>
      <c r="B41" s="5">
        <v>0.0002546304548209184</v>
      </c>
      <c r="D41" s="4">
        <v>392726</v>
      </c>
      <c r="E41" s="5">
        <v>84.26791197934438</v>
      </c>
    </row>
    <row r="42" spans="1:8">
      <c r="A42" s="4">
        <v>122541</v>
      </c>
      <c r="B42" s="5">
        <v>24.65052513036453</v>
      </c>
      <c r="D42" s="4">
        <v>122541</v>
      </c>
      <c r="E42" s="5">
        <v>68.72148913424894</v>
      </c>
    </row>
    <row r="43" spans="1:8">
      <c r="A43" s="4">
        <v>175036</v>
      </c>
      <c r="B43" s="5">
        <v>22.86443931534085</v>
      </c>
      <c r="D43" s="4">
        <v>175036</v>
      </c>
      <c r="E43" s="5">
        <v>69.14177654882424</v>
      </c>
    </row>
    <row r="44" spans="1:8">
      <c r="A44" s="4">
        <v>272143</v>
      </c>
      <c r="B44" s="5">
        <v>16.80182845048375</v>
      </c>
      <c r="D44" s="4">
        <v>272143</v>
      </c>
      <c r="E44" s="5">
        <v>75.05759839496147</v>
      </c>
    </row>
    <row r="45" spans="1:8">
      <c r="A45" s="4">
        <v>235895</v>
      </c>
      <c r="B45" s="5">
        <v>8.526675003709277</v>
      </c>
      <c r="D45" s="4">
        <v>235895</v>
      </c>
      <c r="E45" s="5">
        <v>83.60584158205981</v>
      </c>
    </row>
    <row r="46" spans="1:8">
      <c r="A46" s="4">
        <v>553024</v>
      </c>
      <c r="B46" s="5">
        <v>14.86427352158315</v>
      </c>
      <c r="D46" s="4">
        <v>553024</v>
      </c>
      <c r="E46" s="5">
        <v>78.40780870269644</v>
      </c>
    </row>
    <row r="47" spans="1:8">
      <c r="A47" s="4">
        <v>43</v>
      </c>
      <c r="B47" s="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cols>
    <col min="1" max="1" width="45.7109375" customWidth="1"/>
    <col min="2" max="2" width="20.7109375" customWidth="1"/>
    <col min="3" max="3" width="22.7109375" customWidth="1"/>
  </cols>
  <sheetData>
    <row r="1" spans="1:3">
      <c r="A1" s="6" t="s">
        <v>205</v>
      </c>
    </row>
    <row r="2" spans="1:3">
      <c r="A2" s="2" t="s">
        <v>206</v>
      </c>
      <c r="B2" s="2" t="s">
        <v>207</v>
      </c>
    </row>
    <row r="3" spans="1:3">
      <c r="A3" s="3" t="s">
        <v>208</v>
      </c>
      <c r="B3" s="9">
        <v>-4.183</v>
      </c>
    </row>
    <row r="4" spans="1:3">
      <c r="A4" s="3" t="s">
        <v>209</v>
      </c>
      <c r="B4" s="9">
        <v>1.4026</v>
      </c>
    </row>
    <row r="5" spans="1:3">
      <c r="A5" s="3" t="s">
        <v>210</v>
      </c>
      <c r="B5" s="9">
        <v>1.3343</v>
      </c>
    </row>
    <row r="6" spans="1:3">
      <c r="A6" s="3" t="s">
        <v>211</v>
      </c>
      <c r="B6" s="9">
        <v>0.0315</v>
      </c>
    </row>
    <row r="7" spans="1:3">
      <c r="A7" s="3" t="s">
        <v>212</v>
      </c>
      <c r="B7" s="9">
        <v>0.300565</v>
      </c>
    </row>
    <row r="8" spans="1:3">
      <c r="A8" s="3" t="s">
        <v>131</v>
      </c>
      <c r="B8" s="9">
        <v>36</v>
      </c>
    </row>
    <row r="9" spans="1:3">
      <c r="A9" s="3" t="s">
        <v>213</v>
      </c>
      <c r="B9" s="9">
        <v>0.9706</v>
      </c>
    </row>
    <row r="10" spans="1:3">
      <c r="A10" s="3" t="s">
        <v>214</v>
      </c>
      <c r="B10" s="3" t="s">
        <v>215</v>
      </c>
    </row>
    <row r="13" spans="1:3">
      <c r="A13" s="7" t="s">
        <v>216</v>
      </c>
    </row>
    <row r="14" spans="1:3">
      <c r="A14" s="2" t="s">
        <v>217</v>
      </c>
      <c r="B14" s="2" t="s">
        <v>218</v>
      </c>
      <c r="C14" s="2" t="s">
        <v>219</v>
      </c>
    </row>
    <row r="15" spans="1:3">
      <c r="A15" s="8">
        <v>6.720220155135295</v>
      </c>
      <c r="B15" s="5">
        <v>-2.533172496984319</v>
      </c>
      <c r="C15" s="5">
        <v>5.24308054794338</v>
      </c>
    </row>
    <row r="16" spans="1:3">
      <c r="A16" s="8">
        <v>7.745002803515839</v>
      </c>
      <c r="B16" s="5">
        <v>14.71861471861472</v>
      </c>
      <c r="C16" s="5">
        <v>6.680483620306436</v>
      </c>
    </row>
    <row r="17" spans="1:3">
      <c r="A17" s="8">
        <v>9.124128675157117</v>
      </c>
      <c r="B17" s="5">
        <v>6.235011990407674</v>
      </c>
      <c r="C17" s="5">
        <v>8.614903341605636</v>
      </c>
    </row>
    <row r="18" spans="1:3">
      <c r="A18" s="8">
        <v>9.435162513668947</v>
      </c>
      <c r="B18" s="5">
        <v>4.192955834198546</v>
      </c>
      <c r="C18" s="5">
        <v>9.051172433195251</v>
      </c>
    </row>
    <row r="19" spans="1:3">
      <c r="A19" s="8">
        <v>9.44951474036292</v>
      </c>
      <c r="B19" s="5">
        <v>23.3034167847583</v>
      </c>
      <c r="C19" s="5">
        <v>9.071303467593392</v>
      </c>
    </row>
    <row r="20" spans="1:3">
      <c r="A20" s="8">
        <v>10.31979368382217</v>
      </c>
      <c r="B20" s="5">
        <v>1.44755498400765</v>
      </c>
      <c r="C20" s="5">
        <v>10.29199317103251</v>
      </c>
    </row>
    <row r="21" spans="1:3">
      <c r="A21" s="8">
        <v>10.60747575627395</v>
      </c>
      <c r="B21" s="5">
        <v>10.54505885844297</v>
      </c>
      <c r="C21" s="5">
        <v>10.69550809730437</v>
      </c>
    </row>
    <row r="22" spans="1:3">
      <c r="A22" s="8">
        <v>10.85015228826527</v>
      </c>
      <c r="B22" s="5">
        <v>-9.303092623491521</v>
      </c>
      <c r="C22" s="5">
        <v>11.03589636717406</v>
      </c>
    </row>
    <row r="23" spans="1:3">
      <c r="A23" s="8">
        <v>10.87345174395606</v>
      </c>
      <c r="B23" s="5">
        <v>10.04226927232405</v>
      </c>
      <c r="C23" s="5">
        <v>11.06857715977653</v>
      </c>
    </row>
    <row r="24" spans="1:3">
      <c r="A24" s="8">
        <v>11.34428193599124</v>
      </c>
      <c r="B24" s="5">
        <v>10.28752027083013</v>
      </c>
      <c r="C24" s="5">
        <v>11.72898331093664</v>
      </c>
    </row>
    <row r="25" spans="1:3">
      <c r="A25" s="8">
        <v>11.35558135824538</v>
      </c>
      <c r="B25" s="5">
        <v>2.944722088926861</v>
      </c>
      <c r="C25" s="5">
        <v>11.74483235394072</v>
      </c>
    </row>
    <row r="26" spans="1:3">
      <c r="A26" s="8">
        <v>11.4950262250824</v>
      </c>
      <c r="B26" s="5">
        <v>-3.159041394335512</v>
      </c>
      <c r="C26" s="5">
        <v>11.94042356572942</v>
      </c>
    </row>
    <row r="27" spans="1:3">
      <c r="A27" s="8">
        <v>11.71620094684697</v>
      </c>
      <c r="B27" s="5">
        <v>31.27851086575105</v>
      </c>
      <c r="C27" s="5">
        <v>12.25065249583069</v>
      </c>
    </row>
    <row r="28" spans="1:3">
      <c r="A28" s="8">
        <v>12.01694397280324</v>
      </c>
      <c r="B28" s="5">
        <v>-0.3606466267156389</v>
      </c>
      <c r="C28" s="5">
        <v>12.67248726263168</v>
      </c>
    </row>
    <row r="29" spans="1:3">
      <c r="A29" s="8">
        <v>12.02586285738239</v>
      </c>
      <c r="B29" s="5">
        <v>34.83196522551327</v>
      </c>
      <c r="C29" s="5">
        <v>12.68499726376839</v>
      </c>
    </row>
    <row r="30" spans="1:3">
      <c r="A30" s="8">
        <v>12.07274694603508</v>
      </c>
      <c r="B30" s="5">
        <v>30.85822345117576</v>
      </c>
      <c r="C30" s="5">
        <v>12.7507588505603</v>
      </c>
    </row>
    <row r="31" spans="1:3">
      <c r="A31" s="8">
        <v>12.27315636240735</v>
      </c>
      <c r="B31" s="5">
        <v>12.37486966808025</v>
      </c>
      <c r="C31" s="5">
        <v>13.03186149342727</v>
      </c>
    </row>
    <row r="32" spans="1:3">
      <c r="A32" s="8">
        <v>12.29268144149494</v>
      </c>
      <c r="B32" s="5">
        <v>15.64508881491467</v>
      </c>
      <c r="C32" s="5">
        <v>13.05924818729156</v>
      </c>
    </row>
    <row r="33" spans="1:3">
      <c r="A33" s="8">
        <v>12.34280391308983</v>
      </c>
      <c r="B33" s="5">
        <v>11.49347590970938</v>
      </c>
      <c r="C33" s="5">
        <v>13.12955206565912</v>
      </c>
    </row>
    <row r="34" spans="1:3">
      <c r="A34" s="8">
        <v>12.37114206974935</v>
      </c>
      <c r="B34" s="5">
        <v>16.39415841794019</v>
      </c>
      <c r="C34" s="5">
        <v>13.16930035131937</v>
      </c>
    </row>
    <row r="35" spans="1:3">
      <c r="A35" s="8">
        <v>12.38891073556453</v>
      </c>
      <c r="B35" s="5">
        <v>7.100081624494011</v>
      </c>
      <c r="C35" s="5">
        <v>13.19422342634888</v>
      </c>
    </row>
    <row r="36" spans="1:3">
      <c r="A36" s="8">
        <v>12.38973496976029</v>
      </c>
      <c r="B36" s="5">
        <v>18.66828671532361</v>
      </c>
      <c r="C36" s="5">
        <v>13.19537953176032</v>
      </c>
    </row>
    <row r="37" spans="1:3">
      <c r="A37" s="8">
        <v>12.39382526072406</v>
      </c>
      <c r="B37" s="5">
        <v>9.223105836134053</v>
      </c>
      <c r="C37" s="5">
        <v>13.20111674521477</v>
      </c>
    </row>
    <row r="38" spans="1:3">
      <c r="A38" s="8">
        <v>12.49276547884623</v>
      </c>
      <c r="B38" s="5">
        <v>4.415866187693082</v>
      </c>
      <c r="C38" s="5">
        <v>13.33989443991307</v>
      </c>
    </row>
    <row r="39" spans="1:3">
      <c r="A39" s="7" t="s">
        <v>220</v>
      </c>
      <c r="B39" s="5">
        <v>24.94240160503853</v>
      </c>
      <c r="C39" s="5">
        <v>13.36979520734609</v>
      </c>
    </row>
    <row r="40" spans="1:3">
      <c r="A40" s="8">
        <v>12.52854012893892</v>
      </c>
      <c r="B40" s="5">
        <v>19.02964803372618</v>
      </c>
      <c r="C40" s="5">
        <v>13.390073462789</v>
      </c>
    </row>
    <row r="41" spans="1:3">
      <c r="A41" s="8">
        <v>12.68063150892524</v>
      </c>
      <c r="B41" s="5">
        <v>29.74793209751727</v>
      </c>
      <c r="C41" s="5">
        <v>13.60340320370309</v>
      </c>
    </row>
    <row r="42" spans="1:3">
      <c r="A42" s="8">
        <v>12.80636138830856</v>
      </c>
      <c r="B42" s="5">
        <v>5.498053652795799</v>
      </c>
      <c r="C42" s="5">
        <v>13.77975719954701</v>
      </c>
    </row>
    <row r="43" spans="1:3">
      <c r="A43" s="8">
        <v>12.85078559856772</v>
      </c>
      <c r="B43" s="5">
        <v>22.47040053740868</v>
      </c>
      <c r="C43" s="5">
        <v>13.84206845785601</v>
      </c>
    </row>
    <row r="44" spans="1:3">
      <c r="A44" s="8">
        <v>12.85545078495741</v>
      </c>
      <c r="B44" s="5">
        <v>44.10452634053334</v>
      </c>
      <c r="C44" s="5">
        <v>13.84861204371813</v>
      </c>
    </row>
    <row r="45" spans="1:3">
      <c r="A45" s="8">
        <v>12.88086744667593</v>
      </c>
      <c r="B45" s="5">
        <v>15.73208802065562</v>
      </c>
      <c r="C45" s="5">
        <v>13.88426251818815</v>
      </c>
    </row>
    <row r="46" spans="1:3">
      <c r="A46" s="8">
        <v>13.22315667920107</v>
      </c>
      <c r="B46" s="5">
        <v>21.59219129730355</v>
      </c>
      <c r="C46" s="5">
        <v>14.36437173475807</v>
      </c>
    </row>
    <row r="47" spans="1:3">
      <c r="A47" s="8">
        <v>13.29133623542855</v>
      </c>
      <c r="B47" s="5">
        <v>-15.28062103492308</v>
      </c>
      <c r="C47" s="5">
        <v>14.46000323647075</v>
      </c>
    </row>
    <row r="48" spans="1:3">
      <c r="A48" s="8">
        <v>13.49067198706801</v>
      </c>
      <c r="B48" s="5">
        <v>5.208235313653749</v>
      </c>
      <c r="C48" s="5">
        <v>14.73959991220599</v>
      </c>
    </row>
    <row r="49" spans="1:3">
      <c r="A49" s="8">
        <v>13.78264123198099</v>
      </c>
      <c r="B49" s="5">
        <v>-1.653051417587698</v>
      </c>
      <c r="C49" s="5">
        <v>15.14912820616828</v>
      </c>
    </row>
    <row r="50" spans="1:3">
      <c r="A50" s="8">
        <v>13.96737806189941</v>
      </c>
      <c r="B50" s="5">
        <v>10.64934373190516</v>
      </c>
      <c r="C50" s="5">
        <v>15.40824782272597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1" width="40.7109375" customWidth="1"/>
    <col min="2" max="8" width="16.7109375" customWidth="1"/>
  </cols>
  <sheetData>
    <row r="1" spans="1:7">
      <c r="A1" s="6" t="s">
        <v>221</v>
      </c>
    </row>
    <row r="2" spans="1:7">
      <c r="A2" s="7" t="s">
        <v>222</v>
      </c>
    </row>
    <row r="3" spans="1:7">
      <c r="A3" s="2" t="s">
        <v>71</v>
      </c>
      <c r="B3" s="2" t="s">
        <v>223</v>
      </c>
      <c r="C3" s="2" t="s">
        <v>90</v>
      </c>
      <c r="D3" s="2" t="s">
        <v>115</v>
      </c>
      <c r="E3" s="2" t="s">
        <v>123</v>
      </c>
      <c r="F3" s="2" t="s">
        <v>121</v>
      </c>
      <c r="G3" s="2" t="s">
        <v>119</v>
      </c>
    </row>
    <row r="4" spans="1:7">
      <c r="A4" s="3" t="s">
        <v>103</v>
      </c>
      <c r="B4" s="3">
        <v>2</v>
      </c>
      <c r="C4" s="4">
        <v>1164006</v>
      </c>
      <c r="D4" s="5">
        <v>10.64934373190516</v>
      </c>
      <c r="E4" s="10">
        <v>3.912730426364406</v>
      </c>
      <c r="F4" s="5">
        <v>92.62770091296572</v>
      </c>
      <c r="G4" s="5">
        <v>4.766850873300794</v>
      </c>
    </row>
    <row r="5" spans="1:7">
      <c r="A5" s="3" t="s">
        <v>104</v>
      </c>
      <c r="B5" s="3">
        <v>0</v>
      </c>
      <c r="C5" s="4">
        <v>12521</v>
      </c>
      <c r="D5" s="5">
        <v>4.192955834198546</v>
      </c>
      <c r="E5" s="10">
        <v>1.447849213691027</v>
      </c>
      <c r="F5" s="5">
        <v>1.422294172062905</v>
      </c>
      <c r="G5" s="5">
        <v>11.6327474560592</v>
      </c>
    </row>
    <row r="6" spans="1:7">
      <c r="A6" s="3" t="s">
        <v>107</v>
      </c>
      <c r="B6" s="3">
        <v>0</v>
      </c>
      <c r="C6" s="4">
        <v>30327</v>
      </c>
      <c r="D6" s="5">
        <v>1.44755498400765</v>
      </c>
      <c r="E6" s="10">
        <v>5.993478260869566</v>
      </c>
      <c r="F6" s="5">
        <v>0.8102766798418972</v>
      </c>
      <c r="G6" s="5">
        <v>2.193675889328063</v>
      </c>
    </row>
    <row r="7" spans="1:7">
      <c r="A7" s="3" t="s">
        <v>108</v>
      </c>
      <c r="B7" s="3">
        <v>0</v>
      </c>
      <c r="C7" s="4">
        <v>266403</v>
      </c>
      <c r="D7" s="5">
        <v>4.415866187693082</v>
      </c>
      <c r="E7" s="10">
        <v>2.612255103841854</v>
      </c>
      <c r="F7" s="5">
        <v>73.91500460865643</v>
      </c>
      <c r="G7" s="5">
        <v>5.410758761350042</v>
      </c>
    </row>
    <row r="8" spans="1:7">
      <c r="A8" s="3" t="s">
        <v>109</v>
      </c>
      <c r="B8" s="3">
        <v>1</v>
      </c>
      <c r="C8" s="4">
        <v>364529</v>
      </c>
      <c r="D8" s="5">
        <v>5.498053652795799</v>
      </c>
      <c r="E8" s="10">
        <v>2.437603648424544</v>
      </c>
      <c r="F8" s="5">
        <v>72.25498849836838</v>
      </c>
      <c r="G8" s="5">
        <v>87.7975712833681</v>
      </c>
    </row>
    <row r="9" spans="1:7">
      <c r="A9" s="3" t="s">
        <v>110</v>
      </c>
      <c r="B9" s="3">
        <v>0</v>
      </c>
      <c r="C9" s="4">
        <v>229304</v>
      </c>
      <c r="D9" s="5">
        <v>11.49347590970938</v>
      </c>
      <c r="E9" s="10">
        <v>3.357256848362396</v>
      </c>
      <c r="F9" s="5">
        <v>18.39943778275574</v>
      </c>
      <c r="G9" s="5">
        <v>8.506464034201549</v>
      </c>
    </row>
    <row r="10" spans="1:7">
      <c r="A10" s="3" t="s">
        <v>111</v>
      </c>
      <c r="B10" s="3">
        <v>1</v>
      </c>
      <c r="C10" s="4">
        <v>392726</v>
      </c>
      <c r="D10" s="5">
        <v>15.73208802065562</v>
      </c>
      <c r="E10" s="10">
        <v>5.592316236151853</v>
      </c>
      <c r="F10" s="5">
        <v>60.18995813516361</v>
      </c>
      <c r="G10" s="5">
        <v>68.99438954233474</v>
      </c>
    </row>
    <row r="11" spans="1:7">
      <c r="A11" s="3" t="s">
        <v>112</v>
      </c>
      <c r="B11" s="3">
        <v>2</v>
      </c>
      <c r="C11" s="4">
        <v>553024</v>
      </c>
      <c r="D11" s="5">
        <v>21.59219129730355</v>
      </c>
      <c r="E11" s="10">
        <v>1.256350199803264</v>
      </c>
      <c r="F11" s="5">
        <v>41.87940015857041</v>
      </c>
      <c r="G11" s="5">
        <v>5.340960464170584</v>
      </c>
    </row>
    <row r="14" spans="1:7">
      <c r="A14" s="7" t="s">
        <v>224</v>
      </c>
    </row>
    <row r="15" spans="1:7">
      <c r="A15" s="2" t="s">
        <v>223</v>
      </c>
      <c r="B15" s="2" t="s">
        <v>225</v>
      </c>
      <c r="C15" s="2" t="s">
        <v>169</v>
      </c>
      <c r="D15" s="2" t="s">
        <v>226</v>
      </c>
      <c r="E15" s="2" t="s">
        <v>227</v>
      </c>
      <c r="F15" s="2" t="s">
        <v>228</v>
      </c>
    </row>
    <row r="16" spans="1:7">
      <c r="A16" s="3" t="s">
        <v>229</v>
      </c>
      <c r="B16" s="4">
        <v>134638.75</v>
      </c>
      <c r="C16" s="5">
        <v>5.387463228902164</v>
      </c>
      <c r="D16" s="10">
        <v>3.352709856691211</v>
      </c>
      <c r="E16" s="5">
        <v>23.63675331082924</v>
      </c>
      <c r="F16" s="5">
        <v>6.935911535234713</v>
      </c>
    </row>
    <row r="17" spans="1:6">
      <c r="A17" s="3" t="s">
        <v>230</v>
      </c>
      <c r="B17" s="4">
        <v>378627.5</v>
      </c>
      <c r="C17" s="5">
        <v>10.61507083672571</v>
      </c>
      <c r="D17" s="10">
        <v>4.014959942288199</v>
      </c>
      <c r="E17" s="5">
        <v>66.22247331676598</v>
      </c>
      <c r="F17" s="5">
        <v>78.39598041285143</v>
      </c>
    </row>
    <row r="18" spans="1:6">
      <c r="A18" s="3" t="s">
        <v>231</v>
      </c>
      <c r="B18" s="4">
        <v>858515</v>
      </c>
      <c r="C18" s="5">
        <v>16.12076751460436</v>
      </c>
      <c r="D18" s="10">
        <v>2.584540313083835</v>
      </c>
      <c r="E18" s="5">
        <v>67.25355053576807</v>
      </c>
      <c r="F18" s="5">
        <v>5.053905668735689</v>
      </c>
    </row>
    <row r="21" spans="1:6">
      <c r="A21" s="7" t="s">
        <v>232</v>
      </c>
    </row>
    <row r="22" spans="1:6">
      <c r="A22" s="2" t="s">
        <v>233</v>
      </c>
      <c r="B22" s="2" t="s">
        <v>229</v>
      </c>
      <c r="C22" s="2" t="s">
        <v>230</v>
      </c>
      <c r="D22" s="2" t="s">
        <v>231</v>
      </c>
    </row>
    <row r="23" spans="1:6">
      <c r="A23" s="3" t="s">
        <v>90</v>
      </c>
      <c r="B23" s="8">
        <v>-0.7067015031701356</v>
      </c>
      <c r="C23" s="8">
        <v>0.005907037821025037</v>
      </c>
      <c r="D23" s="8">
        <v>1.407495968519246</v>
      </c>
    </row>
    <row r="24" spans="1:6">
      <c r="A24" s="3" t="s">
        <v>234</v>
      </c>
      <c r="B24" s="8">
        <v>-0.6259365449639627</v>
      </c>
      <c r="C24" s="8">
        <v>0.194104481838694</v>
      </c>
      <c r="D24" s="8">
        <v>1.057768608089231</v>
      </c>
    </row>
    <row r="25" spans="1:6">
      <c r="A25" s="3" t="s">
        <v>235</v>
      </c>
      <c r="B25" s="8">
        <v>0.01607557287385498</v>
      </c>
      <c r="C25" s="8">
        <v>0.4181187748202648</v>
      </c>
      <c r="D25" s="8">
        <v>-0.4502699205679753</v>
      </c>
    </row>
    <row r="26" spans="1:6">
      <c r="A26" s="3" t="s">
        <v>236</v>
      </c>
      <c r="B26" s="8">
        <v>-0.6555053524555666</v>
      </c>
      <c r="C26" s="8">
        <v>0.6398242179002801</v>
      </c>
      <c r="D26" s="8">
        <v>0.6711864870108524</v>
      </c>
    </row>
    <row r="27" spans="1:6">
      <c r="A27" s="3" t="s">
        <v>237</v>
      </c>
      <c r="B27" s="8">
        <v>-0.5491746355588045</v>
      </c>
      <c r="C27" s="8">
        <v>1.706942053208546</v>
      </c>
      <c r="D27" s="8">
        <v>-0.608592782090937</v>
      </c>
    </row>
    <row r="47" spans="1:1">
      <c r="A47" s="7" t="s">
        <v>238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cols>
    <col min="1" max="1" width="45.7109375" customWidth="1"/>
    <col min="2" max="2" width="25.7109375" customWidth="1"/>
    <col min="3" max="3" width="18.7109375" customWidth="1"/>
    <col min="4" max="4" width="80.7109375" customWidth="1"/>
  </cols>
  <sheetData>
    <row r="1" spans="1:4">
      <c r="A1" s="6" t="s">
        <v>239</v>
      </c>
    </row>
    <row r="2" spans="1:4">
      <c r="A2" s="2" t="s">
        <v>10</v>
      </c>
      <c r="B2" s="2" t="s">
        <v>178</v>
      </c>
      <c r="C2" s="2" t="s">
        <v>240</v>
      </c>
      <c r="D2" s="2" t="s">
        <v>241</v>
      </c>
    </row>
    <row r="3" spans="1:4">
      <c r="A3" s="3" t="s">
        <v>180</v>
      </c>
      <c r="B3" s="11" t="s">
        <v>193</v>
      </c>
      <c r="C3" s="3" t="s">
        <v>242</v>
      </c>
      <c r="D3" s="3" t="s">
        <v>243</v>
      </c>
    </row>
    <row r="4" spans="1:4">
      <c r="A4" s="3" t="s">
        <v>181</v>
      </c>
      <c r="B4" s="12" t="s">
        <v>194</v>
      </c>
      <c r="C4" s="3" t="s">
        <v>244</v>
      </c>
      <c r="D4" s="3" t="s">
        <v>245</v>
      </c>
    </row>
    <row r="5" spans="1:4">
      <c r="A5" s="3" t="s">
        <v>182</v>
      </c>
      <c r="B5" s="12" t="s">
        <v>194</v>
      </c>
      <c r="C5" s="3" t="s">
        <v>246</v>
      </c>
      <c r="D5" s="3" t="s">
        <v>247</v>
      </c>
    </row>
    <row r="6" spans="1:4">
      <c r="A6" s="3" t="s">
        <v>248</v>
      </c>
      <c r="B6" s="12" t="s">
        <v>249</v>
      </c>
      <c r="C6" s="3" t="s">
        <v>250</v>
      </c>
      <c r="D6" s="3" t="s">
        <v>251</v>
      </c>
    </row>
    <row r="7" spans="1:4">
      <c r="A7" s="3" t="s">
        <v>183</v>
      </c>
      <c r="B7" s="12" t="s">
        <v>194</v>
      </c>
      <c r="C7" s="3" t="s">
        <v>252</v>
      </c>
      <c r="D7" s="3" t="s">
        <v>253</v>
      </c>
    </row>
    <row r="10" spans="1:4">
      <c r="A10" s="6" t="s">
        <v>254</v>
      </c>
    </row>
    <row r="11" spans="1:4">
      <c r="A11" s="3" t="s">
        <v>255</v>
      </c>
    </row>
    <row r="12" spans="1:4">
      <c r="A12" s="3" t="s">
        <v>256</v>
      </c>
    </row>
    <row r="13" spans="1:4">
      <c r="A13" s="3" t="s">
        <v>257</v>
      </c>
    </row>
    <row r="14" spans="1:4">
      <c r="A14" s="3" t="s">
        <v>258</v>
      </c>
    </row>
    <row r="15" spans="1:4">
      <c r="A15" s="3" t="s">
        <v>259</v>
      </c>
    </row>
    <row r="18" spans="1:1">
      <c r="A18" s="6" t="s">
        <v>260</v>
      </c>
    </row>
    <row r="19" spans="1:1">
      <c r="A19" s="3" t="s">
        <v>261</v>
      </c>
    </row>
    <row r="20" spans="1:1">
      <c r="A20" s="3" t="s">
        <v>262</v>
      </c>
    </row>
    <row r="21" spans="1:1">
      <c r="A21" s="3" t="s">
        <v>263</v>
      </c>
    </row>
    <row r="24" spans="1:1">
      <c r="A24" s="6" t="s">
        <v>264</v>
      </c>
    </row>
    <row r="25" spans="1:1">
      <c r="A25" s="3" t="s">
        <v>265</v>
      </c>
    </row>
    <row r="26" spans="1:1">
      <c r="A26" s="3" t="s">
        <v>266</v>
      </c>
    </row>
    <row r="27" spans="1:1">
      <c r="A27" s="3" t="s">
        <v>267</v>
      </c>
    </row>
    <row r="28" spans="1:1">
      <c r="A28" s="3" t="s">
        <v>268</v>
      </c>
    </row>
    <row r="29" spans="1:1">
      <c r="A29" s="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Описание исследования</vt:lpstr>
      <vt:lpstr>Исходные данные</vt:lpstr>
      <vt:lpstr>Производные показатели</vt:lpstr>
      <vt:lpstr>Описательные статистики</vt:lpstr>
      <vt:lpstr>Динамика рынка</vt:lpstr>
      <vt:lpstr>Корреляционный анализ</vt:lpstr>
      <vt:lpstr>Проверка гипотез</vt:lpstr>
      <vt:lpstr>Регрессия</vt:lpstr>
      <vt:lpstr>Кластерный анализ</vt:lpstr>
      <vt:lpstr>Выводы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2026-06-28T04:12:53Z</dcterms:created>
  <dcterms:modified xsi:type="dcterms:W3CDTF">2026-06-28T04:12:53Z</dcterms:modified>
</cp:coreProperties>
</file>