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aschenko.ECON\Downloads\"/>
    </mc:Choice>
  </mc:AlternateContent>
  <xr:revisionPtr revIDLastSave="0" documentId="13_ncr:1_{5382AD07-EB4A-4B40-86C3-9C6F79E4D36B}" xr6:coauthVersionLast="47" xr6:coauthVersionMax="47" xr10:uidLastSave="{00000000-0000-0000-0000-000000000000}"/>
  <bookViews>
    <workbookView xWindow="-120" yWindow="-120" windowWidth="29040" windowHeight="15840" firstSheet="7" activeTab="13" xr2:uid="{00000000-000D-0000-FFFF-FFFF00000000}"/>
  </bookViews>
  <sheets>
    <sheet name="report" sheetId="1" r:id="rId1"/>
    <sheet name="Лист2" sheetId="4" r:id="rId2"/>
    <sheet name="Выборка 1" sheetId="3" r:id="rId3"/>
    <sheet name="Обработка" sheetId="6" r:id="rId4"/>
    <sheet name="Описательные статистики" sheetId="10" r:id="rId5"/>
    <sheet name="Корреляция" sheetId="11" r:id="rId6"/>
    <sheet name="Обработка (2)" sheetId="12" r:id="rId7"/>
    <sheet name="Данные для регрессии" sheetId="13" r:id="rId8"/>
    <sheet name="Описание КЗ" sheetId="17" r:id="rId9"/>
    <sheet name="Корреляция 2" sheetId="14" r:id="rId10"/>
    <sheet name="Лист13" sheetId="15" r:id="rId11"/>
    <sheet name="Регрессия" sheetId="16" r:id="rId12"/>
    <sheet name="Данные для регрессии (2)" sheetId="18" r:id="rId13"/>
    <sheet name="Регрессия 2" sheetId="19" r:id="rId14"/>
  </sheets>
  <calcPr calcId="191029"/>
  <pivotCaches>
    <pivotCache cacheId="0" r:id="rId1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53" i="18" l="1"/>
  <c r="H253" i="18"/>
  <c r="I252" i="18"/>
  <c r="H252" i="18"/>
  <c r="I251" i="18"/>
  <c r="H251" i="18"/>
  <c r="I250" i="18"/>
  <c r="H250" i="18"/>
  <c r="I249" i="18"/>
  <c r="H249" i="18"/>
  <c r="I248" i="18"/>
  <c r="H248" i="18"/>
  <c r="I247" i="18"/>
  <c r="H247" i="18"/>
  <c r="I246" i="18"/>
  <c r="H246" i="18"/>
  <c r="I245" i="18"/>
  <c r="H245" i="18"/>
  <c r="I244" i="18"/>
  <c r="H244" i="18"/>
  <c r="I243" i="18"/>
  <c r="H243" i="18"/>
  <c r="I242" i="18"/>
  <c r="H242" i="18"/>
  <c r="I241" i="18"/>
  <c r="H241" i="18"/>
  <c r="I240" i="18"/>
  <c r="H240" i="18"/>
  <c r="I239" i="18"/>
  <c r="H239" i="18"/>
  <c r="I238" i="18"/>
  <c r="H238" i="18"/>
  <c r="I237" i="18"/>
  <c r="H237" i="18"/>
  <c r="I236" i="18"/>
  <c r="H236" i="18"/>
  <c r="I235" i="18"/>
  <c r="H235" i="18"/>
  <c r="I234" i="18"/>
  <c r="H234" i="18"/>
  <c r="I233" i="18"/>
  <c r="H233" i="18"/>
  <c r="I232" i="18"/>
  <c r="H232" i="18"/>
  <c r="I231" i="18"/>
  <c r="H231" i="18"/>
  <c r="I230" i="18"/>
  <c r="H230" i="18"/>
  <c r="I229" i="18"/>
  <c r="H229" i="18"/>
  <c r="I228" i="18"/>
  <c r="H228" i="18"/>
  <c r="I227" i="18"/>
  <c r="H227" i="18"/>
  <c r="I226" i="18"/>
  <c r="H226" i="18"/>
  <c r="I225" i="18"/>
  <c r="H225" i="18"/>
  <c r="I224" i="18"/>
  <c r="H224" i="18"/>
  <c r="I223" i="18"/>
  <c r="H223" i="18"/>
  <c r="I222" i="18"/>
  <c r="H222" i="18"/>
  <c r="I221" i="18"/>
  <c r="H221" i="18"/>
  <c r="I220" i="18"/>
  <c r="H220" i="18"/>
  <c r="I219" i="18"/>
  <c r="H219" i="18"/>
  <c r="I218" i="18"/>
  <c r="H218" i="18"/>
  <c r="I217" i="18"/>
  <c r="H217" i="18"/>
  <c r="I216" i="18"/>
  <c r="H216" i="18"/>
  <c r="I215" i="18"/>
  <c r="H215" i="18"/>
  <c r="I214" i="18"/>
  <c r="H214" i="18"/>
  <c r="I213" i="18"/>
  <c r="H213" i="18"/>
  <c r="I212" i="18"/>
  <c r="H212" i="18"/>
  <c r="I211" i="18"/>
  <c r="H211" i="18"/>
  <c r="I210" i="18"/>
  <c r="H210" i="18"/>
  <c r="I209" i="18"/>
  <c r="H209" i="18"/>
  <c r="I208" i="18"/>
  <c r="H208" i="18"/>
  <c r="I207" i="18"/>
  <c r="H207" i="18"/>
  <c r="I206" i="18"/>
  <c r="H206" i="18"/>
  <c r="I205" i="18"/>
  <c r="H205" i="18"/>
  <c r="I204" i="18"/>
  <c r="H204" i="18"/>
  <c r="I203" i="18"/>
  <c r="H203" i="18"/>
  <c r="I202" i="18"/>
  <c r="H202" i="18"/>
  <c r="I201" i="18"/>
  <c r="H201" i="18"/>
  <c r="I200" i="18"/>
  <c r="H200" i="18"/>
  <c r="I199" i="18"/>
  <c r="H199" i="18"/>
  <c r="I198" i="18"/>
  <c r="H198" i="18"/>
  <c r="I197" i="18"/>
  <c r="H197" i="18"/>
  <c r="I196" i="18"/>
  <c r="H196" i="18"/>
  <c r="I195" i="18"/>
  <c r="H195" i="18"/>
  <c r="I194" i="18"/>
  <c r="H194" i="18"/>
  <c r="I193" i="18"/>
  <c r="H193" i="18"/>
  <c r="I192" i="18"/>
  <c r="H192" i="18"/>
  <c r="I191" i="18"/>
  <c r="H191" i="18"/>
  <c r="I190" i="18"/>
  <c r="H190" i="18"/>
  <c r="I189" i="18"/>
  <c r="H189" i="18"/>
  <c r="I188" i="18"/>
  <c r="H188" i="18"/>
  <c r="I187" i="18"/>
  <c r="H187" i="18"/>
  <c r="I186" i="18"/>
  <c r="H186" i="18"/>
  <c r="I185" i="18"/>
  <c r="H185" i="18"/>
  <c r="I184" i="18"/>
  <c r="H184" i="18"/>
  <c r="I183" i="18"/>
  <c r="H183" i="18"/>
  <c r="I182" i="18"/>
  <c r="H182" i="18"/>
  <c r="I181" i="18"/>
  <c r="H181" i="18"/>
  <c r="I180" i="18"/>
  <c r="H180" i="18"/>
  <c r="I179" i="18"/>
  <c r="H179" i="18"/>
  <c r="I178" i="18"/>
  <c r="H178" i="18"/>
  <c r="I177" i="18"/>
  <c r="H177" i="18"/>
  <c r="I176" i="18"/>
  <c r="H176" i="18"/>
  <c r="I175" i="18"/>
  <c r="H175" i="18"/>
  <c r="I174" i="18"/>
  <c r="H174" i="18"/>
  <c r="I173" i="18"/>
  <c r="H173" i="18"/>
  <c r="I172" i="18"/>
  <c r="H172" i="18"/>
  <c r="I171" i="18"/>
  <c r="H171" i="18"/>
  <c r="I170" i="18"/>
  <c r="H170" i="18"/>
  <c r="I169" i="18"/>
  <c r="H169" i="18"/>
  <c r="I168" i="18"/>
  <c r="H168" i="18"/>
  <c r="I167" i="18"/>
  <c r="H167" i="18"/>
  <c r="I166" i="18"/>
  <c r="H166" i="18"/>
  <c r="I165" i="18"/>
  <c r="H165" i="18"/>
  <c r="I164" i="18"/>
  <c r="H164" i="18"/>
  <c r="I163" i="18"/>
  <c r="H163" i="18"/>
  <c r="I162" i="18"/>
  <c r="H162" i="18"/>
  <c r="I161" i="18"/>
  <c r="H161" i="18"/>
  <c r="I160" i="18"/>
  <c r="H160" i="18"/>
  <c r="I159" i="18"/>
  <c r="H159" i="18"/>
  <c r="I158" i="18"/>
  <c r="H158" i="18"/>
  <c r="I157" i="18"/>
  <c r="H157" i="18"/>
  <c r="I156" i="18"/>
  <c r="H156" i="18"/>
  <c r="I155" i="18"/>
  <c r="H155" i="18"/>
  <c r="I154" i="18"/>
  <c r="H154" i="18"/>
  <c r="I153" i="18"/>
  <c r="H153" i="18"/>
  <c r="I152" i="18"/>
  <c r="H152" i="18"/>
  <c r="I151" i="18"/>
  <c r="H151" i="18"/>
  <c r="I150" i="18"/>
  <c r="H150" i="18"/>
  <c r="I149" i="18"/>
  <c r="H149" i="18"/>
  <c r="I148" i="18"/>
  <c r="H148" i="18"/>
  <c r="I147" i="18"/>
  <c r="H147" i="18"/>
  <c r="I146" i="18"/>
  <c r="H146" i="18"/>
  <c r="I145" i="18"/>
  <c r="H145" i="18"/>
  <c r="I144" i="18"/>
  <c r="H144" i="18"/>
  <c r="I143" i="18"/>
  <c r="H143" i="18"/>
  <c r="I142" i="18"/>
  <c r="H142" i="18"/>
  <c r="I141" i="18"/>
  <c r="H141" i="18"/>
  <c r="I140" i="18"/>
  <c r="H140" i="18"/>
  <c r="I139" i="18"/>
  <c r="H139" i="18"/>
  <c r="I138" i="18"/>
  <c r="H138" i="18"/>
  <c r="I137" i="18"/>
  <c r="H137" i="18"/>
  <c r="I136" i="18"/>
  <c r="H136" i="18"/>
  <c r="I135" i="18"/>
  <c r="H135" i="18"/>
  <c r="I134" i="18"/>
  <c r="H134" i="18"/>
  <c r="I133" i="18"/>
  <c r="H133" i="18"/>
  <c r="I132" i="18"/>
  <c r="H132" i="18"/>
  <c r="I131" i="18"/>
  <c r="H131" i="18"/>
  <c r="I130" i="18"/>
  <c r="H130" i="18"/>
  <c r="I129" i="18"/>
  <c r="H129" i="18"/>
  <c r="I128" i="18"/>
  <c r="H128" i="18"/>
  <c r="I127" i="18"/>
  <c r="H127" i="18"/>
  <c r="I126" i="18"/>
  <c r="H126" i="18"/>
  <c r="I125" i="18"/>
  <c r="H125" i="18"/>
  <c r="I124" i="18"/>
  <c r="H124" i="18"/>
  <c r="I123" i="18"/>
  <c r="H123" i="18"/>
  <c r="I122" i="18"/>
  <c r="H122" i="18"/>
  <c r="I121" i="18"/>
  <c r="H121" i="18"/>
  <c r="I120" i="18"/>
  <c r="H120" i="18"/>
  <c r="I119" i="18"/>
  <c r="H119" i="18"/>
  <c r="I118" i="18"/>
  <c r="H118" i="18"/>
  <c r="I117" i="18"/>
  <c r="H117" i="18"/>
  <c r="I116" i="18"/>
  <c r="H116" i="18"/>
  <c r="I115" i="18"/>
  <c r="H115" i="18"/>
  <c r="I114" i="18"/>
  <c r="H114" i="18"/>
  <c r="I113" i="18"/>
  <c r="H113" i="18"/>
  <c r="I112" i="18"/>
  <c r="H112" i="18"/>
  <c r="I111" i="18"/>
  <c r="H111" i="18"/>
  <c r="I110" i="18"/>
  <c r="H110" i="18"/>
  <c r="I109" i="18"/>
  <c r="H109" i="18"/>
  <c r="I108" i="18"/>
  <c r="H108" i="18"/>
  <c r="I107" i="18"/>
  <c r="H107" i="18"/>
  <c r="I106" i="18"/>
  <c r="H106" i="18"/>
  <c r="I105" i="18"/>
  <c r="H105" i="18"/>
  <c r="I104" i="18"/>
  <c r="H104" i="18"/>
  <c r="I103" i="18"/>
  <c r="H103" i="18"/>
  <c r="I102" i="18"/>
  <c r="H102" i="18"/>
  <c r="I101" i="18"/>
  <c r="H101" i="18"/>
  <c r="I100" i="18"/>
  <c r="H100" i="18"/>
  <c r="I99" i="18"/>
  <c r="H99" i="18"/>
  <c r="I98" i="18"/>
  <c r="H98" i="18"/>
  <c r="I97" i="18"/>
  <c r="H97" i="18"/>
  <c r="I96" i="18"/>
  <c r="H96" i="18"/>
  <c r="I95" i="18"/>
  <c r="H95" i="18"/>
  <c r="I94" i="18"/>
  <c r="H94" i="18"/>
  <c r="I93" i="18"/>
  <c r="H93" i="18"/>
  <c r="I92" i="18"/>
  <c r="H92" i="18"/>
  <c r="I91" i="18"/>
  <c r="H91" i="18"/>
  <c r="I90" i="18"/>
  <c r="H90" i="18"/>
  <c r="I89" i="18"/>
  <c r="H89" i="18"/>
  <c r="I88" i="18"/>
  <c r="H88" i="18"/>
  <c r="I87" i="18"/>
  <c r="H87" i="18"/>
  <c r="I86" i="18"/>
  <c r="H86" i="18"/>
  <c r="I85" i="18"/>
  <c r="H85" i="18"/>
  <c r="I84" i="18"/>
  <c r="H84" i="18"/>
  <c r="I83" i="18"/>
  <c r="H83" i="18"/>
  <c r="I82" i="18"/>
  <c r="H82" i="18"/>
  <c r="I81" i="18"/>
  <c r="H81" i="18"/>
  <c r="I80" i="18"/>
  <c r="H80" i="18"/>
  <c r="I79" i="18"/>
  <c r="H79" i="18"/>
  <c r="I78" i="18"/>
  <c r="H78" i="18"/>
  <c r="I77" i="18"/>
  <c r="H77" i="18"/>
  <c r="I76" i="18"/>
  <c r="H76" i="18"/>
  <c r="I75" i="18"/>
  <c r="H75" i="18"/>
  <c r="I74" i="18"/>
  <c r="H74" i="18"/>
  <c r="I73" i="18"/>
  <c r="H73" i="18"/>
  <c r="I72" i="18"/>
  <c r="H72" i="18"/>
  <c r="I71" i="18"/>
  <c r="H71" i="18"/>
  <c r="I70" i="18"/>
  <c r="H70" i="18"/>
  <c r="I69" i="18"/>
  <c r="H69" i="18"/>
  <c r="I68" i="18"/>
  <c r="H68" i="18"/>
  <c r="I67" i="18"/>
  <c r="H67" i="18"/>
  <c r="I66" i="18"/>
  <c r="H66" i="18"/>
  <c r="I65" i="18"/>
  <c r="H65" i="18"/>
  <c r="I64" i="18"/>
  <c r="H64" i="18"/>
  <c r="I63" i="18"/>
  <c r="H63" i="18"/>
  <c r="I62" i="18"/>
  <c r="H62" i="18"/>
  <c r="I61" i="18"/>
  <c r="H61" i="18"/>
  <c r="I60" i="18"/>
  <c r="H60" i="18"/>
  <c r="I59" i="18"/>
  <c r="H59" i="18"/>
  <c r="I58" i="18"/>
  <c r="H58" i="18"/>
  <c r="I57" i="18"/>
  <c r="H57" i="18"/>
  <c r="I56" i="18"/>
  <c r="H56" i="18"/>
  <c r="I55" i="18"/>
  <c r="H55" i="18"/>
  <c r="I54" i="18"/>
  <c r="H54" i="18"/>
  <c r="I53" i="18"/>
  <c r="H53" i="18"/>
  <c r="I52" i="18"/>
  <c r="H52" i="18"/>
  <c r="I51" i="18"/>
  <c r="H51" i="18"/>
  <c r="I50" i="18"/>
  <c r="H50" i="18"/>
  <c r="I49" i="18"/>
  <c r="H49" i="18"/>
  <c r="I48" i="18"/>
  <c r="H48" i="18"/>
  <c r="I47" i="18"/>
  <c r="H47" i="18"/>
  <c r="I46" i="18"/>
  <c r="H46" i="18"/>
  <c r="I45" i="18"/>
  <c r="H45" i="18"/>
  <c r="I44" i="18"/>
  <c r="H44" i="18"/>
  <c r="I43" i="18"/>
  <c r="H43" i="18"/>
  <c r="I42" i="18"/>
  <c r="H42" i="18"/>
  <c r="I41" i="18"/>
  <c r="H41" i="18"/>
  <c r="I40" i="18"/>
  <c r="H40" i="18"/>
  <c r="I39" i="18"/>
  <c r="H39" i="18"/>
  <c r="I38" i="18"/>
  <c r="H38" i="18"/>
  <c r="I37" i="18"/>
  <c r="H37" i="18"/>
  <c r="I36" i="18"/>
  <c r="H36" i="18"/>
  <c r="I35" i="18"/>
  <c r="H35" i="18"/>
  <c r="I34" i="18"/>
  <c r="H34" i="18"/>
  <c r="I33" i="18"/>
  <c r="H33" i="18"/>
  <c r="I32" i="18"/>
  <c r="H32" i="18"/>
  <c r="I31" i="18"/>
  <c r="H31" i="18"/>
  <c r="I30" i="18"/>
  <c r="H30" i="18"/>
  <c r="I29" i="18"/>
  <c r="H29" i="18"/>
  <c r="I28" i="18"/>
  <c r="H28" i="18"/>
  <c r="I27" i="18"/>
  <c r="H27" i="18"/>
  <c r="I26" i="18"/>
  <c r="H26" i="18"/>
  <c r="I25" i="18"/>
  <c r="H25" i="18"/>
  <c r="I24" i="18"/>
  <c r="H24" i="18"/>
  <c r="I23" i="18"/>
  <c r="H23" i="18"/>
  <c r="I22" i="18"/>
  <c r="H22" i="18"/>
  <c r="I21" i="18"/>
  <c r="H21" i="18"/>
  <c r="I20" i="18"/>
  <c r="H20" i="18"/>
  <c r="I19" i="18"/>
  <c r="H19" i="18"/>
  <c r="I18" i="18"/>
  <c r="H18" i="18"/>
  <c r="I17" i="18"/>
  <c r="H17" i="18"/>
  <c r="I16" i="18"/>
  <c r="H16" i="18"/>
  <c r="I15" i="18"/>
  <c r="H15" i="18"/>
  <c r="I14" i="18"/>
  <c r="H14" i="18"/>
  <c r="I13" i="18"/>
  <c r="H13" i="18"/>
  <c r="I12" i="18"/>
  <c r="H12" i="18"/>
  <c r="I11" i="18"/>
  <c r="H11" i="18"/>
  <c r="I10" i="18"/>
  <c r="H10" i="18"/>
  <c r="I9" i="18"/>
  <c r="H9" i="18"/>
  <c r="I8" i="18"/>
  <c r="H8" i="18"/>
  <c r="I7" i="18"/>
  <c r="H7" i="18"/>
  <c r="I6" i="18"/>
  <c r="H6" i="18"/>
  <c r="I5" i="18"/>
  <c r="H5" i="18"/>
  <c r="I4" i="18"/>
  <c r="H4" i="18"/>
  <c r="I3" i="18"/>
  <c r="H3" i="18"/>
  <c r="I2" i="18"/>
  <c r="H2" i="18"/>
  <c r="C253" i="18"/>
  <c r="B253" i="18"/>
  <c r="C252" i="18"/>
  <c r="B252" i="18"/>
  <c r="C251" i="18"/>
  <c r="B251" i="18"/>
  <c r="C250" i="18"/>
  <c r="B250" i="18"/>
  <c r="C249" i="18"/>
  <c r="B249" i="18"/>
  <c r="C248" i="18"/>
  <c r="B248" i="18"/>
  <c r="C247" i="18"/>
  <c r="B247" i="18"/>
  <c r="C246" i="18"/>
  <c r="B246" i="18"/>
  <c r="C245" i="18"/>
  <c r="B245" i="18"/>
  <c r="C244" i="18"/>
  <c r="B244" i="18"/>
  <c r="C243" i="18"/>
  <c r="B243" i="18"/>
  <c r="C242" i="18"/>
  <c r="B242" i="18"/>
  <c r="C241" i="18"/>
  <c r="B241" i="18"/>
  <c r="C240" i="18"/>
  <c r="B240" i="18"/>
  <c r="C239" i="18"/>
  <c r="B239" i="18"/>
  <c r="C238" i="18"/>
  <c r="B238" i="18"/>
  <c r="C237" i="18"/>
  <c r="B237" i="18"/>
  <c r="C236" i="18"/>
  <c r="B236" i="18"/>
  <c r="C235" i="18"/>
  <c r="B235" i="18"/>
  <c r="C234" i="18"/>
  <c r="B234" i="18"/>
  <c r="C233" i="18"/>
  <c r="B233" i="18"/>
  <c r="C232" i="18"/>
  <c r="B232" i="18"/>
  <c r="C231" i="18"/>
  <c r="B231" i="18"/>
  <c r="C230" i="18"/>
  <c r="B230" i="18"/>
  <c r="C229" i="18"/>
  <c r="B229" i="18"/>
  <c r="C228" i="18"/>
  <c r="B228" i="18"/>
  <c r="C227" i="18"/>
  <c r="B227" i="18"/>
  <c r="C226" i="18"/>
  <c r="B226" i="18"/>
  <c r="C225" i="18"/>
  <c r="B225" i="18"/>
  <c r="C224" i="18"/>
  <c r="B224" i="18"/>
  <c r="C223" i="18"/>
  <c r="B223" i="18"/>
  <c r="C222" i="18"/>
  <c r="B222" i="18"/>
  <c r="C221" i="18"/>
  <c r="B221" i="18"/>
  <c r="C220" i="18"/>
  <c r="B220" i="18"/>
  <c r="C219" i="18"/>
  <c r="B219" i="18"/>
  <c r="C218" i="18"/>
  <c r="B218" i="18"/>
  <c r="C217" i="18"/>
  <c r="B217" i="18"/>
  <c r="C216" i="18"/>
  <c r="B216" i="18"/>
  <c r="C215" i="18"/>
  <c r="B215" i="18"/>
  <c r="C214" i="18"/>
  <c r="B214" i="18"/>
  <c r="C213" i="18"/>
  <c r="B213" i="18"/>
  <c r="C212" i="18"/>
  <c r="B212" i="18"/>
  <c r="C211" i="18"/>
  <c r="B211" i="18"/>
  <c r="C210" i="18"/>
  <c r="B210" i="18"/>
  <c r="C209" i="18"/>
  <c r="B209" i="18"/>
  <c r="C208" i="18"/>
  <c r="B208" i="18"/>
  <c r="C207" i="18"/>
  <c r="B207" i="18"/>
  <c r="C206" i="18"/>
  <c r="B206" i="18"/>
  <c r="C205" i="18"/>
  <c r="B205" i="18"/>
  <c r="C204" i="18"/>
  <c r="B204" i="18"/>
  <c r="C203" i="18"/>
  <c r="B203" i="18"/>
  <c r="C202" i="18"/>
  <c r="B202" i="18"/>
  <c r="C201" i="18"/>
  <c r="B201" i="18"/>
  <c r="C200" i="18"/>
  <c r="B200" i="18"/>
  <c r="C199" i="18"/>
  <c r="B199" i="18"/>
  <c r="C198" i="18"/>
  <c r="B198" i="18"/>
  <c r="C197" i="18"/>
  <c r="B197" i="18"/>
  <c r="C196" i="18"/>
  <c r="B196" i="18"/>
  <c r="C195" i="18"/>
  <c r="B195" i="18"/>
  <c r="C194" i="18"/>
  <c r="B194" i="18"/>
  <c r="C193" i="18"/>
  <c r="B193" i="18"/>
  <c r="C192" i="18"/>
  <c r="B192" i="18"/>
  <c r="C191" i="18"/>
  <c r="B191" i="18"/>
  <c r="C190" i="18"/>
  <c r="B190" i="18"/>
  <c r="C189" i="18"/>
  <c r="B189" i="18"/>
  <c r="C188" i="18"/>
  <c r="B188" i="18"/>
  <c r="C187" i="18"/>
  <c r="B187" i="18"/>
  <c r="C186" i="18"/>
  <c r="B186" i="18"/>
  <c r="C185" i="18"/>
  <c r="B185" i="18"/>
  <c r="C184" i="18"/>
  <c r="B184" i="18"/>
  <c r="C183" i="18"/>
  <c r="B183" i="18"/>
  <c r="C182" i="18"/>
  <c r="B182" i="18"/>
  <c r="C181" i="18"/>
  <c r="B181" i="18"/>
  <c r="C180" i="18"/>
  <c r="B180" i="18"/>
  <c r="C179" i="18"/>
  <c r="B179" i="18"/>
  <c r="C178" i="18"/>
  <c r="B178" i="18"/>
  <c r="C177" i="18"/>
  <c r="B177" i="18"/>
  <c r="C176" i="18"/>
  <c r="B176" i="18"/>
  <c r="C175" i="18"/>
  <c r="B175" i="18"/>
  <c r="C174" i="18"/>
  <c r="B174" i="18"/>
  <c r="C173" i="18"/>
  <c r="B173" i="18"/>
  <c r="C172" i="18"/>
  <c r="B172" i="18"/>
  <c r="C171" i="18"/>
  <c r="B171" i="18"/>
  <c r="C170" i="18"/>
  <c r="B170" i="18"/>
  <c r="C169" i="18"/>
  <c r="B169" i="18"/>
  <c r="C168" i="18"/>
  <c r="B168" i="18"/>
  <c r="C167" i="18"/>
  <c r="B167" i="18"/>
  <c r="C166" i="18"/>
  <c r="B166" i="18"/>
  <c r="C165" i="18"/>
  <c r="B165" i="18"/>
  <c r="C164" i="18"/>
  <c r="B164" i="18"/>
  <c r="C163" i="18"/>
  <c r="B163" i="18"/>
  <c r="C162" i="18"/>
  <c r="B162" i="18"/>
  <c r="C161" i="18"/>
  <c r="B161" i="18"/>
  <c r="C160" i="18"/>
  <c r="B160" i="18"/>
  <c r="C159" i="18"/>
  <c r="B159" i="18"/>
  <c r="C158" i="18"/>
  <c r="B158" i="18"/>
  <c r="C157" i="18"/>
  <c r="B157" i="18"/>
  <c r="C156" i="18"/>
  <c r="B156" i="18"/>
  <c r="C155" i="18"/>
  <c r="B155" i="18"/>
  <c r="C154" i="18"/>
  <c r="B154" i="18"/>
  <c r="C153" i="18"/>
  <c r="B153" i="18"/>
  <c r="C152" i="18"/>
  <c r="B152" i="18"/>
  <c r="C151" i="18"/>
  <c r="B151" i="18"/>
  <c r="C150" i="18"/>
  <c r="B150" i="18"/>
  <c r="C149" i="18"/>
  <c r="B149" i="18"/>
  <c r="C148" i="18"/>
  <c r="B148" i="18"/>
  <c r="C147" i="18"/>
  <c r="B147" i="18"/>
  <c r="C146" i="18"/>
  <c r="B146" i="18"/>
  <c r="C145" i="18"/>
  <c r="B145" i="18"/>
  <c r="C144" i="18"/>
  <c r="B144" i="18"/>
  <c r="C143" i="18"/>
  <c r="B143" i="18"/>
  <c r="C142" i="18"/>
  <c r="B142" i="18"/>
  <c r="C141" i="18"/>
  <c r="B141" i="18"/>
  <c r="C140" i="18"/>
  <c r="B140" i="18"/>
  <c r="C139" i="18"/>
  <c r="B139" i="18"/>
  <c r="C138" i="18"/>
  <c r="B138" i="18"/>
  <c r="C137" i="18"/>
  <c r="B137" i="18"/>
  <c r="C136" i="18"/>
  <c r="B136" i="18"/>
  <c r="C135" i="18"/>
  <c r="B135" i="18"/>
  <c r="C134" i="18"/>
  <c r="B134" i="18"/>
  <c r="C133" i="18"/>
  <c r="B133" i="18"/>
  <c r="C132" i="18"/>
  <c r="B132" i="18"/>
  <c r="C131" i="18"/>
  <c r="B131" i="18"/>
  <c r="C130" i="18"/>
  <c r="B130" i="18"/>
  <c r="C129" i="18"/>
  <c r="B129" i="18"/>
  <c r="C128" i="18"/>
  <c r="B128" i="18"/>
  <c r="C127" i="18"/>
  <c r="B127" i="18"/>
  <c r="C126" i="18"/>
  <c r="B126" i="18"/>
  <c r="C125" i="18"/>
  <c r="B125" i="18"/>
  <c r="C124" i="18"/>
  <c r="B124" i="18"/>
  <c r="C123" i="18"/>
  <c r="B123" i="18"/>
  <c r="C122" i="18"/>
  <c r="B122" i="18"/>
  <c r="C121" i="18"/>
  <c r="B121" i="18"/>
  <c r="C120" i="18"/>
  <c r="B120" i="18"/>
  <c r="C119" i="18"/>
  <c r="B119" i="18"/>
  <c r="C118" i="18"/>
  <c r="B118" i="18"/>
  <c r="C117" i="18"/>
  <c r="B117" i="18"/>
  <c r="C116" i="18"/>
  <c r="B116" i="18"/>
  <c r="C115" i="18"/>
  <c r="B115" i="18"/>
  <c r="C114" i="18"/>
  <c r="B114" i="18"/>
  <c r="C113" i="18"/>
  <c r="B113" i="18"/>
  <c r="C112" i="18"/>
  <c r="B112" i="18"/>
  <c r="C111" i="18"/>
  <c r="B111" i="18"/>
  <c r="C110" i="18"/>
  <c r="B110" i="18"/>
  <c r="C109" i="18"/>
  <c r="B109" i="18"/>
  <c r="C108" i="18"/>
  <c r="B108" i="18"/>
  <c r="C107" i="18"/>
  <c r="B107" i="18"/>
  <c r="C106" i="18"/>
  <c r="B106" i="18"/>
  <c r="C105" i="18"/>
  <c r="B105" i="18"/>
  <c r="C104" i="18"/>
  <c r="B104" i="18"/>
  <c r="C103" i="18"/>
  <c r="B103" i="18"/>
  <c r="C102" i="18"/>
  <c r="B102" i="18"/>
  <c r="C101" i="18"/>
  <c r="B101" i="18"/>
  <c r="C100" i="18"/>
  <c r="B100" i="18"/>
  <c r="C99" i="18"/>
  <c r="B99" i="18"/>
  <c r="C98" i="18"/>
  <c r="B98" i="18"/>
  <c r="C97" i="18"/>
  <c r="B97" i="18"/>
  <c r="C96" i="18"/>
  <c r="B96" i="18"/>
  <c r="C95" i="18"/>
  <c r="B95" i="18"/>
  <c r="C94" i="18"/>
  <c r="B94" i="18"/>
  <c r="C93" i="18"/>
  <c r="B93" i="18"/>
  <c r="C92" i="18"/>
  <c r="B92" i="18"/>
  <c r="C91" i="18"/>
  <c r="B91" i="18"/>
  <c r="C90" i="18"/>
  <c r="B90" i="18"/>
  <c r="C89" i="18"/>
  <c r="B89" i="18"/>
  <c r="C88" i="18"/>
  <c r="B88" i="18"/>
  <c r="C87" i="18"/>
  <c r="B87" i="18"/>
  <c r="C86" i="18"/>
  <c r="B86" i="18"/>
  <c r="C85" i="18"/>
  <c r="B85" i="18"/>
  <c r="C84" i="18"/>
  <c r="B84" i="18"/>
  <c r="C83" i="18"/>
  <c r="B83" i="18"/>
  <c r="C82" i="18"/>
  <c r="B82" i="18"/>
  <c r="C81" i="18"/>
  <c r="B81" i="18"/>
  <c r="C80" i="18"/>
  <c r="B80" i="18"/>
  <c r="C79" i="18"/>
  <c r="B79" i="18"/>
  <c r="C78" i="18"/>
  <c r="B78" i="18"/>
  <c r="C77" i="18"/>
  <c r="B77" i="18"/>
  <c r="C76" i="18"/>
  <c r="B76" i="18"/>
  <c r="C75" i="18"/>
  <c r="B75" i="18"/>
  <c r="C74" i="18"/>
  <c r="B74" i="18"/>
  <c r="C73" i="18"/>
  <c r="B73" i="18"/>
  <c r="C72" i="18"/>
  <c r="B72" i="18"/>
  <c r="C71" i="18"/>
  <c r="B71" i="18"/>
  <c r="C70" i="18"/>
  <c r="B70" i="18"/>
  <c r="C69" i="18"/>
  <c r="B69" i="18"/>
  <c r="C68" i="18"/>
  <c r="B68" i="18"/>
  <c r="C67" i="18"/>
  <c r="B67" i="18"/>
  <c r="C66" i="18"/>
  <c r="B66" i="18"/>
  <c r="C65" i="18"/>
  <c r="B65" i="18"/>
  <c r="C64" i="18"/>
  <c r="B64" i="18"/>
  <c r="C63" i="18"/>
  <c r="B63" i="18"/>
  <c r="C62" i="18"/>
  <c r="B62" i="18"/>
  <c r="C61" i="18"/>
  <c r="B61" i="18"/>
  <c r="C60" i="18"/>
  <c r="B60" i="18"/>
  <c r="C59" i="18"/>
  <c r="B59" i="18"/>
  <c r="C58" i="18"/>
  <c r="B58" i="18"/>
  <c r="C57" i="18"/>
  <c r="B57" i="18"/>
  <c r="C56" i="18"/>
  <c r="B56" i="18"/>
  <c r="C55" i="18"/>
  <c r="B55" i="18"/>
  <c r="C54" i="18"/>
  <c r="B54" i="18"/>
  <c r="C53" i="18"/>
  <c r="B53" i="18"/>
  <c r="C52" i="18"/>
  <c r="B52" i="18"/>
  <c r="C51" i="18"/>
  <c r="B51" i="18"/>
  <c r="C50" i="18"/>
  <c r="B50" i="18"/>
  <c r="C49" i="18"/>
  <c r="B49" i="18"/>
  <c r="C48" i="18"/>
  <c r="B48" i="18"/>
  <c r="C47" i="18"/>
  <c r="B47" i="18"/>
  <c r="C46" i="18"/>
  <c r="B46" i="18"/>
  <c r="C45" i="18"/>
  <c r="B45" i="18"/>
  <c r="C44" i="18"/>
  <c r="B44" i="18"/>
  <c r="C43" i="18"/>
  <c r="B43" i="18"/>
  <c r="C42" i="18"/>
  <c r="B42" i="18"/>
  <c r="C41" i="18"/>
  <c r="B41" i="18"/>
  <c r="C40" i="18"/>
  <c r="B40" i="18"/>
  <c r="C39" i="18"/>
  <c r="B39" i="18"/>
  <c r="C38" i="18"/>
  <c r="B38" i="18"/>
  <c r="C37" i="18"/>
  <c r="B37" i="18"/>
  <c r="C36" i="18"/>
  <c r="B36" i="18"/>
  <c r="C35" i="18"/>
  <c r="B35" i="18"/>
  <c r="C34" i="18"/>
  <c r="B34" i="18"/>
  <c r="C33" i="18"/>
  <c r="B33" i="18"/>
  <c r="C32" i="18"/>
  <c r="B32" i="18"/>
  <c r="C31" i="18"/>
  <c r="B31" i="18"/>
  <c r="C30" i="18"/>
  <c r="B30" i="18"/>
  <c r="C29" i="18"/>
  <c r="B29" i="18"/>
  <c r="C28" i="18"/>
  <c r="B28" i="18"/>
  <c r="C27" i="18"/>
  <c r="B27" i="18"/>
  <c r="C26" i="18"/>
  <c r="B26" i="18"/>
  <c r="C25" i="18"/>
  <c r="B25" i="18"/>
  <c r="C24" i="18"/>
  <c r="B24" i="18"/>
  <c r="C23" i="18"/>
  <c r="B23" i="18"/>
  <c r="C22" i="18"/>
  <c r="B22" i="18"/>
  <c r="C21" i="18"/>
  <c r="B21" i="18"/>
  <c r="C20" i="18"/>
  <c r="B20" i="18"/>
  <c r="C19" i="18"/>
  <c r="B19" i="18"/>
  <c r="C18" i="18"/>
  <c r="B18" i="18"/>
  <c r="C17" i="18"/>
  <c r="B17" i="18"/>
  <c r="C16" i="18"/>
  <c r="B16" i="18"/>
  <c r="C15" i="18"/>
  <c r="B15" i="18"/>
  <c r="C14" i="18"/>
  <c r="B14" i="18"/>
  <c r="C13" i="18"/>
  <c r="B13" i="18"/>
  <c r="C12" i="18"/>
  <c r="B12" i="18"/>
  <c r="C11" i="18"/>
  <c r="B11" i="18"/>
  <c r="C10" i="18"/>
  <c r="B10" i="18"/>
  <c r="C9" i="18"/>
  <c r="B9" i="18"/>
  <c r="C8" i="18"/>
  <c r="B8" i="18"/>
  <c r="C7" i="18"/>
  <c r="B7" i="18"/>
  <c r="C6" i="18"/>
  <c r="B6" i="18"/>
  <c r="C5" i="18"/>
  <c r="B5" i="18"/>
  <c r="C4" i="18"/>
  <c r="B4" i="18"/>
  <c r="C3" i="18"/>
  <c r="B3" i="18"/>
  <c r="C2" i="18"/>
  <c r="B2" i="18"/>
  <c r="H253" i="13"/>
  <c r="G253" i="13"/>
  <c r="F253" i="13"/>
  <c r="E253" i="13"/>
  <c r="D253" i="13"/>
  <c r="B253" i="13"/>
  <c r="H252" i="13"/>
  <c r="G252" i="13"/>
  <c r="F252" i="13"/>
  <c r="E252" i="13"/>
  <c r="D252" i="13"/>
  <c r="B252" i="13"/>
  <c r="H251" i="13"/>
  <c r="G251" i="13"/>
  <c r="F251" i="13"/>
  <c r="E251" i="13"/>
  <c r="D251" i="13"/>
  <c r="B251" i="13"/>
  <c r="H250" i="13"/>
  <c r="G250" i="13"/>
  <c r="F250" i="13"/>
  <c r="E250" i="13"/>
  <c r="D250" i="13"/>
  <c r="B250" i="13"/>
  <c r="H249" i="13"/>
  <c r="G249" i="13"/>
  <c r="F249" i="13"/>
  <c r="E249" i="13"/>
  <c r="D249" i="13"/>
  <c r="B249" i="13"/>
  <c r="H248" i="13"/>
  <c r="G248" i="13"/>
  <c r="F248" i="13"/>
  <c r="E248" i="13"/>
  <c r="D248" i="13"/>
  <c r="B248" i="13"/>
  <c r="H247" i="13"/>
  <c r="G247" i="13"/>
  <c r="F247" i="13"/>
  <c r="E247" i="13"/>
  <c r="D247" i="13"/>
  <c r="B247" i="13"/>
  <c r="H246" i="13"/>
  <c r="G246" i="13"/>
  <c r="F246" i="13"/>
  <c r="E246" i="13"/>
  <c r="D246" i="13"/>
  <c r="B246" i="13"/>
  <c r="H245" i="13"/>
  <c r="G245" i="13"/>
  <c r="F245" i="13"/>
  <c r="E245" i="13"/>
  <c r="D245" i="13"/>
  <c r="B245" i="13"/>
  <c r="H244" i="13"/>
  <c r="G244" i="13"/>
  <c r="F244" i="13"/>
  <c r="E244" i="13"/>
  <c r="D244" i="13"/>
  <c r="B244" i="13"/>
  <c r="H243" i="13"/>
  <c r="G243" i="13"/>
  <c r="F243" i="13"/>
  <c r="E243" i="13"/>
  <c r="D243" i="13"/>
  <c r="B243" i="13"/>
  <c r="H242" i="13"/>
  <c r="G242" i="13"/>
  <c r="F242" i="13"/>
  <c r="E242" i="13"/>
  <c r="D242" i="13"/>
  <c r="B242" i="13"/>
  <c r="H241" i="13"/>
  <c r="G241" i="13"/>
  <c r="F241" i="13"/>
  <c r="E241" i="13"/>
  <c r="D241" i="13"/>
  <c r="B241" i="13"/>
  <c r="H240" i="13"/>
  <c r="G240" i="13"/>
  <c r="F240" i="13"/>
  <c r="E240" i="13"/>
  <c r="D240" i="13"/>
  <c r="B240" i="13"/>
  <c r="H239" i="13"/>
  <c r="G239" i="13"/>
  <c r="F239" i="13"/>
  <c r="E239" i="13"/>
  <c r="D239" i="13"/>
  <c r="B239" i="13"/>
  <c r="H238" i="13"/>
  <c r="G238" i="13"/>
  <c r="F238" i="13"/>
  <c r="E238" i="13"/>
  <c r="D238" i="13"/>
  <c r="B238" i="13"/>
  <c r="H237" i="13"/>
  <c r="G237" i="13"/>
  <c r="F237" i="13"/>
  <c r="E237" i="13"/>
  <c r="D237" i="13"/>
  <c r="B237" i="13"/>
  <c r="H236" i="13"/>
  <c r="G236" i="13"/>
  <c r="F236" i="13"/>
  <c r="E236" i="13"/>
  <c r="D236" i="13"/>
  <c r="B236" i="13"/>
  <c r="H235" i="13"/>
  <c r="G235" i="13"/>
  <c r="F235" i="13"/>
  <c r="E235" i="13"/>
  <c r="D235" i="13"/>
  <c r="B235" i="13"/>
  <c r="H234" i="13"/>
  <c r="G234" i="13"/>
  <c r="F234" i="13"/>
  <c r="E234" i="13"/>
  <c r="D234" i="13"/>
  <c r="B234" i="13"/>
  <c r="H233" i="13"/>
  <c r="G233" i="13"/>
  <c r="F233" i="13"/>
  <c r="E233" i="13"/>
  <c r="D233" i="13"/>
  <c r="B233" i="13"/>
  <c r="H232" i="13"/>
  <c r="G232" i="13"/>
  <c r="F232" i="13"/>
  <c r="E232" i="13"/>
  <c r="D232" i="13"/>
  <c r="B232" i="13"/>
  <c r="H231" i="13"/>
  <c r="G231" i="13"/>
  <c r="F231" i="13"/>
  <c r="E231" i="13"/>
  <c r="D231" i="13"/>
  <c r="B231" i="13"/>
  <c r="H230" i="13"/>
  <c r="G230" i="13"/>
  <c r="F230" i="13"/>
  <c r="E230" i="13"/>
  <c r="D230" i="13"/>
  <c r="B230" i="13"/>
  <c r="H229" i="13"/>
  <c r="G229" i="13"/>
  <c r="F229" i="13"/>
  <c r="E229" i="13"/>
  <c r="D229" i="13"/>
  <c r="B229" i="13"/>
  <c r="H228" i="13"/>
  <c r="G228" i="13"/>
  <c r="F228" i="13"/>
  <c r="E228" i="13"/>
  <c r="D228" i="13"/>
  <c r="B228" i="13"/>
  <c r="H227" i="13"/>
  <c r="G227" i="13"/>
  <c r="F227" i="13"/>
  <c r="E227" i="13"/>
  <c r="D227" i="13"/>
  <c r="B227" i="13"/>
  <c r="H226" i="13"/>
  <c r="G226" i="13"/>
  <c r="F226" i="13"/>
  <c r="E226" i="13"/>
  <c r="D226" i="13"/>
  <c r="B226" i="13"/>
  <c r="H225" i="13"/>
  <c r="G225" i="13"/>
  <c r="F225" i="13"/>
  <c r="E225" i="13"/>
  <c r="D225" i="13"/>
  <c r="B225" i="13"/>
  <c r="H224" i="13"/>
  <c r="G224" i="13"/>
  <c r="F224" i="13"/>
  <c r="E224" i="13"/>
  <c r="D224" i="13"/>
  <c r="B224" i="13"/>
  <c r="H223" i="13"/>
  <c r="G223" i="13"/>
  <c r="F223" i="13"/>
  <c r="E223" i="13"/>
  <c r="D223" i="13"/>
  <c r="B223" i="13"/>
  <c r="H222" i="13"/>
  <c r="G222" i="13"/>
  <c r="F222" i="13"/>
  <c r="E222" i="13"/>
  <c r="D222" i="13"/>
  <c r="B222" i="13"/>
  <c r="H221" i="13"/>
  <c r="G221" i="13"/>
  <c r="F221" i="13"/>
  <c r="E221" i="13"/>
  <c r="D221" i="13"/>
  <c r="B221" i="13"/>
  <c r="H220" i="13"/>
  <c r="G220" i="13"/>
  <c r="F220" i="13"/>
  <c r="E220" i="13"/>
  <c r="D220" i="13"/>
  <c r="B220" i="13"/>
  <c r="H219" i="13"/>
  <c r="G219" i="13"/>
  <c r="F219" i="13"/>
  <c r="E219" i="13"/>
  <c r="D219" i="13"/>
  <c r="B219" i="13"/>
  <c r="H218" i="13"/>
  <c r="G218" i="13"/>
  <c r="F218" i="13"/>
  <c r="E218" i="13"/>
  <c r="D218" i="13"/>
  <c r="B218" i="13"/>
  <c r="H217" i="13"/>
  <c r="G217" i="13"/>
  <c r="F217" i="13"/>
  <c r="E217" i="13"/>
  <c r="D217" i="13"/>
  <c r="B217" i="13"/>
  <c r="H216" i="13"/>
  <c r="G216" i="13"/>
  <c r="F216" i="13"/>
  <c r="E216" i="13"/>
  <c r="D216" i="13"/>
  <c r="B216" i="13"/>
  <c r="H215" i="13"/>
  <c r="G215" i="13"/>
  <c r="F215" i="13"/>
  <c r="E215" i="13"/>
  <c r="D215" i="13"/>
  <c r="B215" i="13"/>
  <c r="H214" i="13"/>
  <c r="G214" i="13"/>
  <c r="F214" i="13"/>
  <c r="E214" i="13"/>
  <c r="D214" i="13"/>
  <c r="B214" i="13"/>
  <c r="H213" i="13"/>
  <c r="G213" i="13"/>
  <c r="F213" i="13"/>
  <c r="E213" i="13"/>
  <c r="D213" i="13"/>
  <c r="B213" i="13"/>
  <c r="H212" i="13"/>
  <c r="G212" i="13"/>
  <c r="F212" i="13"/>
  <c r="E212" i="13"/>
  <c r="D212" i="13"/>
  <c r="B212" i="13"/>
  <c r="H211" i="13"/>
  <c r="G211" i="13"/>
  <c r="F211" i="13"/>
  <c r="E211" i="13"/>
  <c r="D211" i="13"/>
  <c r="B211" i="13"/>
  <c r="H210" i="13"/>
  <c r="G210" i="13"/>
  <c r="F210" i="13"/>
  <c r="E210" i="13"/>
  <c r="D210" i="13"/>
  <c r="B210" i="13"/>
  <c r="H209" i="13"/>
  <c r="G209" i="13"/>
  <c r="F209" i="13"/>
  <c r="E209" i="13"/>
  <c r="D209" i="13"/>
  <c r="B209" i="13"/>
  <c r="H208" i="13"/>
  <c r="G208" i="13"/>
  <c r="F208" i="13"/>
  <c r="E208" i="13"/>
  <c r="D208" i="13"/>
  <c r="B208" i="13"/>
  <c r="H207" i="13"/>
  <c r="G207" i="13"/>
  <c r="F207" i="13"/>
  <c r="E207" i="13"/>
  <c r="D207" i="13"/>
  <c r="B207" i="13"/>
  <c r="H206" i="13"/>
  <c r="G206" i="13"/>
  <c r="F206" i="13"/>
  <c r="E206" i="13"/>
  <c r="D206" i="13"/>
  <c r="B206" i="13"/>
  <c r="H205" i="13"/>
  <c r="G205" i="13"/>
  <c r="F205" i="13"/>
  <c r="E205" i="13"/>
  <c r="D205" i="13"/>
  <c r="B205" i="13"/>
  <c r="H204" i="13"/>
  <c r="G204" i="13"/>
  <c r="F204" i="13"/>
  <c r="E204" i="13"/>
  <c r="D204" i="13"/>
  <c r="B204" i="13"/>
  <c r="H203" i="13"/>
  <c r="G203" i="13"/>
  <c r="F203" i="13"/>
  <c r="E203" i="13"/>
  <c r="D203" i="13"/>
  <c r="B203" i="13"/>
  <c r="H202" i="13"/>
  <c r="G202" i="13"/>
  <c r="F202" i="13"/>
  <c r="E202" i="13"/>
  <c r="D202" i="13"/>
  <c r="B202" i="13"/>
  <c r="H201" i="13"/>
  <c r="G201" i="13"/>
  <c r="F201" i="13"/>
  <c r="E201" i="13"/>
  <c r="D201" i="13"/>
  <c r="B201" i="13"/>
  <c r="H200" i="13"/>
  <c r="G200" i="13"/>
  <c r="F200" i="13"/>
  <c r="E200" i="13"/>
  <c r="D200" i="13"/>
  <c r="B200" i="13"/>
  <c r="H199" i="13"/>
  <c r="G199" i="13"/>
  <c r="F199" i="13"/>
  <c r="E199" i="13"/>
  <c r="D199" i="13"/>
  <c r="B199" i="13"/>
  <c r="H198" i="13"/>
  <c r="G198" i="13"/>
  <c r="F198" i="13"/>
  <c r="E198" i="13"/>
  <c r="D198" i="13"/>
  <c r="B198" i="13"/>
  <c r="H197" i="13"/>
  <c r="G197" i="13"/>
  <c r="F197" i="13"/>
  <c r="E197" i="13"/>
  <c r="D197" i="13"/>
  <c r="B197" i="13"/>
  <c r="H196" i="13"/>
  <c r="G196" i="13"/>
  <c r="F196" i="13"/>
  <c r="E196" i="13"/>
  <c r="D196" i="13"/>
  <c r="B196" i="13"/>
  <c r="H195" i="13"/>
  <c r="G195" i="13"/>
  <c r="F195" i="13"/>
  <c r="E195" i="13"/>
  <c r="D195" i="13"/>
  <c r="B195" i="13"/>
  <c r="H194" i="13"/>
  <c r="G194" i="13"/>
  <c r="F194" i="13"/>
  <c r="E194" i="13"/>
  <c r="D194" i="13"/>
  <c r="B194" i="13"/>
  <c r="H193" i="13"/>
  <c r="G193" i="13"/>
  <c r="F193" i="13"/>
  <c r="E193" i="13"/>
  <c r="D193" i="13"/>
  <c r="B193" i="13"/>
  <c r="H192" i="13"/>
  <c r="G192" i="13"/>
  <c r="F192" i="13"/>
  <c r="E192" i="13"/>
  <c r="D192" i="13"/>
  <c r="B192" i="13"/>
  <c r="H191" i="13"/>
  <c r="G191" i="13"/>
  <c r="F191" i="13"/>
  <c r="E191" i="13"/>
  <c r="D191" i="13"/>
  <c r="B191" i="13"/>
  <c r="H190" i="13"/>
  <c r="G190" i="13"/>
  <c r="F190" i="13"/>
  <c r="E190" i="13"/>
  <c r="D190" i="13"/>
  <c r="B190" i="13"/>
  <c r="H189" i="13"/>
  <c r="G189" i="13"/>
  <c r="F189" i="13"/>
  <c r="E189" i="13"/>
  <c r="D189" i="13"/>
  <c r="B189" i="13"/>
  <c r="H188" i="13"/>
  <c r="G188" i="13"/>
  <c r="F188" i="13"/>
  <c r="E188" i="13"/>
  <c r="D188" i="13"/>
  <c r="B188" i="13"/>
  <c r="H187" i="13"/>
  <c r="G187" i="13"/>
  <c r="F187" i="13"/>
  <c r="E187" i="13"/>
  <c r="D187" i="13"/>
  <c r="B187" i="13"/>
  <c r="H186" i="13"/>
  <c r="G186" i="13"/>
  <c r="F186" i="13"/>
  <c r="E186" i="13"/>
  <c r="D186" i="13"/>
  <c r="B186" i="13"/>
  <c r="H185" i="13"/>
  <c r="G185" i="13"/>
  <c r="F185" i="13"/>
  <c r="E185" i="13"/>
  <c r="D185" i="13"/>
  <c r="B185" i="13"/>
  <c r="H184" i="13"/>
  <c r="G184" i="13"/>
  <c r="F184" i="13"/>
  <c r="E184" i="13"/>
  <c r="D184" i="13"/>
  <c r="B184" i="13"/>
  <c r="H183" i="13"/>
  <c r="G183" i="13"/>
  <c r="F183" i="13"/>
  <c r="E183" i="13"/>
  <c r="D183" i="13"/>
  <c r="B183" i="13"/>
  <c r="H182" i="13"/>
  <c r="G182" i="13"/>
  <c r="F182" i="13"/>
  <c r="E182" i="13"/>
  <c r="D182" i="13"/>
  <c r="B182" i="13"/>
  <c r="H181" i="13"/>
  <c r="G181" i="13"/>
  <c r="F181" i="13"/>
  <c r="E181" i="13"/>
  <c r="D181" i="13"/>
  <c r="B181" i="13"/>
  <c r="H180" i="13"/>
  <c r="G180" i="13"/>
  <c r="F180" i="13"/>
  <c r="E180" i="13"/>
  <c r="D180" i="13"/>
  <c r="B180" i="13"/>
  <c r="H179" i="13"/>
  <c r="G179" i="13"/>
  <c r="F179" i="13"/>
  <c r="E179" i="13"/>
  <c r="D179" i="13"/>
  <c r="B179" i="13"/>
  <c r="H178" i="13"/>
  <c r="G178" i="13"/>
  <c r="F178" i="13"/>
  <c r="E178" i="13"/>
  <c r="D178" i="13"/>
  <c r="B178" i="13"/>
  <c r="H177" i="13"/>
  <c r="G177" i="13"/>
  <c r="F177" i="13"/>
  <c r="E177" i="13"/>
  <c r="D177" i="13"/>
  <c r="B177" i="13"/>
  <c r="H176" i="13"/>
  <c r="G176" i="13"/>
  <c r="F176" i="13"/>
  <c r="E176" i="13"/>
  <c r="D176" i="13"/>
  <c r="B176" i="13"/>
  <c r="H175" i="13"/>
  <c r="G175" i="13"/>
  <c r="F175" i="13"/>
  <c r="E175" i="13"/>
  <c r="D175" i="13"/>
  <c r="B175" i="13"/>
  <c r="H174" i="13"/>
  <c r="G174" i="13"/>
  <c r="F174" i="13"/>
  <c r="E174" i="13"/>
  <c r="D174" i="13"/>
  <c r="B174" i="13"/>
  <c r="H173" i="13"/>
  <c r="G173" i="13"/>
  <c r="F173" i="13"/>
  <c r="E173" i="13"/>
  <c r="D173" i="13"/>
  <c r="B173" i="13"/>
  <c r="H172" i="13"/>
  <c r="G172" i="13"/>
  <c r="F172" i="13"/>
  <c r="E172" i="13"/>
  <c r="D172" i="13"/>
  <c r="B172" i="13"/>
  <c r="H171" i="13"/>
  <c r="G171" i="13"/>
  <c r="F171" i="13"/>
  <c r="E171" i="13"/>
  <c r="D171" i="13"/>
  <c r="B171" i="13"/>
  <c r="H170" i="13"/>
  <c r="G170" i="13"/>
  <c r="F170" i="13"/>
  <c r="E170" i="13"/>
  <c r="D170" i="13"/>
  <c r="B170" i="13"/>
  <c r="H169" i="13"/>
  <c r="G169" i="13"/>
  <c r="F169" i="13"/>
  <c r="E169" i="13"/>
  <c r="D169" i="13"/>
  <c r="B169" i="13"/>
  <c r="H168" i="13"/>
  <c r="G168" i="13"/>
  <c r="F168" i="13"/>
  <c r="E168" i="13"/>
  <c r="D168" i="13"/>
  <c r="B168" i="13"/>
  <c r="H167" i="13"/>
  <c r="G167" i="13"/>
  <c r="F167" i="13"/>
  <c r="E167" i="13"/>
  <c r="D167" i="13"/>
  <c r="B167" i="13"/>
  <c r="H166" i="13"/>
  <c r="G166" i="13"/>
  <c r="F166" i="13"/>
  <c r="E166" i="13"/>
  <c r="D166" i="13"/>
  <c r="B166" i="13"/>
  <c r="H165" i="13"/>
  <c r="G165" i="13"/>
  <c r="F165" i="13"/>
  <c r="E165" i="13"/>
  <c r="D165" i="13"/>
  <c r="B165" i="13"/>
  <c r="H164" i="13"/>
  <c r="G164" i="13"/>
  <c r="F164" i="13"/>
  <c r="E164" i="13"/>
  <c r="D164" i="13"/>
  <c r="B164" i="13"/>
  <c r="H163" i="13"/>
  <c r="G163" i="13"/>
  <c r="F163" i="13"/>
  <c r="E163" i="13"/>
  <c r="D163" i="13"/>
  <c r="B163" i="13"/>
  <c r="H162" i="13"/>
  <c r="G162" i="13"/>
  <c r="F162" i="13"/>
  <c r="E162" i="13"/>
  <c r="D162" i="13"/>
  <c r="B162" i="13"/>
  <c r="H161" i="13"/>
  <c r="G161" i="13"/>
  <c r="F161" i="13"/>
  <c r="E161" i="13"/>
  <c r="D161" i="13"/>
  <c r="B161" i="13"/>
  <c r="H160" i="13"/>
  <c r="G160" i="13"/>
  <c r="F160" i="13"/>
  <c r="E160" i="13"/>
  <c r="D160" i="13"/>
  <c r="B160" i="13"/>
  <c r="H159" i="13"/>
  <c r="G159" i="13"/>
  <c r="F159" i="13"/>
  <c r="E159" i="13"/>
  <c r="D159" i="13"/>
  <c r="B159" i="13"/>
  <c r="H158" i="13"/>
  <c r="G158" i="13"/>
  <c r="F158" i="13"/>
  <c r="E158" i="13"/>
  <c r="D158" i="13"/>
  <c r="B158" i="13"/>
  <c r="H157" i="13"/>
  <c r="G157" i="13"/>
  <c r="F157" i="13"/>
  <c r="E157" i="13"/>
  <c r="D157" i="13"/>
  <c r="B157" i="13"/>
  <c r="H156" i="13"/>
  <c r="G156" i="13"/>
  <c r="F156" i="13"/>
  <c r="E156" i="13"/>
  <c r="D156" i="13"/>
  <c r="B156" i="13"/>
  <c r="H155" i="13"/>
  <c r="G155" i="13"/>
  <c r="F155" i="13"/>
  <c r="E155" i="13"/>
  <c r="D155" i="13"/>
  <c r="B155" i="13"/>
  <c r="H154" i="13"/>
  <c r="G154" i="13"/>
  <c r="F154" i="13"/>
  <c r="E154" i="13"/>
  <c r="D154" i="13"/>
  <c r="B154" i="13"/>
  <c r="H153" i="13"/>
  <c r="G153" i="13"/>
  <c r="F153" i="13"/>
  <c r="E153" i="13"/>
  <c r="D153" i="13"/>
  <c r="B153" i="13"/>
  <c r="H152" i="13"/>
  <c r="G152" i="13"/>
  <c r="F152" i="13"/>
  <c r="E152" i="13"/>
  <c r="D152" i="13"/>
  <c r="B152" i="13"/>
  <c r="H151" i="13"/>
  <c r="G151" i="13"/>
  <c r="F151" i="13"/>
  <c r="E151" i="13"/>
  <c r="D151" i="13"/>
  <c r="B151" i="13"/>
  <c r="H150" i="13"/>
  <c r="G150" i="13"/>
  <c r="F150" i="13"/>
  <c r="E150" i="13"/>
  <c r="D150" i="13"/>
  <c r="B150" i="13"/>
  <c r="H149" i="13"/>
  <c r="G149" i="13"/>
  <c r="F149" i="13"/>
  <c r="E149" i="13"/>
  <c r="D149" i="13"/>
  <c r="B149" i="13"/>
  <c r="H148" i="13"/>
  <c r="G148" i="13"/>
  <c r="F148" i="13"/>
  <c r="E148" i="13"/>
  <c r="D148" i="13"/>
  <c r="B148" i="13"/>
  <c r="H147" i="13"/>
  <c r="G147" i="13"/>
  <c r="F147" i="13"/>
  <c r="E147" i="13"/>
  <c r="D147" i="13"/>
  <c r="B147" i="13"/>
  <c r="H146" i="13"/>
  <c r="G146" i="13"/>
  <c r="F146" i="13"/>
  <c r="E146" i="13"/>
  <c r="D146" i="13"/>
  <c r="B146" i="13"/>
  <c r="H145" i="13"/>
  <c r="G145" i="13"/>
  <c r="F145" i="13"/>
  <c r="E145" i="13"/>
  <c r="D145" i="13"/>
  <c r="B145" i="13"/>
  <c r="H144" i="13"/>
  <c r="G144" i="13"/>
  <c r="F144" i="13"/>
  <c r="E144" i="13"/>
  <c r="D144" i="13"/>
  <c r="B144" i="13"/>
  <c r="H143" i="13"/>
  <c r="G143" i="13"/>
  <c r="F143" i="13"/>
  <c r="E143" i="13"/>
  <c r="D143" i="13"/>
  <c r="B143" i="13"/>
  <c r="H142" i="13"/>
  <c r="G142" i="13"/>
  <c r="F142" i="13"/>
  <c r="E142" i="13"/>
  <c r="D142" i="13"/>
  <c r="B142" i="13"/>
  <c r="H141" i="13"/>
  <c r="G141" i="13"/>
  <c r="F141" i="13"/>
  <c r="E141" i="13"/>
  <c r="D141" i="13"/>
  <c r="B141" i="13"/>
  <c r="H140" i="13"/>
  <c r="G140" i="13"/>
  <c r="F140" i="13"/>
  <c r="E140" i="13"/>
  <c r="D140" i="13"/>
  <c r="B140" i="13"/>
  <c r="H139" i="13"/>
  <c r="G139" i="13"/>
  <c r="F139" i="13"/>
  <c r="E139" i="13"/>
  <c r="D139" i="13"/>
  <c r="B139" i="13"/>
  <c r="H138" i="13"/>
  <c r="G138" i="13"/>
  <c r="F138" i="13"/>
  <c r="E138" i="13"/>
  <c r="D138" i="13"/>
  <c r="B138" i="13"/>
  <c r="H137" i="13"/>
  <c r="G137" i="13"/>
  <c r="F137" i="13"/>
  <c r="E137" i="13"/>
  <c r="D137" i="13"/>
  <c r="B137" i="13"/>
  <c r="H136" i="13"/>
  <c r="G136" i="13"/>
  <c r="F136" i="13"/>
  <c r="E136" i="13"/>
  <c r="D136" i="13"/>
  <c r="B136" i="13"/>
  <c r="H135" i="13"/>
  <c r="G135" i="13"/>
  <c r="F135" i="13"/>
  <c r="E135" i="13"/>
  <c r="D135" i="13"/>
  <c r="B135" i="13"/>
  <c r="H134" i="13"/>
  <c r="G134" i="13"/>
  <c r="F134" i="13"/>
  <c r="E134" i="13"/>
  <c r="D134" i="13"/>
  <c r="B134" i="13"/>
  <c r="H133" i="13"/>
  <c r="G133" i="13"/>
  <c r="F133" i="13"/>
  <c r="E133" i="13"/>
  <c r="D133" i="13"/>
  <c r="B133" i="13"/>
  <c r="H132" i="13"/>
  <c r="G132" i="13"/>
  <c r="F132" i="13"/>
  <c r="E132" i="13"/>
  <c r="D132" i="13"/>
  <c r="B132" i="13"/>
  <c r="H131" i="13"/>
  <c r="G131" i="13"/>
  <c r="F131" i="13"/>
  <c r="E131" i="13"/>
  <c r="D131" i="13"/>
  <c r="B131" i="13"/>
  <c r="H130" i="13"/>
  <c r="G130" i="13"/>
  <c r="F130" i="13"/>
  <c r="E130" i="13"/>
  <c r="D130" i="13"/>
  <c r="B130" i="13"/>
  <c r="H129" i="13"/>
  <c r="G129" i="13"/>
  <c r="F129" i="13"/>
  <c r="E129" i="13"/>
  <c r="D129" i="13"/>
  <c r="B129" i="13"/>
  <c r="H128" i="13"/>
  <c r="G128" i="13"/>
  <c r="F128" i="13"/>
  <c r="E128" i="13"/>
  <c r="D128" i="13"/>
  <c r="B128" i="13"/>
  <c r="H127" i="13"/>
  <c r="G127" i="13"/>
  <c r="F127" i="13"/>
  <c r="E127" i="13"/>
  <c r="D127" i="13"/>
  <c r="B127" i="13"/>
  <c r="H126" i="13"/>
  <c r="G126" i="13"/>
  <c r="F126" i="13"/>
  <c r="E126" i="13"/>
  <c r="D126" i="13"/>
  <c r="B126" i="13"/>
  <c r="H125" i="13"/>
  <c r="G125" i="13"/>
  <c r="F125" i="13"/>
  <c r="E125" i="13"/>
  <c r="D125" i="13"/>
  <c r="B125" i="13"/>
  <c r="H124" i="13"/>
  <c r="G124" i="13"/>
  <c r="F124" i="13"/>
  <c r="E124" i="13"/>
  <c r="D124" i="13"/>
  <c r="B124" i="13"/>
  <c r="H123" i="13"/>
  <c r="G123" i="13"/>
  <c r="F123" i="13"/>
  <c r="E123" i="13"/>
  <c r="D123" i="13"/>
  <c r="B123" i="13"/>
  <c r="H122" i="13"/>
  <c r="G122" i="13"/>
  <c r="F122" i="13"/>
  <c r="E122" i="13"/>
  <c r="D122" i="13"/>
  <c r="B122" i="13"/>
  <c r="H121" i="13"/>
  <c r="G121" i="13"/>
  <c r="F121" i="13"/>
  <c r="E121" i="13"/>
  <c r="D121" i="13"/>
  <c r="B121" i="13"/>
  <c r="H120" i="13"/>
  <c r="G120" i="13"/>
  <c r="F120" i="13"/>
  <c r="E120" i="13"/>
  <c r="D120" i="13"/>
  <c r="B120" i="13"/>
  <c r="H119" i="13"/>
  <c r="G119" i="13"/>
  <c r="F119" i="13"/>
  <c r="E119" i="13"/>
  <c r="D119" i="13"/>
  <c r="B119" i="13"/>
  <c r="H118" i="13"/>
  <c r="G118" i="13"/>
  <c r="F118" i="13"/>
  <c r="E118" i="13"/>
  <c r="D118" i="13"/>
  <c r="B118" i="13"/>
  <c r="H117" i="13"/>
  <c r="G117" i="13"/>
  <c r="F117" i="13"/>
  <c r="E117" i="13"/>
  <c r="D117" i="13"/>
  <c r="B117" i="13"/>
  <c r="H116" i="13"/>
  <c r="G116" i="13"/>
  <c r="F116" i="13"/>
  <c r="E116" i="13"/>
  <c r="D116" i="13"/>
  <c r="B116" i="13"/>
  <c r="H115" i="13"/>
  <c r="G115" i="13"/>
  <c r="F115" i="13"/>
  <c r="E115" i="13"/>
  <c r="D115" i="13"/>
  <c r="B115" i="13"/>
  <c r="H114" i="13"/>
  <c r="G114" i="13"/>
  <c r="F114" i="13"/>
  <c r="E114" i="13"/>
  <c r="D114" i="13"/>
  <c r="B114" i="13"/>
  <c r="H113" i="13"/>
  <c r="G113" i="13"/>
  <c r="F113" i="13"/>
  <c r="E113" i="13"/>
  <c r="D113" i="13"/>
  <c r="B113" i="13"/>
  <c r="H112" i="13"/>
  <c r="G112" i="13"/>
  <c r="F112" i="13"/>
  <c r="E112" i="13"/>
  <c r="D112" i="13"/>
  <c r="B112" i="13"/>
  <c r="H111" i="13"/>
  <c r="G111" i="13"/>
  <c r="F111" i="13"/>
  <c r="E111" i="13"/>
  <c r="D111" i="13"/>
  <c r="B111" i="13"/>
  <c r="H110" i="13"/>
  <c r="G110" i="13"/>
  <c r="F110" i="13"/>
  <c r="E110" i="13"/>
  <c r="D110" i="13"/>
  <c r="B110" i="13"/>
  <c r="H109" i="13"/>
  <c r="G109" i="13"/>
  <c r="F109" i="13"/>
  <c r="E109" i="13"/>
  <c r="D109" i="13"/>
  <c r="B109" i="13"/>
  <c r="H108" i="13"/>
  <c r="G108" i="13"/>
  <c r="F108" i="13"/>
  <c r="E108" i="13"/>
  <c r="D108" i="13"/>
  <c r="B108" i="13"/>
  <c r="H107" i="13"/>
  <c r="G107" i="13"/>
  <c r="F107" i="13"/>
  <c r="E107" i="13"/>
  <c r="D107" i="13"/>
  <c r="B107" i="13"/>
  <c r="H106" i="13"/>
  <c r="G106" i="13"/>
  <c r="F106" i="13"/>
  <c r="E106" i="13"/>
  <c r="D106" i="13"/>
  <c r="B106" i="13"/>
  <c r="H105" i="13"/>
  <c r="G105" i="13"/>
  <c r="F105" i="13"/>
  <c r="E105" i="13"/>
  <c r="D105" i="13"/>
  <c r="B105" i="13"/>
  <c r="H104" i="13"/>
  <c r="G104" i="13"/>
  <c r="F104" i="13"/>
  <c r="E104" i="13"/>
  <c r="D104" i="13"/>
  <c r="B104" i="13"/>
  <c r="H103" i="13"/>
  <c r="G103" i="13"/>
  <c r="F103" i="13"/>
  <c r="E103" i="13"/>
  <c r="D103" i="13"/>
  <c r="B103" i="13"/>
  <c r="H102" i="13"/>
  <c r="G102" i="13"/>
  <c r="F102" i="13"/>
  <c r="E102" i="13"/>
  <c r="D102" i="13"/>
  <c r="B102" i="13"/>
  <c r="H101" i="13"/>
  <c r="G101" i="13"/>
  <c r="F101" i="13"/>
  <c r="E101" i="13"/>
  <c r="D101" i="13"/>
  <c r="B101" i="13"/>
  <c r="H100" i="13"/>
  <c r="G100" i="13"/>
  <c r="F100" i="13"/>
  <c r="E100" i="13"/>
  <c r="D100" i="13"/>
  <c r="B100" i="13"/>
  <c r="H99" i="13"/>
  <c r="G99" i="13"/>
  <c r="F99" i="13"/>
  <c r="E99" i="13"/>
  <c r="D99" i="13"/>
  <c r="B99" i="13"/>
  <c r="H98" i="13"/>
  <c r="G98" i="13"/>
  <c r="F98" i="13"/>
  <c r="E98" i="13"/>
  <c r="D98" i="13"/>
  <c r="B98" i="13"/>
  <c r="H97" i="13"/>
  <c r="G97" i="13"/>
  <c r="F97" i="13"/>
  <c r="E97" i="13"/>
  <c r="D97" i="13"/>
  <c r="B97" i="13"/>
  <c r="H96" i="13"/>
  <c r="G96" i="13"/>
  <c r="F96" i="13"/>
  <c r="E96" i="13"/>
  <c r="D96" i="13"/>
  <c r="B96" i="13"/>
  <c r="H95" i="13"/>
  <c r="G95" i="13"/>
  <c r="F95" i="13"/>
  <c r="E95" i="13"/>
  <c r="D95" i="13"/>
  <c r="B95" i="13"/>
  <c r="H94" i="13"/>
  <c r="G94" i="13"/>
  <c r="F94" i="13"/>
  <c r="E94" i="13"/>
  <c r="D94" i="13"/>
  <c r="B94" i="13"/>
  <c r="H93" i="13"/>
  <c r="G93" i="13"/>
  <c r="F93" i="13"/>
  <c r="E93" i="13"/>
  <c r="D93" i="13"/>
  <c r="B93" i="13"/>
  <c r="H92" i="13"/>
  <c r="G92" i="13"/>
  <c r="F92" i="13"/>
  <c r="E92" i="13"/>
  <c r="D92" i="13"/>
  <c r="B92" i="13"/>
  <c r="H91" i="13"/>
  <c r="G91" i="13"/>
  <c r="F91" i="13"/>
  <c r="E91" i="13"/>
  <c r="D91" i="13"/>
  <c r="B91" i="13"/>
  <c r="H90" i="13"/>
  <c r="G90" i="13"/>
  <c r="F90" i="13"/>
  <c r="E90" i="13"/>
  <c r="D90" i="13"/>
  <c r="B90" i="13"/>
  <c r="H89" i="13"/>
  <c r="G89" i="13"/>
  <c r="F89" i="13"/>
  <c r="E89" i="13"/>
  <c r="D89" i="13"/>
  <c r="B89" i="13"/>
  <c r="H88" i="13"/>
  <c r="G88" i="13"/>
  <c r="F88" i="13"/>
  <c r="E88" i="13"/>
  <c r="D88" i="13"/>
  <c r="B88" i="13"/>
  <c r="H87" i="13"/>
  <c r="G87" i="13"/>
  <c r="F87" i="13"/>
  <c r="E87" i="13"/>
  <c r="D87" i="13"/>
  <c r="B87" i="13"/>
  <c r="H86" i="13"/>
  <c r="G86" i="13"/>
  <c r="F86" i="13"/>
  <c r="E86" i="13"/>
  <c r="D86" i="13"/>
  <c r="B86" i="13"/>
  <c r="H85" i="13"/>
  <c r="G85" i="13"/>
  <c r="F85" i="13"/>
  <c r="E85" i="13"/>
  <c r="D85" i="13"/>
  <c r="B85" i="13"/>
  <c r="H84" i="13"/>
  <c r="G84" i="13"/>
  <c r="F84" i="13"/>
  <c r="E84" i="13"/>
  <c r="D84" i="13"/>
  <c r="B84" i="13"/>
  <c r="H83" i="13"/>
  <c r="G83" i="13"/>
  <c r="F83" i="13"/>
  <c r="E83" i="13"/>
  <c r="D83" i="13"/>
  <c r="B83" i="13"/>
  <c r="H82" i="13"/>
  <c r="G82" i="13"/>
  <c r="F82" i="13"/>
  <c r="E82" i="13"/>
  <c r="D82" i="13"/>
  <c r="B82" i="13"/>
  <c r="H81" i="13"/>
  <c r="G81" i="13"/>
  <c r="F81" i="13"/>
  <c r="E81" i="13"/>
  <c r="D81" i="13"/>
  <c r="B81" i="13"/>
  <c r="H80" i="13"/>
  <c r="G80" i="13"/>
  <c r="F80" i="13"/>
  <c r="E80" i="13"/>
  <c r="D80" i="13"/>
  <c r="B80" i="13"/>
  <c r="H79" i="13"/>
  <c r="G79" i="13"/>
  <c r="F79" i="13"/>
  <c r="E79" i="13"/>
  <c r="D79" i="13"/>
  <c r="B79" i="13"/>
  <c r="H78" i="13"/>
  <c r="G78" i="13"/>
  <c r="F78" i="13"/>
  <c r="E78" i="13"/>
  <c r="D78" i="13"/>
  <c r="B78" i="13"/>
  <c r="H77" i="13"/>
  <c r="G77" i="13"/>
  <c r="F77" i="13"/>
  <c r="E77" i="13"/>
  <c r="D77" i="13"/>
  <c r="B77" i="13"/>
  <c r="H76" i="13"/>
  <c r="G76" i="13"/>
  <c r="F76" i="13"/>
  <c r="E76" i="13"/>
  <c r="D76" i="13"/>
  <c r="B76" i="13"/>
  <c r="H75" i="13"/>
  <c r="G75" i="13"/>
  <c r="F75" i="13"/>
  <c r="E75" i="13"/>
  <c r="D75" i="13"/>
  <c r="B75" i="13"/>
  <c r="H74" i="13"/>
  <c r="G74" i="13"/>
  <c r="F74" i="13"/>
  <c r="E74" i="13"/>
  <c r="D74" i="13"/>
  <c r="B74" i="13"/>
  <c r="H73" i="13"/>
  <c r="G73" i="13"/>
  <c r="F73" i="13"/>
  <c r="E73" i="13"/>
  <c r="D73" i="13"/>
  <c r="B73" i="13"/>
  <c r="H72" i="13"/>
  <c r="G72" i="13"/>
  <c r="F72" i="13"/>
  <c r="E72" i="13"/>
  <c r="D72" i="13"/>
  <c r="B72" i="13"/>
  <c r="H71" i="13"/>
  <c r="G71" i="13"/>
  <c r="F71" i="13"/>
  <c r="E71" i="13"/>
  <c r="D71" i="13"/>
  <c r="B71" i="13"/>
  <c r="H70" i="13"/>
  <c r="G70" i="13"/>
  <c r="F70" i="13"/>
  <c r="E70" i="13"/>
  <c r="D70" i="13"/>
  <c r="B70" i="13"/>
  <c r="H69" i="13"/>
  <c r="G69" i="13"/>
  <c r="F69" i="13"/>
  <c r="E69" i="13"/>
  <c r="D69" i="13"/>
  <c r="B69" i="13"/>
  <c r="H68" i="13"/>
  <c r="G68" i="13"/>
  <c r="F68" i="13"/>
  <c r="E68" i="13"/>
  <c r="D68" i="13"/>
  <c r="B68" i="13"/>
  <c r="H67" i="13"/>
  <c r="G67" i="13"/>
  <c r="F67" i="13"/>
  <c r="E67" i="13"/>
  <c r="D67" i="13"/>
  <c r="B67" i="13"/>
  <c r="H66" i="13"/>
  <c r="G66" i="13"/>
  <c r="F66" i="13"/>
  <c r="E66" i="13"/>
  <c r="D66" i="13"/>
  <c r="B66" i="13"/>
  <c r="H65" i="13"/>
  <c r="G65" i="13"/>
  <c r="F65" i="13"/>
  <c r="E65" i="13"/>
  <c r="D65" i="13"/>
  <c r="B65" i="13"/>
  <c r="H64" i="13"/>
  <c r="G64" i="13"/>
  <c r="F64" i="13"/>
  <c r="E64" i="13"/>
  <c r="D64" i="13"/>
  <c r="B64" i="13"/>
  <c r="H63" i="13"/>
  <c r="G63" i="13"/>
  <c r="F63" i="13"/>
  <c r="E63" i="13"/>
  <c r="D63" i="13"/>
  <c r="B63" i="13"/>
  <c r="H62" i="13"/>
  <c r="G62" i="13"/>
  <c r="F62" i="13"/>
  <c r="E62" i="13"/>
  <c r="D62" i="13"/>
  <c r="B62" i="13"/>
  <c r="H61" i="13"/>
  <c r="G61" i="13"/>
  <c r="F61" i="13"/>
  <c r="E61" i="13"/>
  <c r="D61" i="13"/>
  <c r="B61" i="13"/>
  <c r="H60" i="13"/>
  <c r="G60" i="13"/>
  <c r="F60" i="13"/>
  <c r="E60" i="13"/>
  <c r="D60" i="13"/>
  <c r="B60" i="13"/>
  <c r="H59" i="13"/>
  <c r="G59" i="13"/>
  <c r="F59" i="13"/>
  <c r="E59" i="13"/>
  <c r="D59" i="13"/>
  <c r="B59" i="13"/>
  <c r="H58" i="13"/>
  <c r="G58" i="13"/>
  <c r="F58" i="13"/>
  <c r="E58" i="13"/>
  <c r="D58" i="13"/>
  <c r="B58" i="13"/>
  <c r="H57" i="13"/>
  <c r="G57" i="13"/>
  <c r="F57" i="13"/>
  <c r="E57" i="13"/>
  <c r="D57" i="13"/>
  <c r="B57" i="13"/>
  <c r="H56" i="13"/>
  <c r="G56" i="13"/>
  <c r="F56" i="13"/>
  <c r="E56" i="13"/>
  <c r="D56" i="13"/>
  <c r="B56" i="13"/>
  <c r="H55" i="13"/>
  <c r="G55" i="13"/>
  <c r="F55" i="13"/>
  <c r="E55" i="13"/>
  <c r="D55" i="13"/>
  <c r="B55" i="13"/>
  <c r="H54" i="13"/>
  <c r="G54" i="13"/>
  <c r="F54" i="13"/>
  <c r="E54" i="13"/>
  <c r="D54" i="13"/>
  <c r="B54" i="13"/>
  <c r="H53" i="13"/>
  <c r="G53" i="13"/>
  <c r="F53" i="13"/>
  <c r="E53" i="13"/>
  <c r="D53" i="13"/>
  <c r="B53" i="13"/>
  <c r="H52" i="13"/>
  <c r="G52" i="13"/>
  <c r="F52" i="13"/>
  <c r="E52" i="13"/>
  <c r="D52" i="13"/>
  <c r="B52" i="13"/>
  <c r="H51" i="13"/>
  <c r="G51" i="13"/>
  <c r="F51" i="13"/>
  <c r="E51" i="13"/>
  <c r="D51" i="13"/>
  <c r="B51" i="13"/>
  <c r="H50" i="13"/>
  <c r="G50" i="13"/>
  <c r="F50" i="13"/>
  <c r="E50" i="13"/>
  <c r="D50" i="13"/>
  <c r="B50" i="13"/>
  <c r="H49" i="13"/>
  <c r="G49" i="13"/>
  <c r="F49" i="13"/>
  <c r="E49" i="13"/>
  <c r="D49" i="13"/>
  <c r="B49" i="13"/>
  <c r="H48" i="13"/>
  <c r="G48" i="13"/>
  <c r="F48" i="13"/>
  <c r="E48" i="13"/>
  <c r="D48" i="13"/>
  <c r="B48" i="13"/>
  <c r="H47" i="13"/>
  <c r="G47" i="13"/>
  <c r="F47" i="13"/>
  <c r="E47" i="13"/>
  <c r="D47" i="13"/>
  <c r="B47" i="13"/>
  <c r="H46" i="13"/>
  <c r="G46" i="13"/>
  <c r="F46" i="13"/>
  <c r="E46" i="13"/>
  <c r="D46" i="13"/>
  <c r="B46" i="13"/>
  <c r="H45" i="13"/>
  <c r="G45" i="13"/>
  <c r="F45" i="13"/>
  <c r="E45" i="13"/>
  <c r="D45" i="13"/>
  <c r="B45" i="13"/>
  <c r="H44" i="13"/>
  <c r="G44" i="13"/>
  <c r="F44" i="13"/>
  <c r="E44" i="13"/>
  <c r="D44" i="13"/>
  <c r="B44" i="13"/>
  <c r="H43" i="13"/>
  <c r="G43" i="13"/>
  <c r="F43" i="13"/>
  <c r="E43" i="13"/>
  <c r="D43" i="13"/>
  <c r="B43" i="13"/>
  <c r="H42" i="13"/>
  <c r="G42" i="13"/>
  <c r="F42" i="13"/>
  <c r="E42" i="13"/>
  <c r="D42" i="13"/>
  <c r="B42" i="13"/>
  <c r="H41" i="13"/>
  <c r="G41" i="13"/>
  <c r="F41" i="13"/>
  <c r="E41" i="13"/>
  <c r="D41" i="13"/>
  <c r="B41" i="13"/>
  <c r="H40" i="13"/>
  <c r="G40" i="13"/>
  <c r="F40" i="13"/>
  <c r="E40" i="13"/>
  <c r="D40" i="13"/>
  <c r="B40" i="13"/>
  <c r="H39" i="13"/>
  <c r="G39" i="13"/>
  <c r="F39" i="13"/>
  <c r="E39" i="13"/>
  <c r="D39" i="13"/>
  <c r="B39" i="13"/>
  <c r="H38" i="13"/>
  <c r="G38" i="13"/>
  <c r="F38" i="13"/>
  <c r="E38" i="13"/>
  <c r="D38" i="13"/>
  <c r="B38" i="13"/>
  <c r="H37" i="13"/>
  <c r="G37" i="13"/>
  <c r="F37" i="13"/>
  <c r="E37" i="13"/>
  <c r="D37" i="13"/>
  <c r="B37" i="13"/>
  <c r="H36" i="13"/>
  <c r="G36" i="13"/>
  <c r="F36" i="13"/>
  <c r="E36" i="13"/>
  <c r="D36" i="13"/>
  <c r="B36" i="13"/>
  <c r="H35" i="13"/>
  <c r="G35" i="13"/>
  <c r="F35" i="13"/>
  <c r="E35" i="13"/>
  <c r="D35" i="13"/>
  <c r="B35" i="13"/>
  <c r="H34" i="13"/>
  <c r="G34" i="13"/>
  <c r="F34" i="13"/>
  <c r="E34" i="13"/>
  <c r="D34" i="13"/>
  <c r="B34" i="13"/>
  <c r="H33" i="13"/>
  <c r="G33" i="13"/>
  <c r="F33" i="13"/>
  <c r="E33" i="13"/>
  <c r="D33" i="13"/>
  <c r="B33" i="13"/>
  <c r="H32" i="13"/>
  <c r="G32" i="13"/>
  <c r="F32" i="13"/>
  <c r="E32" i="13"/>
  <c r="D32" i="13"/>
  <c r="B32" i="13"/>
  <c r="H31" i="13"/>
  <c r="G31" i="13"/>
  <c r="F31" i="13"/>
  <c r="E31" i="13"/>
  <c r="D31" i="13"/>
  <c r="B31" i="13"/>
  <c r="H30" i="13"/>
  <c r="G30" i="13"/>
  <c r="F30" i="13"/>
  <c r="E30" i="13"/>
  <c r="D30" i="13"/>
  <c r="B30" i="13"/>
  <c r="H29" i="13"/>
  <c r="G29" i="13"/>
  <c r="F29" i="13"/>
  <c r="E29" i="13"/>
  <c r="D29" i="13"/>
  <c r="B29" i="13"/>
  <c r="H28" i="13"/>
  <c r="G28" i="13"/>
  <c r="F28" i="13"/>
  <c r="E28" i="13"/>
  <c r="D28" i="13"/>
  <c r="B28" i="13"/>
  <c r="H27" i="13"/>
  <c r="G27" i="13"/>
  <c r="F27" i="13"/>
  <c r="E27" i="13"/>
  <c r="D27" i="13"/>
  <c r="B27" i="13"/>
  <c r="H26" i="13"/>
  <c r="G26" i="13"/>
  <c r="F26" i="13"/>
  <c r="E26" i="13"/>
  <c r="D26" i="13"/>
  <c r="B26" i="13"/>
  <c r="H25" i="13"/>
  <c r="G25" i="13"/>
  <c r="F25" i="13"/>
  <c r="E25" i="13"/>
  <c r="D25" i="13"/>
  <c r="B25" i="13"/>
  <c r="H24" i="13"/>
  <c r="G24" i="13"/>
  <c r="F24" i="13"/>
  <c r="E24" i="13"/>
  <c r="D24" i="13"/>
  <c r="B24" i="13"/>
  <c r="H23" i="13"/>
  <c r="G23" i="13"/>
  <c r="F23" i="13"/>
  <c r="E23" i="13"/>
  <c r="D23" i="13"/>
  <c r="B23" i="13"/>
  <c r="H22" i="13"/>
  <c r="G22" i="13"/>
  <c r="F22" i="13"/>
  <c r="E22" i="13"/>
  <c r="D22" i="13"/>
  <c r="B22" i="13"/>
  <c r="H21" i="13"/>
  <c r="G21" i="13"/>
  <c r="F21" i="13"/>
  <c r="E21" i="13"/>
  <c r="D21" i="13"/>
  <c r="B21" i="13"/>
  <c r="H20" i="13"/>
  <c r="G20" i="13"/>
  <c r="F20" i="13"/>
  <c r="E20" i="13"/>
  <c r="D20" i="13"/>
  <c r="B20" i="13"/>
  <c r="H19" i="13"/>
  <c r="G19" i="13"/>
  <c r="F19" i="13"/>
  <c r="E19" i="13"/>
  <c r="D19" i="13"/>
  <c r="B19" i="13"/>
  <c r="H18" i="13"/>
  <c r="G18" i="13"/>
  <c r="F18" i="13"/>
  <c r="E18" i="13"/>
  <c r="D18" i="13"/>
  <c r="B18" i="13"/>
  <c r="H17" i="13"/>
  <c r="G17" i="13"/>
  <c r="F17" i="13"/>
  <c r="E17" i="13"/>
  <c r="D17" i="13"/>
  <c r="B17" i="13"/>
  <c r="H16" i="13"/>
  <c r="G16" i="13"/>
  <c r="F16" i="13"/>
  <c r="E16" i="13"/>
  <c r="D16" i="13"/>
  <c r="B16" i="13"/>
  <c r="H15" i="13"/>
  <c r="G15" i="13"/>
  <c r="F15" i="13"/>
  <c r="E15" i="13"/>
  <c r="D15" i="13"/>
  <c r="B15" i="13"/>
  <c r="H14" i="13"/>
  <c r="G14" i="13"/>
  <c r="F14" i="13"/>
  <c r="E14" i="13"/>
  <c r="D14" i="13"/>
  <c r="B14" i="13"/>
  <c r="H13" i="13"/>
  <c r="G13" i="13"/>
  <c r="F13" i="13"/>
  <c r="E13" i="13"/>
  <c r="D13" i="13"/>
  <c r="B13" i="13"/>
  <c r="H12" i="13"/>
  <c r="G12" i="13"/>
  <c r="F12" i="13"/>
  <c r="E12" i="13"/>
  <c r="D12" i="13"/>
  <c r="B12" i="13"/>
  <c r="H11" i="13"/>
  <c r="G11" i="13"/>
  <c r="F11" i="13"/>
  <c r="E11" i="13"/>
  <c r="D11" i="13"/>
  <c r="B11" i="13"/>
  <c r="H10" i="13"/>
  <c r="G10" i="13"/>
  <c r="F10" i="13"/>
  <c r="E10" i="13"/>
  <c r="D10" i="13"/>
  <c r="B10" i="13"/>
  <c r="H9" i="13"/>
  <c r="G9" i="13"/>
  <c r="F9" i="13"/>
  <c r="E9" i="13"/>
  <c r="D9" i="13"/>
  <c r="B9" i="13"/>
  <c r="H8" i="13"/>
  <c r="G8" i="13"/>
  <c r="F8" i="13"/>
  <c r="E8" i="13"/>
  <c r="D8" i="13"/>
  <c r="B8" i="13"/>
  <c r="H7" i="13"/>
  <c r="G7" i="13"/>
  <c r="F7" i="13"/>
  <c r="E7" i="13"/>
  <c r="D7" i="13"/>
  <c r="B7" i="13"/>
  <c r="H6" i="13"/>
  <c r="G6" i="13"/>
  <c r="F6" i="13"/>
  <c r="E6" i="13"/>
  <c r="D6" i="13"/>
  <c r="B6" i="13"/>
  <c r="H5" i="13"/>
  <c r="G5" i="13"/>
  <c r="F5" i="13"/>
  <c r="E5" i="13"/>
  <c r="D5" i="13"/>
  <c r="B5" i="13"/>
  <c r="H4" i="13"/>
  <c r="G4" i="13"/>
  <c r="F4" i="13"/>
  <c r="E4" i="13"/>
  <c r="D4" i="13"/>
  <c r="B4" i="13"/>
  <c r="H3" i="13"/>
  <c r="G3" i="13"/>
  <c r="F3" i="13"/>
  <c r="E3" i="13"/>
  <c r="D3" i="13"/>
  <c r="B3" i="13"/>
  <c r="H2" i="13"/>
  <c r="G2" i="13"/>
  <c r="F2" i="13"/>
  <c r="E2" i="13"/>
  <c r="D2" i="13"/>
  <c r="B2" i="13"/>
  <c r="E2" i="12"/>
  <c r="E3" i="12"/>
  <c r="E4" i="12"/>
  <c r="E5" i="12"/>
  <c r="E6" i="12"/>
  <c r="E7" i="12"/>
  <c r="E8" i="12"/>
  <c r="E9" i="12"/>
  <c r="E10" i="12"/>
  <c r="E11" i="12"/>
  <c r="E12" i="12"/>
  <c r="E13" i="12"/>
  <c r="E14" i="12"/>
  <c r="E15" i="12"/>
  <c r="E16" i="12"/>
  <c r="E17" i="12"/>
  <c r="E18" i="12"/>
  <c r="E19" i="12"/>
  <c r="E20" i="12"/>
  <c r="E21" i="12"/>
  <c r="E22" i="12"/>
  <c r="E23" i="12"/>
  <c r="E24" i="12"/>
  <c r="E25" i="12"/>
  <c r="E26" i="12"/>
  <c r="E27" i="12"/>
  <c r="E28" i="12"/>
  <c r="E29" i="12"/>
  <c r="E30" i="12"/>
  <c r="E31" i="12"/>
  <c r="E32" i="12"/>
  <c r="E33" i="12"/>
  <c r="E34" i="12"/>
  <c r="E35" i="12"/>
  <c r="E36" i="12"/>
  <c r="E37" i="12"/>
  <c r="E38" i="12"/>
  <c r="E39" i="12"/>
  <c r="E40" i="12"/>
  <c r="E41" i="12"/>
  <c r="E42" i="12"/>
  <c r="E43" i="12"/>
  <c r="E44" i="12"/>
  <c r="E45" i="12"/>
  <c r="E46" i="12"/>
  <c r="E47" i="12"/>
  <c r="E48" i="12"/>
  <c r="E49" i="12"/>
  <c r="E50" i="12"/>
  <c r="E51" i="12"/>
  <c r="E52" i="12"/>
  <c r="E53" i="12"/>
  <c r="E54" i="12"/>
  <c r="E55" i="12"/>
  <c r="E56" i="12"/>
  <c r="E57" i="12"/>
  <c r="E58" i="12"/>
  <c r="E59" i="12"/>
  <c r="E60" i="12"/>
  <c r="E61" i="12"/>
  <c r="E62" i="12"/>
  <c r="E63" i="12"/>
  <c r="E64" i="12"/>
  <c r="E65" i="12"/>
  <c r="E66" i="12"/>
  <c r="E67" i="12"/>
  <c r="E68" i="12"/>
  <c r="E69" i="12"/>
  <c r="E70" i="12"/>
  <c r="E71" i="12"/>
  <c r="E72" i="12"/>
  <c r="E73" i="12"/>
  <c r="E74" i="12"/>
  <c r="E75" i="12"/>
  <c r="E76" i="12"/>
  <c r="E77" i="12"/>
  <c r="E78" i="12"/>
  <c r="E79" i="12"/>
  <c r="E80" i="12"/>
  <c r="E81" i="12"/>
  <c r="E82" i="12"/>
  <c r="E83" i="12"/>
  <c r="E84" i="12"/>
  <c r="E85" i="12"/>
  <c r="E86" i="12"/>
  <c r="E87" i="12"/>
  <c r="E88" i="12"/>
  <c r="E89" i="12"/>
  <c r="E90" i="12"/>
  <c r="E91" i="12"/>
  <c r="E92" i="12"/>
  <c r="E93" i="12"/>
  <c r="E94" i="12"/>
  <c r="E95" i="12"/>
  <c r="E96" i="12"/>
  <c r="E97" i="12"/>
  <c r="E98" i="12"/>
  <c r="E99" i="12"/>
  <c r="E100" i="12"/>
  <c r="E101" i="12"/>
  <c r="E102" i="12"/>
  <c r="E103" i="12"/>
  <c r="E104" i="12"/>
  <c r="E105" i="12"/>
  <c r="E106" i="12"/>
  <c r="E107" i="12"/>
  <c r="E108" i="12"/>
  <c r="E109" i="12"/>
  <c r="E110" i="12"/>
  <c r="E111" i="12"/>
  <c r="E112" i="12"/>
  <c r="E113" i="12"/>
  <c r="E114" i="12"/>
  <c r="E115" i="12"/>
  <c r="E116" i="12"/>
  <c r="E117" i="12"/>
  <c r="E118" i="12"/>
  <c r="E119" i="12"/>
  <c r="E120" i="12"/>
  <c r="E121" i="12"/>
  <c r="E122" i="12"/>
  <c r="E123" i="12"/>
  <c r="E124" i="12"/>
  <c r="E125" i="12"/>
  <c r="E126" i="12"/>
  <c r="E127" i="12"/>
  <c r="E128" i="12"/>
  <c r="E129" i="12"/>
  <c r="E130" i="12"/>
  <c r="E131" i="12"/>
  <c r="E132" i="12"/>
  <c r="E133" i="12"/>
  <c r="E134" i="12"/>
  <c r="E135" i="12"/>
  <c r="E136" i="12"/>
  <c r="E137" i="12"/>
  <c r="E138" i="12"/>
  <c r="E139" i="12"/>
  <c r="E140" i="12"/>
  <c r="E141" i="12"/>
  <c r="E142" i="12"/>
  <c r="E143" i="12"/>
  <c r="E144" i="12"/>
  <c r="E145" i="12"/>
  <c r="E146" i="12"/>
  <c r="E147" i="12"/>
  <c r="E148" i="12"/>
  <c r="E149" i="12"/>
  <c r="E150" i="12"/>
  <c r="E151" i="12"/>
  <c r="E152" i="12"/>
  <c r="E153" i="12"/>
  <c r="E154" i="12"/>
  <c r="E155" i="12"/>
  <c r="E156" i="12"/>
  <c r="E157" i="12"/>
  <c r="E158" i="12"/>
  <c r="E159" i="12"/>
  <c r="E160" i="12"/>
  <c r="E161" i="12"/>
  <c r="E162" i="12"/>
  <c r="E163" i="12"/>
  <c r="E164" i="12"/>
  <c r="E165" i="12"/>
  <c r="E166" i="12"/>
  <c r="E167" i="12"/>
  <c r="E168" i="12"/>
  <c r="E169" i="12"/>
  <c r="E170" i="12"/>
  <c r="E171" i="12"/>
  <c r="E172" i="12"/>
  <c r="E173" i="12"/>
  <c r="E174" i="12"/>
  <c r="E175" i="12"/>
  <c r="E176" i="12"/>
  <c r="E177" i="12"/>
  <c r="E178" i="12"/>
  <c r="E179" i="12"/>
  <c r="E180" i="12"/>
  <c r="E181" i="12"/>
  <c r="E182" i="12"/>
  <c r="E183" i="12"/>
  <c r="E184" i="12"/>
  <c r="E185" i="12"/>
  <c r="E186" i="12"/>
  <c r="E187" i="12"/>
  <c r="E188" i="12"/>
  <c r="E189" i="12"/>
  <c r="E190" i="12"/>
  <c r="E191" i="12"/>
  <c r="E192" i="12"/>
  <c r="E193" i="12"/>
  <c r="E194" i="12"/>
  <c r="E195" i="12"/>
  <c r="E196" i="12"/>
  <c r="E197" i="12"/>
  <c r="E198" i="12"/>
  <c r="E199" i="12"/>
  <c r="E200" i="12"/>
  <c r="E201" i="12"/>
  <c r="E202" i="12"/>
  <c r="E203" i="12"/>
  <c r="E204" i="12"/>
  <c r="E205" i="12"/>
  <c r="E206" i="12"/>
  <c r="E207" i="12"/>
  <c r="E208" i="12"/>
  <c r="E209" i="12"/>
  <c r="E210" i="12"/>
  <c r="E211" i="12"/>
  <c r="E212" i="12"/>
  <c r="E213" i="12"/>
  <c r="E214" i="12"/>
  <c r="E215" i="12"/>
  <c r="E216" i="12"/>
  <c r="E217" i="12"/>
  <c r="E218" i="12"/>
  <c r="E219" i="12"/>
  <c r="E220" i="12"/>
  <c r="E221" i="12"/>
  <c r="E222" i="12"/>
  <c r="E223" i="12"/>
  <c r="E224" i="12"/>
  <c r="E225" i="12"/>
  <c r="E226" i="12"/>
  <c r="E227" i="12"/>
  <c r="E228" i="12"/>
  <c r="E229" i="12"/>
  <c r="E230" i="12"/>
  <c r="E231" i="12"/>
  <c r="E232" i="12"/>
  <c r="E233" i="12"/>
  <c r="E234" i="12"/>
  <c r="E235" i="12"/>
  <c r="E236" i="12"/>
  <c r="E237" i="12"/>
  <c r="E238" i="12"/>
  <c r="E239" i="12"/>
  <c r="E240" i="12"/>
  <c r="E241" i="12"/>
  <c r="E242" i="12"/>
  <c r="E243" i="12"/>
  <c r="E244" i="12"/>
  <c r="E245" i="12"/>
  <c r="E246" i="12"/>
  <c r="E247" i="12"/>
  <c r="E248" i="12"/>
  <c r="E249" i="12"/>
  <c r="E250" i="12"/>
  <c r="E251" i="12"/>
  <c r="E252" i="12"/>
  <c r="E253" i="12"/>
  <c r="B3" i="12"/>
  <c r="B4" i="12"/>
  <c r="B5" i="12"/>
  <c r="B6" i="12"/>
  <c r="B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31" i="12"/>
  <c r="B32" i="12"/>
  <c r="B33" i="12"/>
  <c r="B34" i="12"/>
  <c r="B35" i="12"/>
  <c r="B36" i="12"/>
  <c r="B37" i="12"/>
  <c r="B38" i="12"/>
  <c r="B39" i="12"/>
  <c r="B40" i="12"/>
  <c r="B41" i="12"/>
  <c r="B42" i="12"/>
  <c r="B43" i="12"/>
  <c r="B44" i="12"/>
  <c r="B45" i="12"/>
  <c r="B46" i="12"/>
  <c r="B47" i="12"/>
  <c r="B48" i="12"/>
  <c r="B49" i="12"/>
  <c r="B50" i="12"/>
  <c r="B51" i="12"/>
  <c r="B52" i="12"/>
  <c r="B53" i="12"/>
  <c r="B54" i="12"/>
  <c r="B55" i="12"/>
  <c r="B56" i="12"/>
  <c r="B57" i="12"/>
  <c r="B58" i="12"/>
  <c r="B59" i="12"/>
  <c r="B60" i="12"/>
  <c r="B61" i="12"/>
  <c r="B62" i="12"/>
  <c r="B63" i="12"/>
  <c r="B64" i="12"/>
  <c r="B65" i="12"/>
  <c r="B66" i="12"/>
  <c r="B67" i="12"/>
  <c r="B68" i="12"/>
  <c r="B69" i="12"/>
  <c r="B70" i="12"/>
  <c r="B71" i="12"/>
  <c r="B72" i="12"/>
  <c r="B73" i="12"/>
  <c r="B74" i="12"/>
  <c r="B75" i="12"/>
  <c r="B76" i="12"/>
  <c r="B77" i="12"/>
  <c r="B78" i="12"/>
  <c r="B79" i="12"/>
  <c r="B80" i="12"/>
  <c r="B81" i="12"/>
  <c r="B82" i="12"/>
  <c r="B83" i="12"/>
  <c r="B84" i="12"/>
  <c r="B85" i="12"/>
  <c r="B86" i="12"/>
  <c r="B87" i="12"/>
  <c r="B88" i="12"/>
  <c r="B89" i="12"/>
  <c r="B90" i="12"/>
  <c r="B91" i="12"/>
  <c r="B92" i="12"/>
  <c r="B93" i="12"/>
  <c r="B94" i="12"/>
  <c r="B95" i="12"/>
  <c r="B96" i="12"/>
  <c r="B97" i="12"/>
  <c r="B98" i="12"/>
  <c r="B99" i="12"/>
  <c r="B100" i="12"/>
  <c r="B101" i="12"/>
  <c r="B102" i="12"/>
  <c r="B103" i="12"/>
  <c r="B104" i="12"/>
  <c r="B105" i="12"/>
  <c r="B106" i="12"/>
  <c r="B107" i="12"/>
  <c r="B108" i="12"/>
  <c r="B109" i="12"/>
  <c r="B110" i="12"/>
  <c r="B111" i="12"/>
  <c r="B112" i="12"/>
  <c r="B113" i="12"/>
  <c r="B114" i="12"/>
  <c r="B115" i="12"/>
  <c r="B116" i="12"/>
  <c r="B117" i="12"/>
  <c r="B118" i="12"/>
  <c r="B119" i="12"/>
  <c r="B120" i="12"/>
  <c r="B121" i="12"/>
  <c r="B122" i="12"/>
  <c r="B123" i="12"/>
  <c r="B124" i="12"/>
  <c r="B125" i="12"/>
  <c r="B126" i="12"/>
  <c r="B127" i="12"/>
  <c r="B128" i="12"/>
  <c r="B129" i="12"/>
  <c r="B130" i="12"/>
  <c r="B131" i="12"/>
  <c r="B132" i="12"/>
  <c r="B133" i="12"/>
  <c r="B134" i="12"/>
  <c r="B135" i="12"/>
  <c r="B136" i="12"/>
  <c r="B137" i="12"/>
  <c r="B138" i="12"/>
  <c r="B139" i="12"/>
  <c r="B140" i="12"/>
  <c r="B141" i="12"/>
  <c r="B142" i="12"/>
  <c r="B143" i="12"/>
  <c r="B144" i="12"/>
  <c r="B145" i="12"/>
  <c r="B146" i="12"/>
  <c r="B147" i="12"/>
  <c r="B148" i="12"/>
  <c r="B149" i="12"/>
  <c r="B150" i="12"/>
  <c r="B151" i="12"/>
  <c r="B152" i="12"/>
  <c r="B153" i="12"/>
  <c r="B154" i="12"/>
  <c r="B155" i="12"/>
  <c r="B156" i="12"/>
  <c r="B157" i="12"/>
  <c r="B158" i="12"/>
  <c r="B159" i="12"/>
  <c r="B160" i="12"/>
  <c r="B161" i="12"/>
  <c r="B162" i="12"/>
  <c r="B163" i="12"/>
  <c r="B164" i="12"/>
  <c r="B165" i="12"/>
  <c r="B166" i="12"/>
  <c r="B167" i="12"/>
  <c r="B168" i="12"/>
  <c r="B169" i="12"/>
  <c r="B170" i="12"/>
  <c r="B171" i="12"/>
  <c r="B172" i="12"/>
  <c r="B173" i="12"/>
  <c r="B174" i="12"/>
  <c r="B175" i="12"/>
  <c r="B176" i="12"/>
  <c r="B177" i="12"/>
  <c r="B178" i="12"/>
  <c r="B179" i="12"/>
  <c r="B180" i="12"/>
  <c r="B181" i="12"/>
  <c r="B182" i="12"/>
  <c r="B183" i="12"/>
  <c r="B184" i="12"/>
  <c r="B185" i="12"/>
  <c r="B186" i="12"/>
  <c r="B187" i="12"/>
  <c r="B188" i="12"/>
  <c r="B189" i="12"/>
  <c r="B190" i="12"/>
  <c r="B191" i="12"/>
  <c r="B192" i="12"/>
  <c r="B193" i="12"/>
  <c r="B194" i="12"/>
  <c r="B195" i="12"/>
  <c r="B196" i="12"/>
  <c r="B197" i="12"/>
  <c r="B198" i="12"/>
  <c r="B199" i="12"/>
  <c r="B200" i="12"/>
  <c r="B201" i="12"/>
  <c r="B202" i="12"/>
  <c r="B203" i="12"/>
  <c r="B204" i="12"/>
  <c r="B205" i="12"/>
  <c r="B206" i="12"/>
  <c r="B207" i="12"/>
  <c r="B208" i="12"/>
  <c r="B209" i="12"/>
  <c r="B210" i="12"/>
  <c r="B211" i="12"/>
  <c r="B212" i="12"/>
  <c r="B213" i="12"/>
  <c r="B214" i="12"/>
  <c r="B215" i="12"/>
  <c r="B216" i="12"/>
  <c r="B217" i="12"/>
  <c r="B218" i="12"/>
  <c r="B219" i="12"/>
  <c r="B220" i="12"/>
  <c r="B221" i="12"/>
  <c r="B222" i="12"/>
  <c r="B223" i="12"/>
  <c r="B224" i="12"/>
  <c r="B225" i="12"/>
  <c r="B226" i="12"/>
  <c r="B227" i="12"/>
  <c r="B228" i="12"/>
  <c r="B229" i="12"/>
  <c r="B230" i="12"/>
  <c r="B231" i="12"/>
  <c r="B232" i="12"/>
  <c r="B233" i="12"/>
  <c r="B234" i="12"/>
  <c r="B235" i="12"/>
  <c r="B236" i="12"/>
  <c r="B237" i="12"/>
  <c r="B238" i="12"/>
  <c r="B239" i="12"/>
  <c r="B240" i="12"/>
  <c r="B241" i="12"/>
  <c r="B242" i="12"/>
  <c r="B243" i="12"/>
  <c r="B244" i="12"/>
  <c r="B245" i="12"/>
  <c r="B246" i="12"/>
  <c r="B247" i="12"/>
  <c r="B248" i="12"/>
  <c r="B249" i="12"/>
  <c r="B250" i="12"/>
  <c r="B251" i="12"/>
  <c r="B252" i="12"/>
  <c r="B253" i="12"/>
  <c r="B2" i="12"/>
  <c r="P253" i="12"/>
  <c r="O253" i="12"/>
  <c r="M253" i="12"/>
  <c r="L253" i="12"/>
  <c r="K253" i="12"/>
  <c r="J253" i="12"/>
  <c r="I253" i="12"/>
  <c r="H253" i="12"/>
  <c r="G253" i="12"/>
  <c r="F253" i="12"/>
  <c r="D253" i="12"/>
  <c r="P252" i="12"/>
  <c r="O252" i="12"/>
  <c r="M252" i="12"/>
  <c r="L252" i="12"/>
  <c r="K252" i="12"/>
  <c r="J252" i="12"/>
  <c r="I252" i="12"/>
  <c r="H252" i="12"/>
  <c r="G252" i="12"/>
  <c r="F252" i="12"/>
  <c r="D252" i="12"/>
  <c r="P251" i="12"/>
  <c r="O251" i="12"/>
  <c r="M251" i="12"/>
  <c r="L251" i="12"/>
  <c r="K251" i="12"/>
  <c r="J251" i="12"/>
  <c r="I251" i="12"/>
  <c r="H251" i="12"/>
  <c r="G251" i="12"/>
  <c r="F251" i="12"/>
  <c r="D251" i="12"/>
  <c r="P250" i="12"/>
  <c r="O250" i="12"/>
  <c r="M250" i="12"/>
  <c r="L250" i="12"/>
  <c r="K250" i="12"/>
  <c r="J250" i="12"/>
  <c r="I250" i="12"/>
  <c r="H250" i="12"/>
  <c r="G250" i="12"/>
  <c r="F250" i="12"/>
  <c r="D250" i="12"/>
  <c r="P249" i="12"/>
  <c r="O249" i="12"/>
  <c r="M249" i="12"/>
  <c r="L249" i="12"/>
  <c r="K249" i="12"/>
  <c r="J249" i="12"/>
  <c r="I249" i="12"/>
  <c r="H249" i="12"/>
  <c r="G249" i="12"/>
  <c r="F249" i="12"/>
  <c r="D249" i="12"/>
  <c r="P248" i="12"/>
  <c r="O248" i="12"/>
  <c r="M248" i="12"/>
  <c r="L248" i="12"/>
  <c r="K248" i="12"/>
  <c r="J248" i="12"/>
  <c r="I248" i="12"/>
  <c r="H248" i="12"/>
  <c r="G248" i="12"/>
  <c r="F248" i="12"/>
  <c r="D248" i="12"/>
  <c r="P247" i="12"/>
  <c r="O247" i="12"/>
  <c r="M247" i="12"/>
  <c r="L247" i="12"/>
  <c r="K247" i="12"/>
  <c r="J247" i="12"/>
  <c r="I247" i="12"/>
  <c r="H247" i="12"/>
  <c r="G247" i="12"/>
  <c r="F247" i="12"/>
  <c r="D247" i="12"/>
  <c r="P246" i="12"/>
  <c r="O246" i="12"/>
  <c r="M246" i="12"/>
  <c r="L246" i="12"/>
  <c r="K246" i="12"/>
  <c r="J246" i="12"/>
  <c r="I246" i="12"/>
  <c r="H246" i="12"/>
  <c r="G246" i="12"/>
  <c r="F246" i="12"/>
  <c r="D246" i="12"/>
  <c r="P245" i="12"/>
  <c r="O245" i="12"/>
  <c r="M245" i="12"/>
  <c r="L245" i="12"/>
  <c r="K245" i="12"/>
  <c r="J245" i="12"/>
  <c r="I245" i="12"/>
  <c r="H245" i="12"/>
  <c r="G245" i="12"/>
  <c r="F245" i="12"/>
  <c r="D245" i="12"/>
  <c r="P244" i="12"/>
  <c r="O244" i="12"/>
  <c r="M244" i="12"/>
  <c r="L244" i="12"/>
  <c r="K244" i="12"/>
  <c r="J244" i="12"/>
  <c r="I244" i="12"/>
  <c r="H244" i="12"/>
  <c r="G244" i="12"/>
  <c r="F244" i="12"/>
  <c r="D244" i="12"/>
  <c r="P243" i="12"/>
  <c r="O243" i="12"/>
  <c r="M243" i="12"/>
  <c r="L243" i="12"/>
  <c r="K243" i="12"/>
  <c r="J243" i="12"/>
  <c r="I243" i="12"/>
  <c r="H243" i="12"/>
  <c r="G243" i="12"/>
  <c r="F243" i="12"/>
  <c r="D243" i="12"/>
  <c r="P242" i="12"/>
  <c r="O242" i="12"/>
  <c r="M242" i="12"/>
  <c r="L242" i="12"/>
  <c r="K242" i="12"/>
  <c r="J242" i="12"/>
  <c r="I242" i="12"/>
  <c r="H242" i="12"/>
  <c r="G242" i="12"/>
  <c r="F242" i="12"/>
  <c r="D242" i="12"/>
  <c r="P241" i="12"/>
  <c r="O241" i="12"/>
  <c r="M241" i="12"/>
  <c r="L241" i="12"/>
  <c r="K241" i="12"/>
  <c r="J241" i="12"/>
  <c r="I241" i="12"/>
  <c r="H241" i="12"/>
  <c r="G241" i="12"/>
  <c r="F241" i="12"/>
  <c r="D241" i="12"/>
  <c r="P240" i="12"/>
  <c r="O240" i="12"/>
  <c r="M240" i="12"/>
  <c r="L240" i="12"/>
  <c r="K240" i="12"/>
  <c r="J240" i="12"/>
  <c r="I240" i="12"/>
  <c r="H240" i="12"/>
  <c r="G240" i="12"/>
  <c r="F240" i="12"/>
  <c r="D240" i="12"/>
  <c r="P239" i="12"/>
  <c r="O239" i="12"/>
  <c r="M239" i="12"/>
  <c r="L239" i="12"/>
  <c r="K239" i="12"/>
  <c r="J239" i="12"/>
  <c r="I239" i="12"/>
  <c r="H239" i="12"/>
  <c r="G239" i="12"/>
  <c r="F239" i="12"/>
  <c r="D239" i="12"/>
  <c r="P238" i="12"/>
  <c r="O238" i="12"/>
  <c r="M238" i="12"/>
  <c r="L238" i="12"/>
  <c r="K238" i="12"/>
  <c r="J238" i="12"/>
  <c r="I238" i="12"/>
  <c r="H238" i="12"/>
  <c r="G238" i="12"/>
  <c r="F238" i="12"/>
  <c r="D238" i="12"/>
  <c r="P237" i="12"/>
  <c r="O237" i="12"/>
  <c r="M237" i="12"/>
  <c r="L237" i="12"/>
  <c r="K237" i="12"/>
  <c r="J237" i="12"/>
  <c r="I237" i="12"/>
  <c r="H237" i="12"/>
  <c r="G237" i="12"/>
  <c r="F237" i="12"/>
  <c r="D237" i="12"/>
  <c r="P236" i="12"/>
  <c r="O236" i="12"/>
  <c r="M236" i="12"/>
  <c r="L236" i="12"/>
  <c r="K236" i="12"/>
  <c r="J236" i="12"/>
  <c r="I236" i="12"/>
  <c r="H236" i="12"/>
  <c r="G236" i="12"/>
  <c r="F236" i="12"/>
  <c r="D236" i="12"/>
  <c r="P235" i="12"/>
  <c r="O235" i="12"/>
  <c r="M235" i="12"/>
  <c r="L235" i="12"/>
  <c r="K235" i="12"/>
  <c r="J235" i="12"/>
  <c r="I235" i="12"/>
  <c r="H235" i="12"/>
  <c r="G235" i="12"/>
  <c r="F235" i="12"/>
  <c r="D235" i="12"/>
  <c r="P234" i="12"/>
  <c r="O234" i="12"/>
  <c r="M234" i="12"/>
  <c r="L234" i="12"/>
  <c r="K234" i="12"/>
  <c r="J234" i="12"/>
  <c r="I234" i="12"/>
  <c r="H234" i="12"/>
  <c r="G234" i="12"/>
  <c r="F234" i="12"/>
  <c r="D234" i="12"/>
  <c r="P233" i="12"/>
  <c r="O233" i="12"/>
  <c r="M233" i="12"/>
  <c r="L233" i="12"/>
  <c r="K233" i="12"/>
  <c r="J233" i="12"/>
  <c r="I233" i="12"/>
  <c r="H233" i="12"/>
  <c r="G233" i="12"/>
  <c r="F233" i="12"/>
  <c r="D233" i="12"/>
  <c r="P232" i="12"/>
  <c r="O232" i="12"/>
  <c r="M232" i="12"/>
  <c r="L232" i="12"/>
  <c r="K232" i="12"/>
  <c r="J232" i="12"/>
  <c r="I232" i="12"/>
  <c r="H232" i="12"/>
  <c r="G232" i="12"/>
  <c r="F232" i="12"/>
  <c r="D232" i="12"/>
  <c r="P231" i="12"/>
  <c r="O231" i="12"/>
  <c r="M231" i="12"/>
  <c r="L231" i="12"/>
  <c r="K231" i="12"/>
  <c r="J231" i="12"/>
  <c r="I231" i="12"/>
  <c r="H231" i="12"/>
  <c r="G231" i="12"/>
  <c r="F231" i="12"/>
  <c r="D231" i="12"/>
  <c r="P230" i="12"/>
  <c r="O230" i="12"/>
  <c r="M230" i="12"/>
  <c r="L230" i="12"/>
  <c r="K230" i="12"/>
  <c r="J230" i="12"/>
  <c r="I230" i="12"/>
  <c r="H230" i="12"/>
  <c r="G230" i="12"/>
  <c r="F230" i="12"/>
  <c r="D230" i="12"/>
  <c r="P229" i="12"/>
  <c r="O229" i="12"/>
  <c r="M229" i="12"/>
  <c r="L229" i="12"/>
  <c r="K229" i="12"/>
  <c r="J229" i="12"/>
  <c r="I229" i="12"/>
  <c r="H229" i="12"/>
  <c r="G229" i="12"/>
  <c r="F229" i="12"/>
  <c r="D229" i="12"/>
  <c r="P228" i="12"/>
  <c r="O228" i="12"/>
  <c r="M228" i="12"/>
  <c r="L228" i="12"/>
  <c r="K228" i="12"/>
  <c r="J228" i="12"/>
  <c r="I228" i="12"/>
  <c r="H228" i="12"/>
  <c r="G228" i="12"/>
  <c r="F228" i="12"/>
  <c r="D228" i="12"/>
  <c r="P227" i="12"/>
  <c r="O227" i="12"/>
  <c r="M227" i="12"/>
  <c r="L227" i="12"/>
  <c r="K227" i="12"/>
  <c r="J227" i="12"/>
  <c r="I227" i="12"/>
  <c r="H227" i="12"/>
  <c r="G227" i="12"/>
  <c r="F227" i="12"/>
  <c r="D227" i="12"/>
  <c r="P226" i="12"/>
  <c r="O226" i="12"/>
  <c r="M226" i="12"/>
  <c r="L226" i="12"/>
  <c r="K226" i="12"/>
  <c r="J226" i="12"/>
  <c r="I226" i="12"/>
  <c r="H226" i="12"/>
  <c r="G226" i="12"/>
  <c r="F226" i="12"/>
  <c r="D226" i="12"/>
  <c r="P225" i="12"/>
  <c r="O225" i="12"/>
  <c r="M225" i="12"/>
  <c r="L225" i="12"/>
  <c r="K225" i="12"/>
  <c r="J225" i="12"/>
  <c r="I225" i="12"/>
  <c r="H225" i="12"/>
  <c r="G225" i="12"/>
  <c r="F225" i="12"/>
  <c r="D225" i="12"/>
  <c r="P224" i="12"/>
  <c r="O224" i="12"/>
  <c r="M224" i="12"/>
  <c r="L224" i="12"/>
  <c r="K224" i="12"/>
  <c r="J224" i="12"/>
  <c r="I224" i="12"/>
  <c r="H224" i="12"/>
  <c r="G224" i="12"/>
  <c r="F224" i="12"/>
  <c r="D224" i="12"/>
  <c r="P223" i="12"/>
  <c r="O223" i="12"/>
  <c r="M223" i="12"/>
  <c r="L223" i="12"/>
  <c r="K223" i="12"/>
  <c r="J223" i="12"/>
  <c r="I223" i="12"/>
  <c r="H223" i="12"/>
  <c r="G223" i="12"/>
  <c r="F223" i="12"/>
  <c r="D223" i="12"/>
  <c r="P222" i="12"/>
  <c r="O222" i="12"/>
  <c r="M222" i="12"/>
  <c r="L222" i="12"/>
  <c r="K222" i="12"/>
  <c r="J222" i="12"/>
  <c r="I222" i="12"/>
  <c r="H222" i="12"/>
  <c r="G222" i="12"/>
  <c r="F222" i="12"/>
  <c r="D222" i="12"/>
  <c r="P221" i="12"/>
  <c r="O221" i="12"/>
  <c r="M221" i="12"/>
  <c r="L221" i="12"/>
  <c r="K221" i="12"/>
  <c r="J221" i="12"/>
  <c r="I221" i="12"/>
  <c r="H221" i="12"/>
  <c r="G221" i="12"/>
  <c r="F221" i="12"/>
  <c r="D221" i="12"/>
  <c r="P220" i="12"/>
  <c r="O220" i="12"/>
  <c r="M220" i="12"/>
  <c r="L220" i="12"/>
  <c r="K220" i="12"/>
  <c r="J220" i="12"/>
  <c r="I220" i="12"/>
  <c r="H220" i="12"/>
  <c r="G220" i="12"/>
  <c r="F220" i="12"/>
  <c r="D220" i="12"/>
  <c r="P219" i="12"/>
  <c r="O219" i="12"/>
  <c r="M219" i="12"/>
  <c r="L219" i="12"/>
  <c r="K219" i="12"/>
  <c r="J219" i="12"/>
  <c r="I219" i="12"/>
  <c r="H219" i="12"/>
  <c r="G219" i="12"/>
  <c r="F219" i="12"/>
  <c r="D219" i="12"/>
  <c r="P218" i="12"/>
  <c r="O218" i="12"/>
  <c r="M218" i="12"/>
  <c r="L218" i="12"/>
  <c r="K218" i="12"/>
  <c r="J218" i="12"/>
  <c r="I218" i="12"/>
  <c r="H218" i="12"/>
  <c r="G218" i="12"/>
  <c r="F218" i="12"/>
  <c r="D218" i="12"/>
  <c r="P217" i="12"/>
  <c r="O217" i="12"/>
  <c r="M217" i="12"/>
  <c r="L217" i="12"/>
  <c r="K217" i="12"/>
  <c r="J217" i="12"/>
  <c r="I217" i="12"/>
  <c r="H217" i="12"/>
  <c r="G217" i="12"/>
  <c r="F217" i="12"/>
  <c r="D217" i="12"/>
  <c r="P216" i="12"/>
  <c r="O216" i="12"/>
  <c r="M216" i="12"/>
  <c r="L216" i="12"/>
  <c r="K216" i="12"/>
  <c r="J216" i="12"/>
  <c r="I216" i="12"/>
  <c r="H216" i="12"/>
  <c r="G216" i="12"/>
  <c r="F216" i="12"/>
  <c r="D216" i="12"/>
  <c r="P215" i="12"/>
  <c r="O215" i="12"/>
  <c r="M215" i="12"/>
  <c r="L215" i="12"/>
  <c r="K215" i="12"/>
  <c r="J215" i="12"/>
  <c r="I215" i="12"/>
  <c r="H215" i="12"/>
  <c r="G215" i="12"/>
  <c r="F215" i="12"/>
  <c r="D215" i="12"/>
  <c r="P214" i="12"/>
  <c r="O214" i="12"/>
  <c r="M214" i="12"/>
  <c r="L214" i="12"/>
  <c r="K214" i="12"/>
  <c r="J214" i="12"/>
  <c r="I214" i="12"/>
  <c r="H214" i="12"/>
  <c r="G214" i="12"/>
  <c r="F214" i="12"/>
  <c r="D214" i="12"/>
  <c r="P213" i="12"/>
  <c r="O213" i="12"/>
  <c r="M213" i="12"/>
  <c r="L213" i="12"/>
  <c r="K213" i="12"/>
  <c r="J213" i="12"/>
  <c r="I213" i="12"/>
  <c r="H213" i="12"/>
  <c r="G213" i="12"/>
  <c r="F213" i="12"/>
  <c r="D213" i="12"/>
  <c r="P212" i="12"/>
  <c r="O212" i="12"/>
  <c r="M212" i="12"/>
  <c r="L212" i="12"/>
  <c r="K212" i="12"/>
  <c r="J212" i="12"/>
  <c r="I212" i="12"/>
  <c r="H212" i="12"/>
  <c r="G212" i="12"/>
  <c r="F212" i="12"/>
  <c r="D212" i="12"/>
  <c r="P211" i="12"/>
  <c r="O211" i="12"/>
  <c r="M211" i="12"/>
  <c r="L211" i="12"/>
  <c r="K211" i="12"/>
  <c r="J211" i="12"/>
  <c r="I211" i="12"/>
  <c r="H211" i="12"/>
  <c r="G211" i="12"/>
  <c r="F211" i="12"/>
  <c r="D211" i="12"/>
  <c r="P210" i="12"/>
  <c r="O210" i="12"/>
  <c r="M210" i="12"/>
  <c r="L210" i="12"/>
  <c r="K210" i="12"/>
  <c r="J210" i="12"/>
  <c r="I210" i="12"/>
  <c r="H210" i="12"/>
  <c r="G210" i="12"/>
  <c r="F210" i="12"/>
  <c r="D210" i="12"/>
  <c r="P209" i="12"/>
  <c r="O209" i="12"/>
  <c r="M209" i="12"/>
  <c r="L209" i="12"/>
  <c r="K209" i="12"/>
  <c r="J209" i="12"/>
  <c r="I209" i="12"/>
  <c r="H209" i="12"/>
  <c r="G209" i="12"/>
  <c r="F209" i="12"/>
  <c r="D209" i="12"/>
  <c r="P208" i="12"/>
  <c r="O208" i="12"/>
  <c r="M208" i="12"/>
  <c r="L208" i="12"/>
  <c r="K208" i="12"/>
  <c r="J208" i="12"/>
  <c r="I208" i="12"/>
  <c r="H208" i="12"/>
  <c r="G208" i="12"/>
  <c r="F208" i="12"/>
  <c r="D208" i="12"/>
  <c r="P207" i="12"/>
  <c r="O207" i="12"/>
  <c r="M207" i="12"/>
  <c r="L207" i="12"/>
  <c r="K207" i="12"/>
  <c r="J207" i="12"/>
  <c r="I207" i="12"/>
  <c r="H207" i="12"/>
  <c r="G207" i="12"/>
  <c r="F207" i="12"/>
  <c r="D207" i="12"/>
  <c r="P206" i="12"/>
  <c r="O206" i="12"/>
  <c r="M206" i="12"/>
  <c r="L206" i="12"/>
  <c r="K206" i="12"/>
  <c r="J206" i="12"/>
  <c r="I206" i="12"/>
  <c r="H206" i="12"/>
  <c r="G206" i="12"/>
  <c r="F206" i="12"/>
  <c r="D206" i="12"/>
  <c r="P205" i="12"/>
  <c r="O205" i="12"/>
  <c r="M205" i="12"/>
  <c r="L205" i="12"/>
  <c r="K205" i="12"/>
  <c r="J205" i="12"/>
  <c r="I205" i="12"/>
  <c r="H205" i="12"/>
  <c r="G205" i="12"/>
  <c r="F205" i="12"/>
  <c r="D205" i="12"/>
  <c r="P204" i="12"/>
  <c r="O204" i="12"/>
  <c r="M204" i="12"/>
  <c r="L204" i="12"/>
  <c r="K204" i="12"/>
  <c r="J204" i="12"/>
  <c r="I204" i="12"/>
  <c r="H204" i="12"/>
  <c r="G204" i="12"/>
  <c r="F204" i="12"/>
  <c r="D204" i="12"/>
  <c r="P203" i="12"/>
  <c r="O203" i="12"/>
  <c r="M203" i="12"/>
  <c r="L203" i="12"/>
  <c r="K203" i="12"/>
  <c r="J203" i="12"/>
  <c r="I203" i="12"/>
  <c r="H203" i="12"/>
  <c r="G203" i="12"/>
  <c r="F203" i="12"/>
  <c r="D203" i="12"/>
  <c r="P202" i="12"/>
  <c r="O202" i="12"/>
  <c r="M202" i="12"/>
  <c r="L202" i="12"/>
  <c r="K202" i="12"/>
  <c r="J202" i="12"/>
  <c r="I202" i="12"/>
  <c r="H202" i="12"/>
  <c r="G202" i="12"/>
  <c r="F202" i="12"/>
  <c r="D202" i="12"/>
  <c r="P201" i="12"/>
  <c r="O201" i="12"/>
  <c r="M201" i="12"/>
  <c r="L201" i="12"/>
  <c r="K201" i="12"/>
  <c r="J201" i="12"/>
  <c r="I201" i="12"/>
  <c r="H201" i="12"/>
  <c r="G201" i="12"/>
  <c r="F201" i="12"/>
  <c r="D201" i="12"/>
  <c r="P200" i="12"/>
  <c r="O200" i="12"/>
  <c r="M200" i="12"/>
  <c r="L200" i="12"/>
  <c r="K200" i="12"/>
  <c r="J200" i="12"/>
  <c r="I200" i="12"/>
  <c r="H200" i="12"/>
  <c r="G200" i="12"/>
  <c r="F200" i="12"/>
  <c r="D200" i="12"/>
  <c r="P199" i="12"/>
  <c r="O199" i="12"/>
  <c r="M199" i="12"/>
  <c r="L199" i="12"/>
  <c r="K199" i="12"/>
  <c r="J199" i="12"/>
  <c r="I199" i="12"/>
  <c r="H199" i="12"/>
  <c r="G199" i="12"/>
  <c r="F199" i="12"/>
  <c r="D199" i="12"/>
  <c r="P198" i="12"/>
  <c r="O198" i="12"/>
  <c r="M198" i="12"/>
  <c r="L198" i="12"/>
  <c r="K198" i="12"/>
  <c r="J198" i="12"/>
  <c r="I198" i="12"/>
  <c r="H198" i="12"/>
  <c r="G198" i="12"/>
  <c r="F198" i="12"/>
  <c r="D198" i="12"/>
  <c r="P197" i="12"/>
  <c r="O197" i="12"/>
  <c r="M197" i="12"/>
  <c r="L197" i="12"/>
  <c r="K197" i="12"/>
  <c r="J197" i="12"/>
  <c r="I197" i="12"/>
  <c r="H197" i="12"/>
  <c r="G197" i="12"/>
  <c r="F197" i="12"/>
  <c r="D197" i="12"/>
  <c r="P196" i="12"/>
  <c r="O196" i="12"/>
  <c r="M196" i="12"/>
  <c r="L196" i="12"/>
  <c r="K196" i="12"/>
  <c r="J196" i="12"/>
  <c r="I196" i="12"/>
  <c r="H196" i="12"/>
  <c r="G196" i="12"/>
  <c r="F196" i="12"/>
  <c r="D196" i="12"/>
  <c r="P195" i="12"/>
  <c r="O195" i="12"/>
  <c r="M195" i="12"/>
  <c r="L195" i="12"/>
  <c r="K195" i="12"/>
  <c r="J195" i="12"/>
  <c r="I195" i="12"/>
  <c r="H195" i="12"/>
  <c r="G195" i="12"/>
  <c r="F195" i="12"/>
  <c r="D195" i="12"/>
  <c r="P194" i="12"/>
  <c r="O194" i="12"/>
  <c r="M194" i="12"/>
  <c r="L194" i="12"/>
  <c r="K194" i="12"/>
  <c r="J194" i="12"/>
  <c r="I194" i="12"/>
  <c r="H194" i="12"/>
  <c r="G194" i="12"/>
  <c r="F194" i="12"/>
  <c r="D194" i="12"/>
  <c r="P193" i="12"/>
  <c r="O193" i="12"/>
  <c r="M193" i="12"/>
  <c r="L193" i="12"/>
  <c r="K193" i="12"/>
  <c r="J193" i="12"/>
  <c r="I193" i="12"/>
  <c r="H193" i="12"/>
  <c r="G193" i="12"/>
  <c r="F193" i="12"/>
  <c r="D193" i="12"/>
  <c r="P192" i="12"/>
  <c r="O192" i="12"/>
  <c r="M192" i="12"/>
  <c r="L192" i="12"/>
  <c r="K192" i="12"/>
  <c r="J192" i="12"/>
  <c r="I192" i="12"/>
  <c r="H192" i="12"/>
  <c r="G192" i="12"/>
  <c r="F192" i="12"/>
  <c r="D192" i="12"/>
  <c r="P191" i="12"/>
  <c r="O191" i="12"/>
  <c r="M191" i="12"/>
  <c r="L191" i="12"/>
  <c r="K191" i="12"/>
  <c r="J191" i="12"/>
  <c r="I191" i="12"/>
  <c r="H191" i="12"/>
  <c r="G191" i="12"/>
  <c r="F191" i="12"/>
  <c r="D191" i="12"/>
  <c r="P190" i="12"/>
  <c r="O190" i="12"/>
  <c r="M190" i="12"/>
  <c r="L190" i="12"/>
  <c r="K190" i="12"/>
  <c r="J190" i="12"/>
  <c r="I190" i="12"/>
  <c r="H190" i="12"/>
  <c r="G190" i="12"/>
  <c r="F190" i="12"/>
  <c r="D190" i="12"/>
  <c r="P189" i="12"/>
  <c r="O189" i="12"/>
  <c r="M189" i="12"/>
  <c r="L189" i="12"/>
  <c r="K189" i="12"/>
  <c r="J189" i="12"/>
  <c r="I189" i="12"/>
  <c r="H189" i="12"/>
  <c r="G189" i="12"/>
  <c r="F189" i="12"/>
  <c r="D189" i="12"/>
  <c r="P188" i="12"/>
  <c r="O188" i="12"/>
  <c r="M188" i="12"/>
  <c r="L188" i="12"/>
  <c r="K188" i="12"/>
  <c r="J188" i="12"/>
  <c r="I188" i="12"/>
  <c r="H188" i="12"/>
  <c r="G188" i="12"/>
  <c r="F188" i="12"/>
  <c r="D188" i="12"/>
  <c r="P187" i="12"/>
  <c r="O187" i="12"/>
  <c r="M187" i="12"/>
  <c r="L187" i="12"/>
  <c r="K187" i="12"/>
  <c r="J187" i="12"/>
  <c r="I187" i="12"/>
  <c r="H187" i="12"/>
  <c r="G187" i="12"/>
  <c r="F187" i="12"/>
  <c r="D187" i="12"/>
  <c r="P186" i="12"/>
  <c r="O186" i="12"/>
  <c r="M186" i="12"/>
  <c r="L186" i="12"/>
  <c r="K186" i="12"/>
  <c r="J186" i="12"/>
  <c r="I186" i="12"/>
  <c r="H186" i="12"/>
  <c r="G186" i="12"/>
  <c r="F186" i="12"/>
  <c r="D186" i="12"/>
  <c r="P185" i="12"/>
  <c r="O185" i="12"/>
  <c r="M185" i="12"/>
  <c r="L185" i="12"/>
  <c r="K185" i="12"/>
  <c r="J185" i="12"/>
  <c r="I185" i="12"/>
  <c r="H185" i="12"/>
  <c r="G185" i="12"/>
  <c r="F185" i="12"/>
  <c r="D185" i="12"/>
  <c r="P184" i="12"/>
  <c r="O184" i="12"/>
  <c r="M184" i="12"/>
  <c r="L184" i="12"/>
  <c r="K184" i="12"/>
  <c r="J184" i="12"/>
  <c r="I184" i="12"/>
  <c r="H184" i="12"/>
  <c r="G184" i="12"/>
  <c r="F184" i="12"/>
  <c r="D184" i="12"/>
  <c r="P183" i="12"/>
  <c r="O183" i="12"/>
  <c r="M183" i="12"/>
  <c r="L183" i="12"/>
  <c r="K183" i="12"/>
  <c r="J183" i="12"/>
  <c r="I183" i="12"/>
  <c r="H183" i="12"/>
  <c r="G183" i="12"/>
  <c r="F183" i="12"/>
  <c r="D183" i="12"/>
  <c r="P182" i="12"/>
  <c r="O182" i="12"/>
  <c r="M182" i="12"/>
  <c r="L182" i="12"/>
  <c r="K182" i="12"/>
  <c r="J182" i="12"/>
  <c r="I182" i="12"/>
  <c r="H182" i="12"/>
  <c r="G182" i="12"/>
  <c r="F182" i="12"/>
  <c r="D182" i="12"/>
  <c r="P181" i="12"/>
  <c r="O181" i="12"/>
  <c r="M181" i="12"/>
  <c r="L181" i="12"/>
  <c r="K181" i="12"/>
  <c r="J181" i="12"/>
  <c r="I181" i="12"/>
  <c r="H181" i="12"/>
  <c r="G181" i="12"/>
  <c r="F181" i="12"/>
  <c r="D181" i="12"/>
  <c r="P180" i="12"/>
  <c r="O180" i="12"/>
  <c r="M180" i="12"/>
  <c r="L180" i="12"/>
  <c r="K180" i="12"/>
  <c r="J180" i="12"/>
  <c r="I180" i="12"/>
  <c r="H180" i="12"/>
  <c r="G180" i="12"/>
  <c r="F180" i="12"/>
  <c r="D180" i="12"/>
  <c r="P179" i="12"/>
  <c r="O179" i="12"/>
  <c r="M179" i="12"/>
  <c r="L179" i="12"/>
  <c r="K179" i="12"/>
  <c r="J179" i="12"/>
  <c r="I179" i="12"/>
  <c r="H179" i="12"/>
  <c r="G179" i="12"/>
  <c r="F179" i="12"/>
  <c r="D179" i="12"/>
  <c r="P178" i="12"/>
  <c r="O178" i="12"/>
  <c r="M178" i="12"/>
  <c r="L178" i="12"/>
  <c r="K178" i="12"/>
  <c r="J178" i="12"/>
  <c r="I178" i="12"/>
  <c r="H178" i="12"/>
  <c r="G178" i="12"/>
  <c r="F178" i="12"/>
  <c r="D178" i="12"/>
  <c r="P177" i="12"/>
  <c r="O177" i="12"/>
  <c r="M177" i="12"/>
  <c r="L177" i="12"/>
  <c r="K177" i="12"/>
  <c r="J177" i="12"/>
  <c r="I177" i="12"/>
  <c r="H177" i="12"/>
  <c r="G177" i="12"/>
  <c r="F177" i="12"/>
  <c r="D177" i="12"/>
  <c r="P176" i="12"/>
  <c r="O176" i="12"/>
  <c r="M176" i="12"/>
  <c r="L176" i="12"/>
  <c r="K176" i="12"/>
  <c r="J176" i="12"/>
  <c r="I176" i="12"/>
  <c r="H176" i="12"/>
  <c r="G176" i="12"/>
  <c r="F176" i="12"/>
  <c r="D176" i="12"/>
  <c r="P175" i="12"/>
  <c r="O175" i="12"/>
  <c r="M175" i="12"/>
  <c r="L175" i="12"/>
  <c r="K175" i="12"/>
  <c r="J175" i="12"/>
  <c r="I175" i="12"/>
  <c r="H175" i="12"/>
  <c r="G175" i="12"/>
  <c r="F175" i="12"/>
  <c r="D175" i="12"/>
  <c r="P174" i="12"/>
  <c r="O174" i="12"/>
  <c r="M174" i="12"/>
  <c r="L174" i="12"/>
  <c r="K174" i="12"/>
  <c r="J174" i="12"/>
  <c r="I174" i="12"/>
  <c r="H174" i="12"/>
  <c r="G174" i="12"/>
  <c r="F174" i="12"/>
  <c r="D174" i="12"/>
  <c r="P173" i="12"/>
  <c r="O173" i="12"/>
  <c r="M173" i="12"/>
  <c r="L173" i="12"/>
  <c r="K173" i="12"/>
  <c r="J173" i="12"/>
  <c r="I173" i="12"/>
  <c r="H173" i="12"/>
  <c r="G173" i="12"/>
  <c r="F173" i="12"/>
  <c r="D173" i="12"/>
  <c r="P172" i="12"/>
  <c r="O172" i="12"/>
  <c r="M172" i="12"/>
  <c r="L172" i="12"/>
  <c r="K172" i="12"/>
  <c r="J172" i="12"/>
  <c r="I172" i="12"/>
  <c r="H172" i="12"/>
  <c r="G172" i="12"/>
  <c r="F172" i="12"/>
  <c r="D172" i="12"/>
  <c r="P171" i="12"/>
  <c r="O171" i="12"/>
  <c r="M171" i="12"/>
  <c r="L171" i="12"/>
  <c r="K171" i="12"/>
  <c r="J171" i="12"/>
  <c r="I171" i="12"/>
  <c r="H171" i="12"/>
  <c r="G171" i="12"/>
  <c r="F171" i="12"/>
  <c r="D171" i="12"/>
  <c r="P170" i="12"/>
  <c r="O170" i="12"/>
  <c r="M170" i="12"/>
  <c r="L170" i="12"/>
  <c r="K170" i="12"/>
  <c r="J170" i="12"/>
  <c r="I170" i="12"/>
  <c r="H170" i="12"/>
  <c r="G170" i="12"/>
  <c r="F170" i="12"/>
  <c r="D170" i="12"/>
  <c r="P169" i="12"/>
  <c r="O169" i="12"/>
  <c r="M169" i="12"/>
  <c r="L169" i="12"/>
  <c r="K169" i="12"/>
  <c r="J169" i="12"/>
  <c r="I169" i="12"/>
  <c r="H169" i="12"/>
  <c r="G169" i="12"/>
  <c r="F169" i="12"/>
  <c r="D169" i="12"/>
  <c r="P168" i="12"/>
  <c r="O168" i="12"/>
  <c r="M168" i="12"/>
  <c r="L168" i="12"/>
  <c r="K168" i="12"/>
  <c r="J168" i="12"/>
  <c r="I168" i="12"/>
  <c r="H168" i="12"/>
  <c r="G168" i="12"/>
  <c r="F168" i="12"/>
  <c r="D168" i="12"/>
  <c r="P167" i="12"/>
  <c r="O167" i="12"/>
  <c r="M167" i="12"/>
  <c r="L167" i="12"/>
  <c r="K167" i="12"/>
  <c r="J167" i="12"/>
  <c r="I167" i="12"/>
  <c r="H167" i="12"/>
  <c r="G167" i="12"/>
  <c r="F167" i="12"/>
  <c r="D167" i="12"/>
  <c r="P166" i="12"/>
  <c r="O166" i="12"/>
  <c r="M166" i="12"/>
  <c r="L166" i="12"/>
  <c r="K166" i="12"/>
  <c r="J166" i="12"/>
  <c r="I166" i="12"/>
  <c r="H166" i="12"/>
  <c r="G166" i="12"/>
  <c r="F166" i="12"/>
  <c r="D166" i="12"/>
  <c r="P165" i="12"/>
  <c r="O165" i="12"/>
  <c r="M165" i="12"/>
  <c r="L165" i="12"/>
  <c r="K165" i="12"/>
  <c r="J165" i="12"/>
  <c r="I165" i="12"/>
  <c r="H165" i="12"/>
  <c r="G165" i="12"/>
  <c r="F165" i="12"/>
  <c r="D165" i="12"/>
  <c r="P164" i="12"/>
  <c r="O164" i="12"/>
  <c r="M164" i="12"/>
  <c r="L164" i="12"/>
  <c r="K164" i="12"/>
  <c r="J164" i="12"/>
  <c r="I164" i="12"/>
  <c r="H164" i="12"/>
  <c r="G164" i="12"/>
  <c r="F164" i="12"/>
  <c r="D164" i="12"/>
  <c r="P163" i="12"/>
  <c r="O163" i="12"/>
  <c r="M163" i="12"/>
  <c r="L163" i="12"/>
  <c r="K163" i="12"/>
  <c r="J163" i="12"/>
  <c r="I163" i="12"/>
  <c r="H163" i="12"/>
  <c r="G163" i="12"/>
  <c r="F163" i="12"/>
  <c r="D163" i="12"/>
  <c r="P162" i="12"/>
  <c r="O162" i="12"/>
  <c r="M162" i="12"/>
  <c r="L162" i="12"/>
  <c r="K162" i="12"/>
  <c r="J162" i="12"/>
  <c r="I162" i="12"/>
  <c r="H162" i="12"/>
  <c r="G162" i="12"/>
  <c r="F162" i="12"/>
  <c r="D162" i="12"/>
  <c r="P161" i="12"/>
  <c r="O161" i="12"/>
  <c r="M161" i="12"/>
  <c r="L161" i="12"/>
  <c r="K161" i="12"/>
  <c r="J161" i="12"/>
  <c r="I161" i="12"/>
  <c r="H161" i="12"/>
  <c r="G161" i="12"/>
  <c r="F161" i="12"/>
  <c r="D161" i="12"/>
  <c r="P160" i="12"/>
  <c r="O160" i="12"/>
  <c r="M160" i="12"/>
  <c r="L160" i="12"/>
  <c r="K160" i="12"/>
  <c r="J160" i="12"/>
  <c r="I160" i="12"/>
  <c r="H160" i="12"/>
  <c r="G160" i="12"/>
  <c r="F160" i="12"/>
  <c r="D160" i="12"/>
  <c r="P159" i="12"/>
  <c r="O159" i="12"/>
  <c r="M159" i="12"/>
  <c r="L159" i="12"/>
  <c r="K159" i="12"/>
  <c r="J159" i="12"/>
  <c r="I159" i="12"/>
  <c r="H159" i="12"/>
  <c r="G159" i="12"/>
  <c r="F159" i="12"/>
  <c r="D159" i="12"/>
  <c r="P158" i="12"/>
  <c r="O158" i="12"/>
  <c r="M158" i="12"/>
  <c r="L158" i="12"/>
  <c r="K158" i="12"/>
  <c r="J158" i="12"/>
  <c r="I158" i="12"/>
  <c r="H158" i="12"/>
  <c r="G158" i="12"/>
  <c r="F158" i="12"/>
  <c r="D158" i="12"/>
  <c r="P157" i="12"/>
  <c r="O157" i="12"/>
  <c r="M157" i="12"/>
  <c r="L157" i="12"/>
  <c r="K157" i="12"/>
  <c r="J157" i="12"/>
  <c r="I157" i="12"/>
  <c r="H157" i="12"/>
  <c r="G157" i="12"/>
  <c r="F157" i="12"/>
  <c r="D157" i="12"/>
  <c r="P156" i="12"/>
  <c r="O156" i="12"/>
  <c r="M156" i="12"/>
  <c r="L156" i="12"/>
  <c r="K156" i="12"/>
  <c r="J156" i="12"/>
  <c r="I156" i="12"/>
  <c r="H156" i="12"/>
  <c r="G156" i="12"/>
  <c r="F156" i="12"/>
  <c r="D156" i="12"/>
  <c r="P155" i="12"/>
  <c r="O155" i="12"/>
  <c r="M155" i="12"/>
  <c r="L155" i="12"/>
  <c r="K155" i="12"/>
  <c r="J155" i="12"/>
  <c r="I155" i="12"/>
  <c r="H155" i="12"/>
  <c r="G155" i="12"/>
  <c r="F155" i="12"/>
  <c r="D155" i="12"/>
  <c r="P154" i="12"/>
  <c r="O154" i="12"/>
  <c r="M154" i="12"/>
  <c r="L154" i="12"/>
  <c r="K154" i="12"/>
  <c r="J154" i="12"/>
  <c r="I154" i="12"/>
  <c r="H154" i="12"/>
  <c r="G154" i="12"/>
  <c r="F154" i="12"/>
  <c r="D154" i="12"/>
  <c r="P153" i="12"/>
  <c r="O153" i="12"/>
  <c r="M153" i="12"/>
  <c r="L153" i="12"/>
  <c r="K153" i="12"/>
  <c r="J153" i="12"/>
  <c r="I153" i="12"/>
  <c r="H153" i="12"/>
  <c r="G153" i="12"/>
  <c r="F153" i="12"/>
  <c r="D153" i="12"/>
  <c r="P152" i="12"/>
  <c r="O152" i="12"/>
  <c r="M152" i="12"/>
  <c r="L152" i="12"/>
  <c r="K152" i="12"/>
  <c r="J152" i="12"/>
  <c r="I152" i="12"/>
  <c r="H152" i="12"/>
  <c r="G152" i="12"/>
  <c r="F152" i="12"/>
  <c r="D152" i="12"/>
  <c r="P151" i="12"/>
  <c r="O151" i="12"/>
  <c r="M151" i="12"/>
  <c r="L151" i="12"/>
  <c r="K151" i="12"/>
  <c r="J151" i="12"/>
  <c r="I151" i="12"/>
  <c r="H151" i="12"/>
  <c r="G151" i="12"/>
  <c r="F151" i="12"/>
  <c r="D151" i="12"/>
  <c r="P150" i="12"/>
  <c r="O150" i="12"/>
  <c r="M150" i="12"/>
  <c r="L150" i="12"/>
  <c r="K150" i="12"/>
  <c r="J150" i="12"/>
  <c r="I150" i="12"/>
  <c r="H150" i="12"/>
  <c r="G150" i="12"/>
  <c r="F150" i="12"/>
  <c r="D150" i="12"/>
  <c r="P149" i="12"/>
  <c r="O149" i="12"/>
  <c r="M149" i="12"/>
  <c r="L149" i="12"/>
  <c r="K149" i="12"/>
  <c r="J149" i="12"/>
  <c r="I149" i="12"/>
  <c r="H149" i="12"/>
  <c r="G149" i="12"/>
  <c r="F149" i="12"/>
  <c r="D149" i="12"/>
  <c r="P148" i="12"/>
  <c r="O148" i="12"/>
  <c r="M148" i="12"/>
  <c r="L148" i="12"/>
  <c r="K148" i="12"/>
  <c r="J148" i="12"/>
  <c r="I148" i="12"/>
  <c r="H148" i="12"/>
  <c r="G148" i="12"/>
  <c r="F148" i="12"/>
  <c r="D148" i="12"/>
  <c r="P147" i="12"/>
  <c r="O147" i="12"/>
  <c r="M147" i="12"/>
  <c r="L147" i="12"/>
  <c r="K147" i="12"/>
  <c r="J147" i="12"/>
  <c r="I147" i="12"/>
  <c r="H147" i="12"/>
  <c r="G147" i="12"/>
  <c r="F147" i="12"/>
  <c r="D147" i="12"/>
  <c r="P146" i="12"/>
  <c r="O146" i="12"/>
  <c r="M146" i="12"/>
  <c r="L146" i="12"/>
  <c r="K146" i="12"/>
  <c r="J146" i="12"/>
  <c r="I146" i="12"/>
  <c r="H146" i="12"/>
  <c r="G146" i="12"/>
  <c r="F146" i="12"/>
  <c r="D146" i="12"/>
  <c r="P145" i="12"/>
  <c r="O145" i="12"/>
  <c r="M145" i="12"/>
  <c r="L145" i="12"/>
  <c r="K145" i="12"/>
  <c r="J145" i="12"/>
  <c r="I145" i="12"/>
  <c r="H145" i="12"/>
  <c r="G145" i="12"/>
  <c r="F145" i="12"/>
  <c r="D145" i="12"/>
  <c r="P144" i="12"/>
  <c r="O144" i="12"/>
  <c r="M144" i="12"/>
  <c r="L144" i="12"/>
  <c r="K144" i="12"/>
  <c r="J144" i="12"/>
  <c r="I144" i="12"/>
  <c r="H144" i="12"/>
  <c r="G144" i="12"/>
  <c r="F144" i="12"/>
  <c r="D144" i="12"/>
  <c r="P143" i="12"/>
  <c r="O143" i="12"/>
  <c r="M143" i="12"/>
  <c r="L143" i="12"/>
  <c r="K143" i="12"/>
  <c r="J143" i="12"/>
  <c r="I143" i="12"/>
  <c r="H143" i="12"/>
  <c r="G143" i="12"/>
  <c r="F143" i="12"/>
  <c r="D143" i="12"/>
  <c r="P142" i="12"/>
  <c r="O142" i="12"/>
  <c r="M142" i="12"/>
  <c r="L142" i="12"/>
  <c r="K142" i="12"/>
  <c r="J142" i="12"/>
  <c r="I142" i="12"/>
  <c r="H142" i="12"/>
  <c r="G142" i="12"/>
  <c r="F142" i="12"/>
  <c r="D142" i="12"/>
  <c r="P141" i="12"/>
  <c r="O141" i="12"/>
  <c r="M141" i="12"/>
  <c r="L141" i="12"/>
  <c r="K141" i="12"/>
  <c r="J141" i="12"/>
  <c r="I141" i="12"/>
  <c r="H141" i="12"/>
  <c r="G141" i="12"/>
  <c r="F141" i="12"/>
  <c r="D141" i="12"/>
  <c r="P140" i="12"/>
  <c r="O140" i="12"/>
  <c r="M140" i="12"/>
  <c r="L140" i="12"/>
  <c r="K140" i="12"/>
  <c r="J140" i="12"/>
  <c r="I140" i="12"/>
  <c r="H140" i="12"/>
  <c r="G140" i="12"/>
  <c r="F140" i="12"/>
  <c r="D140" i="12"/>
  <c r="P139" i="12"/>
  <c r="O139" i="12"/>
  <c r="M139" i="12"/>
  <c r="L139" i="12"/>
  <c r="K139" i="12"/>
  <c r="J139" i="12"/>
  <c r="I139" i="12"/>
  <c r="H139" i="12"/>
  <c r="G139" i="12"/>
  <c r="F139" i="12"/>
  <c r="D139" i="12"/>
  <c r="P138" i="12"/>
  <c r="O138" i="12"/>
  <c r="M138" i="12"/>
  <c r="L138" i="12"/>
  <c r="K138" i="12"/>
  <c r="J138" i="12"/>
  <c r="I138" i="12"/>
  <c r="H138" i="12"/>
  <c r="G138" i="12"/>
  <c r="F138" i="12"/>
  <c r="D138" i="12"/>
  <c r="P137" i="12"/>
  <c r="O137" i="12"/>
  <c r="M137" i="12"/>
  <c r="L137" i="12"/>
  <c r="K137" i="12"/>
  <c r="J137" i="12"/>
  <c r="I137" i="12"/>
  <c r="H137" i="12"/>
  <c r="G137" i="12"/>
  <c r="F137" i="12"/>
  <c r="D137" i="12"/>
  <c r="P136" i="12"/>
  <c r="O136" i="12"/>
  <c r="M136" i="12"/>
  <c r="L136" i="12"/>
  <c r="K136" i="12"/>
  <c r="J136" i="12"/>
  <c r="I136" i="12"/>
  <c r="H136" i="12"/>
  <c r="G136" i="12"/>
  <c r="F136" i="12"/>
  <c r="D136" i="12"/>
  <c r="P135" i="12"/>
  <c r="O135" i="12"/>
  <c r="M135" i="12"/>
  <c r="L135" i="12"/>
  <c r="K135" i="12"/>
  <c r="J135" i="12"/>
  <c r="I135" i="12"/>
  <c r="H135" i="12"/>
  <c r="G135" i="12"/>
  <c r="F135" i="12"/>
  <c r="D135" i="12"/>
  <c r="P134" i="12"/>
  <c r="O134" i="12"/>
  <c r="M134" i="12"/>
  <c r="L134" i="12"/>
  <c r="K134" i="12"/>
  <c r="J134" i="12"/>
  <c r="I134" i="12"/>
  <c r="H134" i="12"/>
  <c r="G134" i="12"/>
  <c r="F134" i="12"/>
  <c r="D134" i="12"/>
  <c r="P133" i="12"/>
  <c r="O133" i="12"/>
  <c r="M133" i="12"/>
  <c r="L133" i="12"/>
  <c r="K133" i="12"/>
  <c r="J133" i="12"/>
  <c r="I133" i="12"/>
  <c r="H133" i="12"/>
  <c r="G133" i="12"/>
  <c r="F133" i="12"/>
  <c r="D133" i="12"/>
  <c r="P132" i="12"/>
  <c r="O132" i="12"/>
  <c r="M132" i="12"/>
  <c r="L132" i="12"/>
  <c r="K132" i="12"/>
  <c r="J132" i="12"/>
  <c r="I132" i="12"/>
  <c r="H132" i="12"/>
  <c r="G132" i="12"/>
  <c r="F132" i="12"/>
  <c r="D132" i="12"/>
  <c r="P131" i="12"/>
  <c r="O131" i="12"/>
  <c r="M131" i="12"/>
  <c r="L131" i="12"/>
  <c r="K131" i="12"/>
  <c r="J131" i="12"/>
  <c r="I131" i="12"/>
  <c r="H131" i="12"/>
  <c r="G131" i="12"/>
  <c r="F131" i="12"/>
  <c r="D131" i="12"/>
  <c r="P130" i="12"/>
  <c r="O130" i="12"/>
  <c r="M130" i="12"/>
  <c r="L130" i="12"/>
  <c r="K130" i="12"/>
  <c r="J130" i="12"/>
  <c r="I130" i="12"/>
  <c r="H130" i="12"/>
  <c r="G130" i="12"/>
  <c r="F130" i="12"/>
  <c r="D130" i="12"/>
  <c r="P129" i="12"/>
  <c r="O129" i="12"/>
  <c r="M129" i="12"/>
  <c r="L129" i="12"/>
  <c r="K129" i="12"/>
  <c r="J129" i="12"/>
  <c r="I129" i="12"/>
  <c r="H129" i="12"/>
  <c r="G129" i="12"/>
  <c r="F129" i="12"/>
  <c r="D129" i="12"/>
  <c r="P128" i="12"/>
  <c r="O128" i="12"/>
  <c r="M128" i="12"/>
  <c r="L128" i="12"/>
  <c r="K128" i="12"/>
  <c r="J128" i="12"/>
  <c r="I128" i="12"/>
  <c r="H128" i="12"/>
  <c r="G128" i="12"/>
  <c r="F128" i="12"/>
  <c r="D128" i="12"/>
  <c r="P127" i="12"/>
  <c r="O127" i="12"/>
  <c r="M127" i="12"/>
  <c r="L127" i="12"/>
  <c r="K127" i="12"/>
  <c r="J127" i="12"/>
  <c r="I127" i="12"/>
  <c r="H127" i="12"/>
  <c r="G127" i="12"/>
  <c r="F127" i="12"/>
  <c r="D127" i="12"/>
  <c r="P126" i="12"/>
  <c r="O126" i="12"/>
  <c r="M126" i="12"/>
  <c r="L126" i="12"/>
  <c r="K126" i="12"/>
  <c r="J126" i="12"/>
  <c r="I126" i="12"/>
  <c r="H126" i="12"/>
  <c r="G126" i="12"/>
  <c r="F126" i="12"/>
  <c r="D126" i="12"/>
  <c r="P125" i="12"/>
  <c r="O125" i="12"/>
  <c r="M125" i="12"/>
  <c r="L125" i="12"/>
  <c r="K125" i="12"/>
  <c r="J125" i="12"/>
  <c r="I125" i="12"/>
  <c r="H125" i="12"/>
  <c r="G125" i="12"/>
  <c r="F125" i="12"/>
  <c r="D125" i="12"/>
  <c r="P124" i="12"/>
  <c r="O124" i="12"/>
  <c r="M124" i="12"/>
  <c r="L124" i="12"/>
  <c r="K124" i="12"/>
  <c r="J124" i="12"/>
  <c r="I124" i="12"/>
  <c r="H124" i="12"/>
  <c r="G124" i="12"/>
  <c r="F124" i="12"/>
  <c r="D124" i="12"/>
  <c r="P123" i="12"/>
  <c r="O123" i="12"/>
  <c r="M123" i="12"/>
  <c r="L123" i="12"/>
  <c r="K123" i="12"/>
  <c r="J123" i="12"/>
  <c r="I123" i="12"/>
  <c r="H123" i="12"/>
  <c r="G123" i="12"/>
  <c r="F123" i="12"/>
  <c r="D123" i="12"/>
  <c r="P122" i="12"/>
  <c r="O122" i="12"/>
  <c r="M122" i="12"/>
  <c r="L122" i="12"/>
  <c r="K122" i="12"/>
  <c r="J122" i="12"/>
  <c r="I122" i="12"/>
  <c r="H122" i="12"/>
  <c r="G122" i="12"/>
  <c r="F122" i="12"/>
  <c r="D122" i="12"/>
  <c r="P121" i="12"/>
  <c r="O121" i="12"/>
  <c r="M121" i="12"/>
  <c r="L121" i="12"/>
  <c r="K121" i="12"/>
  <c r="J121" i="12"/>
  <c r="I121" i="12"/>
  <c r="H121" i="12"/>
  <c r="G121" i="12"/>
  <c r="F121" i="12"/>
  <c r="D121" i="12"/>
  <c r="P120" i="12"/>
  <c r="O120" i="12"/>
  <c r="M120" i="12"/>
  <c r="L120" i="12"/>
  <c r="K120" i="12"/>
  <c r="J120" i="12"/>
  <c r="I120" i="12"/>
  <c r="H120" i="12"/>
  <c r="G120" i="12"/>
  <c r="F120" i="12"/>
  <c r="D120" i="12"/>
  <c r="P119" i="12"/>
  <c r="O119" i="12"/>
  <c r="M119" i="12"/>
  <c r="L119" i="12"/>
  <c r="K119" i="12"/>
  <c r="J119" i="12"/>
  <c r="I119" i="12"/>
  <c r="H119" i="12"/>
  <c r="G119" i="12"/>
  <c r="F119" i="12"/>
  <c r="D119" i="12"/>
  <c r="P118" i="12"/>
  <c r="O118" i="12"/>
  <c r="M118" i="12"/>
  <c r="L118" i="12"/>
  <c r="K118" i="12"/>
  <c r="J118" i="12"/>
  <c r="I118" i="12"/>
  <c r="H118" i="12"/>
  <c r="G118" i="12"/>
  <c r="F118" i="12"/>
  <c r="D118" i="12"/>
  <c r="P117" i="12"/>
  <c r="O117" i="12"/>
  <c r="M117" i="12"/>
  <c r="L117" i="12"/>
  <c r="K117" i="12"/>
  <c r="J117" i="12"/>
  <c r="I117" i="12"/>
  <c r="H117" i="12"/>
  <c r="G117" i="12"/>
  <c r="F117" i="12"/>
  <c r="D117" i="12"/>
  <c r="P116" i="12"/>
  <c r="O116" i="12"/>
  <c r="M116" i="12"/>
  <c r="L116" i="12"/>
  <c r="K116" i="12"/>
  <c r="J116" i="12"/>
  <c r="I116" i="12"/>
  <c r="H116" i="12"/>
  <c r="G116" i="12"/>
  <c r="F116" i="12"/>
  <c r="D116" i="12"/>
  <c r="P115" i="12"/>
  <c r="O115" i="12"/>
  <c r="M115" i="12"/>
  <c r="L115" i="12"/>
  <c r="K115" i="12"/>
  <c r="J115" i="12"/>
  <c r="I115" i="12"/>
  <c r="H115" i="12"/>
  <c r="G115" i="12"/>
  <c r="F115" i="12"/>
  <c r="D115" i="12"/>
  <c r="P114" i="12"/>
  <c r="O114" i="12"/>
  <c r="M114" i="12"/>
  <c r="L114" i="12"/>
  <c r="K114" i="12"/>
  <c r="J114" i="12"/>
  <c r="I114" i="12"/>
  <c r="H114" i="12"/>
  <c r="G114" i="12"/>
  <c r="F114" i="12"/>
  <c r="D114" i="12"/>
  <c r="P113" i="12"/>
  <c r="O113" i="12"/>
  <c r="M113" i="12"/>
  <c r="L113" i="12"/>
  <c r="K113" i="12"/>
  <c r="J113" i="12"/>
  <c r="I113" i="12"/>
  <c r="H113" i="12"/>
  <c r="G113" i="12"/>
  <c r="F113" i="12"/>
  <c r="D113" i="12"/>
  <c r="P112" i="12"/>
  <c r="O112" i="12"/>
  <c r="M112" i="12"/>
  <c r="L112" i="12"/>
  <c r="K112" i="12"/>
  <c r="J112" i="12"/>
  <c r="I112" i="12"/>
  <c r="H112" i="12"/>
  <c r="G112" i="12"/>
  <c r="F112" i="12"/>
  <c r="D112" i="12"/>
  <c r="P111" i="12"/>
  <c r="O111" i="12"/>
  <c r="M111" i="12"/>
  <c r="L111" i="12"/>
  <c r="K111" i="12"/>
  <c r="J111" i="12"/>
  <c r="I111" i="12"/>
  <c r="H111" i="12"/>
  <c r="G111" i="12"/>
  <c r="F111" i="12"/>
  <c r="D111" i="12"/>
  <c r="P110" i="12"/>
  <c r="O110" i="12"/>
  <c r="M110" i="12"/>
  <c r="L110" i="12"/>
  <c r="K110" i="12"/>
  <c r="J110" i="12"/>
  <c r="I110" i="12"/>
  <c r="H110" i="12"/>
  <c r="G110" i="12"/>
  <c r="F110" i="12"/>
  <c r="D110" i="12"/>
  <c r="P109" i="12"/>
  <c r="O109" i="12"/>
  <c r="M109" i="12"/>
  <c r="L109" i="12"/>
  <c r="K109" i="12"/>
  <c r="J109" i="12"/>
  <c r="I109" i="12"/>
  <c r="H109" i="12"/>
  <c r="G109" i="12"/>
  <c r="F109" i="12"/>
  <c r="D109" i="12"/>
  <c r="P108" i="12"/>
  <c r="O108" i="12"/>
  <c r="M108" i="12"/>
  <c r="L108" i="12"/>
  <c r="K108" i="12"/>
  <c r="J108" i="12"/>
  <c r="I108" i="12"/>
  <c r="H108" i="12"/>
  <c r="G108" i="12"/>
  <c r="F108" i="12"/>
  <c r="D108" i="12"/>
  <c r="P107" i="12"/>
  <c r="O107" i="12"/>
  <c r="M107" i="12"/>
  <c r="L107" i="12"/>
  <c r="K107" i="12"/>
  <c r="J107" i="12"/>
  <c r="I107" i="12"/>
  <c r="H107" i="12"/>
  <c r="G107" i="12"/>
  <c r="F107" i="12"/>
  <c r="D107" i="12"/>
  <c r="P106" i="12"/>
  <c r="O106" i="12"/>
  <c r="M106" i="12"/>
  <c r="L106" i="12"/>
  <c r="K106" i="12"/>
  <c r="J106" i="12"/>
  <c r="I106" i="12"/>
  <c r="H106" i="12"/>
  <c r="G106" i="12"/>
  <c r="F106" i="12"/>
  <c r="D106" i="12"/>
  <c r="P105" i="12"/>
  <c r="O105" i="12"/>
  <c r="M105" i="12"/>
  <c r="L105" i="12"/>
  <c r="K105" i="12"/>
  <c r="J105" i="12"/>
  <c r="I105" i="12"/>
  <c r="H105" i="12"/>
  <c r="G105" i="12"/>
  <c r="F105" i="12"/>
  <c r="D105" i="12"/>
  <c r="P104" i="12"/>
  <c r="O104" i="12"/>
  <c r="M104" i="12"/>
  <c r="L104" i="12"/>
  <c r="K104" i="12"/>
  <c r="J104" i="12"/>
  <c r="I104" i="12"/>
  <c r="H104" i="12"/>
  <c r="G104" i="12"/>
  <c r="F104" i="12"/>
  <c r="D104" i="12"/>
  <c r="P103" i="12"/>
  <c r="O103" i="12"/>
  <c r="M103" i="12"/>
  <c r="L103" i="12"/>
  <c r="K103" i="12"/>
  <c r="J103" i="12"/>
  <c r="I103" i="12"/>
  <c r="H103" i="12"/>
  <c r="G103" i="12"/>
  <c r="F103" i="12"/>
  <c r="D103" i="12"/>
  <c r="P102" i="12"/>
  <c r="O102" i="12"/>
  <c r="M102" i="12"/>
  <c r="L102" i="12"/>
  <c r="K102" i="12"/>
  <c r="J102" i="12"/>
  <c r="I102" i="12"/>
  <c r="H102" i="12"/>
  <c r="G102" i="12"/>
  <c r="F102" i="12"/>
  <c r="D102" i="12"/>
  <c r="P101" i="12"/>
  <c r="O101" i="12"/>
  <c r="M101" i="12"/>
  <c r="L101" i="12"/>
  <c r="K101" i="12"/>
  <c r="J101" i="12"/>
  <c r="I101" i="12"/>
  <c r="H101" i="12"/>
  <c r="G101" i="12"/>
  <c r="F101" i="12"/>
  <c r="D101" i="12"/>
  <c r="P100" i="12"/>
  <c r="O100" i="12"/>
  <c r="M100" i="12"/>
  <c r="L100" i="12"/>
  <c r="K100" i="12"/>
  <c r="J100" i="12"/>
  <c r="I100" i="12"/>
  <c r="H100" i="12"/>
  <c r="G100" i="12"/>
  <c r="F100" i="12"/>
  <c r="D100" i="12"/>
  <c r="P99" i="12"/>
  <c r="O99" i="12"/>
  <c r="M99" i="12"/>
  <c r="L99" i="12"/>
  <c r="K99" i="12"/>
  <c r="J99" i="12"/>
  <c r="I99" i="12"/>
  <c r="H99" i="12"/>
  <c r="G99" i="12"/>
  <c r="F99" i="12"/>
  <c r="D99" i="12"/>
  <c r="P98" i="12"/>
  <c r="O98" i="12"/>
  <c r="M98" i="12"/>
  <c r="L98" i="12"/>
  <c r="K98" i="12"/>
  <c r="J98" i="12"/>
  <c r="I98" i="12"/>
  <c r="H98" i="12"/>
  <c r="G98" i="12"/>
  <c r="F98" i="12"/>
  <c r="D98" i="12"/>
  <c r="P97" i="12"/>
  <c r="O97" i="12"/>
  <c r="M97" i="12"/>
  <c r="L97" i="12"/>
  <c r="K97" i="12"/>
  <c r="J97" i="12"/>
  <c r="I97" i="12"/>
  <c r="H97" i="12"/>
  <c r="G97" i="12"/>
  <c r="F97" i="12"/>
  <c r="D97" i="12"/>
  <c r="P96" i="12"/>
  <c r="O96" i="12"/>
  <c r="M96" i="12"/>
  <c r="L96" i="12"/>
  <c r="K96" i="12"/>
  <c r="J96" i="12"/>
  <c r="I96" i="12"/>
  <c r="H96" i="12"/>
  <c r="G96" i="12"/>
  <c r="F96" i="12"/>
  <c r="D96" i="12"/>
  <c r="P95" i="12"/>
  <c r="O95" i="12"/>
  <c r="M95" i="12"/>
  <c r="L95" i="12"/>
  <c r="K95" i="12"/>
  <c r="J95" i="12"/>
  <c r="I95" i="12"/>
  <c r="H95" i="12"/>
  <c r="G95" i="12"/>
  <c r="F95" i="12"/>
  <c r="D95" i="12"/>
  <c r="P94" i="12"/>
  <c r="O94" i="12"/>
  <c r="M94" i="12"/>
  <c r="L94" i="12"/>
  <c r="K94" i="12"/>
  <c r="J94" i="12"/>
  <c r="I94" i="12"/>
  <c r="H94" i="12"/>
  <c r="G94" i="12"/>
  <c r="F94" i="12"/>
  <c r="D94" i="12"/>
  <c r="P93" i="12"/>
  <c r="O93" i="12"/>
  <c r="M93" i="12"/>
  <c r="L93" i="12"/>
  <c r="K93" i="12"/>
  <c r="J93" i="12"/>
  <c r="I93" i="12"/>
  <c r="H93" i="12"/>
  <c r="G93" i="12"/>
  <c r="F93" i="12"/>
  <c r="D93" i="12"/>
  <c r="P92" i="12"/>
  <c r="O92" i="12"/>
  <c r="M92" i="12"/>
  <c r="L92" i="12"/>
  <c r="K92" i="12"/>
  <c r="J92" i="12"/>
  <c r="I92" i="12"/>
  <c r="H92" i="12"/>
  <c r="G92" i="12"/>
  <c r="F92" i="12"/>
  <c r="D92" i="12"/>
  <c r="P91" i="12"/>
  <c r="O91" i="12"/>
  <c r="M91" i="12"/>
  <c r="L91" i="12"/>
  <c r="K91" i="12"/>
  <c r="J91" i="12"/>
  <c r="I91" i="12"/>
  <c r="H91" i="12"/>
  <c r="G91" i="12"/>
  <c r="F91" i="12"/>
  <c r="D91" i="12"/>
  <c r="P90" i="12"/>
  <c r="O90" i="12"/>
  <c r="M90" i="12"/>
  <c r="L90" i="12"/>
  <c r="K90" i="12"/>
  <c r="J90" i="12"/>
  <c r="I90" i="12"/>
  <c r="H90" i="12"/>
  <c r="G90" i="12"/>
  <c r="F90" i="12"/>
  <c r="D90" i="12"/>
  <c r="P89" i="12"/>
  <c r="O89" i="12"/>
  <c r="M89" i="12"/>
  <c r="L89" i="12"/>
  <c r="K89" i="12"/>
  <c r="J89" i="12"/>
  <c r="I89" i="12"/>
  <c r="H89" i="12"/>
  <c r="G89" i="12"/>
  <c r="F89" i="12"/>
  <c r="D89" i="12"/>
  <c r="P88" i="12"/>
  <c r="O88" i="12"/>
  <c r="M88" i="12"/>
  <c r="L88" i="12"/>
  <c r="K88" i="12"/>
  <c r="J88" i="12"/>
  <c r="I88" i="12"/>
  <c r="H88" i="12"/>
  <c r="G88" i="12"/>
  <c r="F88" i="12"/>
  <c r="D88" i="12"/>
  <c r="P87" i="12"/>
  <c r="O87" i="12"/>
  <c r="M87" i="12"/>
  <c r="L87" i="12"/>
  <c r="K87" i="12"/>
  <c r="J87" i="12"/>
  <c r="I87" i="12"/>
  <c r="H87" i="12"/>
  <c r="G87" i="12"/>
  <c r="F87" i="12"/>
  <c r="D87" i="12"/>
  <c r="P86" i="12"/>
  <c r="O86" i="12"/>
  <c r="M86" i="12"/>
  <c r="L86" i="12"/>
  <c r="K86" i="12"/>
  <c r="J86" i="12"/>
  <c r="I86" i="12"/>
  <c r="H86" i="12"/>
  <c r="G86" i="12"/>
  <c r="F86" i="12"/>
  <c r="D86" i="12"/>
  <c r="P85" i="12"/>
  <c r="O85" i="12"/>
  <c r="M85" i="12"/>
  <c r="L85" i="12"/>
  <c r="K85" i="12"/>
  <c r="J85" i="12"/>
  <c r="I85" i="12"/>
  <c r="H85" i="12"/>
  <c r="G85" i="12"/>
  <c r="F85" i="12"/>
  <c r="D85" i="12"/>
  <c r="P84" i="12"/>
  <c r="O84" i="12"/>
  <c r="M84" i="12"/>
  <c r="L84" i="12"/>
  <c r="K84" i="12"/>
  <c r="J84" i="12"/>
  <c r="I84" i="12"/>
  <c r="H84" i="12"/>
  <c r="G84" i="12"/>
  <c r="F84" i="12"/>
  <c r="D84" i="12"/>
  <c r="P83" i="12"/>
  <c r="O83" i="12"/>
  <c r="M83" i="12"/>
  <c r="L83" i="12"/>
  <c r="K83" i="12"/>
  <c r="J83" i="12"/>
  <c r="I83" i="12"/>
  <c r="H83" i="12"/>
  <c r="G83" i="12"/>
  <c r="F83" i="12"/>
  <c r="D83" i="12"/>
  <c r="P82" i="12"/>
  <c r="O82" i="12"/>
  <c r="M82" i="12"/>
  <c r="L82" i="12"/>
  <c r="K82" i="12"/>
  <c r="J82" i="12"/>
  <c r="I82" i="12"/>
  <c r="H82" i="12"/>
  <c r="G82" i="12"/>
  <c r="F82" i="12"/>
  <c r="D82" i="12"/>
  <c r="P81" i="12"/>
  <c r="O81" i="12"/>
  <c r="M81" i="12"/>
  <c r="L81" i="12"/>
  <c r="K81" i="12"/>
  <c r="J81" i="12"/>
  <c r="I81" i="12"/>
  <c r="H81" i="12"/>
  <c r="G81" i="12"/>
  <c r="F81" i="12"/>
  <c r="D81" i="12"/>
  <c r="P80" i="12"/>
  <c r="O80" i="12"/>
  <c r="M80" i="12"/>
  <c r="L80" i="12"/>
  <c r="K80" i="12"/>
  <c r="J80" i="12"/>
  <c r="I80" i="12"/>
  <c r="H80" i="12"/>
  <c r="G80" i="12"/>
  <c r="F80" i="12"/>
  <c r="D80" i="12"/>
  <c r="P79" i="12"/>
  <c r="O79" i="12"/>
  <c r="M79" i="12"/>
  <c r="L79" i="12"/>
  <c r="K79" i="12"/>
  <c r="J79" i="12"/>
  <c r="I79" i="12"/>
  <c r="H79" i="12"/>
  <c r="G79" i="12"/>
  <c r="F79" i="12"/>
  <c r="D79" i="12"/>
  <c r="P78" i="12"/>
  <c r="O78" i="12"/>
  <c r="M78" i="12"/>
  <c r="L78" i="12"/>
  <c r="K78" i="12"/>
  <c r="J78" i="12"/>
  <c r="I78" i="12"/>
  <c r="H78" i="12"/>
  <c r="G78" i="12"/>
  <c r="F78" i="12"/>
  <c r="D78" i="12"/>
  <c r="P77" i="12"/>
  <c r="O77" i="12"/>
  <c r="M77" i="12"/>
  <c r="L77" i="12"/>
  <c r="K77" i="12"/>
  <c r="J77" i="12"/>
  <c r="I77" i="12"/>
  <c r="H77" i="12"/>
  <c r="G77" i="12"/>
  <c r="F77" i="12"/>
  <c r="D77" i="12"/>
  <c r="P76" i="12"/>
  <c r="O76" i="12"/>
  <c r="M76" i="12"/>
  <c r="L76" i="12"/>
  <c r="K76" i="12"/>
  <c r="J76" i="12"/>
  <c r="I76" i="12"/>
  <c r="H76" i="12"/>
  <c r="G76" i="12"/>
  <c r="F76" i="12"/>
  <c r="D76" i="12"/>
  <c r="P75" i="12"/>
  <c r="O75" i="12"/>
  <c r="M75" i="12"/>
  <c r="L75" i="12"/>
  <c r="K75" i="12"/>
  <c r="J75" i="12"/>
  <c r="I75" i="12"/>
  <c r="H75" i="12"/>
  <c r="G75" i="12"/>
  <c r="F75" i="12"/>
  <c r="D75" i="12"/>
  <c r="P74" i="12"/>
  <c r="O74" i="12"/>
  <c r="M74" i="12"/>
  <c r="L74" i="12"/>
  <c r="K74" i="12"/>
  <c r="J74" i="12"/>
  <c r="I74" i="12"/>
  <c r="H74" i="12"/>
  <c r="G74" i="12"/>
  <c r="F74" i="12"/>
  <c r="D74" i="12"/>
  <c r="P73" i="12"/>
  <c r="O73" i="12"/>
  <c r="M73" i="12"/>
  <c r="L73" i="12"/>
  <c r="K73" i="12"/>
  <c r="J73" i="12"/>
  <c r="I73" i="12"/>
  <c r="H73" i="12"/>
  <c r="G73" i="12"/>
  <c r="F73" i="12"/>
  <c r="D73" i="12"/>
  <c r="P72" i="12"/>
  <c r="O72" i="12"/>
  <c r="M72" i="12"/>
  <c r="L72" i="12"/>
  <c r="K72" i="12"/>
  <c r="J72" i="12"/>
  <c r="I72" i="12"/>
  <c r="H72" i="12"/>
  <c r="G72" i="12"/>
  <c r="F72" i="12"/>
  <c r="D72" i="12"/>
  <c r="P71" i="12"/>
  <c r="O71" i="12"/>
  <c r="M71" i="12"/>
  <c r="L71" i="12"/>
  <c r="K71" i="12"/>
  <c r="J71" i="12"/>
  <c r="I71" i="12"/>
  <c r="H71" i="12"/>
  <c r="G71" i="12"/>
  <c r="F71" i="12"/>
  <c r="D71" i="12"/>
  <c r="P70" i="12"/>
  <c r="O70" i="12"/>
  <c r="M70" i="12"/>
  <c r="L70" i="12"/>
  <c r="K70" i="12"/>
  <c r="J70" i="12"/>
  <c r="I70" i="12"/>
  <c r="H70" i="12"/>
  <c r="G70" i="12"/>
  <c r="F70" i="12"/>
  <c r="D70" i="12"/>
  <c r="P69" i="12"/>
  <c r="O69" i="12"/>
  <c r="M69" i="12"/>
  <c r="L69" i="12"/>
  <c r="K69" i="12"/>
  <c r="J69" i="12"/>
  <c r="I69" i="12"/>
  <c r="H69" i="12"/>
  <c r="G69" i="12"/>
  <c r="F69" i="12"/>
  <c r="D69" i="12"/>
  <c r="P68" i="12"/>
  <c r="O68" i="12"/>
  <c r="M68" i="12"/>
  <c r="L68" i="12"/>
  <c r="K68" i="12"/>
  <c r="J68" i="12"/>
  <c r="I68" i="12"/>
  <c r="H68" i="12"/>
  <c r="G68" i="12"/>
  <c r="F68" i="12"/>
  <c r="D68" i="12"/>
  <c r="P67" i="12"/>
  <c r="O67" i="12"/>
  <c r="M67" i="12"/>
  <c r="L67" i="12"/>
  <c r="K67" i="12"/>
  <c r="J67" i="12"/>
  <c r="I67" i="12"/>
  <c r="H67" i="12"/>
  <c r="G67" i="12"/>
  <c r="F67" i="12"/>
  <c r="D67" i="12"/>
  <c r="P66" i="12"/>
  <c r="O66" i="12"/>
  <c r="M66" i="12"/>
  <c r="L66" i="12"/>
  <c r="K66" i="12"/>
  <c r="J66" i="12"/>
  <c r="I66" i="12"/>
  <c r="H66" i="12"/>
  <c r="G66" i="12"/>
  <c r="F66" i="12"/>
  <c r="D66" i="12"/>
  <c r="P65" i="12"/>
  <c r="O65" i="12"/>
  <c r="M65" i="12"/>
  <c r="L65" i="12"/>
  <c r="K65" i="12"/>
  <c r="J65" i="12"/>
  <c r="I65" i="12"/>
  <c r="H65" i="12"/>
  <c r="G65" i="12"/>
  <c r="F65" i="12"/>
  <c r="D65" i="12"/>
  <c r="P64" i="12"/>
  <c r="O64" i="12"/>
  <c r="M64" i="12"/>
  <c r="L64" i="12"/>
  <c r="K64" i="12"/>
  <c r="J64" i="12"/>
  <c r="I64" i="12"/>
  <c r="H64" i="12"/>
  <c r="G64" i="12"/>
  <c r="F64" i="12"/>
  <c r="D64" i="12"/>
  <c r="P63" i="12"/>
  <c r="O63" i="12"/>
  <c r="M63" i="12"/>
  <c r="L63" i="12"/>
  <c r="K63" i="12"/>
  <c r="J63" i="12"/>
  <c r="I63" i="12"/>
  <c r="H63" i="12"/>
  <c r="G63" i="12"/>
  <c r="F63" i="12"/>
  <c r="D63" i="12"/>
  <c r="P62" i="12"/>
  <c r="O62" i="12"/>
  <c r="M62" i="12"/>
  <c r="L62" i="12"/>
  <c r="K62" i="12"/>
  <c r="J62" i="12"/>
  <c r="I62" i="12"/>
  <c r="H62" i="12"/>
  <c r="G62" i="12"/>
  <c r="F62" i="12"/>
  <c r="D62" i="12"/>
  <c r="P61" i="12"/>
  <c r="O61" i="12"/>
  <c r="M61" i="12"/>
  <c r="L61" i="12"/>
  <c r="K61" i="12"/>
  <c r="J61" i="12"/>
  <c r="I61" i="12"/>
  <c r="H61" i="12"/>
  <c r="G61" i="12"/>
  <c r="F61" i="12"/>
  <c r="D61" i="12"/>
  <c r="P60" i="12"/>
  <c r="O60" i="12"/>
  <c r="M60" i="12"/>
  <c r="L60" i="12"/>
  <c r="K60" i="12"/>
  <c r="J60" i="12"/>
  <c r="I60" i="12"/>
  <c r="H60" i="12"/>
  <c r="G60" i="12"/>
  <c r="F60" i="12"/>
  <c r="D60" i="12"/>
  <c r="P59" i="12"/>
  <c r="O59" i="12"/>
  <c r="M59" i="12"/>
  <c r="L59" i="12"/>
  <c r="K59" i="12"/>
  <c r="J59" i="12"/>
  <c r="I59" i="12"/>
  <c r="H59" i="12"/>
  <c r="G59" i="12"/>
  <c r="F59" i="12"/>
  <c r="D59" i="12"/>
  <c r="P58" i="12"/>
  <c r="O58" i="12"/>
  <c r="M58" i="12"/>
  <c r="L58" i="12"/>
  <c r="K58" i="12"/>
  <c r="J58" i="12"/>
  <c r="I58" i="12"/>
  <c r="H58" i="12"/>
  <c r="G58" i="12"/>
  <c r="F58" i="12"/>
  <c r="D58" i="12"/>
  <c r="P57" i="12"/>
  <c r="O57" i="12"/>
  <c r="M57" i="12"/>
  <c r="L57" i="12"/>
  <c r="K57" i="12"/>
  <c r="J57" i="12"/>
  <c r="I57" i="12"/>
  <c r="H57" i="12"/>
  <c r="G57" i="12"/>
  <c r="F57" i="12"/>
  <c r="D57" i="12"/>
  <c r="P56" i="12"/>
  <c r="O56" i="12"/>
  <c r="M56" i="12"/>
  <c r="L56" i="12"/>
  <c r="K56" i="12"/>
  <c r="J56" i="12"/>
  <c r="I56" i="12"/>
  <c r="H56" i="12"/>
  <c r="G56" i="12"/>
  <c r="F56" i="12"/>
  <c r="D56" i="12"/>
  <c r="P55" i="12"/>
  <c r="O55" i="12"/>
  <c r="M55" i="12"/>
  <c r="L55" i="12"/>
  <c r="K55" i="12"/>
  <c r="J55" i="12"/>
  <c r="I55" i="12"/>
  <c r="H55" i="12"/>
  <c r="G55" i="12"/>
  <c r="F55" i="12"/>
  <c r="D55" i="12"/>
  <c r="P54" i="12"/>
  <c r="O54" i="12"/>
  <c r="M54" i="12"/>
  <c r="L54" i="12"/>
  <c r="K54" i="12"/>
  <c r="J54" i="12"/>
  <c r="I54" i="12"/>
  <c r="H54" i="12"/>
  <c r="G54" i="12"/>
  <c r="F54" i="12"/>
  <c r="D54" i="12"/>
  <c r="P53" i="12"/>
  <c r="O53" i="12"/>
  <c r="M53" i="12"/>
  <c r="L53" i="12"/>
  <c r="K53" i="12"/>
  <c r="J53" i="12"/>
  <c r="I53" i="12"/>
  <c r="H53" i="12"/>
  <c r="G53" i="12"/>
  <c r="F53" i="12"/>
  <c r="D53" i="12"/>
  <c r="P52" i="12"/>
  <c r="O52" i="12"/>
  <c r="M52" i="12"/>
  <c r="L52" i="12"/>
  <c r="K52" i="12"/>
  <c r="J52" i="12"/>
  <c r="I52" i="12"/>
  <c r="H52" i="12"/>
  <c r="G52" i="12"/>
  <c r="F52" i="12"/>
  <c r="D52" i="12"/>
  <c r="P51" i="12"/>
  <c r="O51" i="12"/>
  <c r="M51" i="12"/>
  <c r="L51" i="12"/>
  <c r="K51" i="12"/>
  <c r="J51" i="12"/>
  <c r="I51" i="12"/>
  <c r="H51" i="12"/>
  <c r="G51" i="12"/>
  <c r="F51" i="12"/>
  <c r="D51" i="12"/>
  <c r="P50" i="12"/>
  <c r="O50" i="12"/>
  <c r="M50" i="12"/>
  <c r="L50" i="12"/>
  <c r="K50" i="12"/>
  <c r="J50" i="12"/>
  <c r="I50" i="12"/>
  <c r="H50" i="12"/>
  <c r="G50" i="12"/>
  <c r="F50" i="12"/>
  <c r="D50" i="12"/>
  <c r="P49" i="12"/>
  <c r="O49" i="12"/>
  <c r="M49" i="12"/>
  <c r="L49" i="12"/>
  <c r="K49" i="12"/>
  <c r="J49" i="12"/>
  <c r="I49" i="12"/>
  <c r="H49" i="12"/>
  <c r="G49" i="12"/>
  <c r="F49" i="12"/>
  <c r="D49" i="12"/>
  <c r="P48" i="12"/>
  <c r="O48" i="12"/>
  <c r="M48" i="12"/>
  <c r="L48" i="12"/>
  <c r="K48" i="12"/>
  <c r="J48" i="12"/>
  <c r="I48" i="12"/>
  <c r="H48" i="12"/>
  <c r="G48" i="12"/>
  <c r="F48" i="12"/>
  <c r="D48" i="12"/>
  <c r="P47" i="12"/>
  <c r="O47" i="12"/>
  <c r="M47" i="12"/>
  <c r="L47" i="12"/>
  <c r="K47" i="12"/>
  <c r="J47" i="12"/>
  <c r="I47" i="12"/>
  <c r="H47" i="12"/>
  <c r="G47" i="12"/>
  <c r="F47" i="12"/>
  <c r="D47" i="12"/>
  <c r="P46" i="12"/>
  <c r="O46" i="12"/>
  <c r="M46" i="12"/>
  <c r="L46" i="12"/>
  <c r="K46" i="12"/>
  <c r="J46" i="12"/>
  <c r="I46" i="12"/>
  <c r="H46" i="12"/>
  <c r="G46" i="12"/>
  <c r="F46" i="12"/>
  <c r="D46" i="12"/>
  <c r="P45" i="12"/>
  <c r="O45" i="12"/>
  <c r="M45" i="12"/>
  <c r="L45" i="12"/>
  <c r="K45" i="12"/>
  <c r="J45" i="12"/>
  <c r="I45" i="12"/>
  <c r="H45" i="12"/>
  <c r="G45" i="12"/>
  <c r="F45" i="12"/>
  <c r="D45" i="12"/>
  <c r="P44" i="12"/>
  <c r="O44" i="12"/>
  <c r="M44" i="12"/>
  <c r="L44" i="12"/>
  <c r="K44" i="12"/>
  <c r="J44" i="12"/>
  <c r="I44" i="12"/>
  <c r="H44" i="12"/>
  <c r="G44" i="12"/>
  <c r="F44" i="12"/>
  <c r="D44" i="12"/>
  <c r="P43" i="12"/>
  <c r="O43" i="12"/>
  <c r="M43" i="12"/>
  <c r="L43" i="12"/>
  <c r="K43" i="12"/>
  <c r="J43" i="12"/>
  <c r="I43" i="12"/>
  <c r="H43" i="12"/>
  <c r="G43" i="12"/>
  <c r="F43" i="12"/>
  <c r="D43" i="12"/>
  <c r="P42" i="12"/>
  <c r="O42" i="12"/>
  <c r="M42" i="12"/>
  <c r="L42" i="12"/>
  <c r="K42" i="12"/>
  <c r="J42" i="12"/>
  <c r="I42" i="12"/>
  <c r="H42" i="12"/>
  <c r="G42" i="12"/>
  <c r="F42" i="12"/>
  <c r="D42" i="12"/>
  <c r="P41" i="12"/>
  <c r="O41" i="12"/>
  <c r="M41" i="12"/>
  <c r="L41" i="12"/>
  <c r="K41" i="12"/>
  <c r="J41" i="12"/>
  <c r="I41" i="12"/>
  <c r="H41" i="12"/>
  <c r="G41" i="12"/>
  <c r="F41" i="12"/>
  <c r="D41" i="12"/>
  <c r="P40" i="12"/>
  <c r="O40" i="12"/>
  <c r="M40" i="12"/>
  <c r="L40" i="12"/>
  <c r="K40" i="12"/>
  <c r="J40" i="12"/>
  <c r="I40" i="12"/>
  <c r="H40" i="12"/>
  <c r="G40" i="12"/>
  <c r="F40" i="12"/>
  <c r="D40" i="12"/>
  <c r="P39" i="12"/>
  <c r="O39" i="12"/>
  <c r="M39" i="12"/>
  <c r="L39" i="12"/>
  <c r="K39" i="12"/>
  <c r="J39" i="12"/>
  <c r="I39" i="12"/>
  <c r="H39" i="12"/>
  <c r="G39" i="12"/>
  <c r="F39" i="12"/>
  <c r="D39" i="12"/>
  <c r="P38" i="12"/>
  <c r="O38" i="12"/>
  <c r="M38" i="12"/>
  <c r="L38" i="12"/>
  <c r="K38" i="12"/>
  <c r="J38" i="12"/>
  <c r="I38" i="12"/>
  <c r="H38" i="12"/>
  <c r="G38" i="12"/>
  <c r="F38" i="12"/>
  <c r="D38" i="12"/>
  <c r="P37" i="12"/>
  <c r="O37" i="12"/>
  <c r="M37" i="12"/>
  <c r="L37" i="12"/>
  <c r="K37" i="12"/>
  <c r="J37" i="12"/>
  <c r="I37" i="12"/>
  <c r="H37" i="12"/>
  <c r="G37" i="12"/>
  <c r="F37" i="12"/>
  <c r="D37" i="12"/>
  <c r="P36" i="12"/>
  <c r="O36" i="12"/>
  <c r="M36" i="12"/>
  <c r="L36" i="12"/>
  <c r="K36" i="12"/>
  <c r="J36" i="12"/>
  <c r="I36" i="12"/>
  <c r="H36" i="12"/>
  <c r="G36" i="12"/>
  <c r="F36" i="12"/>
  <c r="D36" i="12"/>
  <c r="P35" i="12"/>
  <c r="O35" i="12"/>
  <c r="M35" i="12"/>
  <c r="L35" i="12"/>
  <c r="K35" i="12"/>
  <c r="J35" i="12"/>
  <c r="I35" i="12"/>
  <c r="H35" i="12"/>
  <c r="G35" i="12"/>
  <c r="F35" i="12"/>
  <c r="D35" i="12"/>
  <c r="P34" i="12"/>
  <c r="O34" i="12"/>
  <c r="M34" i="12"/>
  <c r="L34" i="12"/>
  <c r="K34" i="12"/>
  <c r="J34" i="12"/>
  <c r="I34" i="12"/>
  <c r="H34" i="12"/>
  <c r="G34" i="12"/>
  <c r="F34" i="12"/>
  <c r="D34" i="12"/>
  <c r="P33" i="12"/>
  <c r="O33" i="12"/>
  <c r="M33" i="12"/>
  <c r="L33" i="12"/>
  <c r="K33" i="12"/>
  <c r="J33" i="12"/>
  <c r="I33" i="12"/>
  <c r="H33" i="12"/>
  <c r="G33" i="12"/>
  <c r="F33" i="12"/>
  <c r="D33" i="12"/>
  <c r="P32" i="12"/>
  <c r="O32" i="12"/>
  <c r="M32" i="12"/>
  <c r="L32" i="12"/>
  <c r="K32" i="12"/>
  <c r="J32" i="12"/>
  <c r="I32" i="12"/>
  <c r="H32" i="12"/>
  <c r="G32" i="12"/>
  <c r="F32" i="12"/>
  <c r="D32" i="12"/>
  <c r="P31" i="12"/>
  <c r="O31" i="12"/>
  <c r="M31" i="12"/>
  <c r="L31" i="12"/>
  <c r="K31" i="12"/>
  <c r="J31" i="12"/>
  <c r="I31" i="12"/>
  <c r="H31" i="12"/>
  <c r="G31" i="12"/>
  <c r="F31" i="12"/>
  <c r="D31" i="12"/>
  <c r="P30" i="12"/>
  <c r="O30" i="12"/>
  <c r="M30" i="12"/>
  <c r="L30" i="12"/>
  <c r="K30" i="12"/>
  <c r="J30" i="12"/>
  <c r="I30" i="12"/>
  <c r="H30" i="12"/>
  <c r="G30" i="12"/>
  <c r="F30" i="12"/>
  <c r="D30" i="12"/>
  <c r="P29" i="12"/>
  <c r="O29" i="12"/>
  <c r="M29" i="12"/>
  <c r="L29" i="12"/>
  <c r="K29" i="12"/>
  <c r="J29" i="12"/>
  <c r="I29" i="12"/>
  <c r="H29" i="12"/>
  <c r="G29" i="12"/>
  <c r="F29" i="12"/>
  <c r="D29" i="12"/>
  <c r="P28" i="12"/>
  <c r="O28" i="12"/>
  <c r="M28" i="12"/>
  <c r="L28" i="12"/>
  <c r="K28" i="12"/>
  <c r="J28" i="12"/>
  <c r="I28" i="12"/>
  <c r="H28" i="12"/>
  <c r="G28" i="12"/>
  <c r="F28" i="12"/>
  <c r="D28" i="12"/>
  <c r="P27" i="12"/>
  <c r="O27" i="12"/>
  <c r="M27" i="12"/>
  <c r="L27" i="12"/>
  <c r="K27" i="12"/>
  <c r="J27" i="12"/>
  <c r="I27" i="12"/>
  <c r="H27" i="12"/>
  <c r="G27" i="12"/>
  <c r="F27" i="12"/>
  <c r="D27" i="12"/>
  <c r="P26" i="12"/>
  <c r="O26" i="12"/>
  <c r="M26" i="12"/>
  <c r="L26" i="12"/>
  <c r="K26" i="12"/>
  <c r="J26" i="12"/>
  <c r="I26" i="12"/>
  <c r="H26" i="12"/>
  <c r="G26" i="12"/>
  <c r="F26" i="12"/>
  <c r="D26" i="12"/>
  <c r="P25" i="12"/>
  <c r="O25" i="12"/>
  <c r="M25" i="12"/>
  <c r="L25" i="12"/>
  <c r="K25" i="12"/>
  <c r="J25" i="12"/>
  <c r="I25" i="12"/>
  <c r="H25" i="12"/>
  <c r="G25" i="12"/>
  <c r="F25" i="12"/>
  <c r="D25" i="12"/>
  <c r="P24" i="12"/>
  <c r="O24" i="12"/>
  <c r="M24" i="12"/>
  <c r="L24" i="12"/>
  <c r="K24" i="12"/>
  <c r="J24" i="12"/>
  <c r="I24" i="12"/>
  <c r="H24" i="12"/>
  <c r="G24" i="12"/>
  <c r="F24" i="12"/>
  <c r="D24" i="12"/>
  <c r="P23" i="12"/>
  <c r="O23" i="12"/>
  <c r="M23" i="12"/>
  <c r="L23" i="12"/>
  <c r="K23" i="12"/>
  <c r="J23" i="12"/>
  <c r="I23" i="12"/>
  <c r="H23" i="12"/>
  <c r="G23" i="12"/>
  <c r="F23" i="12"/>
  <c r="D23" i="12"/>
  <c r="P22" i="12"/>
  <c r="O22" i="12"/>
  <c r="M22" i="12"/>
  <c r="L22" i="12"/>
  <c r="K22" i="12"/>
  <c r="J22" i="12"/>
  <c r="I22" i="12"/>
  <c r="H22" i="12"/>
  <c r="G22" i="12"/>
  <c r="F22" i="12"/>
  <c r="D22" i="12"/>
  <c r="P21" i="12"/>
  <c r="O21" i="12"/>
  <c r="M21" i="12"/>
  <c r="L21" i="12"/>
  <c r="K21" i="12"/>
  <c r="J21" i="12"/>
  <c r="I21" i="12"/>
  <c r="H21" i="12"/>
  <c r="G21" i="12"/>
  <c r="F21" i="12"/>
  <c r="D21" i="12"/>
  <c r="P20" i="12"/>
  <c r="O20" i="12"/>
  <c r="M20" i="12"/>
  <c r="L20" i="12"/>
  <c r="K20" i="12"/>
  <c r="J20" i="12"/>
  <c r="I20" i="12"/>
  <c r="H20" i="12"/>
  <c r="G20" i="12"/>
  <c r="F20" i="12"/>
  <c r="D20" i="12"/>
  <c r="P19" i="12"/>
  <c r="O19" i="12"/>
  <c r="M19" i="12"/>
  <c r="L19" i="12"/>
  <c r="K19" i="12"/>
  <c r="J19" i="12"/>
  <c r="I19" i="12"/>
  <c r="H19" i="12"/>
  <c r="G19" i="12"/>
  <c r="F19" i="12"/>
  <c r="D19" i="12"/>
  <c r="P18" i="12"/>
  <c r="O18" i="12"/>
  <c r="M18" i="12"/>
  <c r="L18" i="12"/>
  <c r="K18" i="12"/>
  <c r="J18" i="12"/>
  <c r="I18" i="12"/>
  <c r="H18" i="12"/>
  <c r="G18" i="12"/>
  <c r="F18" i="12"/>
  <c r="D18" i="12"/>
  <c r="P17" i="12"/>
  <c r="O17" i="12"/>
  <c r="M17" i="12"/>
  <c r="L17" i="12"/>
  <c r="K17" i="12"/>
  <c r="J17" i="12"/>
  <c r="I17" i="12"/>
  <c r="H17" i="12"/>
  <c r="G17" i="12"/>
  <c r="F17" i="12"/>
  <c r="D17" i="12"/>
  <c r="P16" i="12"/>
  <c r="O16" i="12"/>
  <c r="M16" i="12"/>
  <c r="L16" i="12"/>
  <c r="K16" i="12"/>
  <c r="J16" i="12"/>
  <c r="I16" i="12"/>
  <c r="H16" i="12"/>
  <c r="G16" i="12"/>
  <c r="F16" i="12"/>
  <c r="D16" i="12"/>
  <c r="P15" i="12"/>
  <c r="O15" i="12"/>
  <c r="M15" i="12"/>
  <c r="L15" i="12"/>
  <c r="K15" i="12"/>
  <c r="J15" i="12"/>
  <c r="I15" i="12"/>
  <c r="H15" i="12"/>
  <c r="G15" i="12"/>
  <c r="F15" i="12"/>
  <c r="D15" i="12"/>
  <c r="P14" i="12"/>
  <c r="O14" i="12"/>
  <c r="M14" i="12"/>
  <c r="L14" i="12"/>
  <c r="K14" i="12"/>
  <c r="J14" i="12"/>
  <c r="I14" i="12"/>
  <c r="H14" i="12"/>
  <c r="G14" i="12"/>
  <c r="F14" i="12"/>
  <c r="D14" i="12"/>
  <c r="P13" i="12"/>
  <c r="O13" i="12"/>
  <c r="M13" i="12"/>
  <c r="L13" i="12"/>
  <c r="K13" i="12"/>
  <c r="J13" i="12"/>
  <c r="I13" i="12"/>
  <c r="H13" i="12"/>
  <c r="G13" i="12"/>
  <c r="F13" i="12"/>
  <c r="D13" i="12"/>
  <c r="P12" i="12"/>
  <c r="O12" i="12"/>
  <c r="M12" i="12"/>
  <c r="L12" i="12"/>
  <c r="K12" i="12"/>
  <c r="J12" i="12"/>
  <c r="I12" i="12"/>
  <c r="H12" i="12"/>
  <c r="G12" i="12"/>
  <c r="F12" i="12"/>
  <c r="D12" i="12"/>
  <c r="P11" i="12"/>
  <c r="O11" i="12"/>
  <c r="M11" i="12"/>
  <c r="L11" i="12"/>
  <c r="K11" i="12"/>
  <c r="J11" i="12"/>
  <c r="I11" i="12"/>
  <c r="H11" i="12"/>
  <c r="G11" i="12"/>
  <c r="F11" i="12"/>
  <c r="D11" i="12"/>
  <c r="P10" i="12"/>
  <c r="O10" i="12"/>
  <c r="M10" i="12"/>
  <c r="L10" i="12"/>
  <c r="K10" i="12"/>
  <c r="J10" i="12"/>
  <c r="I10" i="12"/>
  <c r="H10" i="12"/>
  <c r="G10" i="12"/>
  <c r="F10" i="12"/>
  <c r="D10" i="12"/>
  <c r="P9" i="12"/>
  <c r="O9" i="12"/>
  <c r="M9" i="12"/>
  <c r="L9" i="12"/>
  <c r="K9" i="12"/>
  <c r="J9" i="12"/>
  <c r="I9" i="12"/>
  <c r="H9" i="12"/>
  <c r="G9" i="12"/>
  <c r="F9" i="12"/>
  <c r="D9" i="12"/>
  <c r="P8" i="12"/>
  <c r="O8" i="12"/>
  <c r="M8" i="12"/>
  <c r="L8" i="12"/>
  <c r="K8" i="12"/>
  <c r="J8" i="12"/>
  <c r="I8" i="12"/>
  <c r="H8" i="12"/>
  <c r="G8" i="12"/>
  <c r="F8" i="12"/>
  <c r="D8" i="12"/>
  <c r="P7" i="12"/>
  <c r="O7" i="12"/>
  <c r="M7" i="12"/>
  <c r="L7" i="12"/>
  <c r="K7" i="12"/>
  <c r="J7" i="12"/>
  <c r="I7" i="12"/>
  <c r="H7" i="12"/>
  <c r="G7" i="12"/>
  <c r="F7" i="12"/>
  <c r="D7" i="12"/>
  <c r="P6" i="12"/>
  <c r="O6" i="12"/>
  <c r="M6" i="12"/>
  <c r="L6" i="12"/>
  <c r="K6" i="12"/>
  <c r="J6" i="12"/>
  <c r="I6" i="12"/>
  <c r="H6" i="12"/>
  <c r="G6" i="12"/>
  <c r="F6" i="12"/>
  <c r="D6" i="12"/>
  <c r="P5" i="12"/>
  <c r="O5" i="12"/>
  <c r="M5" i="12"/>
  <c r="L5" i="12"/>
  <c r="K5" i="12"/>
  <c r="J5" i="12"/>
  <c r="I5" i="12"/>
  <c r="H5" i="12"/>
  <c r="G5" i="12"/>
  <c r="F5" i="12"/>
  <c r="D5" i="12"/>
  <c r="P4" i="12"/>
  <c r="O4" i="12"/>
  <c r="M4" i="12"/>
  <c r="L4" i="12"/>
  <c r="K4" i="12"/>
  <c r="J4" i="12"/>
  <c r="I4" i="12"/>
  <c r="H4" i="12"/>
  <c r="G4" i="12"/>
  <c r="F4" i="12"/>
  <c r="D4" i="12"/>
  <c r="P3" i="12"/>
  <c r="O3" i="12"/>
  <c r="M3" i="12"/>
  <c r="L3" i="12"/>
  <c r="K3" i="12"/>
  <c r="J3" i="12"/>
  <c r="I3" i="12"/>
  <c r="H3" i="12"/>
  <c r="G3" i="12"/>
  <c r="F3" i="12"/>
  <c r="D3" i="12"/>
  <c r="P2" i="12"/>
  <c r="O2" i="12"/>
  <c r="M2" i="12"/>
  <c r="L2" i="12"/>
  <c r="K2" i="12"/>
  <c r="J2" i="12"/>
  <c r="I2" i="12"/>
  <c r="H2" i="12"/>
  <c r="G2" i="12"/>
  <c r="F2" i="12"/>
  <c r="D2" i="12"/>
  <c r="N2" i="6"/>
  <c r="N3" i="6"/>
  <c r="N4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N65" i="6"/>
  <c r="N66" i="6"/>
  <c r="N67" i="6"/>
  <c r="N68" i="6"/>
  <c r="N69" i="6"/>
  <c r="N70" i="6"/>
  <c r="N71" i="6"/>
  <c r="N72" i="6"/>
  <c r="N73" i="6"/>
  <c r="N74" i="6"/>
  <c r="N75" i="6"/>
  <c r="N76" i="6"/>
  <c r="N77" i="6"/>
  <c r="N78" i="6"/>
  <c r="N79" i="6"/>
  <c r="N80" i="6"/>
  <c r="N81" i="6"/>
  <c r="N82" i="6"/>
  <c r="N83" i="6"/>
  <c r="N84" i="6"/>
  <c r="N85" i="6"/>
  <c r="N86" i="6"/>
  <c r="N87" i="6"/>
  <c r="N88" i="6"/>
  <c r="N89" i="6"/>
  <c r="N90" i="6"/>
  <c r="N91" i="6"/>
  <c r="N92" i="6"/>
  <c r="N93" i="6"/>
  <c r="N94" i="6"/>
  <c r="N95" i="6"/>
  <c r="N96" i="6"/>
  <c r="N97" i="6"/>
  <c r="N98" i="6"/>
  <c r="N99" i="6"/>
  <c r="N100" i="6"/>
  <c r="N101" i="6"/>
  <c r="N102" i="6"/>
  <c r="N103" i="6"/>
  <c r="N104" i="6"/>
  <c r="N105" i="6"/>
  <c r="N106" i="6"/>
  <c r="N107" i="6"/>
  <c r="N108" i="6"/>
  <c r="N109" i="6"/>
  <c r="N110" i="6"/>
  <c r="N111" i="6"/>
  <c r="N112" i="6"/>
  <c r="N113" i="6"/>
  <c r="N114" i="6"/>
  <c r="N115" i="6"/>
  <c r="N116" i="6"/>
  <c r="N117" i="6"/>
  <c r="N118" i="6"/>
  <c r="N119" i="6"/>
  <c r="N120" i="6"/>
  <c r="N121" i="6"/>
  <c r="N122" i="6"/>
  <c r="N123" i="6"/>
  <c r="N124" i="6"/>
  <c r="N125" i="6"/>
  <c r="N126" i="6"/>
  <c r="N127" i="6"/>
  <c r="N128" i="6"/>
  <c r="N129" i="6"/>
  <c r="N130" i="6"/>
  <c r="N131" i="6"/>
  <c r="N132" i="6"/>
  <c r="N133" i="6"/>
  <c r="N134" i="6"/>
  <c r="N135" i="6"/>
  <c r="N136" i="6"/>
  <c r="N137" i="6"/>
  <c r="N138" i="6"/>
  <c r="N139" i="6"/>
  <c r="N140" i="6"/>
  <c r="N141" i="6"/>
  <c r="N142" i="6"/>
  <c r="N143" i="6"/>
  <c r="N144" i="6"/>
  <c r="N145" i="6"/>
  <c r="N146" i="6"/>
  <c r="N147" i="6"/>
  <c r="N148" i="6"/>
  <c r="N149" i="6"/>
  <c r="N150" i="6"/>
  <c r="N151" i="6"/>
  <c r="N152" i="6"/>
  <c r="N153" i="6"/>
  <c r="N154" i="6"/>
  <c r="N155" i="6"/>
  <c r="N156" i="6"/>
  <c r="N157" i="6"/>
  <c r="N158" i="6"/>
  <c r="N159" i="6"/>
  <c r="N160" i="6"/>
  <c r="N161" i="6"/>
  <c r="N162" i="6"/>
  <c r="N163" i="6"/>
  <c r="N164" i="6"/>
  <c r="N165" i="6"/>
  <c r="N166" i="6"/>
  <c r="N167" i="6"/>
  <c r="N168" i="6"/>
  <c r="N169" i="6"/>
  <c r="N170" i="6"/>
  <c r="N171" i="6"/>
  <c r="N172" i="6"/>
  <c r="N173" i="6"/>
  <c r="N174" i="6"/>
  <c r="N175" i="6"/>
  <c r="N176" i="6"/>
  <c r="N177" i="6"/>
  <c r="N178" i="6"/>
  <c r="N179" i="6"/>
  <c r="N180" i="6"/>
  <c r="N181" i="6"/>
  <c r="N182" i="6"/>
  <c r="N183" i="6"/>
  <c r="N184" i="6"/>
  <c r="N185" i="6"/>
  <c r="N186" i="6"/>
  <c r="N187" i="6"/>
  <c r="N188" i="6"/>
  <c r="N189" i="6"/>
  <c r="N190" i="6"/>
  <c r="N191" i="6"/>
  <c r="N192" i="6"/>
  <c r="N193" i="6"/>
  <c r="N194" i="6"/>
  <c r="N195" i="6"/>
  <c r="N196" i="6"/>
  <c r="N197" i="6"/>
  <c r="N198" i="6"/>
  <c r="N199" i="6"/>
  <c r="N200" i="6"/>
  <c r="N201" i="6"/>
  <c r="N202" i="6"/>
  <c r="N203" i="6"/>
  <c r="N204" i="6"/>
  <c r="N205" i="6"/>
  <c r="N206" i="6"/>
  <c r="N207" i="6"/>
  <c r="N208" i="6"/>
  <c r="N209" i="6"/>
  <c r="N210" i="6"/>
  <c r="N211" i="6"/>
  <c r="N212" i="6"/>
  <c r="N213" i="6"/>
  <c r="N214" i="6"/>
  <c r="N215" i="6"/>
  <c r="N216" i="6"/>
  <c r="N217" i="6"/>
  <c r="N218" i="6"/>
  <c r="N219" i="6"/>
  <c r="N220" i="6"/>
  <c r="N221" i="6"/>
  <c r="N222" i="6"/>
  <c r="N223" i="6"/>
  <c r="N224" i="6"/>
  <c r="N225" i="6"/>
  <c r="N226" i="6"/>
  <c r="N227" i="6"/>
  <c r="N228" i="6"/>
  <c r="N229" i="6"/>
  <c r="N230" i="6"/>
  <c r="N231" i="6"/>
  <c r="N232" i="6"/>
  <c r="N233" i="6"/>
  <c r="N234" i="6"/>
  <c r="N235" i="6"/>
  <c r="N236" i="6"/>
  <c r="N237" i="6"/>
  <c r="N238" i="6"/>
  <c r="N239" i="6"/>
  <c r="N240" i="6"/>
  <c r="N241" i="6"/>
  <c r="N242" i="6"/>
  <c r="N243" i="6"/>
  <c r="N244" i="6"/>
  <c r="N245" i="6"/>
  <c r="N246" i="6"/>
  <c r="N247" i="6"/>
  <c r="N248" i="6"/>
  <c r="N249" i="6"/>
  <c r="N250" i="6"/>
  <c r="N251" i="6"/>
  <c r="N252" i="6"/>
  <c r="N253" i="6"/>
  <c r="M2" i="6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K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130" i="6"/>
  <c r="K131" i="6"/>
  <c r="K132" i="6"/>
  <c r="K133" i="6"/>
  <c r="K134" i="6"/>
  <c r="K135" i="6"/>
  <c r="K136" i="6"/>
  <c r="K137" i="6"/>
  <c r="K138" i="6"/>
  <c r="K139" i="6"/>
  <c r="K140" i="6"/>
  <c r="K141" i="6"/>
  <c r="K142" i="6"/>
  <c r="K143" i="6"/>
  <c r="K144" i="6"/>
  <c r="K145" i="6"/>
  <c r="K146" i="6"/>
  <c r="K147" i="6"/>
  <c r="K148" i="6"/>
  <c r="K149" i="6"/>
  <c r="K150" i="6"/>
  <c r="K151" i="6"/>
  <c r="K152" i="6"/>
  <c r="K153" i="6"/>
  <c r="K154" i="6"/>
  <c r="K155" i="6"/>
  <c r="K156" i="6"/>
  <c r="K157" i="6"/>
  <c r="K158" i="6"/>
  <c r="K159" i="6"/>
  <c r="K160" i="6"/>
  <c r="K161" i="6"/>
  <c r="K162" i="6"/>
  <c r="K163" i="6"/>
  <c r="K164" i="6"/>
  <c r="K165" i="6"/>
  <c r="K166" i="6"/>
  <c r="K167" i="6"/>
  <c r="K168" i="6"/>
  <c r="K169" i="6"/>
  <c r="K170" i="6"/>
  <c r="K171" i="6"/>
  <c r="K172" i="6"/>
  <c r="K173" i="6"/>
  <c r="K174" i="6"/>
  <c r="K175" i="6"/>
  <c r="K176" i="6"/>
  <c r="K177" i="6"/>
  <c r="K178" i="6"/>
  <c r="K179" i="6"/>
  <c r="K180" i="6"/>
  <c r="K181" i="6"/>
  <c r="K182" i="6"/>
  <c r="K183" i="6"/>
  <c r="K184" i="6"/>
  <c r="K185" i="6"/>
  <c r="K186" i="6"/>
  <c r="K187" i="6"/>
  <c r="K188" i="6"/>
  <c r="K189" i="6"/>
  <c r="K190" i="6"/>
  <c r="K191" i="6"/>
  <c r="K192" i="6"/>
  <c r="K193" i="6"/>
  <c r="K194" i="6"/>
  <c r="K195" i="6"/>
  <c r="K196" i="6"/>
  <c r="K197" i="6"/>
  <c r="K198" i="6"/>
  <c r="K199" i="6"/>
  <c r="K200" i="6"/>
  <c r="K201" i="6"/>
  <c r="K202" i="6"/>
  <c r="K203" i="6"/>
  <c r="K204" i="6"/>
  <c r="K205" i="6"/>
  <c r="K206" i="6"/>
  <c r="K207" i="6"/>
  <c r="K208" i="6"/>
  <c r="K209" i="6"/>
  <c r="K210" i="6"/>
  <c r="K211" i="6"/>
  <c r="K212" i="6"/>
  <c r="K213" i="6"/>
  <c r="K214" i="6"/>
  <c r="K215" i="6"/>
  <c r="K216" i="6"/>
  <c r="K217" i="6"/>
  <c r="K218" i="6"/>
  <c r="K219" i="6"/>
  <c r="K220" i="6"/>
  <c r="K221" i="6"/>
  <c r="K222" i="6"/>
  <c r="K223" i="6"/>
  <c r="K224" i="6"/>
  <c r="K225" i="6"/>
  <c r="K226" i="6"/>
  <c r="K227" i="6"/>
  <c r="K228" i="6"/>
  <c r="K229" i="6"/>
  <c r="K230" i="6"/>
  <c r="K231" i="6"/>
  <c r="K232" i="6"/>
  <c r="K233" i="6"/>
  <c r="K234" i="6"/>
  <c r="K235" i="6"/>
  <c r="K236" i="6"/>
  <c r="K237" i="6"/>
  <c r="K238" i="6"/>
  <c r="K239" i="6"/>
  <c r="K240" i="6"/>
  <c r="K241" i="6"/>
  <c r="K242" i="6"/>
  <c r="K243" i="6"/>
  <c r="K244" i="6"/>
  <c r="K245" i="6"/>
  <c r="K246" i="6"/>
  <c r="K247" i="6"/>
  <c r="K248" i="6"/>
  <c r="K249" i="6"/>
  <c r="K250" i="6"/>
  <c r="K251" i="6"/>
  <c r="K252" i="6"/>
  <c r="K253" i="6"/>
  <c r="K2" i="6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J116" i="6"/>
  <c r="J117" i="6"/>
  <c r="J118" i="6"/>
  <c r="J119" i="6"/>
  <c r="J120" i="6"/>
  <c r="J121" i="6"/>
  <c r="J122" i="6"/>
  <c r="J123" i="6"/>
  <c r="J124" i="6"/>
  <c r="J125" i="6"/>
  <c r="J126" i="6"/>
  <c r="J127" i="6"/>
  <c r="J128" i="6"/>
  <c r="J129" i="6"/>
  <c r="J130" i="6"/>
  <c r="J131" i="6"/>
  <c r="J132" i="6"/>
  <c r="J133" i="6"/>
  <c r="J134" i="6"/>
  <c r="J135" i="6"/>
  <c r="J136" i="6"/>
  <c r="J137" i="6"/>
  <c r="J138" i="6"/>
  <c r="J139" i="6"/>
  <c r="J140" i="6"/>
  <c r="J141" i="6"/>
  <c r="J142" i="6"/>
  <c r="J143" i="6"/>
  <c r="J144" i="6"/>
  <c r="J145" i="6"/>
  <c r="J146" i="6"/>
  <c r="J147" i="6"/>
  <c r="J148" i="6"/>
  <c r="J149" i="6"/>
  <c r="J150" i="6"/>
  <c r="J151" i="6"/>
  <c r="J152" i="6"/>
  <c r="J153" i="6"/>
  <c r="J154" i="6"/>
  <c r="J155" i="6"/>
  <c r="J156" i="6"/>
  <c r="J157" i="6"/>
  <c r="J158" i="6"/>
  <c r="J159" i="6"/>
  <c r="J160" i="6"/>
  <c r="J161" i="6"/>
  <c r="J162" i="6"/>
  <c r="J163" i="6"/>
  <c r="J164" i="6"/>
  <c r="J165" i="6"/>
  <c r="J166" i="6"/>
  <c r="J167" i="6"/>
  <c r="J168" i="6"/>
  <c r="J169" i="6"/>
  <c r="J170" i="6"/>
  <c r="J171" i="6"/>
  <c r="J172" i="6"/>
  <c r="J173" i="6"/>
  <c r="J174" i="6"/>
  <c r="J175" i="6"/>
  <c r="J176" i="6"/>
  <c r="J177" i="6"/>
  <c r="J178" i="6"/>
  <c r="J179" i="6"/>
  <c r="J180" i="6"/>
  <c r="J181" i="6"/>
  <c r="J182" i="6"/>
  <c r="J183" i="6"/>
  <c r="J184" i="6"/>
  <c r="J185" i="6"/>
  <c r="J186" i="6"/>
  <c r="J187" i="6"/>
  <c r="J188" i="6"/>
  <c r="J189" i="6"/>
  <c r="J190" i="6"/>
  <c r="J191" i="6"/>
  <c r="J192" i="6"/>
  <c r="J193" i="6"/>
  <c r="J194" i="6"/>
  <c r="J195" i="6"/>
  <c r="J196" i="6"/>
  <c r="J197" i="6"/>
  <c r="J198" i="6"/>
  <c r="J199" i="6"/>
  <c r="J200" i="6"/>
  <c r="J201" i="6"/>
  <c r="J202" i="6"/>
  <c r="J203" i="6"/>
  <c r="J204" i="6"/>
  <c r="J205" i="6"/>
  <c r="J206" i="6"/>
  <c r="J207" i="6"/>
  <c r="J208" i="6"/>
  <c r="J209" i="6"/>
  <c r="J210" i="6"/>
  <c r="J211" i="6"/>
  <c r="J212" i="6"/>
  <c r="J213" i="6"/>
  <c r="J214" i="6"/>
  <c r="J215" i="6"/>
  <c r="J216" i="6"/>
  <c r="J217" i="6"/>
  <c r="J218" i="6"/>
  <c r="J219" i="6"/>
  <c r="J220" i="6"/>
  <c r="J221" i="6"/>
  <c r="J222" i="6"/>
  <c r="J223" i="6"/>
  <c r="J224" i="6"/>
  <c r="J225" i="6"/>
  <c r="J226" i="6"/>
  <c r="J227" i="6"/>
  <c r="J228" i="6"/>
  <c r="J229" i="6"/>
  <c r="J230" i="6"/>
  <c r="J231" i="6"/>
  <c r="J232" i="6"/>
  <c r="J233" i="6"/>
  <c r="J234" i="6"/>
  <c r="J235" i="6"/>
  <c r="J236" i="6"/>
  <c r="J237" i="6"/>
  <c r="J238" i="6"/>
  <c r="J239" i="6"/>
  <c r="J240" i="6"/>
  <c r="J241" i="6"/>
  <c r="J242" i="6"/>
  <c r="J243" i="6"/>
  <c r="J244" i="6"/>
  <c r="J245" i="6"/>
  <c r="J246" i="6"/>
  <c r="J247" i="6"/>
  <c r="J248" i="6"/>
  <c r="J249" i="6"/>
  <c r="J250" i="6"/>
  <c r="J251" i="6"/>
  <c r="J252" i="6"/>
  <c r="J253" i="6"/>
  <c r="J2" i="6"/>
  <c r="I3" i="6"/>
  <c r="L3" i="6" s="1"/>
  <c r="I4" i="6"/>
  <c r="L4" i="6" s="1"/>
  <c r="I5" i="6"/>
  <c r="L5" i="6" s="1"/>
  <c r="I6" i="6"/>
  <c r="L6" i="6" s="1"/>
  <c r="I7" i="6"/>
  <c r="L7" i="6" s="1"/>
  <c r="I8" i="6"/>
  <c r="L8" i="6" s="1"/>
  <c r="I9" i="6"/>
  <c r="L9" i="6" s="1"/>
  <c r="I10" i="6"/>
  <c r="L10" i="6" s="1"/>
  <c r="I11" i="6"/>
  <c r="L11" i="6" s="1"/>
  <c r="I12" i="6"/>
  <c r="L12" i="6" s="1"/>
  <c r="I13" i="6"/>
  <c r="L13" i="6" s="1"/>
  <c r="I14" i="6"/>
  <c r="L14" i="6" s="1"/>
  <c r="I15" i="6"/>
  <c r="L15" i="6" s="1"/>
  <c r="I16" i="6"/>
  <c r="L16" i="6" s="1"/>
  <c r="I17" i="6"/>
  <c r="L17" i="6" s="1"/>
  <c r="I18" i="6"/>
  <c r="L18" i="6" s="1"/>
  <c r="I19" i="6"/>
  <c r="L19" i="6" s="1"/>
  <c r="I20" i="6"/>
  <c r="L20" i="6" s="1"/>
  <c r="I21" i="6"/>
  <c r="L21" i="6" s="1"/>
  <c r="I22" i="6"/>
  <c r="L22" i="6" s="1"/>
  <c r="I23" i="6"/>
  <c r="L23" i="6" s="1"/>
  <c r="I24" i="6"/>
  <c r="L24" i="6" s="1"/>
  <c r="I25" i="6"/>
  <c r="L25" i="6" s="1"/>
  <c r="I26" i="6"/>
  <c r="L26" i="6" s="1"/>
  <c r="I27" i="6"/>
  <c r="L27" i="6" s="1"/>
  <c r="I28" i="6"/>
  <c r="L28" i="6" s="1"/>
  <c r="I29" i="6"/>
  <c r="L29" i="6" s="1"/>
  <c r="I30" i="6"/>
  <c r="L30" i="6" s="1"/>
  <c r="I31" i="6"/>
  <c r="L31" i="6" s="1"/>
  <c r="I32" i="6"/>
  <c r="L32" i="6" s="1"/>
  <c r="I33" i="6"/>
  <c r="L33" i="6" s="1"/>
  <c r="I34" i="6"/>
  <c r="L34" i="6" s="1"/>
  <c r="I35" i="6"/>
  <c r="L35" i="6" s="1"/>
  <c r="I36" i="6"/>
  <c r="L36" i="6" s="1"/>
  <c r="I37" i="6"/>
  <c r="L37" i="6" s="1"/>
  <c r="I38" i="6"/>
  <c r="L38" i="6" s="1"/>
  <c r="I39" i="6"/>
  <c r="L39" i="6" s="1"/>
  <c r="I40" i="6"/>
  <c r="L40" i="6" s="1"/>
  <c r="I41" i="6"/>
  <c r="L41" i="6" s="1"/>
  <c r="I42" i="6"/>
  <c r="L42" i="6" s="1"/>
  <c r="I43" i="6"/>
  <c r="L43" i="6" s="1"/>
  <c r="I44" i="6"/>
  <c r="L44" i="6" s="1"/>
  <c r="I45" i="6"/>
  <c r="L45" i="6" s="1"/>
  <c r="I46" i="6"/>
  <c r="L46" i="6" s="1"/>
  <c r="I47" i="6"/>
  <c r="L47" i="6" s="1"/>
  <c r="I48" i="6"/>
  <c r="L48" i="6" s="1"/>
  <c r="I49" i="6"/>
  <c r="L49" i="6" s="1"/>
  <c r="I50" i="6"/>
  <c r="L50" i="6" s="1"/>
  <c r="I51" i="6"/>
  <c r="L51" i="6" s="1"/>
  <c r="I52" i="6"/>
  <c r="L52" i="6" s="1"/>
  <c r="I53" i="6"/>
  <c r="L53" i="6" s="1"/>
  <c r="I54" i="6"/>
  <c r="L54" i="6" s="1"/>
  <c r="I55" i="6"/>
  <c r="L55" i="6" s="1"/>
  <c r="I56" i="6"/>
  <c r="L56" i="6" s="1"/>
  <c r="I57" i="6"/>
  <c r="L57" i="6" s="1"/>
  <c r="I58" i="6"/>
  <c r="L58" i="6" s="1"/>
  <c r="I59" i="6"/>
  <c r="L59" i="6" s="1"/>
  <c r="I60" i="6"/>
  <c r="L60" i="6" s="1"/>
  <c r="I61" i="6"/>
  <c r="L61" i="6" s="1"/>
  <c r="I62" i="6"/>
  <c r="L62" i="6" s="1"/>
  <c r="I63" i="6"/>
  <c r="L63" i="6" s="1"/>
  <c r="I64" i="6"/>
  <c r="L64" i="6" s="1"/>
  <c r="I65" i="6"/>
  <c r="L65" i="6" s="1"/>
  <c r="I66" i="6"/>
  <c r="L66" i="6" s="1"/>
  <c r="I67" i="6"/>
  <c r="L67" i="6" s="1"/>
  <c r="I68" i="6"/>
  <c r="L68" i="6" s="1"/>
  <c r="I69" i="6"/>
  <c r="L69" i="6" s="1"/>
  <c r="I70" i="6"/>
  <c r="L70" i="6" s="1"/>
  <c r="I71" i="6"/>
  <c r="L71" i="6" s="1"/>
  <c r="I72" i="6"/>
  <c r="L72" i="6" s="1"/>
  <c r="I73" i="6"/>
  <c r="L73" i="6" s="1"/>
  <c r="I74" i="6"/>
  <c r="L74" i="6" s="1"/>
  <c r="I75" i="6"/>
  <c r="L75" i="6" s="1"/>
  <c r="I76" i="6"/>
  <c r="L76" i="6" s="1"/>
  <c r="I77" i="6"/>
  <c r="L77" i="6" s="1"/>
  <c r="I78" i="6"/>
  <c r="L78" i="6" s="1"/>
  <c r="I79" i="6"/>
  <c r="L79" i="6" s="1"/>
  <c r="I80" i="6"/>
  <c r="L80" i="6" s="1"/>
  <c r="I81" i="6"/>
  <c r="L81" i="6" s="1"/>
  <c r="I82" i="6"/>
  <c r="L82" i="6" s="1"/>
  <c r="I83" i="6"/>
  <c r="L83" i="6" s="1"/>
  <c r="I84" i="6"/>
  <c r="L84" i="6" s="1"/>
  <c r="I85" i="6"/>
  <c r="L85" i="6" s="1"/>
  <c r="I86" i="6"/>
  <c r="L86" i="6" s="1"/>
  <c r="I87" i="6"/>
  <c r="L87" i="6" s="1"/>
  <c r="I88" i="6"/>
  <c r="L88" i="6" s="1"/>
  <c r="I89" i="6"/>
  <c r="L89" i="6" s="1"/>
  <c r="I90" i="6"/>
  <c r="L90" i="6" s="1"/>
  <c r="I91" i="6"/>
  <c r="L91" i="6" s="1"/>
  <c r="I92" i="6"/>
  <c r="L92" i="6" s="1"/>
  <c r="I93" i="6"/>
  <c r="L93" i="6" s="1"/>
  <c r="I94" i="6"/>
  <c r="L94" i="6" s="1"/>
  <c r="I95" i="6"/>
  <c r="L95" i="6" s="1"/>
  <c r="I96" i="6"/>
  <c r="L96" i="6" s="1"/>
  <c r="I97" i="6"/>
  <c r="L97" i="6" s="1"/>
  <c r="I98" i="6"/>
  <c r="L98" i="6" s="1"/>
  <c r="I99" i="6"/>
  <c r="L99" i="6" s="1"/>
  <c r="I100" i="6"/>
  <c r="L100" i="6" s="1"/>
  <c r="I101" i="6"/>
  <c r="L101" i="6" s="1"/>
  <c r="I102" i="6"/>
  <c r="L102" i="6" s="1"/>
  <c r="I103" i="6"/>
  <c r="L103" i="6" s="1"/>
  <c r="I104" i="6"/>
  <c r="L104" i="6" s="1"/>
  <c r="I105" i="6"/>
  <c r="L105" i="6" s="1"/>
  <c r="I106" i="6"/>
  <c r="L106" i="6" s="1"/>
  <c r="I107" i="6"/>
  <c r="L107" i="6" s="1"/>
  <c r="I108" i="6"/>
  <c r="L108" i="6" s="1"/>
  <c r="I109" i="6"/>
  <c r="L109" i="6" s="1"/>
  <c r="I110" i="6"/>
  <c r="L110" i="6" s="1"/>
  <c r="I111" i="6"/>
  <c r="L111" i="6" s="1"/>
  <c r="I112" i="6"/>
  <c r="L112" i="6" s="1"/>
  <c r="I113" i="6"/>
  <c r="L113" i="6" s="1"/>
  <c r="I114" i="6"/>
  <c r="L114" i="6" s="1"/>
  <c r="I115" i="6"/>
  <c r="L115" i="6" s="1"/>
  <c r="I116" i="6"/>
  <c r="L116" i="6" s="1"/>
  <c r="I117" i="6"/>
  <c r="L117" i="6" s="1"/>
  <c r="I118" i="6"/>
  <c r="L118" i="6" s="1"/>
  <c r="I119" i="6"/>
  <c r="L119" i="6" s="1"/>
  <c r="I120" i="6"/>
  <c r="L120" i="6" s="1"/>
  <c r="I121" i="6"/>
  <c r="L121" i="6" s="1"/>
  <c r="I122" i="6"/>
  <c r="L122" i="6" s="1"/>
  <c r="I123" i="6"/>
  <c r="L123" i="6" s="1"/>
  <c r="I124" i="6"/>
  <c r="L124" i="6" s="1"/>
  <c r="I125" i="6"/>
  <c r="L125" i="6" s="1"/>
  <c r="I126" i="6"/>
  <c r="L126" i="6" s="1"/>
  <c r="I127" i="6"/>
  <c r="L127" i="6" s="1"/>
  <c r="I128" i="6"/>
  <c r="L128" i="6" s="1"/>
  <c r="I129" i="6"/>
  <c r="L129" i="6" s="1"/>
  <c r="I130" i="6"/>
  <c r="L130" i="6" s="1"/>
  <c r="I131" i="6"/>
  <c r="L131" i="6" s="1"/>
  <c r="I132" i="6"/>
  <c r="L132" i="6" s="1"/>
  <c r="I133" i="6"/>
  <c r="L133" i="6" s="1"/>
  <c r="I134" i="6"/>
  <c r="L134" i="6" s="1"/>
  <c r="I135" i="6"/>
  <c r="L135" i="6" s="1"/>
  <c r="I136" i="6"/>
  <c r="L136" i="6" s="1"/>
  <c r="I137" i="6"/>
  <c r="L137" i="6" s="1"/>
  <c r="I138" i="6"/>
  <c r="L138" i="6" s="1"/>
  <c r="I139" i="6"/>
  <c r="L139" i="6" s="1"/>
  <c r="I140" i="6"/>
  <c r="L140" i="6" s="1"/>
  <c r="I141" i="6"/>
  <c r="L141" i="6" s="1"/>
  <c r="I142" i="6"/>
  <c r="L142" i="6" s="1"/>
  <c r="I143" i="6"/>
  <c r="L143" i="6" s="1"/>
  <c r="I144" i="6"/>
  <c r="L144" i="6" s="1"/>
  <c r="I145" i="6"/>
  <c r="L145" i="6" s="1"/>
  <c r="I146" i="6"/>
  <c r="L146" i="6" s="1"/>
  <c r="I147" i="6"/>
  <c r="L147" i="6" s="1"/>
  <c r="I148" i="6"/>
  <c r="L148" i="6" s="1"/>
  <c r="I149" i="6"/>
  <c r="L149" i="6" s="1"/>
  <c r="I150" i="6"/>
  <c r="L150" i="6" s="1"/>
  <c r="I151" i="6"/>
  <c r="L151" i="6" s="1"/>
  <c r="I152" i="6"/>
  <c r="L152" i="6" s="1"/>
  <c r="I153" i="6"/>
  <c r="L153" i="6" s="1"/>
  <c r="I154" i="6"/>
  <c r="L154" i="6" s="1"/>
  <c r="I155" i="6"/>
  <c r="L155" i="6" s="1"/>
  <c r="I156" i="6"/>
  <c r="L156" i="6" s="1"/>
  <c r="I157" i="6"/>
  <c r="L157" i="6" s="1"/>
  <c r="I158" i="6"/>
  <c r="L158" i="6" s="1"/>
  <c r="I159" i="6"/>
  <c r="L159" i="6" s="1"/>
  <c r="I160" i="6"/>
  <c r="L160" i="6" s="1"/>
  <c r="I161" i="6"/>
  <c r="L161" i="6" s="1"/>
  <c r="I162" i="6"/>
  <c r="L162" i="6" s="1"/>
  <c r="I163" i="6"/>
  <c r="L163" i="6" s="1"/>
  <c r="I164" i="6"/>
  <c r="L164" i="6" s="1"/>
  <c r="I165" i="6"/>
  <c r="L165" i="6" s="1"/>
  <c r="I166" i="6"/>
  <c r="L166" i="6" s="1"/>
  <c r="I167" i="6"/>
  <c r="L167" i="6" s="1"/>
  <c r="I168" i="6"/>
  <c r="L168" i="6" s="1"/>
  <c r="I169" i="6"/>
  <c r="L169" i="6" s="1"/>
  <c r="I170" i="6"/>
  <c r="L170" i="6" s="1"/>
  <c r="I171" i="6"/>
  <c r="L171" i="6" s="1"/>
  <c r="I172" i="6"/>
  <c r="L172" i="6" s="1"/>
  <c r="I173" i="6"/>
  <c r="L173" i="6" s="1"/>
  <c r="I174" i="6"/>
  <c r="L174" i="6" s="1"/>
  <c r="I175" i="6"/>
  <c r="L175" i="6" s="1"/>
  <c r="I176" i="6"/>
  <c r="L176" i="6" s="1"/>
  <c r="I177" i="6"/>
  <c r="L177" i="6" s="1"/>
  <c r="I178" i="6"/>
  <c r="L178" i="6" s="1"/>
  <c r="I179" i="6"/>
  <c r="L179" i="6" s="1"/>
  <c r="I180" i="6"/>
  <c r="L180" i="6" s="1"/>
  <c r="I181" i="6"/>
  <c r="L181" i="6" s="1"/>
  <c r="I182" i="6"/>
  <c r="L182" i="6" s="1"/>
  <c r="I183" i="6"/>
  <c r="L183" i="6" s="1"/>
  <c r="I184" i="6"/>
  <c r="L184" i="6" s="1"/>
  <c r="I185" i="6"/>
  <c r="L185" i="6" s="1"/>
  <c r="I186" i="6"/>
  <c r="L186" i="6" s="1"/>
  <c r="I187" i="6"/>
  <c r="L187" i="6" s="1"/>
  <c r="I188" i="6"/>
  <c r="L188" i="6" s="1"/>
  <c r="I189" i="6"/>
  <c r="L189" i="6" s="1"/>
  <c r="I190" i="6"/>
  <c r="L190" i="6" s="1"/>
  <c r="I191" i="6"/>
  <c r="L191" i="6" s="1"/>
  <c r="I192" i="6"/>
  <c r="L192" i="6" s="1"/>
  <c r="I193" i="6"/>
  <c r="L193" i="6" s="1"/>
  <c r="I194" i="6"/>
  <c r="L194" i="6" s="1"/>
  <c r="I195" i="6"/>
  <c r="L195" i="6" s="1"/>
  <c r="I196" i="6"/>
  <c r="L196" i="6" s="1"/>
  <c r="I197" i="6"/>
  <c r="L197" i="6" s="1"/>
  <c r="I198" i="6"/>
  <c r="L198" i="6" s="1"/>
  <c r="I199" i="6"/>
  <c r="L199" i="6" s="1"/>
  <c r="I200" i="6"/>
  <c r="L200" i="6" s="1"/>
  <c r="I201" i="6"/>
  <c r="L201" i="6" s="1"/>
  <c r="I202" i="6"/>
  <c r="L202" i="6" s="1"/>
  <c r="I203" i="6"/>
  <c r="L203" i="6" s="1"/>
  <c r="I204" i="6"/>
  <c r="L204" i="6" s="1"/>
  <c r="I205" i="6"/>
  <c r="L205" i="6" s="1"/>
  <c r="I206" i="6"/>
  <c r="L206" i="6" s="1"/>
  <c r="I207" i="6"/>
  <c r="L207" i="6" s="1"/>
  <c r="I208" i="6"/>
  <c r="L208" i="6" s="1"/>
  <c r="I209" i="6"/>
  <c r="L209" i="6" s="1"/>
  <c r="I210" i="6"/>
  <c r="L210" i="6" s="1"/>
  <c r="I211" i="6"/>
  <c r="L211" i="6" s="1"/>
  <c r="I212" i="6"/>
  <c r="L212" i="6" s="1"/>
  <c r="I213" i="6"/>
  <c r="L213" i="6" s="1"/>
  <c r="I214" i="6"/>
  <c r="L214" i="6" s="1"/>
  <c r="I215" i="6"/>
  <c r="L215" i="6" s="1"/>
  <c r="I216" i="6"/>
  <c r="L216" i="6" s="1"/>
  <c r="I217" i="6"/>
  <c r="L217" i="6" s="1"/>
  <c r="I218" i="6"/>
  <c r="L218" i="6" s="1"/>
  <c r="I219" i="6"/>
  <c r="L219" i="6" s="1"/>
  <c r="I220" i="6"/>
  <c r="L220" i="6" s="1"/>
  <c r="I221" i="6"/>
  <c r="L221" i="6" s="1"/>
  <c r="I222" i="6"/>
  <c r="L222" i="6" s="1"/>
  <c r="I223" i="6"/>
  <c r="L223" i="6" s="1"/>
  <c r="I224" i="6"/>
  <c r="L224" i="6" s="1"/>
  <c r="I225" i="6"/>
  <c r="L225" i="6" s="1"/>
  <c r="I226" i="6"/>
  <c r="L226" i="6" s="1"/>
  <c r="I227" i="6"/>
  <c r="L227" i="6" s="1"/>
  <c r="I228" i="6"/>
  <c r="L228" i="6" s="1"/>
  <c r="I229" i="6"/>
  <c r="L229" i="6" s="1"/>
  <c r="I230" i="6"/>
  <c r="L230" i="6" s="1"/>
  <c r="I231" i="6"/>
  <c r="L231" i="6" s="1"/>
  <c r="I232" i="6"/>
  <c r="L232" i="6" s="1"/>
  <c r="I233" i="6"/>
  <c r="L233" i="6" s="1"/>
  <c r="I234" i="6"/>
  <c r="L234" i="6" s="1"/>
  <c r="I235" i="6"/>
  <c r="L235" i="6" s="1"/>
  <c r="I236" i="6"/>
  <c r="L236" i="6" s="1"/>
  <c r="I237" i="6"/>
  <c r="L237" i="6" s="1"/>
  <c r="I238" i="6"/>
  <c r="L238" i="6" s="1"/>
  <c r="I239" i="6"/>
  <c r="L239" i="6" s="1"/>
  <c r="I240" i="6"/>
  <c r="L240" i="6" s="1"/>
  <c r="I241" i="6"/>
  <c r="L241" i="6" s="1"/>
  <c r="I242" i="6"/>
  <c r="L242" i="6" s="1"/>
  <c r="I243" i="6"/>
  <c r="L243" i="6" s="1"/>
  <c r="I244" i="6"/>
  <c r="L244" i="6" s="1"/>
  <c r="I245" i="6"/>
  <c r="L245" i="6" s="1"/>
  <c r="I246" i="6"/>
  <c r="L246" i="6" s="1"/>
  <c r="I247" i="6"/>
  <c r="L247" i="6" s="1"/>
  <c r="I248" i="6"/>
  <c r="L248" i="6" s="1"/>
  <c r="I249" i="6"/>
  <c r="L249" i="6" s="1"/>
  <c r="I250" i="6"/>
  <c r="L250" i="6" s="1"/>
  <c r="I251" i="6"/>
  <c r="L251" i="6" s="1"/>
  <c r="I252" i="6"/>
  <c r="L252" i="6" s="1"/>
  <c r="I253" i="6"/>
  <c r="L253" i="6" s="1"/>
  <c r="I2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3" i="6"/>
  <c r="D4" i="6"/>
  <c r="D2" i="6"/>
  <c r="B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L2" i="6" l="1"/>
  <c r="N2" i="12"/>
  <c r="N6" i="12"/>
  <c r="N10" i="12"/>
  <c r="N14" i="12"/>
  <c r="N18" i="12"/>
  <c r="N22" i="12"/>
  <c r="N34" i="12"/>
  <c r="N38" i="12"/>
  <c r="N170" i="12"/>
  <c r="N174" i="12"/>
  <c r="N178" i="12"/>
  <c r="N182" i="12"/>
  <c r="N186" i="12"/>
  <c r="N190" i="12"/>
  <c r="N194" i="12"/>
  <c r="N198" i="12"/>
  <c r="N202" i="12"/>
  <c r="N206" i="12"/>
  <c r="N210" i="12"/>
  <c r="N214" i="12"/>
  <c r="N242" i="12"/>
  <c r="N4" i="12"/>
  <c r="N8" i="12"/>
  <c r="N12" i="12"/>
  <c r="N16" i="12"/>
  <c r="N20" i="12"/>
  <c r="N24" i="12"/>
  <c r="N28" i="12"/>
  <c r="N36" i="12"/>
  <c r="N40" i="12"/>
  <c r="N44" i="12"/>
  <c r="N48" i="12"/>
  <c r="N128" i="12"/>
  <c r="N132" i="12"/>
  <c r="N136" i="12"/>
  <c r="N140" i="12"/>
  <c r="N144" i="12"/>
  <c r="N148" i="12"/>
  <c r="N152" i="12"/>
  <c r="N160" i="12"/>
  <c r="N164" i="12"/>
  <c r="N168" i="12"/>
  <c r="N176" i="12"/>
  <c r="N180" i="12"/>
  <c r="N184" i="12"/>
  <c r="N188" i="12"/>
  <c r="N192" i="12"/>
  <c r="N196" i="12"/>
  <c r="N200" i="12"/>
  <c r="N204" i="12"/>
  <c r="N208" i="12"/>
  <c r="N212" i="12"/>
  <c r="N52" i="12"/>
  <c r="N215" i="12"/>
  <c r="N217" i="12"/>
  <c r="N219" i="12"/>
  <c r="N221" i="12"/>
  <c r="N223" i="12"/>
  <c r="N225" i="12"/>
  <c r="N227" i="12"/>
  <c r="N229" i="12"/>
  <c r="N231" i="12"/>
  <c r="N233" i="12"/>
  <c r="N235" i="12"/>
  <c r="N237" i="12"/>
  <c r="N238" i="12"/>
  <c r="N243" i="12"/>
  <c r="N244" i="12"/>
  <c r="N245" i="12"/>
  <c r="N246" i="12"/>
  <c r="N247" i="12"/>
  <c r="N248" i="12"/>
  <c r="N249" i="12"/>
  <c r="N250" i="12"/>
  <c r="N251" i="12"/>
  <c r="N252" i="12"/>
  <c r="N253" i="12"/>
  <c r="N216" i="12"/>
  <c r="N218" i="12"/>
  <c r="N220" i="12"/>
  <c r="N222" i="12"/>
  <c r="N224" i="12"/>
  <c r="N226" i="12"/>
  <c r="N228" i="12"/>
  <c r="N230" i="12"/>
  <c r="N232" i="12"/>
  <c r="N234" i="12"/>
  <c r="N236" i="12"/>
  <c r="N239" i="12"/>
  <c r="N240" i="12"/>
  <c r="N241" i="12"/>
  <c r="N3" i="12"/>
  <c r="N5" i="12"/>
  <c r="N7" i="12"/>
  <c r="N9" i="12"/>
  <c r="N11" i="12"/>
  <c r="N13" i="12"/>
  <c r="N15" i="12"/>
  <c r="N17" i="12"/>
  <c r="N19" i="12"/>
  <c r="N21" i="12"/>
  <c r="N23" i="12"/>
  <c r="N25" i="12"/>
  <c r="N26" i="12"/>
  <c r="N27" i="12"/>
  <c r="N29" i="12"/>
  <c r="N30" i="12"/>
  <c r="N31" i="12"/>
  <c r="N32" i="12"/>
  <c r="N33" i="12"/>
  <c r="N35" i="12"/>
  <c r="N37" i="12"/>
  <c r="N39" i="12"/>
  <c r="N41" i="12"/>
  <c r="N42" i="12"/>
  <c r="N43" i="12"/>
  <c r="N45" i="12"/>
  <c r="N46" i="12"/>
  <c r="N47" i="12"/>
  <c r="N49" i="12"/>
  <c r="N50" i="12"/>
  <c r="N51" i="12"/>
  <c r="N53" i="12"/>
  <c r="N54" i="12"/>
  <c r="N55" i="12"/>
  <c r="N56" i="12"/>
  <c r="N57" i="12"/>
  <c r="N58" i="12"/>
  <c r="N59" i="12"/>
  <c r="N60" i="12"/>
  <c r="N61" i="12"/>
  <c r="N62" i="12"/>
  <c r="N63" i="12"/>
  <c r="N64" i="12"/>
  <c r="N65" i="12"/>
  <c r="N66" i="12"/>
  <c r="N67" i="12"/>
  <c r="N68" i="12"/>
  <c r="N69" i="12"/>
  <c r="N70" i="12"/>
  <c r="N71" i="12"/>
  <c r="N72" i="12"/>
  <c r="N73" i="12"/>
  <c r="N74" i="12"/>
  <c r="N75" i="12"/>
  <c r="N76" i="12"/>
  <c r="N77" i="12"/>
  <c r="N78" i="12"/>
  <c r="N79" i="12"/>
  <c r="N80" i="12"/>
  <c r="N81" i="12"/>
  <c r="N82" i="12"/>
  <c r="N83" i="12"/>
  <c r="N84" i="12"/>
  <c r="N85" i="12"/>
  <c r="N86" i="12"/>
  <c r="N87" i="12"/>
  <c r="N88" i="12"/>
  <c r="N89" i="12"/>
  <c r="N90" i="12"/>
  <c r="N91" i="12"/>
  <c r="N92" i="12"/>
  <c r="N93" i="12"/>
  <c r="N94" i="12"/>
  <c r="N95" i="12"/>
  <c r="N96" i="12"/>
  <c r="N97" i="12"/>
  <c r="N98" i="12"/>
  <c r="N99" i="12"/>
  <c r="N100" i="12"/>
  <c r="N101" i="12"/>
  <c r="N102" i="12"/>
  <c r="N103" i="12"/>
  <c r="N104" i="12"/>
  <c r="N105" i="12"/>
  <c r="N106" i="12"/>
  <c r="N107" i="12"/>
  <c r="N108" i="12"/>
  <c r="N109" i="12"/>
  <c r="N110" i="12"/>
  <c r="N111" i="12"/>
  <c r="N112" i="12"/>
  <c r="N113" i="12"/>
  <c r="N114" i="12"/>
  <c r="N115" i="12"/>
  <c r="N116" i="12"/>
  <c r="N117" i="12"/>
  <c r="N118" i="12"/>
  <c r="N119" i="12"/>
  <c r="N120" i="12"/>
  <c r="N121" i="12"/>
  <c r="N122" i="12"/>
  <c r="N123" i="12"/>
  <c r="N124" i="12"/>
  <c r="N125" i="12"/>
  <c r="N126" i="12"/>
  <c r="N127" i="12"/>
  <c r="N129" i="12"/>
  <c r="N130" i="12"/>
  <c r="N131" i="12"/>
  <c r="N133" i="12"/>
  <c r="N134" i="12"/>
  <c r="N135" i="12"/>
  <c r="N137" i="12"/>
  <c r="N138" i="12"/>
  <c r="N139" i="12"/>
  <c r="N141" i="12"/>
  <c r="N142" i="12"/>
  <c r="N143" i="12"/>
  <c r="N145" i="12"/>
  <c r="N146" i="12"/>
  <c r="N147" i="12"/>
  <c r="N149" i="12"/>
  <c r="N150" i="12"/>
  <c r="N151" i="12"/>
  <c r="N153" i="12"/>
  <c r="N154" i="12"/>
  <c r="N155" i="12"/>
  <c r="N156" i="12"/>
  <c r="N157" i="12"/>
  <c r="N158" i="12"/>
  <c r="N159" i="12"/>
  <c r="N161" i="12"/>
  <c r="N162" i="12"/>
  <c r="N163" i="12"/>
  <c r="N165" i="12"/>
  <c r="N166" i="12"/>
  <c r="N167" i="12"/>
  <c r="N169" i="12"/>
  <c r="N171" i="12"/>
  <c r="N172" i="12"/>
  <c r="N173" i="12"/>
  <c r="N175" i="12"/>
  <c r="N177" i="12"/>
  <c r="N179" i="12"/>
  <c r="N181" i="12"/>
  <c r="N183" i="12"/>
  <c r="N185" i="12"/>
  <c r="N187" i="12"/>
  <c r="N189" i="12"/>
  <c r="N191" i="12"/>
  <c r="N193" i="12"/>
  <c r="N195" i="12"/>
  <c r="N197" i="12"/>
  <c r="N199" i="12"/>
  <c r="N201" i="12"/>
  <c r="N203" i="12"/>
  <c r="N205" i="12"/>
  <c r="N207" i="12"/>
  <c r="N209" i="12"/>
  <c r="N211" i="12"/>
  <c r="N213" i="12"/>
</calcChain>
</file>

<file path=xl/sharedStrings.xml><?xml version="1.0" encoding="utf-8"?>
<sst xmlns="http://schemas.openxmlformats.org/spreadsheetml/2006/main" count="1784" uniqueCount="885">
  <si>
    <t>№</t>
  </si>
  <si>
    <t>Наименование</t>
  </si>
  <si>
    <t>Регистрационный номер</t>
  </si>
  <si>
    <t>Возраст компании, лет</t>
  </si>
  <si>
    <t>Вид деятельности/отрасль</t>
  </si>
  <si>
    <t>2020, Налог на прибыль, RUB</t>
  </si>
  <si>
    <t>2021, Налог на прибыль, RUB</t>
  </si>
  <si>
    <t>2022, Налог на прибыль, RUB</t>
  </si>
  <si>
    <t>2023, Налог на прибыль, RUB</t>
  </si>
  <si>
    <t>2024, Налог на прибыль, RUB</t>
  </si>
  <si>
    <t>2020, НДС, RUB</t>
  </si>
  <si>
    <t>2021, НДС, RUB</t>
  </si>
  <si>
    <t>2022, НДС, RUB</t>
  </si>
  <si>
    <t>2023, НДС, RUB</t>
  </si>
  <si>
    <t>2024, НДС, RUB</t>
  </si>
  <si>
    <t>2020, Основные средства , RUB</t>
  </si>
  <si>
    <t>2021, Основные средства , RUB</t>
  </si>
  <si>
    <t>2022, Основные средства , RUB</t>
  </si>
  <si>
    <t>2023, Основные средства , RUB</t>
  </si>
  <si>
    <t>2024, Основные средства , RUB</t>
  </si>
  <si>
    <t>2020, Доходные вложения в материальные ценности, RUB</t>
  </si>
  <si>
    <t>2021, Доходные вложения в материальные ценности, RUB</t>
  </si>
  <si>
    <t>2022, Доходные вложения в материальные ценности, RUB</t>
  </si>
  <si>
    <t>2023, Доходные вложения в материальные ценности, RUB</t>
  </si>
  <si>
    <t>2024, Доходные вложения в материальные ценности, RUB</t>
  </si>
  <si>
    <t>2020, Долгосрочные финансовые вложения, RUB</t>
  </si>
  <si>
    <t>2021, Долгосрочные финансовые вложения, RUB</t>
  </si>
  <si>
    <t>2022, Долгосрочные финансовые вложения, RUB</t>
  </si>
  <si>
    <t>2023, Долгосрочные финансовые вложения, RUB</t>
  </si>
  <si>
    <t>2024, Долгосрочные финансовые вложения, RUB</t>
  </si>
  <si>
    <t>2020, Прочие внеоборотные активы, RUB</t>
  </si>
  <si>
    <t>2021, Прочие внеоборотные активы, RUB</t>
  </si>
  <si>
    <t>2022, Прочие внеоборотные активы, RUB</t>
  </si>
  <si>
    <t>2023, Прочие внеоборотные активы, RUB</t>
  </si>
  <si>
    <t>2024, Прочие внеоборотные активы, RUB</t>
  </si>
  <si>
    <t>2020, Внеоборотные активы, RUB</t>
  </si>
  <si>
    <t>2021, Внеоборотные активы, RUB</t>
  </si>
  <si>
    <t>2022, Внеоборотные активы, RUB</t>
  </si>
  <si>
    <t>2023, Внеоборотные активы, RUB</t>
  </si>
  <si>
    <t>2024, Внеоборотные активы, RUB</t>
  </si>
  <si>
    <t>2020, Запасы, RUB</t>
  </si>
  <si>
    <t>2021, Запасы, RUB</t>
  </si>
  <si>
    <t>2022, Запасы, RUB</t>
  </si>
  <si>
    <t>2023, Запасы, RUB</t>
  </si>
  <si>
    <t>2024, Запасы, RUB</t>
  </si>
  <si>
    <t>2020, Дебиторская задолженность, RUB</t>
  </si>
  <si>
    <t>2021, Дебиторская задолженность, RUB</t>
  </si>
  <si>
    <t>2022, Дебиторская задолженность, RUB</t>
  </si>
  <si>
    <t>2023, Дебиторская задолженность, RUB</t>
  </si>
  <si>
    <t>2024, Дебиторская задолженность, RUB</t>
  </si>
  <si>
    <t>2020, Краткосрочные финансовые вложения, RUB</t>
  </si>
  <si>
    <t>2021, Краткосрочные финансовые вложения, RUB</t>
  </si>
  <si>
    <t>2022, Краткосрочные финансовые вложения, RUB</t>
  </si>
  <si>
    <t>2023, Краткосрочные финансовые вложения, RUB</t>
  </si>
  <si>
    <t>2024, Краткосрочные финансовые вложения, RUB</t>
  </si>
  <si>
    <t>2020, Денежные средства и денежные эквиваленты, RUB</t>
  </si>
  <si>
    <t>2021, Денежные средства и денежные эквиваленты, RUB</t>
  </si>
  <si>
    <t>2022, Денежные средства и денежные эквиваленты, RUB</t>
  </si>
  <si>
    <t>2023, Денежные средства и денежные эквиваленты, RUB</t>
  </si>
  <si>
    <t>2024, Денежные средства и денежные эквиваленты, RUB</t>
  </si>
  <si>
    <t>2020, Прочие оборотные активы, RUB</t>
  </si>
  <si>
    <t>2021, Прочие оборотные активы, RUB</t>
  </si>
  <si>
    <t>2022, Прочие оборотные активы, RUB</t>
  </si>
  <si>
    <t>2023, Прочие оборотные активы, RUB</t>
  </si>
  <si>
    <t>2024, Прочие оборотные активы, RUB</t>
  </si>
  <si>
    <t>2020, Оборотные активы, RUB</t>
  </si>
  <si>
    <t>2021, Оборотные активы, RUB</t>
  </si>
  <si>
    <t>2022, Оборотные активы, RUB</t>
  </si>
  <si>
    <t>2023, Оборотные активы, RUB</t>
  </si>
  <si>
    <t>2024, Оборотные активы, RUB</t>
  </si>
  <si>
    <t>2020, Активы  всего, RUB</t>
  </si>
  <si>
    <t>2021, Активы  всего, RUB</t>
  </si>
  <si>
    <t>2022, Активы  всего, RUB</t>
  </si>
  <si>
    <t>2023, Активы  всего, RUB</t>
  </si>
  <si>
    <t>2024, Активы  всего, RUB</t>
  </si>
  <si>
    <t>2020, Уставный капитал , RUB</t>
  </si>
  <si>
    <t>2021, Уставный капитал , RUB</t>
  </si>
  <si>
    <t>2022, Уставный капитал , RUB</t>
  </si>
  <si>
    <t>2023, Уставный капитал , RUB</t>
  </si>
  <si>
    <t>2024, Уставный капитал , RUB</t>
  </si>
  <si>
    <t>2020, Переоценка внеоборотных активов, RUB</t>
  </si>
  <si>
    <t>2021, Переоценка внеоборотных активов, RUB</t>
  </si>
  <si>
    <t>2022, Переоценка внеоборотных активов, RUB</t>
  </si>
  <si>
    <t>2023, Переоценка внеоборотных активов, RUB</t>
  </si>
  <si>
    <t>2024, Переоценка внеоборотных активов, RUB</t>
  </si>
  <si>
    <t>2020, Нераспределенная прибыль (непокрытый убыток), RUB</t>
  </si>
  <si>
    <t>2021, Нераспределенная прибыль (непокрытый убыток), RUB</t>
  </si>
  <si>
    <t>2022, Нераспределенная прибыль (непокрытый убыток), RUB</t>
  </si>
  <si>
    <t>2023, Нераспределенная прибыль (непокрытый убыток), RUB</t>
  </si>
  <si>
    <t>2024, Нераспределенная прибыль (непокрытый убыток), RUB</t>
  </si>
  <si>
    <t>2020, Капитал и резервы, RUB</t>
  </si>
  <si>
    <t>2021, Капитал и резервы, RUB</t>
  </si>
  <si>
    <t>2022, Капитал и резервы, RUB</t>
  </si>
  <si>
    <t>2023, Капитал и резервы, RUB</t>
  </si>
  <si>
    <t>2024, Капитал и резервы, RUB</t>
  </si>
  <si>
    <t>2020, Заёмные средства (долгосрочные), RUB</t>
  </si>
  <si>
    <t>2021, Заёмные средства (долгосрочные), RUB</t>
  </si>
  <si>
    <t>2022, Заёмные средства (долгосрочные), RUB</t>
  </si>
  <si>
    <t>2023, Заёмные средства (долгосрочные), RUB</t>
  </si>
  <si>
    <t>2024, Заёмные средства (долгосрочные), RUB</t>
  </si>
  <si>
    <t>2020, Прочие долгосрочные обязательства, RUB</t>
  </si>
  <si>
    <t>2021, Прочие долгосрочные обязательства, RUB</t>
  </si>
  <si>
    <t>2022, Прочие долгосрочные обязательства, RUB</t>
  </si>
  <si>
    <t>2023, Прочие долгосрочные обязательства, RUB</t>
  </si>
  <si>
    <t>2024, Прочие долгосрочные обязательства, RUB</t>
  </si>
  <si>
    <t>2020, Долгосрочные обязательства, RUB</t>
  </si>
  <si>
    <t>2021, Долгосрочные обязательства, RUB</t>
  </si>
  <si>
    <t>2022, Долгосрочные обязательства, RUB</t>
  </si>
  <si>
    <t>2023, Долгосрочные обязательства, RUB</t>
  </si>
  <si>
    <t>2024, Долгосрочные обязательства, RUB</t>
  </si>
  <si>
    <t>2020, Заёмные средства (краткосрочные), RUB</t>
  </si>
  <si>
    <t>2021, Заёмные средства (краткосрочные), RUB</t>
  </si>
  <si>
    <t>2022, Заёмные средства (краткосрочные), RUB</t>
  </si>
  <si>
    <t>2023, Заёмные средства (краткосрочные), RUB</t>
  </si>
  <si>
    <t>2024, Заёмные средства (краткосрочные), RUB</t>
  </si>
  <si>
    <t>2020, Кредиторская задолженность, RUB</t>
  </si>
  <si>
    <t>2021, Кредиторская задолженность, RUB</t>
  </si>
  <si>
    <t>2022, Кредиторская задолженность, RUB</t>
  </si>
  <si>
    <t>2023, Кредиторская задолженность, RUB</t>
  </si>
  <si>
    <t>2024, Кредиторская задолженность, RUB</t>
  </si>
  <si>
    <t>2020, Доходы будущих периодов , RUB</t>
  </si>
  <si>
    <t>2021, Доходы будущих периодов , RUB</t>
  </si>
  <si>
    <t>2022, Доходы будущих периодов , RUB</t>
  </si>
  <si>
    <t>2023, Доходы будущих периодов , RUB</t>
  </si>
  <si>
    <t>2024, Доходы будущих периодов , RUB</t>
  </si>
  <si>
    <t>2020, Прочие краткосрочные обязательства, RUB</t>
  </si>
  <si>
    <t>2021, Прочие краткосрочные обязательства, RUB</t>
  </si>
  <si>
    <t>2022, Прочие краткосрочные обязательства, RUB</t>
  </si>
  <si>
    <t>2023, Прочие краткосрочные обязательства, RUB</t>
  </si>
  <si>
    <t>2024, Прочие краткосрочные обязательства, RUB</t>
  </si>
  <si>
    <t>2020, Краткосрочные обязательства, RUB</t>
  </si>
  <si>
    <t>2021, Краткосрочные обязательства, RUB</t>
  </si>
  <si>
    <t>2022, Краткосрочные обязательства, RUB</t>
  </si>
  <si>
    <t>2023, Краткосрочные обязательства, RUB</t>
  </si>
  <si>
    <t>2024, Краткосрочные обязательства, RUB</t>
  </si>
  <si>
    <t>2020, Выручка, RUB</t>
  </si>
  <si>
    <t>2021, Выручка, RUB</t>
  </si>
  <si>
    <t>2022, Выручка, RUB</t>
  </si>
  <si>
    <t>2023, Выручка, RUB</t>
  </si>
  <si>
    <t>2024, Выручка, RUB</t>
  </si>
  <si>
    <t>2020, Себестоимость продаж, RUB</t>
  </si>
  <si>
    <t>2021, Себестоимость продаж, RUB</t>
  </si>
  <si>
    <t>2022, Себестоимость продаж, RUB</t>
  </si>
  <si>
    <t>2023, Себестоимость продаж, RUB</t>
  </si>
  <si>
    <t>2024, Себестоимость продаж, RUB</t>
  </si>
  <si>
    <t>2020, Коммерческие расходы, RUB</t>
  </si>
  <si>
    <t>2021, Коммерческие расходы, RUB</t>
  </si>
  <si>
    <t>2022, Коммерческие расходы, RUB</t>
  </si>
  <si>
    <t>2023, Коммерческие расходы, RUB</t>
  </si>
  <si>
    <t>2024, Коммерческие расходы, RUB</t>
  </si>
  <si>
    <t>2020, Управленческие расходы, RUB</t>
  </si>
  <si>
    <t>2021, Управленческие расходы, RUB</t>
  </si>
  <si>
    <t>2022, Управленческие расходы, RUB</t>
  </si>
  <si>
    <t>2023, Управленческие расходы, RUB</t>
  </si>
  <si>
    <t>2024, Управленческие расходы, RUB</t>
  </si>
  <si>
    <t>2020, Доходы от участия в других организациях, RUB</t>
  </si>
  <si>
    <t>2021, Доходы от участия в других организациях, RUB</t>
  </si>
  <si>
    <t>2022, Доходы от участия в других организациях, RUB</t>
  </si>
  <si>
    <t>2023, Доходы от участия в других организациях, RUB</t>
  </si>
  <si>
    <t>2024, Доходы от участия в других организациях, RUB</t>
  </si>
  <si>
    <t>2020, Проценты к получению, RUB</t>
  </si>
  <si>
    <t>2021, Проценты к получению, RUB</t>
  </si>
  <si>
    <t>2022, Проценты к получению, RUB</t>
  </si>
  <si>
    <t>2023, Проценты к получению, RUB</t>
  </si>
  <si>
    <t>2024, Проценты к получению, RUB</t>
  </si>
  <si>
    <t>2020, Проценты к уплате, RUB</t>
  </si>
  <si>
    <t>2021, Проценты к уплате, RUB</t>
  </si>
  <si>
    <t>2022, Проценты к уплате, RUB</t>
  </si>
  <si>
    <t>2023, Проценты к уплате, RUB</t>
  </si>
  <si>
    <t>2024, Проценты к уплате, RUB</t>
  </si>
  <si>
    <t>2020, Прочие доходы, RUB</t>
  </si>
  <si>
    <t>2021, Прочие доходы, RUB</t>
  </si>
  <si>
    <t>2022, Прочие доходы, RUB</t>
  </si>
  <si>
    <t>2023, Прочие доходы, RUB</t>
  </si>
  <si>
    <t>2024, Прочие доходы, RUB</t>
  </si>
  <si>
    <t>2020, Прочие расходы, RUB</t>
  </si>
  <si>
    <t>2021, Прочие расходы, RUB</t>
  </si>
  <si>
    <t>2022, Прочие расходы, RUB</t>
  </si>
  <si>
    <t>2023, Прочие расходы, RUB</t>
  </si>
  <si>
    <t>2024, Прочие расходы, RUB</t>
  </si>
  <si>
    <t>2020, Чистая прибыль (убыток), RUB</t>
  </si>
  <si>
    <t>2021, Чистая прибыль (убыток), RUB</t>
  </si>
  <si>
    <t>2022, Чистая прибыль (убыток), RUB</t>
  </si>
  <si>
    <t>2023, Чистая прибыль (убыток), RUB</t>
  </si>
  <si>
    <t>2024, Чистая прибыль (убыток), RUB</t>
  </si>
  <si>
    <t>2-ПУ УРАЛХИММОНТАЖ, АО</t>
  </si>
  <si>
    <t>1045900831745</t>
  </si>
  <si>
    <t>Деятельность агентов по оптовой торговле строительными материалами</t>
  </si>
  <si>
    <t>529 ВСУ, ОАО</t>
  </si>
  <si>
    <t>1090506000430</t>
  </si>
  <si>
    <t>Строительство жилых и нежилых зданий</t>
  </si>
  <si>
    <t>АГКА-2, ООО</t>
  </si>
  <si>
    <t>1115904013884</t>
  </si>
  <si>
    <t>АГРОСЕПЫЧ, ООО</t>
  </si>
  <si>
    <t>1095933000404</t>
  </si>
  <si>
    <t>Разведение молочного крупного рогатого скота, производство сырого молока</t>
  </si>
  <si>
    <t>АК БАНК, АО</t>
  </si>
  <si>
    <t>1026300005170</t>
  </si>
  <si>
    <t>Денежное посредничество прочее</t>
  </si>
  <si>
    <t>АЛЬЯНССЕТЬСТРОЙ, АО</t>
  </si>
  <si>
    <t>1115904009880</t>
  </si>
  <si>
    <t>Строительство коммунальных объектов для обеспечения электроэнергией и телекоммуникациями</t>
  </si>
  <si>
    <t>АНТЕЙ, ООО</t>
  </si>
  <si>
    <t>1085916000477</t>
  </si>
  <si>
    <t>Управление эксплуатацией жилого фонда за вознаграждение или на договорной основе</t>
  </si>
  <si>
    <t>АРАЛТАУ-ЗЛАТО, ООО</t>
  </si>
  <si>
    <t>1105902004064</t>
  </si>
  <si>
    <t>Добыча руд и песков драгоценных металлов и руд редких металлов</t>
  </si>
  <si>
    <t>АРСИЭНТЕК, ООО</t>
  </si>
  <si>
    <t>1137746779213</t>
  </si>
  <si>
    <t>Деятельность по предоставлению услуг телефонной связи</t>
  </si>
  <si>
    <t>АРТ-ПЕРМЬ, ООО</t>
  </si>
  <si>
    <t>1165958121340</t>
  </si>
  <si>
    <t>Деятельность зрелищно-развлекательная прочая, не включенная в другие группировки</t>
  </si>
  <si>
    <t>АТК, ООО</t>
  </si>
  <si>
    <t>1125904005974</t>
  </si>
  <si>
    <t>Аренда и лизинг сельскохозяйственных машин и оборудования</t>
  </si>
  <si>
    <t>АШАТЛИ-МОЛОКО, ООО</t>
  </si>
  <si>
    <t>1115951000076</t>
  </si>
  <si>
    <t>Производство молочной продукции</t>
  </si>
  <si>
    <t>БИОНИКА, ООО</t>
  </si>
  <si>
    <t>1065902055020</t>
  </si>
  <si>
    <t>Деятельность ресторанов и кафе с полным ресторанным обслуживанием, кафетериев, ресторанов быстрого питания и самообслуживания</t>
  </si>
  <si>
    <t>БСК, ООО</t>
  </si>
  <si>
    <t>1025901712352</t>
  </si>
  <si>
    <t>Производство прочих отделочных и завершающих работ</t>
  </si>
  <si>
    <t>БСП, ООО</t>
  </si>
  <si>
    <t>1085907002697</t>
  </si>
  <si>
    <t>Предоставление услуг по бурению, связанному с добычей нефти, газа и газового конденсата</t>
  </si>
  <si>
    <t>БУЭСМ, ООО</t>
  </si>
  <si>
    <t>1026600834479</t>
  </si>
  <si>
    <t>ВЕЛИКОЛЕНСКОЕ, ООО</t>
  </si>
  <si>
    <t>1025901892455</t>
  </si>
  <si>
    <t>Животноводство</t>
  </si>
  <si>
    <t>ВЕМСЕЙ, ООО</t>
  </si>
  <si>
    <t>1157847079940</t>
  </si>
  <si>
    <t>Торговля розничная одеждой в специализированных магазинах</t>
  </si>
  <si>
    <t>ВЕСТКРАУНД, ООО</t>
  </si>
  <si>
    <t>1155958076218</t>
  </si>
  <si>
    <t>Строительство автомобильных дорог и автомагистралей</t>
  </si>
  <si>
    <t>ВИБКОМ, ООО</t>
  </si>
  <si>
    <t>1065904113197</t>
  </si>
  <si>
    <t>Деятельность ресторанов и услуги по доставке продуктов питания</t>
  </si>
  <si>
    <t>ВЛБАНК (АО)</t>
  </si>
  <si>
    <t>1063800023572</t>
  </si>
  <si>
    <t>ВНЕШПРОМБАНК, ООО</t>
  </si>
  <si>
    <t>1027700514049</t>
  </si>
  <si>
    <t>ВОЛГА, ООО</t>
  </si>
  <si>
    <t>5177746098844</t>
  </si>
  <si>
    <t>Торговля розничная большим товарным ассортиментом с преобладанием непродовольственных товаров в неспециализированных магазинах</t>
  </si>
  <si>
    <t>ВОСТОК, ООО СК</t>
  </si>
  <si>
    <t>1115904009154</t>
  </si>
  <si>
    <t>Консультирование по вопросам коммерческой деятельности и управления</t>
  </si>
  <si>
    <t>ГАЗПРОМ СПЕЦГАЗАВТОТРАНС, ПАО</t>
  </si>
  <si>
    <t>1021801586047</t>
  </si>
  <si>
    <t>Строительство инженерных коммуникаций для водоснабжения и водоотведения, газоснабжения</t>
  </si>
  <si>
    <t>ГЕОСТРОЙ, ООО</t>
  </si>
  <si>
    <t>1037739931008</t>
  </si>
  <si>
    <t>Создание геодезической, нивелирной, гравиметрической сетей</t>
  </si>
  <si>
    <t>ГИДРОТЕПЛОСТРОЙ, ООО</t>
  </si>
  <si>
    <t>1165958100703</t>
  </si>
  <si>
    <t>ГЛАСИС ПЕРМЬ, ООО</t>
  </si>
  <si>
    <t>1085902009313</t>
  </si>
  <si>
    <t>Торговля автомобильными деталями, узлами и принадлежностями</t>
  </si>
  <si>
    <t>ГОДОВАЛОВ, ООО</t>
  </si>
  <si>
    <t>1065908029615</t>
  </si>
  <si>
    <t>Торговля оптовая фармацевтической продукцией</t>
  </si>
  <si>
    <t>ГОРНОЗАВОДСК-ВОДОСНАБЖЕНИЕ, ООО</t>
  </si>
  <si>
    <t>1195958008070</t>
  </si>
  <si>
    <t>Забор, очистка и распределение воды</t>
  </si>
  <si>
    <t>ГОРЫ, ООО</t>
  </si>
  <si>
    <t>1055907103603</t>
  </si>
  <si>
    <t>ГОСЗЕМКАДАСТРСЪЕМКА -ВИСХАГИ, АО</t>
  </si>
  <si>
    <t>1127747072023</t>
  </si>
  <si>
    <t>Деятельность геодезическая и картографическая</t>
  </si>
  <si>
    <t>ГРУППА КОМПАНИЙ СВЯЗНОЙ, АО</t>
  </si>
  <si>
    <t>1047796913735</t>
  </si>
  <si>
    <t>Деятельность агентов по оптовой торговле радио- и телеаппаратурой, техническими носителями информации</t>
  </si>
  <si>
    <t>ГУБАХАХЛЕБ, ООО</t>
  </si>
  <si>
    <t>1025901778660</t>
  </si>
  <si>
    <t>Производство хлеба и мучных кондитерских изделий, тортов и пирожных недлительного хранения</t>
  </si>
  <si>
    <t>ГЭКОМ, ООО</t>
  </si>
  <si>
    <t>1145958052371</t>
  </si>
  <si>
    <t>Производство пара и горячей воды (тепловой энергии)</t>
  </si>
  <si>
    <t>ДАРХАН-РЭЙЛ, ООО</t>
  </si>
  <si>
    <t>1195958007893</t>
  </si>
  <si>
    <t>Транспортная обработка грузов</t>
  </si>
  <si>
    <t>ДЕРЖАВА, ООО</t>
  </si>
  <si>
    <t>1125948000870</t>
  </si>
  <si>
    <t>Деятельность сухопутного пассажирского транспорта: перевозки пассажиров в городском и пригородном сообщении</t>
  </si>
  <si>
    <t>ДИЛ-БАНК (ООО)</t>
  </si>
  <si>
    <t>1027739007218</t>
  </si>
  <si>
    <t>ДОМ НА НОРИЛЬСКОЙ, ЖСК</t>
  </si>
  <si>
    <t>1155958079023</t>
  </si>
  <si>
    <t>ДОМКОМ, ООО УК</t>
  </si>
  <si>
    <t>1065906034897</t>
  </si>
  <si>
    <t>ДОРОЖНОЕ, ООО</t>
  </si>
  <si>
    <t>1025902376213</t>
  </si>
  <si>
    <t>ДОРТЕХИНЖИНИРИНГ, ООО</t>
  </si>
  <si>
    <t>1135903006370</t>
  </si>
  <si>
    <t>Деятельность вспомогательная, связанная с автомобильным транспортом</t>
  </si>
  <si>
    <t>ДОРТРАНССТРОЙ, ООО</t>
  </si>
  <si>
    <t>1065918011213</t>
  </si>
  <si>
    <t>Деятельность автомобильного грузового транспорта и услуги по перевозкам</t>
  </si>
  <si>
    <t>ДСК, ООО</t>
  </si>
  <si>
    <t>1131841003117</t>
  </si>
  <si>
    <t>Деятельность заказчика-застройщика, генерального подрядчика</t>
  </si>
  <si>
    <t>ДСТ, ООО</t>
  </si>
  <si>
    <t>1056603672410</t>
  </si>
  <si>
    <t>Обработка и утилизация опасных отходов</t>
  </si>
  <si>
    <t>ДСТ-СТРОЙ, ООО</t>
  </si>
  <si>
    <t>1125903002653</t>
  </si>
  <si>
    <t>Работы строительные специализированные прочие, не включенные в другие группировки</t>
  </si>
  <si>
    <t>ЖЕМЧУЖИНА, ООО</t>
  </si>
  <si>
    <t>1055907098070</t>
  </si>
  <si>
    <t>Покупка и продажа земельных участков</t>
  </si>
  <si>
    <t>ЖИЛСТРОЙКОМФОРТ, ООО</t>
  </si>
  <si>
    <t>1175958017949</t>
  </si>
  <si>
    <t>Производство пара и горячей воды (тепловой энергии) котельными</t>
  </si>
  <si>
    <t>ЖК СБ, ООО</t>
  </si>
  <si>
    <t>1135904008239</t>
  </si>
  <si>
    <t>ЖКХ ЧЕКМЕНЕВСКОЕ НЫТВЕНСКОГО МУНИЦИПАЛЬНОГО РАЙОНА ПЕРМСКОГО КРАЯ, МУП</t>
  </si>
  <si>
    <t>1065916017705</t>
  </si>
  <si>
    <t>ЖУК, ООО</t>
  </si>
  <si>
    <t>1065903038090</t>
  </si>
  <si>
    <t>Управление недвижимым имуществом за вознаграждение или на договорной основе</t>
  </si>
  <si>
    <t>ГЭХ, АО</t>
  </si>
  <si>
    <t>1167847453751</t>
  </si>
  <si>
    <t>Производство строительных металлических конструкций, изделий и их частей</t>
  </si>
  <si>
    <t>ЖЭУ № 1, ООО</t>
  </si>
  <si>
    <t>1095911000250</t>
  </si>
  <si>
    <t>ЗАКАЗЧИК ЖКУ, ООО УК</t>
  </si>
  <si>
    <t>1082404001668</t>
  </si>
  <si>
    <t>ЗАКАМСКАЯ УПРАВЛЯЮЩАЯ КОМПАНИЯ, ООО</t>
  </si>
  <si>
    <t>1045901247490</t>
  </si>
  <si>
    <t>ЗЛАТОУСТЬЕ, ООО</t>
  </si>
  <si>
    <t>1085948002491</t>
  </si>
  <si>
    <t>Деятельность по предоставлению прочих мест для временного проживания</t>
  </si>
  <si>
    <t>ЗУМК-ИНЖИНИРИНГ, ООО</t>
  </si>
  <si>
    <t>1065902054680</t>
  </si>
  <si>
    <t>Деятельность в области архитектуры, связанная с созданием архитектурного объекта</t>
  </si>
  <si>
    <t>ИЛЬИНСКОЕ МОЛОКО, ПК ОРК</t>
  </si>
  <si>
    <t>1175958043502</t>
  </si>
  <si>
    <t>Торговля оптовая молочными продуктами, яйцами и пищевыми маслами и жирами</t>
  </si>
  <si>
    <t>ИМПЕРИАЛ, ООО</t>
  </si>
  <si>
    <t>1135905001528</t>
  </si>
  <si>
    <t>ИНДУСТРИАЛЬНЫЕ ТЕХНОЛОГИИ, ООО</t>
  </si>
  <si>
    <t>1175958030050</t>
  </si>
  <si>
    <t>ИНЖСТРОЙКОМ, ООО</t>
  </si>
  <si>
    <t>1074312003369</t>
  </si>
  <si>
    <t>ИНТЕРМИКС МЕТ, ООО</t>
  </si>
  <si>
    <t>1037739608411</t>
  </si>
  <si>
    <t>Производство алюминия</t>
  </si>
  <si>
    <t>ИНТРЕЙДЖИЛСТРОЙ, ООО</t>
  </si>
  <si>
    <t>1145958035783</t>
  </si>
  <si>
    <t>ИПФ МАЛЫШ, ОАО</t>
  </si>
  <si>
    <t>1026102905355</t>
  </si>
  <si>
    <t>Аренда и управление собственным или арендованным нежилым недвижимым имуществом</t>
  </si>
  <si>
    <t>ИСКРА-ЭНЕРГЕТИКА, АО</t>
  </si>
  <si>
    <t>1025901510117</t>
  </si>
  <si>
    <t>Строительство электростанций</t>
  </si>
  <si>
    <t>КАМАЭЛЕКТРОМОНТАЖ, ООО</t>
  </si>
  <si>
    <t>1065920024103</t>
  </si>
  <si>
    <t>Производство электромонтажных работ</t>
  </si>
  <si>
    <t>КАПИТАЛ ГРУПП, ООО</t>
  </si>
  <si>
    <t>1195958004802</t>
  </si>
  <si>
    <t>КМЗ, ПАО</t>
  </si>
  <si>
    <t>1027739700724</t>
  </si>
  <si>
    <t>Производство лифтов, скриповых подъемников, эскалаторов и движущихся пешеходных дорожек</t>
  </si>
  <si>
    <t>КОММУНСЕРВИС, МУП ЖКХ</t>
  </si>
  <si>
    <t>1021801060984</t>
  </si>
  <si>
    <t>КОМПАНИЯ П.Р.З.К.-АВТОБАНСТРОЙ, ООО</t>
  </si>
  <si>
    <t>1065907023270</t>
  </si>
  <si>
    <t>КОМПАНИЯ ПРЗК, ООО</t>
  </si>
  <si>
    <t>1025900916612</t>
  </si>
  <si>
    <t>Аренда и управление собственным или арендованным недвижимым имуществом</t>
  </si>
  <si>
    <t>КОМПАУНД ЖИВАГО, ООО</t>
  </si>
  <si>
    <t>1145958053086</t>
  </si>
  <si>
    <t>Деятельность по предоставлению прочих вспомогательных услуг для бизнеса, не включенная в другие группировки</t>
  </si>
  <si>
    <t>КОМФОРТ-СТРОЙ, ООО</t>
  </si>
  <si>
    <t>1155836001617</t>
  </si>
  <si>
    <t>Производство прочих строительно-монтажных работ</t>
  </si>
  <si>
    <t>КОРПУСГРУПП УРАЛ, ООО</t>
  </si>
  <si>
    <t>1076671021327</t>
  </si>
  <si>
    <t>Деятельность предприятий общественного питания по прочим видам организации питания</t>
  </si>
  <si>
    <t>КОСМОС СТРОЙ, ООО</t>
  </si>
  <si>
    <t>1025900910155</t>
  </si>
  <si>
    <t>КРОНА, ООО</t>
  </si>
  <si>
    <t>1165958094631</t>
  </si>
  <si>
    <t>КУ, ООО</t>
  </si>
  <si>
    <t>1075921000605</t>
  </si>
  <si>
    <t>КУНГУРСКАЯ БАЗА, ООО</t>
  </si>
  <si>
    <t>1065917021180</t>
  </si>
  <si>
    <t>Деятельность по складированию и хранению</t>
  </si>
  <si>
    <t>ЛДСУ, ООО</t>
  </si>
  <si>
    <t>1115918000164</t>
  </si>
  <si>
    <t>Подготовка строительной площадки</t>
  </si>
  <si>
    <t>ЛМЗ НОВЫЙ, ООО</t>
  </si>
  <si>
    <t>1101828000647</t>
  </si>
  <si>
    <t>Покупка и продажа собственного недвижимого имущества</t>
  </si>
  <si>
    <t>МАГИСТРАЛЬ, ООО</t>
  </si>
  <si>
    <t>1155958049312</t>
  </si>
  <si>
    <t>МАГИСТРАЛЬСНАБ, ООО</t>
  </si>
  <si>
    <t>1115905000595</t>
  </si>
  <si>
    <t>Торговля оптовая прочими строительными материалами и изделиями</t>
  </si>
  <si>
    <t>МАЛАХИТ, ООО</t>
  </si>
  <si>
    <t>1045901459185</t>
  </si>
  <si>
    <t>МЗ КАМАСТАЛЬ, ООО</t>
  </si>
  <si>
    <t>1025901382121</t>
  </si>
  <si>
    <t>Производство стали в слитках</t>
  </si>
  <si>
    <t>МИР, ООО</t>
  </si>
  <si>
    <t>1145958029733</t>
  </si>
  <si>
    <t>Торговля розничная прочая в неспециализированных магазинах</t>
  </si>
  <si>
    <t>МК ЮНИКС, ООО</t>
  </si>
  <si>
    <t>1026605392923</t>
  </si>
  <si>
    <t>Торговля оптовая техникой, оборудованием и инструментами, применяемыми в медицинских целях</t>
  </si>
  <si>
    <t>МЭК, ООО</t>
  </si>
  <si>
    <t>1145958031438</t>
  </si>
  <si>
    <t>МЯСНОЙ ТРЕСТ В.Е.С., ООО</t>
  </si>
  <si>
    <t>1065468009837</t>
  </si>
  <si>
    <t>Торговля розничная продуктами из мяса и мяса птицы в специализированных магазинах</t>
  </si>
  <si>
    <t>НАДОМАРКЕТ, ООО</t>
  </si>
  <si>
    <t>1025401916715</t>
  </si>
  <si>
    <t>Торговля розничная прочими бытовыми изделиями в специализированных магазинах</t>
  </si>
  <si>
    <t>НАРАТАЙ ЭНЕРДЖИ, ООО ИК</t>
  </si>
  <si>
    <t>1205400010584</t>
  </si>
  <si>
    <t>НИВА, ООО</t>
  </si>
  <si>
    <t>1025902547098</t>
  </si>
  <si>
    <t>НИИК, АО</t>
  </si>
  <si>
    <t>1025201752597</t>
  </si>
  <si>
    <t>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</si>
  <si>
    <t>НПО НОРТ, ООО</t>
  </si>
  <si>
    <t>1021801158830</t>
  </si>
  <si>
    <t>Производство прочих красок, лаков, эмалей и аналогичных материалов для нанесения покрытий, художественных и полиграфических красок</t>
  </si>
  <si>
    <t>НФТ, АО</t>
  </si>
  <si>
    <t>1125920002735</t>
  </si>
  <si>
    <t>Производство стальных труб, полых профилей и фитингов</t>
  </si>
  <si>
    <t>НЭС, ООО</t>
  </si>
  <si>
    <t>1205900000778</t>
  </si>
  <si>
    <t>ОБОРОНЭКСПЕРТИЗА, ООО</t>
  </si>
  <si>
    <t>1127746416379</t>
  </si>
  <si>
    <t>Деятельность в области архитектуры, инженерных изысканий и предоставление технических консультаций в этих областях</t>
  </si>
  <si>
    <t>ОБРАЗОВАНИЕ (АО), АКИБ</t>
  </si>
  <si>
    <t>1027739265355</t>
  </si>
  <si>
    <t>ОЙЛ-СЕРВИС, ООО</t>
  </si>
  <si>
    <t>1115906005093</t>
  </si>
  <si>
    <t>Перевозка грузов специализированными автотранспортными средствами</t>
  </si>
  <si>
    <t>ОП ПАРТНЕР, ООО</t>
  </si>
  <si>
    <t>1105914000807</t>
  </si>
  <si>
    <t>ОР, ООО</t>
  </si>
  <si>
    <t>1035403195761</t>
  </si>
  <si>
    <t>Торговля розничная обувью в специализированных магазинах</t>
  </si>
  <si>
    <t>ОРБИТА, ООО</t>
  </si>
  <si>
    <t>1115905001992</t>
  </si>
  <si>
    <t>ОСТРОВСКОГО, ДОМ 30, ЖСК</t>
  </si>
  <si>
    <t>1135902000850</t>
  </si>
  <si>
    <t>ОФИС-СИТИ, ООО</t>
  </si>
  <si>
    <t>1025900758982</t>
  </si>
  <si>
    <t>ПАНОРАМА, ООО</t>
  </si>
  <si>
    <t>1115916000441</t>
  </si>
  <si>
    <t>ПАОЛО КОНТЕ, ООО</t>
  </si>
  <si>
    <t>5167746333299</t>
  </si>
  <si>
    <t>Торговля розничная обувью и изделиями из кожи в специализированных магазинах</t>
  </si>
  <si>
    <t>ПАРИТЕТ, ООО</t>
  </si>
  <si>
    <t>1067451079101</t>
  </si>
  <si>
    <t>ПЕРМАВТОДОР, ОАО</t>
  </si>
  <si>
    <t>1055900367600</t>
  </si>
  <si>
    <t>Деятельность по эксплуатации автомобильных дорог и автомагистралей</t>
  </si>
  <si>
    <t>ПЕРМРАПС, ООО УК</t>
  </si>
  <si>
    <t>1065906027252</t>
  </si>
  <si>
    <t>Торговля оптовая масличными семенами и маслосодержащими плодами</t>
  </si>
  <si>
    <t>ПИХТОВСКОЕ, ООО</t>
  </si>
  <si>
    <t>1025902377346</t>
  </si>
  <si>
    <t>ПК УРАЛВТОРМЕТ, ООО</t>
  </si>
  <si>
    <t>1075902013780</t>
  </si>
  <si>
    <t>Торговля оптовая отходами и ломом</t>
  </si>
  <si>
    <t>ПЛАСТИК-ПРОФИЛЬ, ООО ЗАВОД</t>
  </si>
  <si>
    <t>1155958002287</t>
  </si>
  <si>
    <t>Производство пластмассовых изделий, используемых в строительстве</t>
  </si>
  <si>
    <t>ПЛАТАН, ООО</t>
  </si>
  <si>
    <t>1195958025933</t>
  </si>
  <si>
    <t>Торговля оптовая зерном, необработанным табаком, семенами и кормами для сельскохозяйственных животных</t>
  </si>
  <si>
    <t>ПМК-11, ООО</t>
  </si>
  <si>
    <t>1025901976407</t>
  </si>
  <si>
    <t>ПОБЕДА, ООО</t>
  </si>
  <si>
    <t>1177746840413</t>
  </si>
  <si>
    <t>ПОЖМОНТАЖ, ООО</t>
  </si>
  <si>
    <t>1145958085877</t>
  </si>
  <si>
    <t>Деятельность по обеспечению безопасности в чрезвычайных ситуациях; деятельность по обеспечению безопасности в области использования атомной энергии</t>
  </si>
  <si>
    <t>ПОЛИСТИЛ, ООО</t>
  </si>
  <si>
    <t>1135917000097</t>
  </si>
  <si>
    <t>Производство изделий, не включенных в другие группировки</t>
  </si>
  <si>
    <t>ПРИВАТ, ЗАО СФ</t>
  </si>
  <si>
    <t>1025901508665</t>
  </si>
  <si>
    <t>Производство штукатурных работ</t>
  </si>
  <si>
    <t>ПРОДАЖИ. ДИСТРИБУЦИЯ. ИНВЕСТИЦИИ, ООО</t>
  </si>
  <si>
    <t>1095904002974</t>
  </si>
  <si>
    <t>Торговля оптовая пищевыми продуктами, напитками и табачными изделиями</t>
  </si>
  <si>
    <t>ПРОДУКТИВ, ООО</t>
  </si>
  <si>
    <t>1125905001243</t>
  </si>
  <si>
    <t>Торговля оптовая неспециализированная</t>
  </si>
  <si>
    <t>ПРОМЛИЗИНГ ЗАО</t>
  </si>
  <si>
    <t>1025900510558</t>
  </si>
  <si>
    <t>Деятельность по финансовой аренде (лизингу/сублизингу)</t>
  </si>
  <si>
    <t>ПРОФИТ-ВТОРМЕТ, ООО</t>
  </si>
  <si>
    <t>1055904548810</t>
  </si>
  <si>
    <t>ПСНМ-СЕРВИС, ООО</t>
  </si>
  <si>
    <t>1165958119898</t>
  </si>
  <si>
    <t>Деятельность в области метрологии</t>
  </si>
  <si>
    <t>ПСП-ГРУПП, ООО</t>
  </si>
  <si>
    <t>1135902011849</t>
  </si>
  <si>
    <t>Строительство железных дорог и метро</t>
  </si>
  <si>
    <t>НЕФТЕГАЗ И ЭНЕРГЕТИКА, ООО</t>
  </si>
  <si>
    <t>1207700051570</t>
  </si>
  <si>
    <t>Торговля оптовая прочими машинами и оборудованием</t>
  </si>
  <si>
    <t>РЕГИОН НЕФТЬ, ООО СК</t>
  </si>
  <si>
    <t>1125944000126</t>
  </si>
  <si>
    <t>Предоставление услуг в области добычи нефти и природного газа</t>
  </si>
  <si>
    <t>РЕГИОН-КЛИНИНГ, ООО</t>
  </si>
  <si>
    <t>1095257006778</t>
  </si>
  <si>
    <t>Торговля оптовая чистящими средствами</t>
  </si>
  <si>
    <t>РЕГИОНСПЕЦСТРОЙ, ООО</t>
  </si>
  <si>
    <t>1166313134096</t>
  </si>
  <si>
    <t>РЕМПСТРОЙ, ООО</t>
  </si>
  <si>
    <t>1195958035723</t>
  </si>
  <si>
    <t>Торговля розничная прочая вне магазинов, палаток, рынков</t>
  </si>
  <si>
    <t>РК-СЕРВИС, ООО</t>
  </si>
  <si>
    <t>1197746557986</t>
  </si>
  <si>
    <t>РОЗАС, ООО</t>
  </si>
  <si>
    <t>1065947003627</t>
  </si>
  <si>
    <t>Производство шпона, фанеры, деревянных плит и панелей</t>
  </si>
  <si>
    <t>РОСПРОМБАНК (ООО), КБ</t>
  </si>
  <si>
    <t>1027739091280</t>
  </si>
  <si>
    <t>РОСПРОМНЕФТЬ-НЕФТЕПРОДУКТ, АО</t>
  </si>
  <si>
    <t>1147847396256</t>
  </si>
  <si>
    <t>Торговля оптовая твердым, жидким и газообразным топливом и подобными продуктами</t>
  </si>
  <si>
    <t>РОСТА, АО</t>
  </si>
  <si>
    <t>1027726007561</t>
  </si>
  <si>
    <t>РОСТСТРОЙ, ООО</t>
  </si>
  <si>
    <t>1085902005430</t>
  </si>
  <si>
    <t>РСК ГЕФЕСТ, ООО</t>
  </si>
  <si>
    <t>1057746158051</t>
  </si>
  <si>
    <t>РТЦ, ООО</t>
  </si>
  <si>
    <t>1025900756331</t>
  </si>
  <si>
    <t>РЭБ (АО), КБ</t>
  </si>
  <si>
    <t>1027739136622</t>
  </si>
  <si>
    <t>С БАНК, ЗАО</t>
  </si>
  <si>
    <t>1037739299685</t>
  </si>
  <si>
    <t>СВЕГА, ООО</t>
  </si>
  <si>
    <t>1025901708964</t>
  </si>
  <si>
    <t>СЕРВИСМАСТЕРСТРОЙ, ООО УК</t>
  </si>
  <si>
    <t>1065921020263</t>
  </si>
  <si>
    <t>Производство санитарно-технических работ, монтаж отопительных систем и систем кондиционирования воздуха</t>
  </si>
  <si>
    <t>СЕРВИСНЫЙ ЦЕНТР КОНТАКТ, ООО</t>
  </si>
  <si>
    <t>1055900233278</t>
  </si>
  <si>
    <t>Передача электроэнергии и технологическое присоединение к распределительным электросетям</t>
  </si>
  <si>
    <t>СЕТЬ СВЯЗНОЙ, ООО</t>
  </si>
  <si>
    <t>1057748288850</t>
  </si>
  <si>
    <t>Торговля розничная телекоммуникационным оборудованием, включая розничную торговлю мобильными телефонами, в специализированных магазинах</t>
  </si>
  <si>
    <t>СИБАВТОБАН, ООО</t>
  </si>
  <si>
    <t>1025401927473</t>
  </si>
  <si>
    <t>СИБИРСКИЙ ДЕЛИКАТЕС, ООО</t>
  </si>
  <si>
    <t>1025501863155</t>
  </si>
  <si>
    <t>Производство соленого, вареного, запеченого, копченого, вяленого и прочего мяса</t>
  </si>
  <si>
    <t>СИБЭЛЕКТРОТЕРМ, ОАО</t>
  </si>
  <si>
    <t>1025401301001</t>
  </si>
  <si>
    <t>Производство электрических печей</t>
  </si>
  <si>
    <t>СИРИУС, ООО</t>
  </si>
  <si>
    <t>1115906004851</t>
  </si>
  <si>
    <t>СИСТЕМЫ ТЕЛЕКОММУНИКАЦИЙ, ООО</t>
  </si>
  <si>
    <t>1115904019703</t>
  </si>
  <si>
    <t>Деятельность, связанная с использованием вычислительной техники и информационных технологий, прочая</t>
  </si>
  <si>
    <t>СК АСТ, ООО</t>
  </si>
  <si>
    <t>1155958036222</t>
  </si>
  <si>
    <t>СК-ЭЛЕКТРО, ООО</t>
  </si>
  <si>
    <t>1146623007299</t>
  </si>
  <si>
    <t>СКАЙ МОТОРС, ООО</t>
  </si>
  <si>
    <t>1095906006580</t>
  </si>
  <si>
    <t>Торговля оптовая легковыми автомобилями и легкими автотранспортными средствами</t>
  </si>
  <si>
    <t>СЛАВЯНСКИЙ БАНК, АКБ</t>
  </si>
  <si>
    <t>1027739121849</t>
  </si>
  <si>
    <t>СИ, ООО</t>
  </si>
  <si>
    <t>1025902396596</t>
  </si>
  <si>
    <t>СМТ № 14 , ПАО ТРЕСТ № 14, ПАО</t>
  </si>
  <si>
    <t>1025900513781</t>
  </si>
  <si>
    <t>СМТ, ООО</t>
  </si>
  <si>
    <t>5077746965654</t>
  </si>
  <si>
    <t>Деятельность легкового такси и арендованных легковых автомобилей с водителем</t>
  </si>
  <si>
    <t>СМУ-46, ООО</t>
  </si>
  <si>
    <t>1174632002115</t>
  </si>
  <si>
    <t>СМУ-5, ООО</t>
  </si>
  <si>
    <t>1145543049530</t>
  </si>
  <si>
    <t>Строительство мостов и тоннелей</t>
  </si>
  <si>
    <t>СНС, ООО</t>
  </si>
  <si>
    <t>1028601867766</t>
  </si>
  <si>
    <t>Предоставление услуг по монтажу, ремонту и демонтажу буровых вышек</t>
  </si>
  <si>
    <t>СОЛДЕС СТРОЙ, ООО</t>
  </si>
  <si>
    <t>1089848023462</t>
  </si>
  <si>
    <t>СОЛИКАМСКАЯ ПМК-11, ООО</t>
  </si>
  <si>
    <t>1085919000375</t>
  </si>
  <si>
    <t>СОЛИС, ООО</t>
  </si>
  <si>
    <t>1115908002616</t>
  </si>
  <si>
    <t>СОЮЗ-ПЕРМЬ, ООО</t>
  </si>
  <si>
    <t>1065902049256</t>
  </si>
  <si>
    <t>СПЕЦМОНТАЖСЕРВИС, ООО</t>
  </si>
  <si>
    <t>1101101011330</t>
  </si>
  <si>
    <t>СПЕЦСТРОЙЭНЕРГО, ООО</t>
  </si>
  <si>
    <t>1117447015707</t>
  </si>
  <si>
    <t>СПЕЦСТРОЙ, ООО</t>
  </si>
  <si>
    <t>1089847348953</t>
  </si>
  <si>
    <t>1028601844160</t>
  </si>
  <si>
    <t>Работы по сборке и монтажу сборных конструкций</t>
  </si>
  <si>
    <t>СТАРТ, ООО</t>
  </si>
  <si>
    <t>1105903005207</t>
  </si>
  <si>
    <t>СТАРТ-ТРЭК, ООО</t>
  </si>
  <si>
    <t>1155958062160</t>
  </si>
  <si>
    <t>СТРАЖ, ООО МСК</t>
  </si>
  <si>
    <t>1116234012718</t>
  </si>
  <si>
    <t>Страхование</t>
  </si>
  <si>
    <t>СТРАТЕГИЯ (ПАО), АКБ</t>
  </si>
  <si>
    <t>1027739199355</t>
  </si>
  <si>
    <t>СТРАХОВАЯ ГРУППА СПАССКИЕ ВОРОТА-М, АО</t>
  </si>
  <si>
    <t>1027739449913</t>
  </si>
  <si>
    <t>Страхование медицинское</t>
  </si>
  <si>
    <t>СТРОЙКОНТРОЛЬ, ООО</t>
  </si>
  <si>
    <t>1185958015649</t>
  </si>
  <si>
    <t>СУ №9, ООО</t>
  </si>
  <si>
    <t>1165958072092</t>
  </si>
  <si>
    <t>Деятельность автомобильного грузового транспорта</t>
  </si>
  <si>
    <t>Т-СИТИСТРОЙ, ООО</t>
  </si>
  <si>
    <t>1165958067989</t>
  </si>
  <si>
    <t>Т3, ООО</t>
  </si>
  <si>
    <t>1175958036847</t>
  </si>
  <si>
    <t>Производство, передача и распределение пара и горячей воды; кондиционирование воздуха</t>
  </si>
  <si>
    <t>ТБ, ООО</t>
  </si>
  <si>
    <t>1025901712286</t>
  </si>
  <si>
    <t>Торговля розничная лекарственными средствами в специализированных магазинах (аптеках)</t>
  </si>
  <si>
    <t>ТВМ-СЕРВИС, ООО</t>
  </si>
  <si>
    <t>1175958014242</t>
  </si>
  <si>
    <t>ТД АГРОСПЕЦСТРОЙ, ООО</t>
  </si>
  <si>
    <t>1125904000540</t>
  </si>
  <si>
    <t>Работы строительные отделочные</t>
  </si>
  <si>
    <t>ТД НСМ, ООО</t>
  </si>
  <si>
    <t>1165958093509</t>
  </si>
  <si>
    <t>Торговля оптовая лесоматериалами, строительными материалами и санитарно-техническим оборудованием</t>
  </si>
  <si>
    <t>ТЕПЛОВИН, ООО</t>
  </si>
  <si>
    <t>1196658039093</t>
  </si>
  <si>
    <t>ТЕПЛОСЕРВИС, ООО</t>
  </si>
  <si>
    <t>1175958025946</t>
  </si>
  <si>
    <t>ТЕРРА ПАРТНЕРШИП, ООО</t>
  </si>
  <si>
    <t>1155958020459</t>
  </si>
  <si>
    <t>ТЕХНИЧЕСКИЕ РЕШЕНИЯ, ООО</t>
  </si>
  <si>
    <t>1153528004618</t>
  </si>
  <si>
    <t>Ремонт машин и оборудования</t>
  </si>
  <si>
    <t>ТЕХНИЧЕСКИЙ ЦЕНТР АВТЭКС, ООО</t>
  </si>
  <si>
    <t>1085905007044</t>
  </si>
  <si>
    <t>Техническое обслуживание и ремонт автотранспортных средств</t>
  </si>
  <si>
    <t>ТЕХНОГАЗ, ООО</t>
  </si>
  <si>
    <t>1055900310157</t>
  </si>
  <si>
    <t>ТЕХНОГРАД, ООО</t>
  </si>
  <si>
    <t>1135947000100</t>
  </si>
  <si>
    <t>ТЕХНОЛОГ, ООО</t>
  </si>
  <si>
    <t>1125920002174</t>
  </si>
  <si>
    <t>Резка, обработка и отделка камня для использования в строительстве в качестве дорожного покрытия</t>
  </si>
  <si>
    <t>ТЕХНОСТРОЙАЛЬЯНС-ЦЕНТР, ООО</t>
  </si>
  <si>
    <t>1127747158758</t>
  </si>
  <si>
    <t>ТОРГОВЫЙ ДОМ РОЗАС, ООО</t>
  </si>
  <si>
    <t>1195958028595</t>
  </si>
  <si>
    <t>Торговля розничная преимущественно пищевыми продуктами, включая напитки, и табачными изделиями в неспециализированных магазинах</t>
  </si>
  <si>
    <t>ТОРГОВЫЙ ДОМ, ООО</t>
  </si>
  <si>
    <t>1145958034639</t>
  </si>
  <si>
    <t>Производство фанеры, деревянных фанерованных панелей и аналогичных слоистых материалов, древесных плит из древесины и других одревесневших материалов</t>
  </si>
  <si>
    <t>ТРЕСТ ЗСГС, ООО</t>
  </si>
  <si>
    <t>1188617016708</t>
  </si>
  <si>
    <t>Строительство гидротехнических сооружений</t>
  </si>
  <si>
    <t>ТРЕСТ УРАЛДОМНАРЕМОНТ, АО</t>
  </si>
  <si>
    <t>1026602309854</t>
  </si>
  <si>
    <t>ТРИУМФ, ООО</t>
  </si>
  <si>
    <t>1075904001800</t>
  </si>
  <si>
    <t>ТРИУМФ. КВАРТАЛ 2, ЖСК</t>
  </si>
  <si>
    <t>1125904003202</t>
  </si>
  <si>
    <t>ТСК ВОТКИНСКИЙ ЗАВОД, ЗАО</t>
  </si>
  <si>
    <t>1141828000710</t>
  </si>
  <si>
    <t>Передача пара и горячей воды (тепловой энергии)</t>
  </si>
  <si>
    <t>ТСК УРОВЕНЬ, ООО</t>
  </si>
  <si>
    <t>1085905004570</t>
  </si>
  <si>
    <t>Торговля оптовая за вознаграждение или на договорной основе</t>
  </si>
  <si>
    <t>ТЭКОМ, ООО</t>
  </si>
  <si>
    <t>1085921001033</t>
  </si>
  <si>
    <t>УАЗ ЦЕНТР ПЕРМЬ, ООО</t>
  </si>
  <si>
    <t>1175958023922</t>
  </si>
  <si>
    <t>Торговля легковыми автомобилями и грузовыми автомобилями малой грузоподъемности</t>
  </si>
  <si>
    <t>УГХ, ООО УК</t>
  </si>
  <si>
    <t>1125921000083</t>
  </si>
  <si>
    <t>УК ЖИЛДОМ, ООО</t>
  </si>
  <si>
    <t>1135907002120</t>
  </si>
  <si>
    <t>УК МОТОРОСТРОИТЕЛЬ, ООО</t>
  </si>
  <si>
    <t>1165958106907</t>
  </si>
  <si>
    <t>УК НОВЫЕ ЛЯДЫ, ООО</t>
  </si>
  <si>
    <t>1145958044407</t>
  </si>
  <si>
    <t>УК ОСНОВА, ООО</t>
  </si>
  <si>
    <t>1215900001734</t>
  </si>
  <si>
    <t>УК ПРОФИ-ДОМ, ООО</t>
  </si>
  <si>
    <t>1115905001145</t>
  </si>
  <si>
    <t>УК ТИХИЙ КОМПРОС, ООО</t>
  </si>
  <si>
    <t>1085904001347</t>
  </si>
  <si>
    <t>УК УНИВЕРСАЛКОМСЕРВИС, ООО</t>
  </si>
  <si>
    <t>1165958061422</t>
  </si>
  <si>
    <t>Торговля электроэнергией</t>
  </si>
  <si>
    <t>УК УЭС, ООО</t>
  </si>
  <si>
    <t>1036603504002</t>
  </si>
  <si>
    <t>УК ЦЕНТР, ООО</t>
  </si>
  <si>
    <t>1115902008243</t>
  </si>
  <si>
    <t>УК ЦЕНТРАЛЬНАЯ, ООО</t>
  </si>
  <si>
    <t>1086829000059</t>
  </si>
  <si>
    <t>УК ЭКВО, ООО</t>
  </si>
  <si>
    <t>1135906003694</t>
  </si>
  <si>
    <t>УНИВЕРСАЛСТРОЙ, ООО</t>
  </si>
  <si>
    <t>1075917001050</t>
  </si>
  <si>
    <t>УНИВИС, ООО</t>
  </si>
  <si>
    <t>1135902009627</t>
  </si>
  <si>
    <t>Управление эксплуатацией нежилого фонда за вознаграждение или на договорной основе</t>
  </si>
  <si>
    <t>УО Г.ВОЛГОГРАДА, ООО</t>
  </si>
  <si>
    <t>1133443026441</t>
  </si>
  <si>
    <t>УПРАВЛЕНИЕ СТРОИТЕЛЬСТВА ПЕРМСКОЙ ГРЭС, ООО</t>
  </si>
  <si>
    <t>1025901796711</t>
  </si>
  <si>
    <t>Деятельность вспомогательная, связанная с сухопутным транспортом</t>
  </si>
  <si>
    <t>УПРАВЛЯЮЩАЯ КОМПАНИЯ МАКО, ООО</t>
  </si>
  <si>
    <t>1065902047188</t>
  </si>
  <si>
    <t>УРАЛ МОТОРС ПРЕМИУМ, ООО</t>
  </si>
  <si>
    <t>1085905006505</t>
  </si>
  <si>
    <t>УРАЛ-ДИЗАЙН-ПНП, ООО</t>
  </si>
  <si>
    <t>1045901598423</t>
  </si>
  <si>
    <t>Аренда и лизинг грузовых транспортных средств</t>
  </si>
  <si>
    <t>УРАЛИНТЕРСТРОЙ, ООО</t>
  </si>
  <si>
    <t>1115906003069</t>
  </si>
  <si>
    <t>УРАЛКОМПЛЕКС, ООО</t>
  </si>
  <si>
    <t>1085902001250</t>
  </si>
  <si>
    <t>УРАЛСТРОЙЗАЩИТА, ООО</t>
  </si>
  <si>
    <t>1025901711461</t>
  </si>
  <si>
    <t>Работы по монтажу стальных строительных конструкций</t>
  </si>
  <si>
    <t>УРАЛСТРОЙСЕРВИС, ООО</t>
  </si>
  <si>
    <t>1035901763215</t>
  </si>
  <si>
    <t>УРАЛТЕПЛОСЕРВИС, ОАО</t>
  </si>
  <si>
    <t>1025900891994</t>
  </si>
  <si>
    <t>УРАЛТРАНСБАНК, ПАО</t>
  </si>
  <si>
    <t>1026600001779</t>
  </si>
  <si>
    <t>УРАЛЭМ, ОАО</t>
  </si>
  <si>
    <t>1026605254235</t>
  </si>
  <si>
    <t>УСМ, ООО</t>
  </si>
  <si>
    <t>1135911001676</t>
  </si>
  <si>
    <t>УСТ № 1, ООО</t>
  </si>
  <si>
    <t>1165958109118</t>
  </si>
  <si>
    <t>ФЕНИКС-МЕНЕДЖМЕНТ, ООО</t>
  </si>
  <si>
    <t>1095905003413</t>
  </si>
  <si>
    <t>Деятельность в области медицины прочая, не включенная в другие группировки</t>
  </si>
  <si>
    <t>ФПБ</t>
  </si>
  <si>
    <t>1027739383231</t>
  </si>
  <si>
    <t>Предоставление прочих финансовых услуг, кроме услуг по страхованию и пенсионному обеспечению, не включенных в другие группировки</t>
  </si>
  <si>
    <t>ЦЭС, ООО</t>
  </si>
  <si>
    <t>1145958001320</t>
  </si>
  <si>
    <t>ЧОО БОРЕЙ, ООО</t>
  </si>
  <si>
    <t>1165958078560</t>
  </si>
  <si>
    <t>Деятельность охранных служб, в том числе частных</t>
  </si>
  <si>
    <t>ЧОО ФЕЛИКС, ООО</t>
  </si>
  <si>
    <t>1025901218408</t>
  </si>
  <si>
    <t>Деятельность административно-хозяйственная комплексная по обеспечению работы организации</t>
  </si>
  <si>
    <t>ШЛЯПНИКИ, ООО</t>
  </si>
  <si>
    <t>1025902465710</t>
  </si>
  <si>
    <t>ШОН, ООО</t>
  </si>
  <si>
    <t>1175958005695</t>
  </si>
  <si>
    <t>Производство промышленных газов</t>
  </si>
  <si>
    <t>ЭДВАНС, ООО УК</t>
  </si>
  <si>
    <t>1135911001159</t>
  </si>
  <si>
    <t>ЭКИПАЖ, ООО</t>
  </si>
  <si>
    <t>1065903044327</t>
  </si>
  <si>
    <t>Деятельность прочего сухопутного пассажирского транспорта</t>
  </si>
  <si>
    <t>ЭКОПРОМБАНК, ОАО АКБ</t>
  </si>
  <si>
    <t>1025900003854</t>
  </si>
  <si>
    <t>ЭЛИОН СТРОЙКОНСАЛТ, ООО</t>
  </si>
  <si>
    <t>1085903002514</t>
  </si>
  <si>
    <t>ЭЛИТСТРОЙ, ООО СК</t>
  </si>
  <si>
    <t>1105907000044</t>
  </si>
  <si>
    <t>ЭЛТЕХ СПБ, АО</t>
  </si>
  <si>
    <t>1057810379824</t>
  </si>
  <si>
    <t>Торговля оптовая прочими машинами, приборами, аппаратурой и оборудованием общепромышленного и специального назначения</t>
  </si>
  <si>
    <t>ЭМК, ООО</t>
  </si>
  <si>
    <t>1125907000856</t>
  </si>
  <si>
    <t>Производство строительных металлических конструкций и изделий</t>
  </si>
  <si>
    <t>ЭНЕРГИЯ К, ООО</t>
  </si>
  <si>
    <t>1055904517228</t>
  </si>
  <si>
    <t>ЭНЕРГОГАЗСЕРВИС, ООО</t>
  </si>
  <si>
    <t>1085905009123</t>
  </si>
  <si>
    <t>ЭНЕРГОГРАД, ООО</t>
  </si>
  <si>
    <t>1155958062281</t>
  </si>
  <si>
    <t>ЭНЕРГОРЕСУРС, ООО</t>
  </si>
  <si>
    <t>1155958014167</t>
  </si>
  <si>
    <t>ЭНЕРГОСЕРВИС, ООО</t>
  </si>
  <si>
    <t>1055904151357</t>
  </si>
  <si>
    <t>ЭНЕРГОСТРОЙКОНТРАКТ, ООО</t>
  </si>
  <si>
    <t>1085948002360</t>
  </si>
  <si>
    <t>ЭНЕРГОЭФФЕКТ, ООО</t>
  </si>
  <si>
    <t>1145958035046</t>
  </si>
  <si>
    <t>ЭРКЕР, ООО ПСК</t>
  </si>
  <si>
    <t>1085407002251</t>
  </si>
  <si>
    <t>ЭТАЛОН, АО НПЦ</t>
  </si>
  <si>
    <t>5087746527380</t>
  </si>
  <si>
    <t>Деятельность по мониторингу загрязнения окружающей среды для физических и юридических лиц</t>
  </si>
  <si>
    <t>ЭТАЛОН, ООО УК</t>
  </si>
  <si>
    <t>1125902004788</t>
  </si>
  <si>
    <t>ЭТК-МОСКВА, ООО</t>
  </si>
  <si>
    <t>1075905007826</t>
  </si>
  <si>
    <t>Торговля оптовая производственным электротехническим оборудованием, машинами, аппаратурой и материалами</t>
  </si>
  <si>
    <t>ЮЭС, ООО</t>
  </si>
  <si>
    <t>1145958024134</t>
  </si>
  <si>
    <t>ЯЙВИНСКИЙ ЖИЛКОМСЕРВИС, ООО</t>
  </si>
  <si>
    <t>1185958068230</t>
  </si>
  <si>
    <t>Названия строк</t>
  </si>
  <si>
    <t>Общий итог</t>
  </si>
  <si>
    <t>Количество по полю Вид деятельности/отрасль</t>
  </si>
  <si>
    <t>Среднее абсолютное изменение стоимости основных средств с 2020 по 2024 гг., тыс. руб.</t>
  </si>
  <si>
    <t xml:space="preserve">Среднее абсолютное изменение стоимости запасов с 2020 по 2024 гг., тыс. руб. </t>
  </si>
  <si>
    <t>Среднее абсолютное изменение величины дебиторской задолженности с 2020 по 2024 гг., тыс. руб.</t>
  </si>
  <si>
    <t>Среднее абсолютное изменение величины денежных средств и эквивалентов с 2020 по 2024 гг., тыс. руб.</t>
  </si>
  <si>
    <t>Среднее абсолютное изменение величины нараспределённой прибыли с 2020 по 2024 гг., тыс. руб.</t>
  </si>
  <si>
    <t>Среднее абсолютное изменение величины заёмных средств с 2020 по 2024 гг., тыс. руб.</t>
  </si>
  <si>
    <t>Среднее абсолютное изменение величины кредиторской задолженности с 2020 по 2024 гг., тыс. руб.</t>
  </si>
  <si>
    <t>Среднее абсолютное изменение выручки с 2020 по 2024 гг., тыс. руб.</t>
  </si>
  <si>
    <t>Среднее абсолютное изменение себостоиомсти производства и реализации с 2020 по 2024 гг., тыс. руб.</t>
  </si>
  <si>
    <t>Среднее абсолютное изменение управленческих расходов с 2020 по 2024 гг., тыс. руб.</t>
  </si>
  <si>
    <t>Среднее абсолютное изменение операционной прибыли с 2020 по 2024 гг., тыс. руб.</t>
  </si>
  <si>
    <t>Среднее абсолютное изменение прибыли от прочих операций и событий с 2020 по 2024 гг., тыс. руб.</t>
  </si>
  <si>
    <t>Среднее абсолютное изменение чистой прибыли с 2020 по 2024 гг., тыс. руб.</t>
  </si>
  <si>
    <t>Среднее</t>
  </si>
  <si>
    <t>Стандартная ошибка</t>
  </si>
  <si>
    <t>Медиана</t>
  </si>
  <si>
    <t>Мода</t>
  </si>
  <si>
    <t>Стандартное отклонение</t>
  </si>
  <si>
    <t>Дисперсия выборки</t>
  </si>
  <si>
    <t>Эксцесс</t>
  </si>
  <si>
    <t>Асимметричность</t>
  </si>
  <si>
    <t>Интервал</t>
  </si>
  <si>
    <t>Минимум</t>
  </si>
  <si>
    <t>Максимум</t>
  </si>
  <si>
    <t>Сумма</t>
  </si>
  <si>
    <t>Счет</t>
  </si>
  <si>
    <t>Уровень надежности(95,0%)</t>
  </si>
  <si>
    <t>Величина заёмных средств и кредиторской задолженности на 31.12.2024</t>
  </si>
  <si>
    <t>y (зависимая переменная)</t>
  </si>
  <si>
    <t>Гипотезы (для компаний в банкротстве в, среднем в массе):</t>
  </si>
  <si>
    <t>1) чем моложе компания, тем больше размер кредиторской задолженности</t>
  </si>
  <si>
    <t>5) снижение чистой прибыли приводит к повышению кредиторской задолженности</t>
  </si>
  <si>
    <t>Карман</t>
  </si>
  <si>
    <t>Еще</t>
  </si>
  <si>
    <t>Частота</t>
  </si>
  <si>
    <t>ВЫВОД ИТОГОВ</t>
  </si>
  <si>
    <t>Регрессионная статистика</t>
  </si>
  <si>
    <t>Множественный R</t>
  </si>
  <si>
    <t>R-квадрат</t>
  </si>
  <si>
    <t>Нормированный R-квадрат</t>
  </si>
  <si>
    <t>Наблюдения</t>
  </si>
  <si>
    <t>Дисперсионный анализ</t>
  </si>
  <si>
    <t>Регрессия</t>
  </si>
  <si>
    <t>Остаток</t>
  </si>
  <si>
    <t>Итого</t>
  </si>
  <si>
    <t>Y-пересечение</t>
  </si>
  <si>
    <t>df</t>
  </si>
  <si>
    <t>SS</t>
  </si>
  <si>
    <t>MS</t>
  </si>
  <si>
    <t>F</t>
  </si>
  <si>
    <t>Значимость F</t>
  </si>
  <si>
    <t>Коэффициенты</t>
  </si>
  <si>
    <t>t-статистика</t>
  </si>
  <si>
    <t>P-Значение</t>
  </si>
  <si>
    <t>Нижние 95%</t>
  </si>
  <si>
    <t>Верхние 95%</t>
  </si>
  <si>
    <t>Нижние 95,0%</t>
  </si>
  <si>
    <t>Верхние 95,0%</t>
  </si>
  <si>
    <t>ВЫВОД ОСТАТКА</t>
  </si>
  <si>
    <t>Наблюдение</t>
  </si>
  <si>
    <t>Предсказанное Величина заёмных средств и кредиторской задолженности на 31.12.2024</t>
  </si>
  <si>
    <t>Остатки</t>
  </si>
  <si>
    <t>3) снижение выручки приводит к росту кредиторской задолженности</t>
  </si>
  <si>
    <t>4) увеличение прибыли от прочих операций приводит к снижению стоимости основных средств</t>
  </si>
  <si>
    <t>2) снижение стоимости основных средств приводит к росту задолженности (имеется ввиду снижение объёма ОС вследствие их продажи, передач и иных способов "вывода")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</si>
</sst>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u/>
      <sz val="10"/>
      <color rgb="FF0000FF"/>
      <name val="Calibri"/>
      <family val="2"/>
    </font>
    <font>
      <b/>
      <sz val="10"/>
      <color rgb="FF000000"/>
      <name val="Candara"/>
      <family val="2"/>
      <charset val="204"/>
    </font>
    <font>
      <sz val="11"/>
      <color rgb="FF000000"/>
      <name val="Candara"/>
      <family val="2"/>
      <charset val="204"/>
    </font>
    <font>
      <sz val="10"/>
      <color rgb="FF000000"/>
      <name val="Candara"/>
      <family val="2"/>
      <charset val="204"/>
    </font>
    <font>
      <i/>
      <sz val="11"/>
      <color rgb="FF000000"/>
      <name val="Calibri"/>
      <family val="2"/>
    </font>
    <font>
      <i/>
      <sz val="10"/>
      <color rgb="FF000000"/>
      <name val="Candara"/>
      <family val="2"/>
      <charset val="204"/>
    </font>
    <font>
      <b/>
      <i/>
      <sz val="10"/>
      <color rgb="FF000000"/>
      <name val="Candara"/>
      <family val="2"/>
      <charset val="204"/>
    </font>
    <font>
      <b/>
      <sz val="11"/>
      <color rgb="FF000000"/>
      <name val="Candara"/>
      <family val="2"/>
      <charset val="204"/>
    </font>
    <font>
      <i/>
      <sz val="11"/>
      <color rgb="FF000000"/>
      <name val="Candara"/>
      <family val="2"/>
      <charset val="204"/>
    </font>
    <font>
      <i/>
      <sz val="9"/>
      <color rgb="FF000000"/>
      <name val="Candara"/>
      <family val="2"/>
      <charset val="204"/>
    </font>
    <font>
      <sz val="9"/>
      <color rgb="FF000000"/>
      <name val="Candara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Border="0"/>
  </cellStyleXfs>
  <cellXfs count="58">
    <xf numFmtId="0" fontId="0" fillId="0" borderId="0" xfId="0"/>
    <xf numFmtId="0" fontId="0" fillId="0" borderId="0" xfId="0" applyAlignment="1">
      <alignment wrapText="1"/>
    </xf>
    <xf numFmtId="49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/>
    </xf>
    <xf numFmtId="49" fontId="3" fillId="0" borderId="1" xfId="0" applyNumberFormat="1" applyFont="1" applyBorder="1" applyAlignment="1">
      <alignment wrapText="1"/>
    </xf>
    <xf numFmtId="0" fontId="2" fillId="0" borderId="1" xfId="0" applyFont="1" applyBorder="1" applyAlignment="1">
      <alignment wrapText="1"/>
    </xf>
    <xf numFmtId="3" fontId="2" fillId="0" borderId="1" xfId="0" applyNumberFormat="1" applyFont="1" applyBorder="1" applyAlignment="1">
      <alignment horizontal="right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wrapText="1"/>
    </xf>
    <xf numFmtId="0" fontId="0" fillId="2" borderId="0" xfId="0" applyFill="1" applyAlignment="1">
      <alignment wrapText="1"/>
    </xf>
    <xf numFmtId="3" fontId="2" fillId="2" borderId="1" xfId="0" applyNumberFormat="1" applyFont="1" applyFill="1" applyBorder="1" applyAlignment="1">
      <alignment horizontal="right" wrapText="1"/>
    </xf>
    <xf numFmtId="49" fontId="4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3" fontId="6" fillId="0" borderId="1" xfId="0" applyNumberFormat="1" applyFont="1" applyBorder="1" applyAlignment="1">
      <alignment horizontal="right"/>
    </xf>
    <xf numFmtId="3" fontId="6" fillId="0" borderId="1" xfId="0" applyNumberFormat="1" applyFont="1" applyBorder="1" applyAlignment="1">
      <alignment horizontal="right" wrapText="1"/>
    </xf>
    <xf numFmtId="0" fontId="6" fillId="0" borderId="1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2" borderId="0" xfId="0" applyFont="1" applyFill="1" applyAlignment="1">
      <alignment wrapText="1"/>
    </xf>
    <xf numFmtId="0" fontId="0" fillId="0" borderId="0" xfId="0" pivotButton="1" applyAlignment="1">
      <alignment wrapText="1"/>
    </xf>
    <xf numFmtId="0" fontId="0" fillId="0" borderId="0" xfId="0" applyAlignment="1">
      <alignment horizontal="left" wrapText="1"/>
    </xf>
    <xf numFmtId="0" fontId="0" fillId="0" borderId="0" xfId="0" applyBorder="1"/>
    <xf numFmtId="0" fontId="0" fillId="0" borderId="2" xfId="0" applyBorder="1"/>
    <xf numFmtId="0" fontId="7" fillId="0" borderId="3" xfId="0" applyFont="1" applyBorder="1" applyAlignment="1">
      <alignment horizontal="center"/>
    </xf>
    <xf numFmtId="0" fontId="8" fillId="0" borderId="3" xfId="0" applyFont="1" applyBorder="1" applyAlignment="1">
      <alignment horizontal="center" wrapText="1"/>
    </xf>
    <xf numFmtId="0" fontId="6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6" fillId="0" borderId="0" xfId="0" applyFont="1" applyBorder="1"/>
    <xf numFmtId="0" fontId="6" fillId="0" borderId="0" xfId="0" applyFont="1"/>
    <xf numFmtId="0" fontId="6" fillId="0" borderId="2" xfId="0" applyFont="1" applyBorder="1"/>
    <xf numFmtId="0" fontId="6" fillId="0" borderId="4" xfId="0" applyFont="1" applyBorder="1"/>
    <xf numFmtId="0" fontId="13" fillId="0" borderId="0" xfId="0" applyFont="1"/>
    <xf numFmtId="0" fontId="13" fillId="0" borderId="0" xfId="0" applyFont="1" applyAlignment="1">
      <alignment wrapText="1"/>
    </xf>
    <xf numFmtId="0" fontId="8" fillId="0" borderId="3" xfId="0" applyFont="1" applyBorder="1" applyAlignment="1">
      <alignment horizontal="center"/>
    </xf>
    <xf numFmtId="0" fontId="6" fillId="0" borderId="0" xfId="0" applyFont="1" applyBorder="1" applyAlignment="1">
      <alignment wrapText="1"/>
    </xf>
    <xf numFmtId="0" fontId="6" fillId="0" borderId="2" xfId="0" applyFont="1" applyBorder="1" applyAlignment="1">
      <alignment wrapText="1"/>
    </xf>
    <xf numFmtId="0" fontId="13" fillId="0" borderId="4" xfId="0" applyFont="1" applyBorder="1" applyAlignment="1">
      <alignment wrapText="1"/>
    </xf>
    <xf numFmtId="0" fontId="13" fillId="0" borderId="4" xfId="0" applyFont="1" applyBorder="1"/>
    <xf numFmtId="0" fontId="12" fillId="0" borderId="4" xfId="0" applyFont="1" applyBorder="1" applyAlignment="1">
      <alignment horizontal="center" vertical="center" wrapText="1"/>
    </xf>
    <xf numFmtId="49" fontId="10" fillId="3" borderId="1" xfId="0" applyNumberFormat="1" applyFont="1" applyFill="1" applyBorder="1" applyAlignment="1">
      <alignment horizontal="center" vertical="center" wrapText="1"/>
    </xf>
    <xf numFmtId="3" fontId="10" fillId="3" borderId="1" xfId="0" applyNumberFormat="1" applyFont="1" applyFill="1" applyBorder="1" applyAlignment="1">
      <alignment horizontal="right" wrapText="1"/>
    </xf>
    <xf numFmtId="0" fontId="11" fillId="0" borderId="0" xfId="0" applyFont="1" applyAlignment="1">
      <alignment wrapText="1"/>
    </xf>
    <xf numFmtId="3" fontId="6" fillId="2" borderId="1" xfId="0" applyNumberFormat="1" applyFont="1" applyFill="1" applyBorder="1" applyAlignment="1">
      <alignment horizontal="right" wrapText="1"/>
    </xf>
    <xf numFmtId="0" fontId="10" fillId="0" borderId="0" xfId="0" applyFont="1"/>
    <xf numFmtId="0" fontId="8" fillId="0" borderId="4" xfId="0" applyFont="1" applyBorder="1" applyAlignment="1">
      <alignment horizontal="center" wrapText="1"/>
    </xf>
    <xf numFmtId="0" fontId="6" fillId="0" borderId="4" xfId="0" applyFont="1" applyBorder="1" applyAlignment="1">
      <alignment wrapText="1"/>
    </xf>
    <xf numFmtId="0" fontId="7" fillId="0" borderId="3" xfId="0" applyFont="1" applyBorder="1" applyAlignment="1">
      <alignment horizontal="centerContinuous"/>
    </xf>
    <xf numFmtId="0" fontId="8" fillId="0" borderId="3" xfId="0" applyFont="1" applyBorder="1" applyAlignment="1">
      <alignment horizontal="centerContinuous" wrapText="1"/>
    </xf>
    <xf numFmtId="0" fontId="8" fillId="0" borderId="3" xfId="0" applyFont="1" applyBorder="1" applyAlignment="1">
      <alignment horizontal="centerContinuous"/>
    </xf>
    <xf numFmtId="0" fontId="6" fillId="4" borderId="0" xfId="0" applyFont="1" applyFill="1" applyBorder="1" applyAlignment="1">
      <alignment wrapText="1"/>
    </xf>
    <xf numFmtId="0" fontId="6" fillId="4" borderId="0" xfId="0" applyFont="1" applyFill="1" applyBorder="1"/>
    <xf numFmtId="4" fontId="6" fillId="0" borderId="0" xfId="0" applyNumberFormat="1" applyFont="1" applyBorder="1"/>
    <xf numFmtId="4" fontId="0" fillId="0" borderId="0" xfId="0" applyNumberFormat="1" applyBorder="1"/>
    <xf numFmtId="4" fontId="0" fillId="0" borderId="2" xfId="0" applyNumberFormat="1" applyBorder="1"/>
    <xf numFmtId="0" fontId="9" fillId="0" borderId="4" xfId="0" applyFont="1" applyBorder="1" applyAlignment="1">
      <alignment horizontal="center" wrapText="1"/>
    </xf>
    <xf numFmtId="0" fontId="7" fillId="0" borderId="3" xfId="0" applyFont="1" applyBorder="1" applyAlignment="1">
      <alignment horizontal="center" wrapText="1"/>
    </xf>
  </cellXfs>
  <cellStyles count="1">
    <cellStyle name="Обычный" xfId="0" builtinId="0"/>
  </cellStyles>
  <dxfs count="13">
    <dxf>
      <font>
        <condense val="0"/>
        <extend val="0"/>
        <color rgb="FF006100"/>
      </font>
      <fill>
        <patternFill>
          <bgColor rgb="FFC6EFCE"/>
        </patternFill>
      </fill>
    </dxf>
    <dxf>
      <fill>
        <patternFill patternType="lightGray">
          <bgColor theme="9" tint="0.59996337778862885"/>
        </patternFill>
      </fill>
    </dxf>
    <dxf>
      <fill>
        <patternFill>
          <bgColor theme="9" tint="-0.499984740745262"/>
        </patternFill>
      </fill>
    </dxf>
    <dxf>
      <fill>
        <patternFill patternType="gray0625">
          <bgColor theme="5" tint="0.39994506668294322"/>
        </patternFill>
      </fill>
    </dxf>
    <dxf>
      <font>
        <color theme="8" tint="-0.499984740745262"/>
      </font>
    </dxf>
    <dxf>
      <font>
        <color theme="8" tint="-0.499984740745262"/>
      </font>
      <fill>
        <patternFill patternType="gray0625">
          <bgColor theme="5" tint="0.39994506668294322"/>
        </patternFill>
      </fill>
    </dxf>
    <dxf>
      <font>
        <color auto="1"/>
      </font>
      <fill>
        <patternFill patternType="gray0625">
          <bgColor theme="8" tint="0.39994506668294322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691840"/>
        <c:axId val="172696704"/>
      </c:lineChart>
      <c:catAx>
        <c:axId val="172691840"/>
        <c:scaling>
          <c:orientation val="minMax"/>
        </c:scaling>
        <c:delete val="0"/>
        <c:axPos val="b"/>
        <c:majorTickMark val="out"/>
        <c:minorTickMark val="none"/>
        <c:tickLblPos val="nextTo"/>
        <c:crossAx val="172696704"/>
        <c:crosses val="autoZero"/>
        <c:auto val="1"/>
        <c:lblAlgn val="ctr"/>
        <c:lblOffset val="100"/>
        <c:noMultiLvlLbl val="0"/>
      </c:catAx>
      <c:valAx>
        <c:axId val="172696704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726918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Среднее абсолютное изменение стоимости основных средств с 2020 по 2024 гг., тыс. руб. График остатков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'Данные для регрессии (2)'!$C$2:$C$253</c:f>
              <c:numCache>
                <c:formatCode>#,##0</c:formatCode>
                <c:ptCount val="252"/>
                <c:pt idx="0">
                  <c:v>0</c:v>
                </c:pt>
                <c:pt idx="1">
                  <c:v>-374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-235.25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-13</c:v>
                </c:pt>
                <c:pt idx="26">
                  <c:v>0</c:v>
                </c:pt>
                <c:pt idx="27">
                  <c:v>0</c:v>
                </c:pt>
                <c:pt idx="28">
                  <c:v>25908.5</c:v>
                </c:pt>
                <c:pt idx="29">
                  <c:v>0</c:v>
                </c:pt>
                <c:pt idx="30">
                  <c:v>-158288.5</c:v>
                </c:pt>
                <c:pt idx="31">
                  <c:v>89161.25</c:v>
                </c:pt>
                <c:pt idx="32">
                  <c:v>836.5</c:v>
                </c:pt>
                <c:pt idx="33">
                  <c:v>0</c:v>
                </c:pt>
                <c:pt idx="34">
                  <c:v>2959.5</c:v>
                </c:pt>
                <c:pt idx="35">
                  <c:v>0</c:v>
                </c:pt>
                <c:pt idx="36">
                  <c:v>-124</c:v>
                </c:pt>
                <c:pt idx="37">
                  <c:v>-20917.75</c:v>
                </c:pt>
                <c:pt idx="38">
                  <c:v>-65190.25</c:v>
                </c:pt>
                <c:pt idx="39">
                  <c:v>-1006.75</c:v>
                </c:pt>
                <c:pt idx="40">
                  <c:v>-322.75</c:v>
                </c:pt>
                <c:pt idx="41">
                  <c:v>-50525</c:v>
                </c:pt>
                <c:pt idx="42">
                  <c:v>-6.25</c:v>
                </c:pt>
                <c:pt idx="43">
                  <c:v>-14792.75</c:v>
                </c:pt>
                <c:pt idx="44">
                  <c:v>-26514.75</c:v>
                </c:pt>
                <c:pt idx="45">
                  <c:v>-10441</c:v>
                </c:pt>
                <c:pt idx="46">
                  <c:v>-13603.25</c:v>
                </c:pt>
                <c:pt idx="47">
                  <c:v>0</c:v>
                </c:pt>
                <c:pt idx="48">
                  <c:v>-1670.5</c:v>
                </c:pt>
                <c:pt idx="49">
                  <c:v>-1502.75</c:v>
                </c:pt>
                <c:pt idx="50">
                  <c:v>-12192.5</c:v>
                </c:pt>
                <c:pt idx="51">
                  <c:v>-966.75</c:v>
                </c:pt>
                <c:pt idx="52">
                  <c:v>0</c:v>
                </c:pt>
                <c:pt idx="53">
                  <c:v>-814</c:v>
                </c:pt>
                <c:pt idx="54">
                  <c:v>0</c:v>
                </c:pt>
                <c:pt idx="55">
                  <c:v>-1465.5</c:v>
                </c:pt>
                <c:pt idx="56">
                  <c:v>-212.5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-4585.5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-1004</c:v>
                </c:pt>
                <c:pt idx="66">
                  <c:v>0</c:v>
                </c:pt>
                <c:pt idx="67">
                  <c:v>-274.5</c:v>
                </c:pt>
                <c:pt idx="68">
                  <c:v>418.5</c:v>
                </c:pt>
                <c:pt idx="69">
                  <c:v>-179.5</c:v>
                </c:pt>
                <c:pt idx="70">
                  <c:v>-396.75</c:v>
                </c:pt>
                <c:pt idx="71">
                  <c:v>-19319.25</c:v>
                </c:pt>
                <c:pt idx="72">
                  <c:v>-4</c:v>
                </c:pt>
                <c:pt idx="73">
                  <c:v>-63644.5</c:v>
                </c:pt>
                <c:pt idx="74">
                  <c:v>0</c:v>
                </c:pt>
                <c:pt idx="75">
                  <c:v>1760.75</c:v>
                </c:pt>
                <c:pt idx="76">
                  <c:v>0</c:v>
                </c:pt>
                <c:pt idx="77">
                  <c:v>-186.5</c:v>
                </c:pt>
                <c:pt idx="78">
                  <c:v>0</c:v>
                </c:pt>
                <c:pt idx="79">
                  <c:v>0</c:v>
                </c:pt>
                <c:pt idx="80">
                  <c:v>-38</c:v>
                </c:pt>
                <c:pt idx="81">
                  <c:v>-907</c:v>
                </c:pt>
                <c:pt idx="82">
                  <c:v>0</c:v>
                </c:pt>
                <c:pt idx="83">
                  <c:v>0</c:v>
                </c:pt>
                <c:pt idx="84">
                  <c:v>110.25</c:v>
                </c:pt>
                <c:pt idx="85">
                  <c:v>-246.25</c:v>
                </c:pt>
                <c:pt idx="86">
                  <c:v>-1958.75</c:v>
                </c:pt>
                <c:pt idx="87">
                  <c:v>0</c:v>
                </c:pt>
                <c:pt idx="88">
                  <c:v>0</c:v>
                </c:pt>
                <c:pt idx="89">
                  <c:v>233.75</c:v>
                </c:pt>
                <c:pt idx="90">
                  <c:v>-5704.5</c:v>
                </c:pt>
                <c:pt idx="91">
                  <c:v>-1132.75</c:v>
                </c:pt>
                <c:pt idx="92">
                  <c:v>-279.25</c:v>
                </c:pt>
                <c:pt idx="93">
                  <c:v>-11765</c:v>
                </c:pt>
                <c:pt idx="94">
                  <c:v>-1494.75</c:v>
                </c:pt>
                <c:pt idx="95">
                  <c:v>-246.25</c:v>
                </c:pt>
                <c:pt idx="96">
                  <c:v>-19455.75</c:v>
                </c:pt>
                <c:pt idx="97">
                  <c:v>-17670</c:v>
                </c:pt>
                <c:pt idx="98">
                  <c:v>0</c:v>
                </c:pt>
                <c:pt idx="99">
                  <c:v>-6.75</c:v>
                </c:pt>
                <c:pt idx="100">
                  <c:v>-2616.25</c:v>
                </c:pt>
                <c:pt idx="101">
                  <c:v>-865.75</c:v>
                </c:pt>
                <c:pt idx="102">
                  <c:v>-36316</c:v>
                </c:pt>
                <c:pt idx="103">
                  <c:v>-333.75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-1710.25</c:v>
                </c:pt>
                <c:pt idx="108">
                  <c:v>0</c:v>
                </c:pt>
                <c:pt idx="109">
                  <c:v>-345</c:v>
                </c:pt>
                <c:pt idx="110">
                  <c:v>-3943</c:v>
                </c:pt>
                <c:pt idx="111">
                  <c:v>29733.75</c:v>
                </c:pt>
                <c:pt idx="112">
                  <c:v>-870.5</c:v>
                </c:pt>
                <c:pt idx="113">
                  <c:v>-6689.75</c:v>
                </c:pt>
                <c:pt idx="114">
                  <c:v>-2649.75</c:v>
                </c:pt>
                <c:pt idx="115">
                  <c:v>-987.75</c:v>
                </c:pt>
                <c:pt idx="116">
                  <c:v>-12031</c:v>
                </c:pt>
                <c:pt idx="117">
                  <c:v>-420.5</c:v>
                </c:pt>
                <c:pt idx="118">
                  <c:v>-12160.25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-90.5</c:v>
                </c:pt>
                <c:pt idx="123">
                  <c:v>-1226.75</c:v>
                </c:pt>
                <c:pt idx="124">
                  <c:v>-752.25</c:v>
                </c:pt>
                <c:pt idx="125">
                  <c:v>-35879.75</c:v>
                </c:pt>
                <c:pt idx="126">
                  <c:v>-63355.5</c:v>
                </c:pt>
                <c:pt idx="127">
                  <c:v>-51002</c:v>
                </c:pt>
                <c:pt idx="128">
                  <c:v>-17053.5</c:v>
                </c:pt>
                <c:pt idx="129">
                  <c:v>-24</c:v>
                </c:pt>
                <c:pt idx="130">
                  <c:v>0</c:v>
                </c:pt>
                <c:pt idx="131">
                  <c:v>-4007</c:v>
                </c:pt>
                <c:pt idx="132">
                  <c:v>0</c:v>
                </c:pt>
                <c:pt idx="133">
                  <c:v>-50.5</c:v>
                </c:pt>
                <c:pt idx="134">
                  <c:v>0</c:v>
                </c:pt>
                <c:pt idx="135">
                  <c:v>-2421.5</c:v>
                </c:pt>
                <c:pt idx="136">
                  <c:v>-248.25</c:v>
                </c:pt>
                <c:pt idx="137">
                  <c:v>327.5</c:v>
                </c:pt>
                <c:pt idx="138">
                  <c:v>0</c:v>
                </c:pt>
                <c:pt idx="139">
                  <c:v>-10.25</c:v>
                </c:pt>
                <c:pt idx="140">
                  <c:v>0</c:v>
                </c:pt>
                <c:pt idx="141">
                  <c:v>0</c:v>
                </c:pt>
                <c:pt idx="142">
                  <c:v>6595.25</c:v>
                </c:pt>
                <c:pt idx="143">
                  <c:v>-3214.75</c:v>
                </c:pt>
                <c:pt idx="144">
                  <c:v>3694.25</c:v>
                </c:pt>
                <c:pt idx="145">
                  <c:v>-13</c:v>
                </c:pt>
                <c:pt idx="146">
                  <c:v>-5988.5</c:v>
                </c:pt>
                <c:pt idx="147">
                  <c:v>-673.75</c:v>
                </c:pt>
                <c:pt idx="148">
                  <c:v>-906188.75</c:v>
                </c:pt>
                <c:pt idx="149">
                  <c:v>-39981.5</c:v>
                </c:pt>
                <c:pt idx="150">
                  <c:v>0</c:v>
                </c:pt>
                <c:pt idx="151">
                  <c:v>-30.75</c:v>
                </c:pt>
                <c:pt idx="152">
                  <c:v>-2643.5</c:v>
                </c:pt>
                <c:pt idx="153">
                  <c:v>-4144</c:v>
                </c:pt>
                <c:pt idx="154">
                  <c:v>-48.5</c:v>
                </c:pt>
                <c:pt idx="155">
                  <c:v>-387.75</c:v>
                </c:pt>
                <c:pt idx="156">
                  <c:v>-3074.75</c:v>
                </c:pt>
                <c:pt idx="157">
                  <c:v>-834.25</c:v>
                </c:pt>
                <c:pt idx="158">
                  <c:v>0</c:v>
                </c:pt>
                <c:pt idx="159">
                  <c:v>0</c:v>
                </c:pt>
                <c:pt idx="160">
                  <c:v>-1050.75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-72.5</c:v>
                </c:pt>
                <c:pt idx="166">
                  <c:v>-57346.5</c:v>
                </c:pt>
                <c:pt idx="167">
                  <c:v>-1342.5</c:v>
                </c:pt>
                <c:pt idx="168">
                  <c:v>-144845.5</c:v>
                </c:pt>
                <c:pt idx="169">
                  <c:v>-71.5</c:v>
                </c:pt>
                <c:pt idx="170">
                  <c:v>-15427.75</c:v>
                </c:pt>
                <c:pt idx="171">
                  <c:v>-21273</c:v>
                </c:pt>
                <c:pt idx="172">
                  <c:v>-21637</c:v>
                </c:pt>
                <c:pt idx="173">
                  <c:v>258.75</c:v>
                </c:pt>
                <c:pt idx="174">
                  <c:v>-3149.5</c:v>
                </c:pt>
                <c:pt idx="175">
                  <c:v>0</c:v>
                </c:pt>
                <c:pt idx="176">
                  <c:v>0</c:v>
                </c:pt>
                <c:pt idx="177">
                  <c:v>62291</c:v>
                </c:pt>
                <c:pt idx="178">
                  <c:v>-12439.75</c:v>
                </c:pt>
                <c:pt idx="179">
                  <c:v>-12583</c:v>
                </c:pt>
                <c:pt idx="180">
                  <c:v>-5</c:v>
                </c:pt>
                <c:pt idx="181">
                  <c:v>-40615</c:v>
                </c:pt>
                <c:pt idx="182">
                  <c:v>28801.5</c:v>
                </c:pt>
                <c:pt idx="183">
                  <c:v>-6948.5</c:v>
                </c:pt>
                <c:pt idx="184">
                  <c:v>-1039.25</c:v>
                </c:pt>
                <c:pt idx="185">
                  <c:v>-3570.25</c:v>
                </c:pt>
                <c:pt idx="186">
                  <c:v>0</c:v>
                </c:pt>
                <c:pt idx="187">
                  <c:v>0</c:v>
                </c:pt>
                <c:pt idx="188">
                  <c:v>0.25</c:v>
                </c:pt>
                <c:pt idx="189">
                  <c:v>-192.25</c:v>
                </c:pt>
                <c:pt idx="190">
                  <c:v>0</c:v>
                </c:pt>
                <c:pt idx="191">
                  <c:v>-173.25</c:v>
                </c:pt>
                <c:pt idx="192">
                  <c:v>0</c:v>
                </c:pt>
                <c:pt idx="193">
                  <c:v>-11061.75</c:v>
                </c:pt>
                <c:pt idx="194">
                  <c:v>-973.5</c:v>
                </c:pt>
                <c:pt idx="195">
                  <c:v>-29587.75</c:v>
                </c:pt>
                <c:pt idx="196">
                  <c:v>0</c:v>
                </c:pt>
                <c:pt idx="197">
                  <c:v>-2188</c:v>
                </c:pt>
                <c:pt idx="198">
                  <c:v>-8886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-1742.5</c:v>
                </c:pt>
                <c:pt idx="203">
                  <c:v>-2225.75</c:v>
                </c:pt>
                <c:pt idx="204">
                  <c:v>-14583</c:v>
                </c:pt>
                <c:pt idx="205">
                  <c:v>-820</c:v>
                </c:pt>
                <c:pt idx="206">
                  <c:v>-9290.25</c:v>
                </c:pt>
                <c:pt idx="207">
                  <c:v>0</c:v>
                </c:pt>
                <c:pt idx="208">
                  <c:v>-5848.25</c:v>
                </c:pt>
                <c:pt idx="209">
                  <c:v>-62013.5</c:v>
                </c:pt>
                <c:pt idx="210">
                  <c:v>-21984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-19997.5</c:v>
                </c:pt>
                <c:pt idx="218">
                  <c:v>-120093.25</c:v>
                </c:pt>
                <c:pt idx="219">
                  <c:v>-9110.25</c:v>
                </c:pt>
                <c:pt idx="220">
                  <c:v>54256.25</c:v>
                </c:pt>
                <c:pt idx="221">
                  <c:v>-3187.25</c:v>
                </c:pt>
                <c:pt idx="222">
                  <c:v>0</c:v>
                </c:pt>
                <c:pt idx="223">
                  <c:v>-49582.5</c:v>
                </c:pt>
                <c:pt idx="224">
                  <c:v>-14276.5</c:v>
                </c:pt>
                <c:pt idx="225">
                  <c:v>18131</c:v>
                </c:pt>
                <c:pt idx="226">
                  <c:v>-19.5</c:v>
                </c:pt>
                <c:pt idx="227">
                  <c:v>-5568</c:v>
                </c:pt>
                <c:pt idx="228">
                  <c:v>0</c:v>
                </c:pt>
                <c:pt idx="229">
                  <c:v>-8574.25</c:v>
                </c:pt>
                <c:pt idx="230">
                  <c:v>-12016</c:v>
                </c:pt>
                <c:pt idx="231">
                  <c:v>-683</c:v>
                </c:pt>
                <c:pt idx="232">
                  <c:v>-13792</c:v>
                </c:pt>
                <c:pt idx="233">
                  <c:v>-2895.75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-837.75</c:v>
                </c:pt>
                <c:pt idx="248">
                  <c:v>-724.5</c:v>
                </c:pt>
                <c:pt idx="249">
                  <c:v>-2809.25</c:v>
                </c:pt>
                <c:pt idx="250">
                  <c:v>10425</c:v>
                </c:pt>
                <c:pt idx="251">
                  <c:v>-1899.75</c:v>
                </c:pt>
              </c:numCache>
            </c:numRef>
          </c:xVal>
          <c:yVal>
            <c:numRef>
              <c:f>'Регрессия 2'!$C$26:$C$277</c:f>
              <c:numCache>
                <c:formatCode>General</c:formatCode>
                <c:ptCount val="252"/>
                <c:pt idx="0">
                  <c:v>-187340.43660143024</c:v>
                </c:pt>
                <c:pt idx="1">
                  <c:v>-223331.44706827716</c:v>
                </c:pt>
                <c:pt idx="2">
                  <c:v>-181851.13082721108</c:v>
                </c:pt>
                <c:pt idx="3">
                  <c:v>-197995.76713426024</c:v>
                </c:pt>
                <c:pt idx="4">
                  <c:v>-195270.02402324913</c:v>
                </c:pt>
                <c:pt idx="5">
                  <c:v>-161642.86315958519</c:v>
                </c:pt>
                <c:pt idx="6">
                  <c:v>-132087.13082721108</c:v>
                </c:pt>
                <c:pt idx="7">
                  <c:v>-133158.30223214981</c:v>
                </c:pt>
                <c:pt idx="8">
                  <c:v>-173708.38677754742</c:v>
                </c:pt>
                <c:pt idx="9">
                  <c:v>-171156.21294383629</c:v>
                </c:pt>
                <c:pt idx="10">
                  <c:v>-174419.76702581678</c:v>
                </c:pt>
                <c:pt idx="11">
                  <c:v>-181851.13082721108</c:v>
                </c:pt>
                <c:pt idx="12">
                  <c:v>-160409.31063371623</c:v>
                </c:pt>
                <c:pt idx="13">
                  <c:v>-206746.70233500941</c:v>
                </c:pt>
                <c:pt idx="14">
                  <c:v>-80276.877336630976</c:v>
                </c:pt>
                <c:pt idx="15">
                  <c:v>10943.869172788924</c:v>
                </c:pt>
                <c:pt idx="16">
                  <c:v>-147352.13082721108</c:v>
                </c:pt>
                <c:pt idx="17">
                  <c:v>-181851.13082721108</c:v>
                </c:pt>
                <c:pt idx="18">
                  <c:v>-181277.12731417333</c:v>
                </c:pt>
                <c:pt idx="19">
                  <c:v>32018.869172788924</c:v>
                </c:pt>
                <c:pt idx="20">
                  <c:v>-181851.13082721108</c:v>
                </c:pt>
                <c:pt idx="21">
                  <c:v>-181851.13082721108</c:v>
                </c:pt>
                <c:pt idx="22">
                  <c:v>-118069.13082721108</c:v>
                </c:pt>
                <c:pt idx="23">
                  <c:v>-78375.241745218373</c:v>
                </c:pt>
                <c:pt idx="24">
                  <c:v>-236600.53893820997</c:v>
                </c:pt>
                <c:pt idx="25">
                  <c:v>-246007.98840628355</c:v>
                </c:pt>
                <c:pt idx="26">
                  <c:v>135712.86917278892</c:v>
                </c:pt>
                <c:pt idx="27">
                  <c:v>-181851.13082721108</c:v>
                </c:pt>
                <c:pt idx="28">
                  <c:v>-72635.111113710023</c:v>
                </c:pt>
                <c:pt idx="29">
                  <c:v>-166968.13082721108</c:v>
                </c:pt>
                <c:pt idx="30">
                  <c:v>3123250.2534629852</c:v>
                </c:pt>
                <c:pt idx="31">
                  <c:v>337383.1088032457</c:v>
                </c:pt>
                <c:pt idx="32">
                  <c:v>-153282.76271177881</c:v>
                </c:pt>
                <c:pt idx="33">
                  <c:v>-167592.13082721108</c:v>
                </c:pt>
                <c:pt idx="34">
                  <c:v>-30413.723616225965</c:v>
                </c:pt>
                <c:pt idx="35">
                  <c:v>-232384.2187834449</c:v>
                </c:pt>
                <c:pt idx="36">
                  <c:v>-95148.046935825725</c:v>
                </c:pt>
                <c:pt idx="37">
                  <c:v>-1187109.6688584252</c:v>
                </c:pt>
                <c:pt idx="38">
                  <c:v>14006261.825358573</c:v>
                </c:pt>
                <c:pt idx="39">
                  <c:v>-215810.04063320463</c:v>
                </c:pt>
                <c:pt idx="40">
                  <c:v>1739514.9290700548</c:v>
                </c:pt>
                <c:pt idx="41">
                  <c:v>-1469051.9075752134</c:v>
                </c:pt>
                <c:pt idx="42">
                  <c:v>-222067.30318489595</c:v>
                </c:pt>
                <c:pt idx="43">
                  <c:v>-5939159.129503049</c:v>
                </c:pt>
                <c:pt idx="44">
                  <c:v>-274066.28700509714</c:v>
                </c:pt>
                <c:pt idx="45">
                  <c:v>2105106.5306280125</c:v>
                </c:pt>
                <c:pt idx="46">
                  <c:v>-229161.62114964775</c:v>
                </c:pt>
                <c:pt idx="47">
                  <c:v>-181851.13082721108</c:v>
                </c:pt>
                <c:pt idx="48">
                  <c:v>-219560.85758087254</c:v>
                </c:pt>
                <c:pt idx="49">
                  <c:v>5231621.428651182</c:v>
                </c:pt>
                <c:pt idx="50">
                  <c:v>-12242670.782884268</c:v>
                </c:pt>
                <c:pt idx="51">
                  <c:v>-41678.473721340793</c:v>
                </c:pt>
                <c:pt idx="52">
                  <c:v>-184398.57994848632</c:v>
                </c:pt>
                <c:pt idx="53">
                  <c:v>-255040.1002991182</c:v>
                </c:pt>
                <c:pt idx="54">
                  <c:v>-181942.21959197658</c:v>
                </c:pt>
                <c:pt idx="55">
                  <c:v>-214896.52931051992</c:v>
                </c:pt>
                <c:pt idx="56">
                  <c:v>-337617.46041936218</c:v>
                </c:pt>
                <c:pt idx="57">
                  <c:v>-181851.13082721108</c:v>
                </c:pt>
                <c:pt idx="58">
                  <c:v>-237575.69476989401</c:v>
                </c:pt>
                <c:pt idx="59">
                  <c:v>-155008.59899760943</c:v>
                </c:pt>
                <c:pt idx="60">
                  <c:v>-181851.13082721108</c:v>
                </c:pt>
                <c:pt idx="61">
                  <c:v>-250202.82846179095</c:v>
                </c:pt>
                <c:pt idx="62">
                  <c:v>-181851.13082721108</c:v>
                </c:pt>
                <c:pt idx="63">
                  <c:v>164736.95181296216</c:v>
                </c:pt>
                <c:pt idx="64">
                  <c:v>-212474.66749268014</c:v>
                </c:pt>
                <c:pt idx="65">
                  <c:v>-201391.24597080436</c:v>
                </c:pt>
                <c:pt idx="66">
                  <c:v>-181851.13082721108</c:v>
                </c:pt>
                <c:pt idx="67">
                  <c:v>-187089.0054136501</c:v>
                </c:pt>
                <c:pt idx="68">
                  <c:v>-153069.85839686298</c:v>
                </c:pt>
                <c:pt idx="69">
                  <c:v>509364.37487859232</c:v>
                </c:pt>
                <c:pt idx="70">
                  <c:v>-217176.91483400081</c:v>
                </c:pt>
                <c:pt idx="71">
                  <c:v>120752.80082557438</c:v>
                </c:pt>
                <c:pt idx="72">
                  <c:v>-70980.067669067677</c:v>
                </c:pt>
                <c:pt idx="73">
                  <c:v>3294021.5763938287</c:v>
                </c:pt>
                <c:pt idx="74">
                  <c:v>137428.86917278892</c:v>
                </c:pt>
                <c:pt idx="75">
                  <c:v>-134814.71165639255</c:v>
                </c:pt>
                <c:pt idx="76">
                  <c:v>-181851.13082721108</c:v>
                </c:pt>
                <c:pt idx="77">
                  <c:v>-203033.18748352982</c:v>
                </c:pt>
                <c:pt idx="78">
                  <c:v>-181851.13082721108</c:v>
                </c:pt>
                <c:pt idx="79">
                  <c:v>-188398.89486777133</c:v>
                </c:pt>
                <c:pt idx="80">
                  <c:v>-184714.43511776574</c:v>
                </c:pt>
                <c:pt idx="81">
                  <c:v>-185744.90640888497</c:v>
                </c:pt>
                <c:pt idx="82">
                  <c:v>-156763.13082721108</c:v>
                </c:pt>
                <c:pt idx="83">
                  <c:v>-181851.13082721108</c:v>
                </c:pt>
                <c:pt idx="84">
                  <c:v>-153225.4307249439</c:v>
                </c:pt>
                <c:pt idx="85">
                  <c:v>-120349.33193269113</c:v>
                </c:pt>
                <c:pt idx="86">
                  <c:v>-22734.204260245286</c:v>
                </c:pt>
                <c:pt idx="87">
                  <c:v>-159716.46698894826</c:v>
                </c:pt>
                <c:pt idx="88">
                  <c:v>-163029.13082721108</c:v>
                </c:pt>
                <c:pt idx="89">
                  <c:v>-115117.54088938105</c:v>
                </c:pt>
                <c:pt idx="90">
                  <c:v>-335407.49387359346</c:v>
                </c:pt>
                <c:pt idx="91">
                  <c:v>-353353.0382214227</c:v>
                </c:pt>
                <c:pt idx="92">
                  <c:v>-182822.32921160749</c:v>
                </c:pt>
                <c:pt idx="93">
                  <c:v>550270.2016856597</c:v>
                </c:pt>
                <c:pt idx="94">
                  <c:v>-76926.694068308774</c:v>
                </c:pt>
                <c:pt idx="95">
                  <c:v>-171279.98676837992</c:v>
                </c:pt>
                <c:pt idx="96">
                  <c:v>-304431.31419772666</c:v>
                </c:pt>
                <c:pt idx="97">
                  <c:v>685106.32201701682</c:v>
                </c:pt>
                <c:pt idx="98">
                  <c:v>-181851.13082721108</c:v>
                </c:pt>
                <c:pt idx="99">
                  <c:v>-196619.85334750678</c:v>
                </c:pt>
                <c:pt idx="100">
                  <c:v>-448325.1084004814</c:v>
                </c:pt>
                <c:pt idx="101">
                  <c:v>24746.852373019676</c:v>
                </c:pt>
                <c:pt idx="102">
                  <c:v>-187290.87219781079</c:v>
                </c:pt>
                <c:pt idx="103">
                  <c:v>-296802.4889371125</c:v>
                </c:pt>
                <c:pt idx="104">
                  <c:v>-232347.70572104724</c:v>
                </c:pt>
                <c:pt idx="105">
                  <c:v>-179839.08122327973</c:v>
                </c:pt>
                <c:pt idx="106">
                  <c:v>-22924.130827211076</c:v>
                </c:pt>
                <c:pt idx="107">
                  <c:v>-211145.44012045147</c:v>
                </c:pt>
                <c:pt idx="108">
                  <c:v>-186151.53262152913</c:v>
                </c:pt>
                <c:pt idx="109">
                  <c:v>-228707.8022856543</c:v>
                </c:pt>
                <c:pt idx="110">
                  <c:v>-174352.90542835309</c:v>
                </c:pt>
                <c:pt idx="111">
                  <c:v>11503108.939203795</c:v>
                </c:pt>
                <c:pt idx="112">
                  <c:v>-56258.350835139165</c:v>
                </c:pt>
                <c:pt idx="113">
                  <c:v>-244833.50758926256</c:v>
                </c:pt>
                <c:pt idx="114">
                  <c:v>-115652.64709956339</c:v>
                </c:pt>
                <c:pt idx="115">
                  <c:v>-137718.13101495497</c:v>
                </c:pt>
                <c:pt idx="116">
                  <c:v>1710386.3487609206</c:v>
                </c:pt>
                <c:pt idx="117">
                  <c:v>-183440.5981830793</c:v>
                </c:pt>
                <c:pt idx="118">
                  <c:v>-529968.5054848846</c:v>
                </c:pt>
                <c:pt idx="119">
                  <c:v>-181851.13082721108</c:v>
                </c:pt>
                <c:pt idx="120">
                  <c:v>-181851.13082721108</c:v>
                </c:pt>
                <c:pt idx="121">
                  <c:v>-109423.13082721108</c:v>
                </c:pt>
                <c:pt idx="122">
                  <c:v>-212887.25278192313</c:v>
                </c:pt>
                <c:pt idx="123">
                  <c:v>-189466.65210101288</c:v>
                </c:pt>
                <c:pt idx="124">
                  <c:v>-188678.19829527705</c:v>
                </c:pt>
                <c:pt idx="125">
                  <c:v>-378729.35535402747</c:v>
                </c:pt>
                <c:pt idx="126">
                  <c:v>-124125.58619027393</c:v>
                </c:pt>
                <c:pt idx="127">
                  <c:v>-378604.1128363898</c:v>
                </c:pt>
                <c:pt idx="128">
                  <c:v>33517.620218638505</c:v>
                </c:pt>
                <c:pt idx="129">
                  <c:v>-181934.59998110728</c:v>
                </c:pt>
                <c:pt idx="130">
                  <c:v>-181851.13082721108</c:v>
                </c:pt>
                <c:pt idx="131">
                  <c:v>-379033.30601738591</c:v>
                </c:pt>
                <c:pt idx="132">
                  <c:v>-181851.13082721108</c:v>
                </c:pt>
                <c:pt idx="133">
                  <c:v>-140959.90384602835</c:v>
                </c:pt>
                <c:pt idx="134">
                  <c:v>-134217.13666369874</c:v>
                </c:pt>
                <c:pt idx="135">
                  <c:v>-144122.09106004637</c:v>
                </c:pt>
                <c:pt idx="136">
                  <c:v>-294185.90891568898</c:v>
                </c:pt>
                <c:pt idx="137">
                  <c:v>-42802.323284854065</c:v>
                </c:pt>
                <c:pt idx="138">
                  <c:v>-182116.80639111047</c:v>
                </c:pt>
                <c:pt idx="139">
                  <c:v>-185659.878167752</c:v>
                </c:pt>
                <c:pt idx="140">
                  <c:v>832354.86917278892</c:v>
                </c:pt>
                <c:pt idx="141">
                  <c:v>-181851.13082721108</c:v>
                </c:pt>
                <c:pt idx="142">
                  <c:v>-82360.321599435527</c:v>
                </c:pt>
                <c:pt idx="143">
                  <c:v>-161074.78735098409</c:v>
                </c:pt>
                <c:pt idx="144">
                  <c:v>669133.39269515651</c:v>
                </c:pt>
                <c:pt idx="145">
                  <c:v>-204057.73370432534</c:v>
                </c:pt>
                <c:pt idx="146">
                  <c:v>-442859.76045261871</c:v>
                </c:pt>
                <c:pt idx="147">
                  <c:v>-320732.86947141367</c:v>
                </c:pt>
                <c:pt idx="148">
                  <c:v>-1603483.0907014515</c:v>
                </c:pt>
                <c:pt idx="149">
                  <c:v>4265364.4017793816</c:v>
                </c:pt>
                <c:pt idx="150">
                  <c:v>-82006.130827211076</c:v>
                </c:pt>
                <c:pt idx="151">
                  <c:v>-175391.18917921858</c:v>
                </c:pt>
                <c:pt idx="152">
                  <c:v>-243391.09320800527</c:v>
                </c:pt>
                <c:pt idx="153">
                  <c:v>71886.108549700104</c:v>
                </c:pt>
                <c:pt idx="154">
                  <c:v>-181489.05601172123</c:v>
                </c:pt>
                <c:pt idx="155">
                  <c:v>-344819.48676566529</c:v>
                </c:pt>
                <c:pt idx="156">
                  <c:v>-208519.36276502584</c:v>
                </c:pt>
                <c:pt idx="157">
                  <c:v>-208861.21918542011</c:v>
                </c:pt>
                <c:pt idx="158">
                  <c:v>-181851.13082721108</c:v>
                </c:pt>
                <c:pt idx="159">
                  <c:v>-244690.48085218808</c:v>
                </c:pt>
                <c:pt idx="160">
                  <c:v>-183573.82378234903</c:v>
                </c:pt>
                <c:pt idx="161">
                  <c:v>-182237.24598007818</c:v>
                </c:pt>
                <c:pt idx="162">
                  <c:v>-181851.13082721108</c:v>
                </c:pt>
                <c:pt idx="163">
                  <c:v>-125776.13082721108</c:v>
                </c:pt>
                <c:pt idx="164">
                  <c:v>-62898.130827211076</c:v>
                </c:pt>
                <c:pt idx="165">
                  <c:v>-130286.42963189725</c:v>
                </c:pt>
                <c:pt idx="166">
                  <c:v>371637.24873615371</c:v>
                </c:pt>
                <c:pt idx="167">
                  <c:v>418868.97802501876</c:v>
                </c:pt>
                <c:pt idx="168">
                  <c:v>3456037.7866271366</c:v>
                </c:pt>
                <c:pt idx="169">
                  <c:v>-194650.03842105839</c:v>
                </c:pt>
                <c:pt idx="170">
                  <c:v>3596831.9842135347</c:v>
                </c:pt>
                <c:pt idx="171">
                  <c:v>-100128.52899634355</c:v>
                </c:pt>
                <c:pt idx="172">
                  <c:v>524479.37585458276</c:v>
                </c:pt>
                <c:pt idx="173">
                  <c:v>155990.55996706462</c:v>
                </c:pt>
                <c:pt idx="174">
                  <c:v>-228603.10893691707</c:v>
                </c:pt>
                <c:pt idx="175">
                  <c:v>-156462.13082721108</c:v>
                </c:pt>
                <c:pt idx="176">
                  <c:v>-181851.13082721108</c:v>
                </c:pt>
                <c:pt idx="177">
                  <c:v>315361.94246589905</c:v>
                </c:pt>
                <c:pt idx="178">
                  <c:v>-227055.29681589347</c:v>
                </c:pt>
                <c:pt idx="179">
                  <c:v>-252788.63350910781</c:v>
                </c:pt>
                <c:pt idx="180">
                  <c:v>-185548.84900437022</c:v>
                </c:pt>
                <c:pt idx="181">
                  <c:v>-165541.67880145228</c:v>
                </c:pt>
                <c:pt idx="182">
                  <c:v>96006.287893566856</c:v>
                </c:pt>
                <c:pt idx="183">
                  <c:v>-212293.7117619034</c:v>
                </c:pt>
                <c:pt idx="184">
                  <c:v>-191867.5411019226</c:v>
                </c:pt>
                <c:pt idx="185">
                  <c:v>-16344.661452939734</c:v>
                </c:pt>
                <c:pt idx="186">
                  <c:v>-44514.056285007711</c:v>
                </c:pt>
                <c:pt idx="187">
                  <c:v>-181851.13082721108</c:v>
                </c:pt>
                <c:pt idx="188">
                  <c:v>-178117.8886830105</c:v>
                </c:pt>
                <c:pt idx="189">
                  <c:v>-181969.35056031981</c:v>
                </c:pt>
                <c:pt idx="190">
                  <c:v>-181958.91919885026</c:v>
                </c:pt>
                <c:pt idx="191">
                  <c:v>-184965.41033460066</c:v>
                </c:pt>
                <c:pt idx="192">
                  <c:v>-181851.13082721108</c:v>
                </c:pt>
                <c:pt idx="193">
                  <c:v>-127171.46036244265</c:v>
                </c:pt>
                <c:pt idx="194">
                  <c:v>100867.30337268231</c:v>
                </c:pt>
                <c:pt idx="195">
                  <c:v>-112492.47869485809</c:v>
                </c:pt>
                <c:pt idx="196">
                  <c:v>-175583.13082721108</c:v>
                </c:pt>
                <c:pt idx="197">
                  <c:v>-20578.195810899313</c:v>
                </c:pt>
                <c:pt idx="198">
                  <c:v>-222616.95594053107</c:v>
                </c:pt>
                <c:pt idx="199">
                  <c:v>-181794.35682993231</c:v>
                </c:pt>
                <c:pt idx="200">
                  <c:v>-181851.13082721108</c:v>
                </c:pt>
                <c:pt idx="201">
                  <c:v>-181851.13082721108</c:v>
                </c:pt>
                <c:pt idx="202">
                  <c:v>-207542.33691453259</c:v>
                </c:pt>
                <c:pt idx="203">
                  <c:v>-231720.57908477579</c:v>
                </c:pt>
                <c:pt idx="204">
                  <c:v>333911.04142741184</c:v>
                </c:pt>
                <c:pt idx="205">
                  <c:v>524020.76376061293</c:v>
                </c:pt>
                <c:pt idx="206">
                  <c:v>-129317.3243785059</c:v>
                </c:pt>
                <c:pt idx="207">
                  <c:v>-181851.13082721108</c:v>
                </c:pt>
                <c:pt idx="208">
                  <c:v>-200274.96752231059</c:v>
                </c:pt>
                <c:pt idx="209">
                  <c:v>-53197.729791460617</c:v>
                </c:pt>
                <c:pt idx="210">
                  <c:v>229426.19005640218</c:v>
                </c:pt>
                <c:pt idx="211">
                  <c:v>-195301.90509091705</c:v>
                </c:pt>
                <c:pt idx="212">
                  <c:v>-181851.13082721108</c:v>
                </c:pt>
                <c:pt idx="213">
                  <c:v>-187728.3803493586</c:v>
                </c:pt>
                <c:pt idx="214">
                  <c:v>-181851.13082721108</c:v>
                </c:pt>
                <c:pt idx="215">
                  <c:v>-181851.13082721108</c:v>
                </c:pt>
                <c:pt idx="216">
                  <c:v>-185418.77411385995</c:v>
                </c:pt>
                <c:pt idx="217">
                  <c:v>9483.826225720346</c:v>
                </c:pt>
                <c:pt idx="218">
                  <c:v>-267623.23768818309</c:v>
                </c:pt>
                <c:pt idx="219">
                  <c:v>-1094577.7571262193</c:v>
                </c:pt>
                <c:pt idx="220">
                  <c:v>-525925.93392926676</c:v>
                </c:pt>
                <c:pt idx="221">
                  <c:v>-206927.24262667834</c:v>
                </c:pt>
                <c:pt idx="222">
                  <c:v>-181851.13082721108</c:v>
                </c:pt>
                <c:pt idx="223">
                  <c:v>-3151581.583326092</c:v>
                </c:pt>
                <c:pt idx="224">
                  <c:v>1660337.8951894932</c:v>
                </c:pt>
                <c:pt idx="225">
                  <c:v>186120.33705995555</c:v>
                </c:pt>
                <c:pt idx="226">
                  <c:v>-182620.68897329777</c:v>
                </c:pt>
                <c:pt idx="227">
                  <c:v>-22284.986780314008</c:v>
                </c:pt>
                <c:pt idx="228">
                  <c:v>1361004.6245763395</c:v>
                </c:pt>
                <c:pt idx="229">
                  <c:v>-250464.24389957963</c:v>
                </c:pt>
                <c:pt idx="230">
                  <c:v>-271528.23566121294</c:v>
                </c:pt>
                <c:pt idx="231">
                  <c:v>-239426.82132842857</c:v>
                </c:pt>
                <c:pt idx="232">
                  <c:v>-196246.10557275044</c:v>
                </c:pt>
                <c:pt idx="233">
                  <c:v>-207320.76161060779</c:v>
                </c:pt>
                <c:pt idx="234">
                  <c:v>-181851.13082721108</c:v>
                </c:pt>
                <c:pt idx="235">
                  <c:v>-181851.13082721108</c:v>
                </c:pt>
                <c:pt idx="236">
                  <c:v>-181851.13082721108</c:v>
                </c:pt>
                <c:pt idx="237">
                  <c:v>-181851.13082721108</c:v>
                </c:pt>
                <c:pt idx="238">
                  <c:v>-191661.89684114893</c:v>
                </c:pt>
                <c:pt idx="239">
                  <c:v>-181851.13082721108</c:v>
                </c:pt>
                <c:pt idx="240">
                  <c:v>-181851.13082721108</c:v>
                </c:pt>
                <c:pt idx="241">
                  <c:v>-181851.13082721108</c:v>
                </c:pt>
                <c:pt idx="242">
                  <c:v>-181851.13082721108</c:v>
                </c:pt>
                <c:pt idx="243">
                  <c:v>-181851.13082721108</c:v>
                </c:pt>
                <c:pt idx="244">
                  <c:v>-181851.13082721108</c:v>
                </c:pt>
                <c:pt idx="245">
                  <c:v>-181851.13082721108</c:v>
                </c:pt>
                <c:pt idx="246">
                  <c:v>-181851.13082721108</c:v>
                </c:pt>
                <c:pt idx="247">
                  <c:v>-68829.21696389484</c:v>
                </c:pt>
                <c:pt idx="248">
                  <c:v>-166926.85591045261</c:v>
                </c:pt>
                <c:pt idx="249">
                  <c:v>-166357.83318852363</c:v>
                </c:pt>
                <c:pt idx="250">
                  <c:v>-145594.21710354928</c:v>
                </c:pt>
                <c:pt idx="251">
                  <c:v>-20938.873029001057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4E-4E23-A836-A550BF5E82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991808"/>
        <c:axId val="76728576"/>
      </c:scatterChart>
      <c:valAx>
        <c:axId val="1719918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Среднее абсолютное изменение стоимости основных средств с 2020 по 2024 гг., тыс. руб.</a:t>
                </a: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76728576"/>
        <c:crosses val="autoZero"/>
        <c:crossBetween val="midCat"/>
      </c:valAx>
      <c:valAx>
        <c:axId val="767285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Остатки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199180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Среднее абсолютное изменение выручки с 2020 по 2024 гг., тыс. руб. График остатков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'Данные для регрессии (2)'!#REF!</c:f>
            </c:numRef>
          </c:xVal>
          <c:yVal>
            <c:numRef>
              <c:f>'Регрессия 2'!$C$26:$C$277</c:f>
              <c:numCache>
                <c:formatCode>General</c:formatCode>
                <c:ptCount val="252"/>
                <c:pt idx="0">
                  <c:v>-187340.43660143024</c:v>
                </c:pt>
                <c:pt idx="1">
                  <c:v>-223331.44706827716</c:v>
                </c:pt>
                <c:pt idx="2">
                  <c:v>-181851.13082721108</c:v>
                </c:pt>
                <c:pt idx="3">
                  <c:v>-197995.76713426024</c:v>
                </c:pt>
                <c:pt idx="4">
                  <c:v>-195270.02402324913</c:v>
                </c:pt>
                <c:pt idx="5">
                  <c:v>-161642.86315958519</c:v>
                </c:pt>
                <c:pt idx="6">
                  <c:v>-132087.13082721108</c:v>
                </c:pt>
                <c:pt idx="7">
                  <c:v>-133158.30223214981</c:v>
                </c:pt>
                <c:pt idx="8">
                  <c:v>-173708.38677754742</c:v>
                </c:pt>
                <c:pt idx="9">
                  <c:v>-171156.21294383629</c:v>
                </c:pt>
                <c:pt idx="10">
                  <c:v>-174419.76702581678</c:v>
                </c:pt>
                <c:pt idx="11">
                  <c:v>-181851.13082721108</c:v>
                </c:pt>
                <c:pt idx="12">
                  <c:v>-160409.31063371623</c:v>
                </c:pt>
                <c:pt idx="13">
                  <c:v>-206746.70233500941</c:v>
                </c:pt>
                <c:pt idx="14">
                  <c:v>-80276.877336630976</c:v>
                </c:pt>
                <c:pt idx="15">
                  <c:v>10943.869172788924</c:v>
                </c:pt>
                <c:pt idx="16">
                  <c:v>-147352.13082721108</c:v>
                </c:pt>
                <c:pt idx="17">
                  <c:v>-181851.13082721108</c:v>
                </c:pt>
                <c:pt idx="18">
                  <c:v>-181277.12731417333</c:v>
                </c:pt>
                <c:pt idx="19">
                  <c:v>32018.869172788924</c:v>
                </c:pt>
                <c:pt idx="20">
                  <c:v>-181851.13082721108</c:v>
                </c:pt>
                <c:pt idx="21">
                  <c:v>-181851.13082721108</c:v>
                </c:pt>
                <c:pt idx="22">
                  <c:v>-118069.13082721108</c:v>
                </c:pt>
                <c:pt idx="23">
                  <c:v>-78375.241745218373</c:v>
                </c:pt>
                <c:pt idx="24">
                  <c:v>-236600.53893820997</c:v>
                </c:pt>
                <c:pt idx="25">
                  <c:v>-246007.98840628355</c:v>
                </c:pt>
                <c:pt idx="26">
                  <c:v>135712.86917278892</c:v>
                </c:pt>
                <c:pt idx="27">
                  <c:v>-181851.13082721108</c:v>
                </c:pt>
                <c:pt idx="28">
                  <c:v>-72635.111113710023</c:v>
                </c:pt>
                <c:pt idx="29">
                  <c:v>-166968.13082721108</c:v>
                </c:pt>
                <c:pt idx="30">
                  <c:v>3123250.2534629852</c:v>
                </c:pt>
                <c:pt idx="31">
                  <c:v>337383.1088032457</c:v>
                </c:pt>
                <c:pt idx="32">
                  <c:v>-153282.76271177881</c:v>
                </c:pt>
                <c:pt idx="33">
                  <c:v>-167592.13082721108</c:v>
                </c:pt>
                <c:pt idx="34">
                  <c:v>-30413.723616225965</c:v>
                </c:pt>
                <c:pt idx="35">
                  <c:v>-232384.2187834449</c:v>
                </c:pt>
                <c:pt idx="36">
                  <c:v>-95148.046935825725</c:v>
                </c:pt>
                <c:pt idx="37">
                  <c:v>-1187109.6688584252</c:v>
                </c:pt>
                <c:pt idx="38">
                  <c:v>14006261.825358573</c:v>
                </c:pt>
                <c:pt idx="39">
                  <c:v>-215810.04063320463</c:v>
                </c:pt>
                <c:pt idx="40">
                  <c:v>1739514.9290700548</c:v>
                </c:pt>
                <c:pt idx="41">
                  <c:v>-1469051.9075752134</c:v>
                </c:pt>
                <c:pt idx="42">
                  <c:v>-222067.30318489595</c:v>
                </c:pt>
                <c:pt idx="43">
                  <c:v>-5939159.129503049</c:v>
                </c:pt>
                <c:pt idx="44">
                  <c:v>-274066.28700509714</c:v>
                </c:pt>
                <c:pt idx="45">
                  <c:v>2105106.5306280125</c:v>
                </c:pt>
                <c:pt idx="46">
                  <c:v>-229161.62114964775</c:v>
                </c:pt>
                <c:pt idx="47">
                  <c:v>-181851.13082721108</c:v>
                </c:pt>
                <c:pt idx="48">
                  <c:v>-219560.85758087254</c:v>
                </c:pt>
                <c:pt idx="49">
                  <c:v>5231621.428651182</c:v>
                </c:pt>
                <c:pt idx="50">
                  <c:v>-12242670.782884268</c:v>
                </c:pt>
                <c:pt idx="51">
                  <c:v>-41678.473721340793</c:v>
                </c:pt>
                <c:pt idx="52">
                  <c:v>-184398.57994848632</c:v>
                </c:pt>
                <c:pt idx="53">
                  <c:v>-255040.1002991182</c:v>
                </c:pt>
                <c:pt idx="54">
                  <c:v>-181942.21959197658</c:v>
                </c:pt>
                <c:pt idx="55">
                  <c:v>-214896.52931051992</c:v>
                </c:pt>
                <c:pt idx="56">
                  <c:v>-337617.46041936218</c:v>
                </c:pt>
                <c:pt idx="57">
                  <c:v>-181851.13082721108</c:v>
                </c:pt>
                <c:pt idx="58">
                  <c:v>-237575.69476989401</c:v>
                </c:pt>
                <c:pt idx="59">
                  <c:v>-155008.59899760943</c:v>
                </c:pt>
                <c:pt idx="60">
                  <c:v>-181851.13082721108</c:v>
                </c:pt>
                <c:pt idx="61">
                  <c:v>-250202.82846179095</c:v>
                </c:pt>
                <c:pt idx="62">
                  <c:v>-181851.13082721108</c:v>
                </c:pt>
                <c:pt idx="63">
                  <c:v>164736.95181296216</c:v>
                </c:pt>
                <c:pt idx="64">
                  <c:v>-212474.66749268014</c:v>
                </c:pt>
                <c:pt idx="65">
                  <c:v>-201391.24597080436</c:v>
                </c:pt>
                <c:pt idx="66">
                  <c:v>-181851.13082721108</c:v>
                </c:pt>
                <c:pt idx="67">
                  <c:v>-187089.0054136501</c:v>
                </c:pt>
                <c:pt idx="68">
                  <c:v>-153069.85839686298</c:v>
                </c:pt>
                <c:pt idx="69">
                  <c:v>509364.37487859232</c:v>
                </c:pt>
                <c:pt idx="70">
                  <c:v>-217176.91483400081</c:v>
                </c:pt>
                <c:pt idx="71">
                  <c:v>120752.80082557438</c:v>
                </c:pt>
                <c:pt idx="72">
                  <c:v>-70980.067669067677</c:v>
                </c:pt>
                <c:pt idx="73">
                  <c:v>3294021.5763938287</c:v>
                </c:pt>
                <c:pt idx="74">
                  <c:v>137428.86917278892</c:v>
                </c:pt>
                <c:pt idx="75">
                  <c:v>-134814.71165639255</c:v>
                </c:pt>
                <c:pt idx="76">
                  <c:v>-181851.13082721108</c:v>
                </c:pt>
                <c:pt idx="77">
                  <c:v>-203033.18748352982</c:v>
                </c:pt>
                <c:pt idx="78">
                  <c:v>-181851.13082721108</c:v>
                </c:pt>
                <c:pt idx="79">
                  <c:v>-188398.89486777133</c:v>
                </c:pt>
                <c:pt idx="80">
                  <c:v>-184714.43511776574</c:v>
                </c:pt>
                <c:pt idx="81">
                  <c:v>-185744.90640888497</c:v>
                </c:pt>
                <c:pt idx="82">
                  <c:v>-156763.13082721108</c:v>
                </c:pt>
                <c:pt idx="83">
                  <c:v>-181851.13082721108</c:v>
                </c:pt>
                <c:pt idx="84">
                  <c:v>-153225.4307249439</c:v>
                </c:pt>
                <c:pt idx="85">
                  <c:v>-120349.33193269113</c:v>
                </c:pt>
                <c:pt idx="86">
                  <c:v>-22734.204260245286</c:v>
                </c:pt>
                <c:pt idx="87">
                  <c:v>-159716.46698894826</c:v>
                </c:pt>
                <c:pt idx="88">
                  <c:v>-163029.13082721108</c:v>
                </c:pt>
                <c:pt idx="89">
                  <c:v>-115117.54088938105</c:v>
                </c:pt>
                <c:pt idx="90">
                  <c:v>-335407.49387359346</c:v>
                </c:pt>
                <c:pt idx="91">
                  <c:v>-353353.0382214227</c:v>
                </c:pt>
                <c:pt idx="92">
                  <c:v>-182822.32921160749</c:v>
                </c:pt>
                <c:pt idx="93">
                  <c:v>550270.2016856597</c:v>
                </c:pt>
                <c:pt idx="94">
                  <c:v>-76926.694068308774</c:v>
                </c:pt>
                <c:pt idx="95">
                  <c:v>-171279.98676837992</c:v>
                </c:pt>
                <c:pt idx="96">
                  <c:v>-304431.31419772666</c:v>
                </c:pt>
                <c:pt idx="97">
                  <c:v>685106.32201701682</c:v>
                </c:pt>
                <c:pt idx="98">
                  <c:v>-181851.13082721108</c:v>
                </c:pt>
                <c:pt idx="99">
                  <c:v>-196619.85334750678</c:v>
                </c:pt>
                <c:pt idx="100">
                  <c:v>-448325.1084004814</c:v>
                </c:pt>
                <c:pt idx="101">
                  <c:v>24746.852373019676</c:v>
                </c:pt>
                <c:pt idx="102">
                  <c:v>-187290.87219781079</c:v>
                </c:pt>
                <c:pt idx="103">
                  <c:v>-296802.4889371125</c:v>
                </c:pt>
                <c:pt idx="104">
                  <c:v>-232347.70572104724</c:v>
                </c:pt>
                <c:pt idx="105">
                  <c:v>-179839.08122327973</c:v>
                </c:pt>
                <c:pt idx="106">
                  <c:v>-22924.130827211076</c:v>
                </c:pt>
                <c:pt idx="107">
                  <c:v>-211145.44012045147</c:v>
                </c:pt>
                <c:pt idx="108">
                  <c:v>-186151.53262152913</c:v>
                </c:pt>
                <c:pt idx="109">
                  <c:v>-228707.8022856543</c:v>
                </c:pt>
                <c:pt idx="110">
                  <c:v>-174352.90542835309</c:v>
                </c:pt>
                <c:pt idx="111">
                  <c:v>11503108.939203795</c:v>
                </c:pt>
                <c:pt idx="112">
                  <c:v>-56258.350835139165</c:v>
                </c:pt>
                <c:pt idx="113">
                  <c:v>-244833.50758926256</c:v>
                </c:pt>
                <c:pt idx="114">
                  <c:v>-115652.64709956339</c:v>
                </c:pt>
                <c:pt idx="115">
                  <c:v>-137718.13101495497</c:v>
                </c:pt>
                <c:pt idx="116">
                  <c:v>1710386.3487609206</c:v>
                </c:pt>
                <c:pt idx="117">
                  <c:v>-183440.5981830793</c:v>
                </c:pt>
                <c:pt idx="118">
                  <c:v>-529968.5054848846</c:v>
                </c:pt>
                <c:pt idx="119">
                  <c:v>-181851.13082721108</c:v>
                </c:pt>
                <c:pt idx="120">
                  <c:v>-181851.13082721108</c:v>
                </c:pt>
                <c:pt idx="121">
                  <c:v>-109423.13082721108</c:v>
                </c:pt>
                <c:pt idx="122">
                  <c:v>-212887.25278192313</c:v>
                </c:pt>
                <c:pt idx="123">
                  <c:v>-189466.65210101288</c:v>
                </c:pt>
                <c:pt idx="124">
                  <c:v>-188678.19829527705</c:v>
                </c:pt>
                <c:pt idx="125">
                  <c:v>-378729.35535402747</c:v>
                </c:pt>
                <c:pt idx="126">
                  <c:v>-124125.58619027393</c:v>
                </c:pt>
                <c:pt idx="127">
                  <c:v>-378604.1128363898</c:v>
                </c:pt>
                <c:pt idx="128">
                  <c:v>33517.620218638505</c:v>
                </c:pt>
                <c:pt idx="129">
                  <c:v>-181934.59998110728</c:v>
                </c:pt>
                <c:pt idx="130">
                  <c:v>-181851.13082721108</c:v>
                </c:pt>
                <c:pt idx="131">
                  <c:v>-379033.30601738591</c:v>
                </c:pt>
                <c:pt idx="132">
                  <c:v>-181851.13082721108</c:v>
                </c:pt>
                <c:pt idx="133">
                  <c:v>-140959.90384602835</c:v>
                </c:pt>
                <c:pt idx="134">
                  <c:v>-134217.13666369874</c:v>
                </c:pt>
                <c:pt idx="135">
                  <c:v>-144122.09106004637</c:v>
                </c:pt>
                <c:pt idx="136">
                  <c:v>-294185.90891568898</c:v>
                </c:pt>
                <c:pt idx="137">
                  <c:v>-42802.323284854065</c:v>
                </c:pt>
                <c:pt idx="138">
                  <c:v>-182116.80639111047</c:v>
                </c:pt>
                <c:pt idx="139">
                  <c:v>-185659.878167752</c:v>
                </c:pt>
                <c:pt idx="140">
                  <c:v>832354.86917278892</c:v>
                </c:pt>
                <c:pt idx="141">
                  <c:v>-181851.13082721108</c:v>
                </c:pt>
                <c:pt idx="142">
                  <c:v>-82360.321599435527</c:v>
                </c:pt>
                <c:pt idx="143">
                  <c:v>-161074.78735098409</c:v>
                </c:pt>
                <c:pt idx="144">
                  <c:v>669133.39269515651</c:v>
                </c:pt>
                <c:pt idx="145">
                  <c:v>-204057.73370432534</c:v>
                </c:pt>
                <c:pt idx="146">
                  <c:v>-442859.76045261871</c:v>
                </c:pt>
                <c:pt idx="147">
                  <c:v>-320732.86947141367</c:v>
                </c:pt>
                <c:pt idx="148">
                  <c:v>-1603483.0907014515</c:v>
                </c:pt>
                <c:pt idx="149">
                  <c:v>4265364.4017793816</c:v>
                </c:pt>
                <c:pt idx="150">
                  <c:v>-82006.130827211076</c:v>
                </c:pt>
                <c:pt idx="151">
                  <c:v>-175391.18917921858</c:v>
                </c:pt>
                <c:pt idx="152">
                  <c:v>-243391.09320800527</c:v>
                </c:pt>
                <c:pt idx="153">
                  <c:v>71886.108549700104</c:v>
                </c:pt>
                <c:pt idx="154">
                  <c:v>-181489.05601172123</c:v>
                </c:pt>
                <c:pt idx="155">
                  <c:v>-344819.48676566529</c:v>
                </c:pt>
                <c:pt idx="156">
                  <c:v>-208519.36276502584</c:v>
                </c:pt>
                <c:pt idx="157">
                  <c:v>-208861.21918542011</c:v>
                </c:pt>
                <c:pt idx="158">
                  <c:v>-181851.13082721108</c:v>
                </c:pt>
                <c:pt idx="159">
                  <c:v>-244690.48085218808</c:v>
                </c:pt>
                <c:pt idx="160">
                  <c:v>-183573.82378234903</c:v>
                </c:pt>
                <c:pt idx="161">
                  <c:v>-182237.24598007818</c:v>
                </c:pt>
                <c:pt idx="162">
                  <c:v>-181851.13082721108</c:v>
                </c:pt>
                <c:pt idx="163">
                  <c:v>-125776.13082721108</c:v>
                </c:pt>
                <c:pt idx="164">
                  <c:v>-62898.130827211076</c:v>
                </c:pt>
                <c:pt idx="165">
                  <c:v>-130286.42963189725</c:v>
                </c:pt>
                <c:pt idx="166">
                  <c:v>371637.24873615371</c:v>
                </c:pt>
                <c:pt idx="167">
                  <c:v>418868.97802501876</c:v>
                </c:pt>
                <c:pt idx="168">
                  <c:v>3456037.7866271366</c:v>
                </c:pt>
                <c:pt idx="169">
                  <c:v>-194650.03842105839</c:v>
                </c:pt>
                <c:pt idx="170">
                  <c:v>3596831.9842135347</c:v>
                </c:pt>
                <c:pt idx="171">
                  <c:v>-100128.52899634355</c:v>
                </c:pt>
                <c:pt idx="172">
                  <c:v>524479.37585458276</c:v>
                </c:pt>
                <c:pt idx="173">
                  <c:v>155990.55996706462</c:v>
                </c:pt>
                <c:pt idx="174">
                  <c:v>-228603.10893691707</c:v>
                </c:pt>
                <c:pt idx="175">
                  <c:v>-156462.13082721108</c:v>
                </c:pt>
                <c:pt idx="176">
                  <c:v>-181851.13082721108</c:v>
                </c:pt>
                <c:pt idx="177">
                  <c:v>315361.94246589905</c:v>
                </c:pt>
                <c:pt idx="178">
                  <c:v>-227055.29681589347</c:v>
                </c:pt>
                <c:pt idx="179">
                  <c:v>-252788.63350910781</c:v>
                </c:pt>
                <c:pt idx="180">
                  <c:v>-185548.84900437022</c:v>
                </c:pt>
                <c:pt idx="181">
                  <c:v>-165541.67880145228</c:v>
                </c:pt>
                <c:pt idx="182">
                  <c:v>96006.287893566856</c:v>
                </c:pt>
                <c:pt idx="183">
                  <c:v>-212293.7117619034</c:v>
                </c:pt>
                <c:pt idx="184">
                  <c:v>-191867.5411019226</c:v>
                </c:pt>
                <c:pt idx="185">
                  <c:v>-16344.661452939734</c:v>
                </c:pt>
                <c:pt idx="186">
                  <c:v>-44514.056285007711</c:v>
                </c:pt>
                <c:pt idx="187">
                  <c:v>-181851.13082721108</c:v>
                </c:pt>
                <c:pt idx="188">
                  <c:v>-178117.8886830105</c:v>
                </c:pt>
                <c:pt idx="189">
                  <c:v>-181969.35056031981</c:v>
                </c:pt>
                <c:pt idx="190">
                  <c:v>-181958.91919885026</c:v>
                </c:pt>
                <c:pt idx="191">
                  <c:v>-184965.41033460066</c:v>
                </c:pt>
                <c:pt idx="192">
                  <c:v>-181851.13082721108</c:v>
                </c:pt>
                <c:pt idx="193">
                  <c:v>-127171.46036244265</c:v>
                </c:pt>
                <c:pt idx="194">
                  <c:v>100867.30337268231</c:v>
                </c:pt>
                <c:pt idx="195">
                  <c:v>-112492.47869485809</c:v>
                </c:pt>
                <c:pt idx="196">
                  <c:v>-175583.13082721108</c:v>
                </c:pt>
                <c:pt idx="197">
                  <c:v>-20578.195810899313</c:v>
                </c:pt>
                <c:pt idx="198">
                  <c:v>-222616.95594053107</c:v>
                </c:pt>
                <c:pt idx="199">
                  <c:v>-181794.35682993231</c:v>
                </c:pt>
                <c:pt idx="200">
                  <c:v>-181851.13082721108</c:v>
                </c:pt>
                <c:pt idx="201">
                  <c:v>-181851.13082721108</c:v>
                </c:pt>
                <c:pt idx="202">
                  <c:v>-207542.33691453259</c:v>
                </c:pt>
                <c:pt idx="203">
                  <c:v>-231720.57908477579</c:v>
                </c:pt>
                <c:pt idx="204">
                  <c:v>333911.04142741184</c:v>
                </c:pt>
                <c:pt idx="205">
                  <c:v>524020.76376061293</c:v>
                </c:pt>
                <c:pt idx="206">
                  <c:v>-129317.3243785059</c:v>
                </c:pt>
                <c:pt idx="207">
                  <c:v>-181851.13082721108</c:v>
                </c:pt>
                <c:pt idx="208">
                  <c:v>-200274.96752231059</c:v>
                </c:pt>
                <c:pt idx="209">
                  <c:v>-53197.729791460617</c:v>
                </c:pt>
                <c:pt idx="210">
                  <c:v>229426.19005640218</c:v>
                </c:pt>
                <c:pt idx="211">
                  <c:v>-195301.90509091705</c:v>
                </c:pt>
                <c:pt idx="212">
                  <c:v>-181851.13082721108</c:v>
                </c:pt>
                <c:pt idx="213">
                  <c:v>-187728.3803493586</c:v>
                </c:pt>
                <c:pt idx="214">
                  <c:v>-181851.13082721108</c:v>
                </c:pt>
                <c:pt idx="215">
                  <c:v>-181851.13082721108</c:v>
                </c:pt>
                <c:pt idx="216">
                  <c:v>-185418.77411385995</c:v>
                </c:pt>
                <c:pt idx="217">
                  <c:v>9483.826225720346</c:v>
                </c:pt>
                <c:pt idx="218">
                  <c:v>-267623.23768818309</c:v>
                </c:pt>
                <c:pt idx="219">
                  <c:v>-1094577.7571262193</c:v>
                </c:pt>
                <c:pt idx="220">
                  <c:v>-525925.93392926676</c:v>
                </c:pt>
                <c:pt idx="221">
                  <c:v>-206927.24262667834</c:v>
                </c:pt>
                <c:pt idx="222">
                  <c:v>-181851.13082721108</c:v>
                </c:pt>
                <c:pt idx="223">
                  <c:v>-3151581.583326092</c:v>
                </c:pt>
                <c:pt idx="224">
                  <c:v>1660337.8951894932</c:v>
                </c:pt>
                <c:pt idx="225">
                  <c:v>186120.33705995555</c:v>
                </c:pt>
                <c:pt idx="226">
                  <c:v>-182620.68897329777</c:v>
                </c:pt>
                <c:pt idx="227">
                  <c:v>-22284.986780314008</c:v>
                </c:pt>
                <c:pt idx="228">
                  <c:v>1361004.6245763395</c:v>
                </c:pt>
                <c:pt idx="229">
                  <c:v>-250464.24389957963</c:v>
                </c:pt>
                <c:pt idx="230">
                  <c:v>-271528.23566121294</c:v>
                </c:pt>
                <c:pt idx="231">
                  <c:v>-239426.82132842857</c:v>
                </c:pt>
                <c:pt idx="232">
                  <c:v>-196246.10557275044</c:v>
                </c:pt>
                <c:pt idx="233">
                  <c:v>-207320.76161060779</c:v>
                </c:pt>
                <c:pt idx="234">
                  <c:v>-181851.13082721108</c:v>
                </c:pt>
                <c:pt idx="235">
                  <c:v>-181851.13082721108</c:v>
                </c:pt>
                <c:pt idx="236">
                  <c:v>-181851.13082721108</c:v>
                </c:pt>
                <c:pt idx="237">
                  <c:v>-181851.13082721108</c:v>
                </c:pt>
                <c:pt idx="238">
                  <c:v>-191661.89684114893</c:v>
                </c:pt>
                <c:pt idx="239">
                  <c:v>-181851.13082721108</c:v>
                </c:pt>
                <c:pt idx="240">
                  <c:v>-181851.13082721108</c:v>
                </c:pt>
                <c:pt idx="241">
                  <c:v>-181851.13082721108</c:v>
                </c:pt>
                <c:pt idx="242">
                  <c:v>-181851.13082721108</c:v>
                </c:pt>
                <c:pt idx="243">
                  <c:v>-181851.13082721108</c:v>
                </c:pt>
                <c:pt idx="244">
                  <c:v>-181851.13082721108</c:v>
                </c:pt>
                <c:pt idx="245">
                  <c:v>-181851.13082721108</c:v>
                </c:pt>
                <c:pt idx="246">
                  <c:v>-181851.13082721108</c:v>
                </c:pt>
                <c:pt idx="247">
                  <c:v>-68829.21696389484</c:v>
                </c:pt>
                <c:pt idx="248">
                  <c:v>-166926.85591045261</c:v>
                </c:pt>
                <c:pt idx="249">
                  <c:v>-166357.83318852363</c:v>
                </c:pt>
                <c:pt idx="250">
                  <c:v>-145594.21710354928</c:v>
                </c:pt>
                <c:pt idx="251">
                  <c:v>-20938.873029001057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38-4EB5-8BF3-4C0616528D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512384"/>
        <c:axId val="176509312"/>
      </c:scatterChart>
      <c:valAx>
        <c:axId val="1765123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Среднее абсолютное изменение выручки с 2020 по 2024 гг., тыс. руб.</a:t>
                </a: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176509312"/>
        <c:crosses val="autoZero"/>
        <c:crossBetween val="midCat"/>
      </c:valAx>
      <c:valAx>
        <c:axId val="1765093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Остатки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651238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326571</xdr:colOff>
      <xdr:row>1</xdr:row>
      <xdr:rowOff>21771</xdr:rowOff>
    </xdr:from>
    <xdr:to>
      <xdr:col>20</xdr:col>
      <xdr:colOff>21771</xdr:colOff>
      <xdr:row>15</xdr:row>
      <xdr:rowOff>174171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0</xdr:rowOff>
    </xdr:from>
    <xdr:to>
      <xdr:col>15</xdr:col>
      <xdr:colOff>0</xdr:colOff>
      <xdr:row>10</xdr:row>
      <xdr:rowOff>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518160</xdr:colOff>
      <xdr:row>0</xdr:row>
      <xdr:rowOff>30479</xdr:rowOff>
    </xdr:from>
    <xdr:to>
      <xdr:col>21</xdr:col>
      <xdr:colOff>518160</xdr:colOff>
      <xdr:row>10</xdr:row>
      <xdr:rowOff>22859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one" refreshedDate="45963.832585532407" createdVersion="3" refreshedVersion="3" minRefreshableVersion="3" recordCount="252" xr:uid="{00000000-000A-0000-FFFF-FFFF03000000}">
  <cacheSource type="worksheet">
    <worksheetSource ref="A1:BU253" sheet="Выборка 1"/>
  </cacheSource>
  <cacheFields count="78">
    <cacheField name="№" numFmtId="3">
      <sharedItems containsSemiMixedTypes="0" containsString="0" containsNumber="1" containsInteger="1" minValue="1" maxValue="252" count="252">
        <n v="211"/>
        <n v="7"/>
        <n v="39"/>
        <n v="40"/>
        <n v="54"/>
        <n v="69"/>
        <n v="77"/>
        <n v="83"/>
        <n v="162"/>
        <n v="166"/>
        <n v="181"/>
        <n v="193"/>
        <n v="198"/>
        <n v="200"/>
        <n v="203"/>
        <n v="204"/>
        <n v="209"/>
        <n v="51"/>
        <n v="53"/>
        <n v="55"/>
        <n v="199"/>
        <n v="201"/>
        <n v="202"/>
        <n v="207"/>
        <n v="208"/>
        <n v="212"/>
        <n v="214"/>
        <n v="249"/>
        <n v="36"/>
        <n v="205"/>
        <n v="142"/>
        <n v="89"/>
        <n v="128"/>
        <n v="85"/>
        <n v="88"/>
        <n v="188"/>
        <n v="18"/>
        <n v="105"/>
        <n v="100"/>
        <n v="175"/>
        <n v="23"/>
        <n v="114"/>
        <n v="126"/>
        <n v="29"/>
        <n v="133"/>
        <n v="86"/>
        <n v="132"/>
        <n v="241"/>
        <n v="82"/>
        <n v="238"/>
        <n v="124"/>
        <n v="217"/>
        <n v="240"/>
        <n v="250"/>
        <n v="118"/>
        <n v="110"/>
        <n v="121"/>
        <n v="119"/>
        <n v="160"/>
        <n v="58"/>
        <n v="108"/>
        <n v="178"/>
        <n v="150"/>
        <n v="215"/>
        <n v="112"/>
        <n v="195"/>
        <n v="197"/>
        <n v="28"/>
        <n v="183"/>
        <n v="65"/>
        <n v="156"/>
        <n v="6"/>
        <n v="95"/>
        <n v="25"/>
        <n v="139"/>
        <n v="176"/>
        <n v="210"/>
        <n v="245"/>
        <n v="2"/>
        <n v="3"/>
        <n v="16"/>
        <n v="27"/>
        <n v="41"/>
        <n v="49"/>
        <n v="60"/>
        <n v="61"/>
        <n v="63"/>
        <n v="75"/>
        <n v="102"/>
        <n v="104"/>
        <n v="106"/>
        <n v="127"/>
        <n v="134"/>
        <n v="135"/>
        <n v="146"/>
        <n v="148"/>
        <n v="149"/>
        <n v="153"/>
        <n v="158"/>
        <n v="161"/>
        <n v="163"/>
        <n v="164"/>
        <n v="173"/>
        <n v="184"/>
        <n v="187"/>
        <n v="220"/>
        <n v="224"/>
        <n v="233"/>
        <n v="236"/>
        <n v="237"/>
        <n v="123"/>
        <n v="190"/>
        <n v="19"/>
        <n v="59"/>
        <n v="70"/>
        <n v="113"/>
        <n v="143"/>
        <n v="159"/>
        <n v="185"/>
        <n v="170"/>
        <n v="168"/>
        <n v="26"/>
        <n v="182"/>
        <n v="191"/>
        <n v="186"/>
        <n v="4"/>
        <n v="91"/>
        <n v="231"/>
        <n v="46"/>
        <n v="244"/>
        <n v="177"/>
        <n v="165"/>
        <n v="219"/>
        <n v="174"/>
        <n v="180"/>
        <n v="243"/>
        <n v="66"/>
        <n v="90"/>
        <n v="223"/>
        <n v="242"/>
        <n v="145"/>
        <n v="117"/>
        <n v="130"/>
        <n v="34"/>
        <n v="189"/>
        <n v="52"/>
        <n v="155"/>
        <n v="239"/>
        <n v="94"/>
        <n v="84"/>
        <n v="144"/>
        <n v="140"/>
        <n v="73"/>
        <n v="171"/>
        <n v="14"/>
        <n v="93"/>
        <n v="232"/>
        <n v="111"/>
        <n v="152"/>
        <n v="179"/>
        <n v="48"/>
        <n v="50"/>
        <n v="76"/>
        <n v="87"/>
        <n v="99"/>
        <n v="196"/>
        <n v="35"/>
        <n v="12"/>
        <n v="68"/>
        <n v="116"/>
        <n v="62"/>
        <n v="136"/>
        <n v="157"/>
        <n v="15"/>
        <n v="101"/>
        <n v="125"/>
        <n v="227"/>
        <n v="80"/>
        <n v="47"/>
        <n v="79"/>
        <n v="247"/>
        <n v="141"/>
        <n v="228"/>
        <n v="246"/>
        <n v="251"/>
        <n v="194"/>
        <n v="221"/>
        <n v="98"/>
        <n v="45"/>
        <n v="24"/>
        <n v="103"/>
        <n v="30"/>
        <n v="252"/>
        <n v="17"/>
        <n v="31"/>
        <n v="109"/>
        <n v="8"/>
        <n v="147"/>
        <n v="37"/>
        <n v="20"/>
        <n v="13"/>
        <n v="234"/>
        <n v="74"/>
        <n v="129"/>
        <n v="107"/>
        <n v="120"/>
        <n v="78"/>
        <n v="9"/>
        <n v="56"/>
        <n v="72"/>
        <n v="192"/>
        <n v="115"/>
        <n v="248"/>
        <n v="229"/>
        <n v="154"/>
        <n v="10"/>
        <n v="44"/>
        <n v="206"/>
        <n v="32"/>
        <n v="213"/>
        <n v="42"/>
        <n v="122"/>
        <n v="226"/>
        <n v="92"/>
        <n v="57"/>
        <n v="96"/>
        <n v="230"/>
        <n v="1"/>
        <n v="33"/>
        <n v="43"/>
        <n v="81"/>
        <n v="167"/>
        <n v="172"/>
        <n v="225"/>
        <n v="5"/>
        <n v="21"/>
        <n v="22"/>
        <n v="38"/>
        <n v="67"/>
        <n v="97"/>
        <n v="131"/>
        <n v="137"/>
        <n v="138"/>
        <n v="151"/>
        <n v="169"/>
        <n v="222"/>
        <n v="235"/>
        <n v="64"/>
        <n v="71"/>
        <n v="218"/>
        <n v="11"/>
        <n v="216"/>
      </sharedItems>
    </cacheField>
    <cacheField name="Возраст компании, лет" numFmtId="3">
      <sharedItems containsSemiMixedTypes="0" containsString="0" containsNumber="1" containsInteger="1" minValue="4" maxValue="35"/>
    </cacheField>
    <cacheField name="Вид деятельности/отрасль" numFmtId="0">
      <sharedItems count="129">
        <s v="Управление эксплуатацией нежилого фонда за вознаграждение или на договорной основе"/>
        <s v="Управление эксплуатацией жилого фонда за вознаграждение или на договорной основе"/>
        <s v="Управление недвижимым имуществом за вознаграждение или на договорной основе"/>
        <s v="Транспортная обработка грузов"/>
        <s v="Торговля электроэнергией"/>
        <s v="Торговля розничная телекоммуникационным оборудованием, включая розничную торговлю мобильными телефонами, в специализированных магазинах"/>
        <s v="Торговля розничная прочими бытовыми изделиями в специализированных магазинах"/>
        <s v="Торговля розничная прочая вне магазинов, палаток, рынков"/>
        <s v="Торговля розничная прочая в неспециализированных магазинах"/>
        <s v="Торговля розничная продуктами из мяса и мяса птицы в специализированных магазинах"/>
        <s v="Торговля розничная преимущественно пищевыми продуктами, включая напитки, и табачными изделиями в неспециализированных магазинах"/>
        <s v="Торговля розничная одеждой в специализированных магазинах"/>
        <s v="Торговля розничная обувью и изделиями из кожи в специализированных магазинах"/>
        <s v="Торговля розничная обувью в специализированных магазинах"/>
        <s v="Торговля розничная лекарственными средствами в специализированных магазинах (аптеках)"/>
        <s v="Торговля розничная большим товарным ассортиментом с преобладанием непродовольственных товаров в неспециализированных магазинах"/>
        <s v="Торговля оптовая чистящими средствами"/>
        <s v="Торговля оптовая фармацевтической продукцией"/>
        <s v="Торговля оптовая техникой, оборудованием и инструментами, применяемыми в медицинских целях"/>
        <s v="Торговля оптовая твердым, жидким и газообразным топливом и подобными продуктами"/>
        <s v="Торговля оптовая прочими строительными материалами и изделиями"/>
        <s v="Торговля оптовая прочими машинами, приборами, аппаратурой и оборудованием общепромышленного и специального назначения"/>
        <s v="Торговля оптовая прочими машинами и оборудованием"/>
        <s v="Торговля оптовая производственным электротехническим оборудованием, машинами, аппаратурой и материалами"/>
        <s v="Торговля оптовая пищевыми продуктами, напитками и табачными изделиями"/>
        <s v="Торговля оптовая отходами и ломом"/>
        <s v="Торговля оптовая неспециализированная"/>
        <s v="Торговля оптовая молочными продуктами, яйцами и пищевыми маслами и жирами"/>
        <s v="Торговля оптовая масличными семенами и маслосодержащими плодами"/>
        <s v="Торговля оптовая лесоматериалами, строительными материалами и санитарно-техническим оборудованием"/>
        <s v="Торговля оптовая легковыми автомобилями и легкими автотранспортными средствами"/>
        <s v="Торговля оптовая зерном, необработанным табаком, семенами и кормами для сельскохозяйственных животных"/>
        <s v="Торговля оптовая за вознаграждение или на договорной основе"/>
        <s v="Торговля легковыми автомобилями и грузовыми автомобилями малой грузоподъемности"/>
        <s v="Торговля автомобильными деталями, узлами и принадлежностями"/>
        <s v="Техническое обслуживание и ремонт автотранспортных средств"/>
        <s v="Строительство электростанций"/>
        <s v="Строительство мостов и тоннелей"/>
        <s v="Строительство коммунальных объектов для обеспечения электроэнергией и телекоммуникациями"/>
        <s v="Строительство инженерных коммуникаций для водоснабжения и водоотведения, газоснабжения"/>
        <s v="Строительство жилых и нежилых зданий"/>
        <s v="Строительство железных дорог и метро"/>
        <s v="Строительство гидротехнических сооружений"/>
        <s v="Строительство автомобильных дорог и автомагистралей"/>
        <s v="Страхование медицинское"/>
        <s v="Страхование"/>
        <s v="Создание геодезической, нивелирной, гравиметрической сетей"/>
        <s v="Ремонт машин и оборудования"/>
        <s v="Резка, обработка и отделка камня для использования в строительстве в качестве дорожного покрытия"/>
        <s v="Разведение молочного крупного рогатого скота, производство сырого молока"/>
        <s v="Работы строительные специализированные прочие, не включенные в другие группировки"/>
        <s v="Работы строительные отделочные"/>
        <s v="Работы по сборке и монтажу сборных конструкций"/>
        <s v="Работы по монтажу стальных строительных конструкций"/>
        <s v="Производство, передача и распределение пара и горячей воды; кондиционирование воздуха"/>
        <s v="Производство электромонтажных работ"/>
        <s v="Производство электрических печей"/>
        <s v="Производство штукатурных работ"/>
        <s v="Производство шпона, фанеры, деревянных плит и панелей"/>
        <s v="Производство хлеба и мучных кондитерских изделий, тортов и пирожных недлительного хранения"/>
        <s v="Производство фанеры, деревянных фанерованных панелей и аналогичных слоистых материалов, древесных плит из древесины и других одревесневших материалов"/>
        <s v="Производство строительных металлических конструкций, изделий и их частей"/>
        <s v="Производство строительных металлических конструкций и изделий"/>
        <s v="Производство стальных труб, полых профилей и фитингов"/>
        <s v="Производство стали в слитках"/>
        <s v="Производство соленого, вареного, запеченого, копченого, вяленого и прочего мяса"/>
        <s v="Производство санитарно-технических работ, монтаж отопительных систем и систем кондиционирования воздуха"/>
        <s v="Производство прочих строительно-монтажных работ"/>
        <s v="Производство прочих отделочных и завершающих работ"/>
        <s v="Производство прочих красок, лаков, эмалей и аналогичных материалов для нанесения покрытий, художественных и полиграфических красок"/>
        <s v="Производство промышленных газов"/>
        <s v="Производство пластмассовых изделий, используемых в строительстве"/>
        <s v="Производство пара и горячей воды (тепловой энергии) котельными"/>
        <s v="Производство пара и горячей воды (тепловой энергии)"/>
        <s v="Производство молочной продукции"/>
        <s v="Производство лифтов, скриповых подъемников, эскалаторов и движущихся пешеходных дорожек"/>
        <s v="Производство изделий, не включенных в другие группировки"/>
        <s v="Производство алюминия"/>
        <s v="Предоставление услуг по монтажу, ремонту и демонтажу буровых вышек"/>
        <s v="Предоставление услуг по бурению, связанному с добычей нефти, газа и газового конденсата"/>
        <s v="Предоставление услуг в области добычи нефти и природного газа"/>
        <s v="Предоставление прочих финансовых услуг, кроме услуг по страхованию и пенсионному обеспечению, не включенных в другие группировки"/>
        <s v="Покупка и продажа собственного недвижимого имущества"/>
        <s v="Покупка и продажа земельных участков"/>
        <s v="Подготовка строительной площадки"/>
        <s v="Передача электроэнергии и технологическое присоединение к распределительным электросетям"/>
        <s v="Передача пара и горячей воды (тепловой энергии)"/>
        <s v="Перевозка грузов специализированными автотранспортными средствами"/>
        <s v="Обработка и утилизация опасных отходов"/>
        <s v="Консультирование по вопросам коммерческой деятельности и управления"/>
        <s v="Забор, очистка и распределение воды"/>
        <s v="Животноводство"/>
        <s v="Добыча руд и песков драгоценных металлов и руд редких металлов"/>
        <s v="Деятельность, связанная с использованием вычислительной техники и информационных технологий, прочая"/>
        <s v="Деятельность сухопутного пассажирского транспорта: перевозки пассажиров в городском и пригородном сообщении"/>
        <s v="Деятельность ресторанов и услуги по доставке продуктов питания"/>
        <s v="Деятельность ресторанов и кафе с полным ресторанным обслуживанием, кафетериев, ресторанов быстрого питания и самообслуживания"/>
        <s v="Деятельность прочего сухопутного пассажирского транспорта"/>
        <s v="Деятельность предприятий общественного питания по прочим видам организации питания"/>
        <s v="Деятельность по эксплуатации автомобильных дорог и автомагистралей"/>
        <s v="Деятельность по финансовой аренде (лизингу/сублизингу)"/>
        <s v="Деятельность по складированию и хранению"/>
        <s v="Деятельность по предоставлению услуг телефонной связи"/>
        <s v="Деятельность по предоставлению прочих мест для временного проживания"/>
        <s v="Деятельность по предоставлению прочих вспомогательных услуг для бизнеса, не включенная в другие группировки"/>
        <s v="Деятельность по обеспечению безопасности в чрезвычайных ситуациях; деятельность по обеспечению безопасности в области использования атомной энергии"/>
        <s v="Деятельность по мониторингу загрязнения окружающей среды для физических и юридических лиц"/>
        <s v="Деятельность охранных служб, в том числе частных"/>
        <s v="Деятельность легкового такси и арендованных легковых автомобилей с водителем"/>
        <s v="Деятельность зрелищно-развлекательная прочая, не включенная в другие группировки"/>
        <s v="Деятельность заказчика-застройщика, генерального подрядчика"/>
        <s v="Деятельность геодезическая и картографическая"/>
        <s v="Деятельность вспомогательная, связанная с сухопутным транспортом"/>
        <s v="Деятельность вспомогательная, связанная с автомобильным транспортом"/>
        <s v="Деятельность в области метрологии"/>
        <s v="Деятельность в области медицины прочая, не включенная в другие группировки"/>
        <s v="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"/>
        <s v="Деятельность в области архитектуры, связанная с созданием архитектурного объекта"/>
        <s v="Деятельность в области архитектуры, инженерных изысканий и предоставление технических консультаций в этих областях"/>
        <s v="Деятельность административно-хозяйственная комплексная по обеспечению работы организации"/>
        <s v="Деятельность агентов по оптовой торговле строительными материалами"/>
        <s v="Деятельность агентов по оптовой торговле радио- и телеаппаратурой, техническими носителями информации"/>
        <s v="Деятельность автомобильного грузового транспорта и услуги по перевозкам"/>
        <s v="Деятельность автомобильного грузового транспорта"/>
        <s v="Денежное посредничество прочее"/>
        <s v="Аренда и управление собственным или арендованным нежилым недвижимым имуществом"/>
        <s v="Аренда и управление собственным или арендованным недвижимым имуществом"/>
        <s v="Аренда и лизинг сельскохозяйственных машин и оборудования"/>
        <s v="Аренда и лизинг грузовых транспортных средств"/>
      </sharedItems>
    </cacheField>
    <cacheField name="2020, Основные средства , RUB" numFmtId="3">
      <sharedItems containsString="0" containsBlank="1" containsNumber="1" containsInteger="1" minValue="20000" maxValue="3624804000"/>
    </cacheField>
    <cacheField name="2021, Основные средства , RUB" numFmtId="3">
      <sharedItems containsString="0" containsBlank="1" containsNumber="1" containsInteger="1" minValue="1000" maxValue="912455000"/>
    </cacheField>
    <cacheField name="2022, Основные средства , RUB" numFmtId="3">
      <sharedItems containsString="0" containsBlank="1" containsNumber="1" containsInteger="1" minValue="1000" maxValue="8101090000"/>
    </cacheField>
    <cacheField name="2023, Основные средства , RUB" numFmtId="3">
      <sharedItems containsString="0" containsBlank="1" containsNumber="1" containsInteger="1" minValue="1000" maxValue="439288000"/>
    </cacheField>
    <cacheField name="2024, Основные средства , RUB" numFmtId="3">
      <sharedItems containsString="0" containsBlank="1" containsNumber="1" containsInteger="1" minValue="1000" maxValue="652440000"/>
    </cacheField>
    <cacheField name="2020, Запасы, RUB" numFmtId="3">
      <sharedItems containsString="0" containsBlank="1" containsNumber="1" containsInteger="1" minValue="2000" maxValue="18123730000"/>
    </cacheField>
    <cacheField name="2021, Запасы, RUB" numFmtId="3">
      <sharedItems containsString="0" containsBlank="1" containsNumber="1" containsInteger="1" minValue="5000" maxValue="15562098000"/>
    </cacheField>
    <cacheField name="2022, Запасы, RUB" numFmtId="3">
      <sharedItems containsString="0" containsBlank="1" containsNumber="1" containsInteger="1" minValue="5000" maxValue="10360362000"/>
    </cacheField>
    <cacheField name="2023, Запасы, RUB" numFmtId="3">
      <sharedItems containsString="0" containsBlank="1" containsNumber="1" containsInteger="1" minValue="1000" maxValue="9088150000"/>
    </cacheField>
    <cacheField name="2024, Запасы, RUB" numFmtId="3">
      <sharedItems containsString="0" containsBlank="1" containsNumber="1" containsInteger="1" minValue="1000" maxValue="9081928000"/>
    </cacheField>
    <cacheField name="2020, Дебиторская задолженность, RUB" numFmtId="3">
      <sharedItems containsString="0" containsBlank="1" containsNumber="1" containsInteger="1" minValue="15000" maxValue="27842542000"/>
    </cacheField>
    <cacheField name="2021, Дебиторская задолженность, RUB" numFmtId="3">
      <sharedItems containsString="0" containsBlank="1" containsNumber="1" containsInteger="1" minValue="37000" maxValue="32016168000"/>
    </cacheField>
    <cacheField name="2022, Дебиторская задолженность, RUB" numFmtId="3">
      <sharedItems containsString="0" containsBlank="1" containsNumber="1" containsInteger="1" minValue="3000" maxValue="5335774000"/>
    </cacheField>
    <cacheField name="2023, Дебиторская задолженность, RUB" numFmtId="3">
      <sharedItems containsString="0" containsBlank="1" containsNumber="1" containsInteger="1" minValue="24000" maxValue="5062119000"/>
    </cacheField>
    <cacheField name="2024, Дебиторская задолженность, RUB" numFmtId="3">
      <sharedItems containsString="0" containsBlank="1" containsNumber="1" containsInteger="1" minValue="50000" maxValue="5038140000"/>
    </cacheField>
    <cacheField name="2020, Денежные средства и денежные эквиваленты, RUB" numFmtId="3">
      <sharedItems containsString="0" containsBlank="1" containsNumber="1" containsInteger="1" minValue="1000" maxValue="3297906000"/>
    </cacheField>
    <cacheField name="2021, Денежные средства и денежные эквиваленты, RUB" numFmtId="3">
      <sharedItems containsString="0" containsBlank="1" containsNumber="1" containsInteger="1" minValue="2000" maxValue="3760475000"/>
    </cacheField>
    <cacheField name="2022, Денежные средства и денежные эквиваленты, RUB" numFmtId="3">
      <sharedItems containsString="0" containsBlank="1" containsNumber="1" containsInteger="1" minValue="1000" maxValue="2886181000"/>
    </cacheField>
    <cacheField name="2023, Денежные средства и денежные эквиваленты, RUB" numFmtId="3">
      <sharedItems containsString="0" containsBlank="1" containsNumber="1" containsInteger="1" minValue="1000" maxValue="347935000"/>
    </cacheField>
    <cacheField name="2024, Денежные средства и денежные эквиваленты, RUB" numFmtId="3">
      <sharedItems containsString="0" containsBlank="1" containsNumber="1" containsInteger="1" minValue="1000" maxValue="1077222000"/>
    </cacheField>
    <cacheField name="2020, Уставный капитал , RUB" numFmtId="3">
      <sharedItems containsString="0" containsBlank="1" containsNumber="1" containsInteger="1" minValue="7000" maxValue="1574352000"/>
    </cacheField>
    <cacheField name="2021, Уставный капитал , RUB" numFmtId="3">
      <sharedItems containsString="0" containsBlank="1" containsNumber="1" containsInteger="1" minValue="7000" maxValue="1574352000"/>
    </cacheField>
    <cacheField name="2022, Уставный капитал , RUB" numFmtId="3">
      <sharedItems containsString="0" containsBlank="1" containsNumber="1" containsInteger="1" minValue="7000" maxValue="1574352000"/>
    </cacheField>
    <cacheField name="2023, Уставный капитал , RUB" numFmtId="3">
      <sharedItems containsString="0" containsBlank="1" containsNumber="1" containsInteger="1" minValue="10000" maxValue="1574352000"/>
    </cacheField>
    <cacheField name="2024, Уставный капитал , RUB" numFmtId="3">
      <sharedItems containsString="0" containsBlank="1" containsNumber="1" containsInteger="1" minValue="10000" maxValue="1574352000"/>
    </cacheField>
    <cacheField name="2020, Нераспределенная прибыль (непокрытый убыток), RUB" numFmtId="3">
      <sharedItems containsString="0" containsBlank="1" containsNumber="1" containsInteger="1" minValue="-24949906000" maxValue="6481420000"/>
    </cacheField>
    <cacheField name="2021, Нераспределенная прибыль (непокрытый убыток), RUB" numFmtId="3">
      <sharedItems containsString="0" containsBlank="1" containsNumber="1" containsInteger="1" minValue="-5084850000" maxValue="3628277000"/>
    </cacheField>
    <cacheField name="2022, Нераспределенная прибыль (непокрытый убыток), RUB" numFmtId="3">
      <sharedItems containsString="0" containsBlank="1" containsNumber="1" containsInteger="1" minValue="-44916058000" maxValue="1636796000"/>
    </cacheField>
    <cacheField name="2023, Нераспределенная прибыль (непокрытый убыток), RUB" numFmtId="3">
      <sharedItems containsString="0" containsBlank="1" containsNumber="1" containsInteger="1" minValue="-48297330000" maxValue="329842000"/>
    </cacheField>
    <cacheField name="2024, Нераспределенная прибыль (непокрытый убыток), RUB" numFmtId="3">
      <sharedItems containsString="0" containsBlank="1" containsNumber="1" containsInteger="1" minValue="-48652696000" maxValue="380715000"/>
    </cacheField>
    <cacheField name="2020, Заёмные средства (краткосрочные), RUB" numFmtId="3">
      <sharedItems containsString="0" containsBlank="1" containsNumber="1" containsInteger="1" minValue="1000" maxValue="17591345000"/>
    </cacheField>
    <cacheField name="2021, Заёмные средства (краткосрочные), RUB" numFmtId="3">
      <sharedItems containsString="0" containsBlank="1" containsNumber="1" containsInteger="1" minValue="6000" maxValue="10542639000"/>
    </cacheField>
    <cacheField name="2022, Заёмные средства (краткосрочные), RUB" numFmtId="3">
      <sharedItems containsString="0" containsBlank="1" containsNumber="1" containsInteger="1" minValue="3000" maxValue="10923707000"/>
    </cacheField>
    <cacheField name="2023, Заёмные средства (краткосрочные), RUB" numFmtId="3">
      <sharedItems containsString="0" containsBlank="1" containsNumber="1" containsInteger="1" minValue="3000" maxValue="8016737000"/>
    </cacheField>
    <cacheField name="2024, Заёмные средства (краткосрочные), RUB" numFmtId="3">
      <sharedItems containsString="0" containsBlank="1" containsNumber="1" containsInteger="1" minValue="3000" maxValue="8013422000"/>
    </cacheField>
    <cacheField name="2020, Кредиторская задолженность, RUB" numFmtId="3">
      <sharedItems containsString="0" containsBlank="1" containsNumber="1" containsInteger="1" minValue="74000" maxValue="48981006000"/>
    </cacheField>
    <cacheField name="2021, Кредиторская задолженность, RUB" numFmtId="3">
      <sharedItems containsString="0" containsBlank="1" containsNumber="1" containsInteger="1" minValue="2000" maxValue="54041839000"/>
    </cacheField>
    <cacheField name="2022, Кредиторская задолженность, RUB" numFmtId="3">
      <sharedItems containsString="0" containsBlank="1" containsNumber="1" containsInteger="1" minValue="62000" maxValue="53532029000"/>
    </cacheField>
    <cacheField name="2023, Кредиторская задолженность, RUB" numFmtId="3">
      <sharedItems containsString="0" containsBlank="1" containsNumber="1" containsInteger="1" minValue="22000" maxValue="47499363000"/>
    </cacheField>
    <cacheField name="2024, Кредиторская задолженность, RUB" numFmtId="3">
      <sharedItems containsString="0" containsBlank="1" containsNumber="1" containsInteger="1" minValue="58000" maxValue="47530919000"/>
    </cacheField>
    <cacheField name="2020, Выручка, RUB" numFmtId="3">
      <sharedItems containsString="0" containsBlank="1" containsNumber="1" containsInteger="1" minValue="69000" maxValue="102151702000"/>
    </cacheField>
    <cacheField name="2021, Выручка, RUB" numFmtId="3">
      <sharedItems containsString="0" containsBlank="1" containsNumber="1" containsInteger="1" minValue="43000" maxValue="105462524000"/>
    </cacheField>
    <cacheField name="2022, Выручка, RUB" numFmtId="3">
      <sharedItems containsString="0" containsBlank="1" containsNumber="1" containsInteger="1" minValue="25000" maxValue="56759628000"/>
    </cacheField>
    <cacheField name="2023, Выручка, RUB" numFmtId="3">
      <sharedItems containsString="0" containsBlank="1" containsNumber="1" containsInteger="1" minValue="8000" maxValue="7384425000"/>
    </cacheField>
    <cacheField name="2024, Выручка, RUB" numFmtId="3">
      <sharedItems containsString="0" containsBlank="1" containsNumber="1" containsInteger="1" minValue="7000" maxValue="1055578000"/>
    </cacheField>
    <cacheField name="2020, Себестоимость продаж, RUB" numFmtId="3">
      <sharedItems containsString="0" containsBlank="1" containsNumber="1" containsInteger="1" minValue="2000" maxValue="77585664000"/>
    </cacheField>
    <cacheField name="2021, Себестоимость продаж, RUB" numFmtId="3">
      <sharedItems containsString="0" containsBlank="1" containsNumber="1" containsInteger="1" minValue="107000" maxValue="81463799000"/>
    </cacheField>
    <cacheField name="2022, Себестоимость продаж, RUB" numFmtId="3">
      <sharedItems containsString="0" containsBlank="1" containsNumber="1" containsInteger="1" minValue="1000" maxValue="38316485000"/>
    </cacheField>
    <cacheField name="2023, Себестоимость продаж, RUB" numFmtId="3">
      <sharedItems containsString="0" containsBlank="1" containsNumber="1" containsInteger="1" minValue="62000" maxValue="7323049000"/>
    </cacheField>
    <cacheField name="2024, Себестоимость продаж, RUB" numFmtId="3">
      <sharedItems containsString="0" containsBlank="1" containsNumber="1" containsInteger="1" minValue="13000" maxValue="1023101000"/>
    </cacheField>
    <cacheField name="2020, Коммерческие расходы, RUB" numFmtId="3">
      <sharedItems containsString="0" containsBlank="1" containsNumber="1" containsInteger="1" minValue="2000" maxValue="24126948000"/>
    </cacheField>
    <cacheField name="2021, Коммерческие расходы, RUB" numFmtId="3">
      <sharedItems containsString="0" containsBlank="1" containsNumber="1" containsInteger="1" minValue="25000" maxValue="20197306000"/>
    </cacheField>
    <cacheField name="2022, Коммерческие расходы, RUB" numFmtId="3">
      <sharedItems containsString="0" containsBlank="1" containsNumber="1" containsInteger="1" minValue="89000" maxValue="16003711000"/>
    </cacheField>
    <cacheField name="2023, Коммерческие расходы, RUB" numFmtId="3">
      <sharedItems containsString="0" containsBlank="1" containsNumber="1" containsInteger="1" minValue="43000" maxValue="6648956000"/>
    </cacheField>
    <cacheField name="2024, Коммерческие расходы, RUB" numFmtId="3">
      <sharedItems containsString="0" containsBlank="1" containsNumber="1" containsInteger="1" minValue="2000" maxValue="506665000"/>
    </cacheField>
    <cacheField name="2020, Управленческие расходы, RUB" numFmtId="3">
      <sharedItems containsString="0" containsBlank="1" containsNumber="1" containsInteger="1" minValue="49000" maxValue="630180000"/>
    </cacheField>
    <cacheField name="2021, Управленческие расходы, RUB" numFmtId="3">
      <sharedItems containsString="0" containsBlank="1" containsNumber="1" containsInteger="1" minValue="62000" maxValue="651423000"/>
    </cacheField>
    <cacheField name="2022, Управленческие расходы, RUB" numFmtId="3">
      <sharedItems containsString="0" containsBlank="1" containsNumber="1" containsInteger="1" minValue="9000" maxValue="523791000"/>
    </cacheField>
    <cacheField name="2023, Управленческие расходы, RUB" numFmtId="3">
      <sharedItems containsString="0" containsBlank="1" containsNumber="1" containsInteger="1" minValue="73000" maxValue="409365000"/>
    </cacheField>
    <cacheField name="2024, Управленческие расходы, RUB" numFmtId="3">
      <sharedItems containsString="0" containsBlank="1" containsNumber="1" containsInteger="1" minValue="129000" maxValue="279203000"/>
    </cacheField>
    <cacheField name="2020, Прочие доходы, RUB" numFmtId="3">
      <sharedItems containsString="0" containsBlank="1" containsNumber="1" containsInteger="1" minValue="1000" maxValue="2558364000"/>
    </cacheField>
    <cacheField name="2021, Прочие доходы, RUB" numFmtId="3">
      <sharedItems containsString="0" containsBlank="1" containsNumber="1" containsInteger="1" minValue="1000" maxValue="2531376000"/>
    </cacheField>
    <cacheField name="2022, Прочие доходы, RUB" numFmtId="3">
      <sharedItems containsString="0" containsBlank="1" containsNumber="1" containsInteger="1" minValue="2000" maxValue="2063179000"/>
    </cacheField>
    <cacheField name="2023, Прочие доходы, RUB" numFmtId="3">
      <sharedItems containsString="0" containsBlank="1" containsNumber="1" containsInteger="1" minValue="9000" maxValue="3511891000"/>
    </cacheField>
    <cacheField name="2024, Прочие доходы, RUB" numFmtId="3">
      <sharedItems containsString="0" containsBlank="1" containsNumber="1" containsInteger="1" minValue="1000" maxValue="5425388000"/>
    </cacheField>
    <cacheField name="2020, Прочие расходы, RUB" numFmtId="3">
      <sharedItems containsString="0" containsBlank="1" containsNumber="1" containsInteger="1" minValue="3000" maxValue="11428997000"/>
    </cacheField>
    <cacheField name="2021, Прочие расходы, RUB" numFmtId="3">
      <sharedItems containsString="0" containsBlank="1" containsNumber="1" containsInteger="1" minValue="2000" maxValue="6547565000"/>
    </cacheField>
    <cacheField name="2022, Прочие расходы, RUB" numFmtId="3">
      <sharedItems containsString="0" containsBlank="1" containsNumber="1" containsInteger="1" minValue="3000" maxValue="46396282000"/>
    </cacheField>
    <cacheField name="2023, Прочие расходы, RUB" numFmtId="3">
      <sharedItems containsString="0" containsBlank="1" containsNumber="1" containsInteger="1" minValue="7000" maxValue="3046386000"/>
    </cacheField>
    <cacheField name="2024, Прочие расходы, RUB" numFmtId="3">
      <sharedItems containsString="0" containsBlank="1" containsNumber="1" containsInteger="1" minValue="1000" maxValue="4480512000"/>
    </cacheField>
    <cacheField name="2020, Чистая прибыль (убыток), RUB" numFmtId="3">
      <sharedItems containsString="0" containsBlank="1" containsNumber="1" containsInteger="1" minValue="-11428997000" maxValue="508646000"/>
    </cacheField>
    <cacheField name="2021, Чистая прибыль (убыток), RUB" numFmtId="3">
      <sharedItems containsString="0" containsBlank="1" containsNumber="1" containsInteger="1" minValue="-4351294000" maxValue="1793463000"/>
    </cacheField>
    <cacheField name="2022, Чистая прибыль (убыток), RUB" numFmtId="3">
      <sharedItems containsString="0" containsBlank="1" containsNumber="1" containsInteger="1" minValue="-48544335000" maxValue="198986000"/>
    </cacheField>
    <cacheField name="2023, Чистая прибыль (убыток), RUB" numFmtId="3">
      <sharedItems containsString="0" containsBlank="1" containsNumber="1" containsInteger="1" minValue="-5138293000" maxValue="499498000"/>
    </cacheField>
    <cacheField name="2024, Чистая прибыль (убыток), RUB" numFmtId="3">
      <sharedItems containsString="0" containsBlank="1" containsNumber="1" containsInteger="1" minValue="-1179472000" maxValue="2469183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52">
  <r>
    <x v="0"/>
    <n v="12"/>
    <x v="0"/>
    <m/>
    <m/>
    <m/>
    <m/>
    <m/>
    <m/>
    <m/>
    <m/>
    <m/>
    <m/>
    <n v="3679000"/>
    <n v="4504000"/>
    <n v="4254000"/>
    <n v="3207000"/>
    <n v="2934000"/>
    <n v="530000"/>
    <n v="692000"/>
    <n v="538000"/>
    <n v="501000"/>
    <n v="1000"/>
    <m/>
    <m/>
    <m/>
    <m/>
    <m/>
    <m/>
    <m/>
    <m/>
    <m/>
    <m/>
    <n v="2145000"/>
    <m/>
    <m/>
    <m/>
    <m/>
    <m/>
    <n v="45000"/>
    <n v="62000"/>
    <n v="58000"/>
    <n v="58000"/>
    <n v="10962000"/>
    <n v="14691000"/>
    <n v="1920000"/>
    <n v="1612000"/>
    <m/>
    <n v="9598000"/>
    <n v="10237000"/>
    <n v="1974000"/>
    <n v="2505000"/>
    <n v="279000"/>
    <m/>
    <m/>
    <m/>
    <m/>
    <m/>
    <m/>
    <m/>
    <m/>
    <m/>
    <m/>
    <n v="27000"/>
    <n v="6000"/>
    <n v="7000"/>
    <n v="11000"/>
    <m/>
    <n v="258000"/>
    <n v="130000"/>
    <n v="270000"/>
    <n v="56000"/>
    <n v="9000"/>
    <n v="1133000"/>
    <n v="3826000"/>
    <n v="-420000"/>
    <n v="-1064000"/>
    <n v="-795000"/>
  </r>
  <r>
    <x v="1"/>
    <n v="17"/>
    <x v="1"/>
    <n v="1496000"/>
    <n v="7205000"/>
    <n v="6909000"/>
    <m/>
    <m/>
    <n v="2205000"/>
    <n v="608000"/>
    <n v="500000"/>
    <n v="233000"/>
    <n v="233000"/>
    <n v="38472000"/>
    <n v="14456000"/>
    <n v="7610000"/>
    <n v="17806000"/>
    <n v="14298000"/>
    <n v="17451000"/>
    <n v="12106000"/>
    <n v="1009000"/>
    <n v="307000"/>
    <n v="1062000"/>
    <n v="15000"/>
    <n v="15000"/>
    <n v="15000"/>
    <n v="15000"/>
    <n v="15000"/>
    <n v="25831000"/>
    <n v="-2719000"/>
    <n v="-9356000"/>
    <n v="6816000"/>
    <n v="-722000"/>
    <m/>
    <m/>
    <m/>
    <m/>
    <m/>
    <n v="13228000"/>
    <n v="25791000"/>
    <n v="24330000"/>
    <n v="11515000"/>
    <n v="16300000"/>
    <n v="111609000"/>
    <n v="32742000"/>
    <n v="7778000"/>
    <n v="3700000"/>
    <m/>
    <n v="94923000"/>
    <n v="28040000"/>
    <n v="15221000"/>
    <n v="11887000"/>
    <n v="688000"/>
    <m/>
    <m/>
    <m/>
    <m/>
    <m/>
    <m/>
    <m/>
    <m/>
    <m/>
    <m/>
    <n v="168000"/>
    <n v="1626000"/>
    <n v="2486000"/>
    <n v="19356000"/>
    <n v="11000"/>
    <n v="596000"/>
    <n v="26201000"/>
    <n v="545000"/>
    <n v="8256000"/>
    <n v="6749000"/>
    <n v="14845000"/>
    <n v="-20960000"/>
    <n v="-5625000"/>
    <n v="2790000"/>
    <n v="-7539000"/>
  </r>
  <r>
    <x v="2"/>
    <n v="10"/>
    <x v="1"/>
    <m/>
    <n v="39744000"/>
    <n v="39744000"/>
    <m/>
    <m/>
    <n v="34616000"/>
    <m/>
    <m/>
    <m/>
    <m/>
    <n v="13496000"/>
    <n v="13496000"/>
    <n v="12511000"/>
    <n v="12511000"/>
    <n v="12511000"/>
    <m/>
    <m/>
    <m/>
    <m/>
    <m/>
    <m/>
    <m/>
    <m/>
    <m/>
    <m/>
    <n v="-87698000"/>
    <n v="-83796000"/>
    <n v="-221452000"/>
    <n v="-261792000"/>
    <n v="-261792000"/>
    <m/>
    <m/>
    <m/>
    <m/>
    <m/>
    <n v="6554000"/>
    <n v="4563000"/>
    <m/>
    <m/>
    <m/>
    <m/>
    <m/>
    <m/>
    <m/>
    <m/>
    <m/>
    <m/>
    <m/>
    <m/>
    <m/>
    <m/>
    <m/>
    <m/>
    <m/>
    <m/>
    <m/>
    <m/>
    <m/>
    <m/>
    <m/>
    <m/>
    <n v="3902000"/>
    <m/>
    <m/>
    <m/>
    <m/>
    <m/>
    <n v="144918000"/>
    <n v="40340000"/>
    <m/>
    <m/>
    <n v="3902000"/>
    <n v="-144918000"/>
    <n v="-40340000"/>
    <m/>
  </r>
  <r>
    <x v="3"/>
    <n v="18"/>
    <x v="1"/>
    <m/>
    <m/>
    <m/>
    <m/>
    <m/>
    <n v="2000"/>
    <n v="14000"/>
    <m/>
    <m/>
    <m/>
    <n v="50798000"/>
    <n v="62549000"/>
    <n v="46980000"/>
    <n v="34234000"/>
    <n v="26050000"/>
    <n v="37003000"/>
    <n v="131000"/>
    <n v="519000"/>
    <n v="488000"/>
    <n v="1301000"/>
    <m/>
    <n v="160000"/>
    <n v="160000"/>
    <n v="160000"/>
    <n v="160000"/>
    <m/>
    <n v="560000"/>
    <n v="560000"/>
    <n v="-9405000"/>
    <n v="-15365000"/>
    <m/>
    <m/>
    <m/>
    <m/>
    <m/>
    <n v="47342000"/>
    <n v="12091000"/>
    <n v="41779000"/>
    <n v="43967000"/>
    <n v="42556000"/>
    <n v="115998000"/>
    <n v="85622000"/>
    <m/>
    <m/>
    <m/>
    <n v="100954000"/>
    <n v="62571000"/>
    <m/>
    <m/>
    <m/>
    <m/>
    <m/>
    <m/>
    <m/>
    <m/>
    <m/>
    <m/>
    <m/>
    <m/>
    <m/>
    <n v="33510000"/>
    <n v="2063000"/>
    <m/>
    <m/>
    <m/>
    <n v="55671000"/>
    <n v="14375000"/>
    <m/>
    <n v="9405000"/>
    <n v="5960000"/>
    <n v="-7329000"/>
    <n v="8687000"/>
    <m/>
    <n v="-9405000"/>
    <n v="-5960000"/>
  </r>
  <r>
    <x v="4"/>
    <n v="16"/>
    <x v="1"/>
    <m/>
    <m/>
    <m/>
    <m/>
    <m/>
    <n v="67000"/>
    <m/>
    <m/>
    <m/>
    <m/>
    <n v="3123000"/>
    <n v="93386000"/>
    <m/>
    <m/>
    <m/>
    <n v="270000"/>
    <n v="4114000"/>
    <m/>
    <m/>
    <m/>
    <n v="13000"/>
    <n v="13000"/>
    <m/>
    <m/>
    <m/>
    <n v="-186261000"/>
    <n v="-90345000"/>
    <m/>
    <m/>
    <m/>
    <m/>
    <m/>
    <m/>
    <m/>
    <m/>
    <n v="183559000"/>
    <n v="181748000"/>
    <m/>
    <m/>
    <m/>
    <n v="26517000"/>
    <m/>
    <m/>
    <m/>
    <m/>
    <n v="18849000"/>
    <m/>
    <m/>
    <m/>
    <m/>
    <m/>
    <m/>
    <m/>
    <m/>
    <m/>
    <n v="1353000"/>
    <m/>
    <m/>
    <m/>
    <m/>
    <n v="20425000"/>
    <n v="132179000"/>
    <m/>
    <m/>
    <m/>
    <n v="26550000"/>
    <n v="36250000"/>
    <m/>
    <m/>
    <m/>
    <n v="190000"/>
    <n v="95929000"/>
    <m/>
    <m/>
    <m/>
  </r>
  <r>
    <x v="5"/>
    <n v="30"/>
    <x v="1"/>
    <n v="941000"/>
    <n v="557000"/>
    <n v="318000"/>
    <m/>
    <m/>
    <n v="846000"/>
    <m/>
    <m/>
    <m/>
    <m/>
    <n v="4582000"/>
    <n v="2631000"/>
    <n v="3185000"/>
    <n v="2881000"/>
    <n v="2747000"/>
    <n v="3730000"/>
    <n v="71000"/>
    <n v="5110000"/>
    <n v="1847000"/>
    <n v="962000"/>
    <n v="156000"/>
    <n v="156000"/>
    <n v="156000"/>
    <n v="156000"/>
    <n v="156000"/>
    <n v="-23062000"/>
    <n v="-32063000"/>
    <n v="-30310000"/>
    <n v="-32354000"/>
    <n v="-33423000"/>
    <m/>
    <m/>
    <m/>
    <m/>
    <m/>
    <n v="17781000"/>
    <n v="24777000"/>
    <n v="28515000"/>
    <n v="28017000"/>
    <n v="28101000"/>
    <n v="13987000"/>
    <n v="13120000"/>
    <n v="1376000"/>
    <n v="8000"/>
    <n v="7000"/>
    <n v="11526000"/>
    <n v="12879000"/>
    <n v="5446000"/>
    <m/>
    <m/>
    <m/>
    <m/>
    <m/>
    <m/>
    <m/>
    <n v="8751000"/>
    <n v="8655000"/>
    <n v="1182000"/>
    <n v="1021000"/>
    <n v="973000"/>
    <n v="238000"/>
    <n v="643000"/>
    <n v="18211000"/>
    <m/>
    <m/>
    <n v="192000"/>
    <n v="217000"/>
    <n v="442000"/>
    <n v="571000"/>
    <n v="64000"/>
    <n v="-5980000"/>
    <n v="-7905000"/>
    <n v="10788000"/>
    <n v="-1726000"/>
    <n v="-1069000"/>
  </r>
  <r>
    <x v="6"/>
    <n v="18"/>
    <x v="1"/>
    <m/>
    <m/>
    <m/>
    <m/>
    <m/>
    <m/>
    <m/>
    <m/>
    <m/>
    <m/>
    <n v="29978000"/>
    <n v="40222000"/>
    <n v="39642000"/>
    <n v="37340000"/>
    <n v="35920000"/>
    <n v="1755000"/>
    <n v="1582000"/>
    <n v="1776000"/>
    <n v="1333000"/>
    <n v="563000"/>
    <n v="10000"/>
    <n v="10000"/>
    <n v="10000"/>
    <n v="10000"/>
    <n v="10000"/>
    <n v="-67998000"/>
    <n v="-13291000"/>
    <n v="-13291000"/>
    <n v="-13291000"/>
    <n v="-13291000"/>
    <n v="99721000"/>
    <m/>
    <m/>
    <m/>
    <m/>
    <m/>
    <n v="55085000"/>
    <n v="54699000"/>
    <n v="51954000"/>
    <n v="49764000"/>
    <m/>
    <m/>
    <m/>
    <m/>
    <m/>
    <m/>
    <m/>
    <m/>
    <m/>
    <m/>
    <m/>
    <m/>
    <m/>
    <m/>
    <m/>
    <m/>
    <n v="1105000"/>
    <m/>
    <m/>
    <m/>
    <m/>
    <m/>
    <m/>
    <m/>
    <m/>
    <n v="373000"/>
    <m/>
    <m/>
    <m/>
    <m/>
    <n v="-373000"/>
    <n v="-1105000"/>
    <m/>
    <m/>
    <m/>
  </r>
  <r>
    <x v="7"/>
    <n v="20"/>
    <x v="1"/>
    <m/>
    <m/>
    <m/>
    <m/>
    <m/>
    <m/>
    <m/>
    <m/>
    <m/>
    <m/>
    <n v="29931000"/>
    <n v="26551000"/>
    <n v="25385000"/>
    <n v="23563000"/>
    <n v="21295000"/>
    <n v="104000"/>
    <n v="1088000"/>
    <n v="345000"/>
    <n v="27000"/>
    <n v="82000"/>
    <m/>
    <m/>
    <m/>
    <m/>
    <m/>
    <m/>
    <m/>
    <m/>
    <m/>
    <m/>
    <m/>
    <m/>
    <m/>
    <m/>
    <m/>
    <n v="53843000"/>
    <n v="52960000"/>
    <n v="52165000"/>
    <n v="50591000"/>
    <n v="48749000"/>
    <n v="111000"/>
    <m/>
    <m/>
    <m/>
    <m/>
    <n v="127000"/>
    <m/>
    <m/>
    <m/>
    <m/>
    <m/>
    <m/>
    <m/>
    <m/>
    <m/>
    <m/>
    <m/>
    <m/>
    <m/>
    <m/>
    <m/>
    <m/>
    <m/>
    <m/>
    <m/>
    <n v="9587000"/>
    <n v="1513000"/>
    <n v="1114000"/>
    <n v="566000"/>
    <n v="371000"/>
    <n v="-9671000"/>
    <n v="-1513000"/>
    <n v="-1114000"/>
    <n v="-566000"/>
    <n v="-371000"/>
  </r>
  <r>
    <x v="8"/>
    <n v="14"/>
    <x v="1"/>
    <m/>
    <m/>
    <m/>
    <m/>
    <m/>
    <n v="28000"/>
    <n v="40000"/>
    <n v="55000"/>
    <n v="51000"/>
    <n v="48000"/>
    <n v="30317000"/>
    <n v="36012000"/>
    <n v="32511000"/>
    <n v="28476000"/>
    <n v="15196000"/>
    <n v="66000"/>
    <n v="916000"/>
    <n v="78000"/>
    <n v="125000"/>
    <n v="42000"/>
    <m/>
    <m/>
    <m/>
    <m/>
    <m/>
    <m/>
    <m/>
    <m/>
    <m/>
    <m/>
    <m/>
    <m/>
    <m/>
    <m/>
    <m/>
    <n v="21618000"/>
    <n v="25358000"/>
    <n v="23016000"/>
    <n v="21916000"/>
    <n v="14648000"/>
    <n v="12855000"/>
    <n v="7744000"/>
    <m/>
    <m/>
    <m/>
    <n v="11697000"/>
    <n v="5443000"/>
    <n v="1347000"/>
    <n v="1166000"/>
    <n v="1197000"/>
    <m/>
    <m/>
    <m/>
    <m/>
    <m/>
    <m/>
    <m/>
    <m/>
    <m/>
    <m/>
    <n v="124000"/>
    <n v="98000"/>
    <n v="16000"/>
    <n v="137000"/>
    <n v="129000"/>
    <n v="3000"/>
    <n v="143000"/>
    <n v="613000"/>
    <n v="1779000"/>
    <n v="4886000"/>
    <n v="1150000"/>
    <n v="2083000"/>
    <n v="-1964000"/>
    <n v="-2854000"/>
    <n v="-5993000"/>
  </r>
  <r>
    <x v="9"/>
    <n v="14"/>
    <x v="1"/>
    <m/>
    <m/>
    <m/>
    <m/>
    <m/>
    <n v="41000"/>
    <m/>
    <m/>
    <m/>
    <m/>
    <n v="22978000"/>
    <n v="15371000"/>
    <n v="6136000"/>
    <n v="4639000"/>
    <n v="1118000"/>
    <n v="11335000"/>
    <m/>
    <m/>
    <m/>
    <m/>
    <n v="10000"/>
    <n v="10000"/>
    <n v="10000"/>
    <n v="10000"/>
    <n v="10000"/>
    <n v="-9157000"/>
    <n v="-10368000"/>
    <n v="-12020000"/>
    <n v="-12020000"/>
    <n v="-12020000"/>
    <m/>
    <m/>
    <m/>
    <m/>
    <m/>
    <n v="23920000"/>
    <n v="16472000"/>
    <n v="18146000"/>
    <n v="16649000"/>
    <n v="13128000"/>
    <n v="4808000"/>
    <m/>
    <m/>
    <m/>
    <m/>
    <n v="2081000"/>
    <m/>
    <m/>
    <m/>
    <m/>
    <m/>
    <m/>
    <m/>
    <m/>
    <m/>
    <n v="3038000"/>
    <n v="1211000"/>
    <m/>
    <m/>
    <m/>
    <n v="600000"/>
    <m/>
    <m/>
    <m/>
    <m/>
    <n v="835000"/>
    <m/>
    <n v="1652000"/>
    <m/>
    <m/>
    <n v="-546000"/>
    <n v="-1211000"/>
    <n v="-1652000"/>
    <m/>
    <m/>
  </r>
  <r>
    <x v="10"/>
    <n v="10"/>
    <x v="1"/>
    <m/>
    <m/>
    <m/>
    <m/>
    <m/>
    <n v="213000"/>
    <m/>
    <m/>
    <m/>
    <m/>
    <n v="12528000"/>
    <m/>
    <n v="11759000"/>
    <n v="10291000"/>
    <n v="9934000"/>
    <m/>
    <m/>
    <m/>
    <m/>
    <n v="26000"/>
    <n v="10000"/>
    <m/>
    <m/>
    <m/>
    <m/>
    <n v="-5754000"/>
    <m/>
    <m/>
    <m/>
    <m/>
    <m/>
    <m/>
    <n v="144000"/>
    <n v="144000"/>
    <n v="237000"/>
    <n v="18341000"/>
    <m/>
    <n v="19267000"/>
    <n v="18989000"/>
    <n v="19044000"/>
    <n v="23416000"/>
    <m/>
    <m/>
    <m/>
    <m/>
    <n v="20999000"/>
    <m/>
    <n v="1509000"/>
    <n v="1168000"/>
    <n v="473000"/>
    <m/>
    <m/>
    <m/>
    <m/>
    <m/>
    <n v="5609000"/>
    <m/>
    <m/>
    <m/>
    <m/>
    <n v="128000"/>
    <m/>
    <m/>
    <m/>
    <m/>
    <n v="2169000"/>
    <m/>
    <n v="4000"/>
    <n v="7000"/>
    <n v="3000"/>
    <n v="-5233000"/>
    <m/>
    <n v="-1519000"/>
    <n v="-1189000"/>
    <n v="-480000"/>
  </r>
  <r>
    <x v="11"/>
    <n v="13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n v="13"/>
    <x v="1"/>
    <m/>
    <m/>
    <m/>
    <m/>
    <m/>
    <m/>
    <m/>
    <m/>
    <m/>
    <m/>
    <n v="6583000"/>
    <n v="5496000"/>
    <n v="2008000"/>
    <n v="345000"/>
    <n v="846000"/>
    <n v="183000"/>
    <n v="286000"/>
    <n v="229000"/>
    <n v="37000"/>
    <n v="114000"/>
    <m/>
    <m/>
    <m/>
    <m/>
    <m/>
    <m/>
    <m/>
    <m/>
    <m/>
    <m/>
    <m/>
    <m/>
    <m/>
    <m/>
    <m/>
    <n v="29748000"/>
    <n v="29804000"/>
    <n v="29104000"/>
    <n v="27535000"/>
    <n v="25389000"/>
    <n v="7800000"/>
    <n v="576000"/>
    <m/>
    <m/>
    <m/>
    <n v="8870000"/>
    <n v="364000"/>
    <m/>
    <m/>
    <m/>
    <m/>
    <m/>
    <m/>
    <m/>
    <m/>
    <m/>
    <m/>
    <m/>
    <m/>
    <m/>
    <m/>
    <m/>
    <m/>
    <m/>
    <m/>
    <n v="3682000"/>
    <n v="1616000"/>
    <n v="2845000"/>
    <n v="1286000"/>
    <n v="400000"/>
    <n v="-4752000"/>
    <n v="-1404000"/>
    <n v="-2845000"/>
    <n v="-1286000"/>
    <n v="-400000"/>
  </r>
  <r>
    <x v="13"/>
    <n v="9"/>
    <x v="1"/>
    <m/>
    <m/>
    <m/>
    <m/>
    <m/>
    <m/>
    <m/>
    <n v="10000"/>
    <m/>
    <m/>
    <n v="48179000"/>
    <n v="46471000"/>
    <n v="43818000"/>
    <n v="43315000"/>
    <m/>
    <n v="6205000"/>
    <n v="1177000"/>
    <n v="1130000"/>
    <n v="123000"/>
    <m/>
    <m/>
    <m/>
    <m/>
    <m/>
    <m/>
    <n v="1199000"/>
    <n v="42000"/>
    <n v="-465000"/>
    <n v="-1080000"/>
    <m/>
    <m/>
    <m/>
    <m/>
    <m/>
    <m/>
    <n v="40268000"/>
    <n v="40717000"/>
    <n v="40108000"/>
    <n v="42016000"/>
    <m/>
    <n v="49196000"/>
    <n v="23407000"/>
    <n v="8664000"/>
    <n v="3349000"/>
    <m/>
    <n v="29601000"/>
    <n v="15977000"/>
    <n v="5411000"/>
    <n v="1945000"/>
    <m/>
    <m/>
    <m/>
    <m/>
    <m/>
    <m/>
    <n v="9318000"/>
    <n v="7036000"/>
    <n v="3791000"/>
    <n v="2372000"/>
    <m/>
    <n v="347000"/>
    <n v="1114000"/>
    <m/>
    <n v="380000"/>
    <m/>
    <n v="5336000"/>
    <n v="2182000"/>
    <n v="9000"/>
    <n v="29000"/>
    <m/>
    <n v="4480000"/>
    <n v="-464000"/>
    <n v="-507000"/>
    <n v="-615000"/>
    <m/>
  </r>
  <r>
    <x v="14"/>
    <n v="14"/>
    <x v="1"/>
    <m/>
    <m/>
    <m/>
    <m/>
    <m/>
    <n v="3000"/>
    <n v="572000"/>
    <m/>
    <m/>
    <m/>
    <n v="123293000"/>
    <n v="125411000"/>
    <n v="98648000"/>
    <n v="88179000"/>
    <n v="80125000"/>
    <n v="4114000"/>
    <n v="725000"/>
    <n v="10000"/>
    <n v="220000"/>
    <n v="393000"/>
    <n v="10000"/>
    <n v="10000"/>
    <n v="10000"/>
    <n v="10000"/>
    <n v="10000"/>
    <n v="-25488000"/>
    <n v="-25929000"/>
    <n v="-28969000"/>
    <n v="-28969000"/>
    <n v="-31963000"/>
    <m/>
    <m/>
    <m/>
    <m/>
    <m/>
    <n v="130630000"/>
    <n v="130417000"/>
    <n v="127617000"/>
    <n v="117358000"/>
    <n v="112471000"/>
    <n v="21533000"/>
    <n v="384000"/>
    <m/>
    <m/>
    <m/>
    <n v="17112000"/>
    <n v="385000"/>
    <m/>
    <m/>
    <m/>
    <m/>
    <m/>
    <m/>
    <m/>
    <m/>
    <n v="9574000"/>
    <n v="133000"/>
    <m/>
    <m/>
    <m/>
    <n v="2452000"/>
    <n v="1000"/>
    <m/>
    <m/>
    <m/>
    <n v="3771000"/>
    <n v="308000"/>
    <n v="3040401000"/>
    <m/>
    <n v="2994000"/>
    <n v="-6472000"/>
    <n v="-441000"/>
    <n v="-3040401000"/>
    <m/>
    <n v="-2994000"/>
  </r>
  <r>
    <x v="15"/>
    <n v="17"/>
    <x v="1"/>
    <m/>
    <m/>
    <m/>
    <m/>
    <m/>
    <m/>
    <m/>
    <m/>
    <m/>
    <m/>
    <n v="158606000"/>
    <n v="140746000"/>
    <n v="134494000"/>
    <n v="129797000"/>
    <n v="129097000"/>
    <n v="3045000"/>
    <n v="5598000"/>
    <n v="1280000"/>
    <n v="1175000"/>
    <n v="646000"/>
    <n v="1010000"/>
    <n v="1010000"/>
    <n v="1010000"/>
    <n v="1010000"/>
    <n v="1010000"/>
    <n v="-60975000"/>
    <n v="-62543000"/>
    <n v="-64062000"/>
    <n v="-64062000"/>
    <n v="-64062000"/>
    <m/>
    <m/>
    <m/>
    <m/>
    <m/>
    <n v="221616000"/>
    <n v="207877000"/>
    <n v="198826000"/>
    <n v="194024000"/>
    <n v="192795000"/>
    <m/>
    <m/>
    <m/>
    <m/>
    <m/>
    <m/>
    <m/>
    <m/>
    <m/>
    <m/>
    <m/>
    <m/>
    <m/>
    <m/>
    <m/>
    <m/>
    <m/>
    <m/>
    <m/>
    <m/>
    <m/>
    <m/>
    <m/>
    <m/>
    <m/>
    <n v="1584000"/>
    <n v="1568000"/>
    <n v="1519000"/>
    <m/>
    <m/>
    <n v="-1584000"/>
    <n v="-1568000"/>
    <n v="-1519000"/>
    <m/>
    <m/>
  </r>
  <r>
    <x v="16"/>
    <n v="12"/>
    <x v="1"/>
    <m/>
    <m/>
    <m/>
    <m/>
    <m/>
    <m/>
    <m/>
    <m/>
    <m/>
    <m/>
    <n v="33551000"/>
    <n v="28952000"/>
    <n v="26481000"/>
    <n v="24906000"/>
    <n v="23763000"/>
    <n v="563000"/>
    <n v="150000"/>
    <n v="1356000"/>
    <n v="1298000"/>
    <n v="1088000"/>
    <m/>
    <m/>
    <m/>
    <m/>
    <m/>
    <m/>
    <m/>
    <m/>
    <m/>
    <m/>
    <m/>
    <m/>
    <m/>
    <m/>
    <m/>
    <n v="39642000"/>
    <n v="35806000"/>
    <n v="35987000"/>
    <n v="35185000"/>
    <n v="34499000"/>
    <m/>
    <m/>
    <m/>
    <m/>
    <m/>
    <m/>
    <m/>
    <m/>
    <m/>
    <m/>
    <m/>
    <m/>
    <m/>
    <m/>
    <m/>
    <m/>
    <m/>
    <m/>
    <m/>
    <m/>
    <m/>
    <m/>
    <m/>
    <m/>
    <m/>
    <n v="1770000"/>
    <n v="1176000"/>
    <n v="1265000"/>
    <n v="831000"/>
    <n v="667000"/>
    <n v="-1822000"/>
    <n v="-1176000"/>
    <n v="-1446000"/>
    <n v="-831000"/>
    <n v="-667000"/>
  </r>
  <r>
    <x v="17"/>
    <n v="19"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8"/>
    <n v="16"/>
    <x v="2"/>
    <m/>
    <m/>
    <m/>
    <m/>
    <m/>
    <n v="813000"/>
    <n v="613000"/>
    <n v="457000"/>
    <n v="941000"/>
    <m/>
    <n v="20211000"/>
    <n v="24692000"/>
    <n v="27641000"/>
    <n v="23567000"/>
    <n v="17907000"/>
    <m/>
    <m/>
    <m/>
    <n v="2000"/>
    <n v="39000"/>
    <m/>
    <m/>
    <m/>
    <m/>
    <n v="10000"/>
    <m/>
    <m/>
    <m/>
    <m/>
    <n v="-165000"/>
    <m/>
    <m/>
    <m/>
    <m/>
    <m/>
    <n v="10000000"/>
    <n v="16781000"/>
    <n v="21395000"/>
    <n v="18470000"/>
    <n v="18101000"/>
    <n v="42410000"/>
    <n v="43195000"/>
    <n v="41441000"/>
    <n v="42381000"/>
    <n v="7775000"/>
    <n v="40295000"/>
    <n v="44511000"/>
    <n v="43733000"/>
    <n v="42621000"/>
    <n v="13210000"/>
    <m/>
    <m/>
    <m/>
    <m/>
    <m/>
    <m/>
    <m/>
    <m/>
    <m/>
    <m/>
    <n v="3263000"/>
    <n v="3462000"/>
    <n v="2787000"/>
    <m/>
    <m/>
    <n v="2016000"/>
    <n v="4214000"/>
    <n v="1885000"/>
    <m/>
    <n v="760000"/>
    <n v="2969000"/>
    <n v="-2500000"/>
    <n v="-1821000"/>
    <n v="-663000"/>
    <n v="-6195000"/>
  </r>
  <r>
    <x v="19"/>
    <n v="21"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07619000"/>
    <n v="209797000"/>
    <n v="211625000"/>
    <n v="212881000"/>
    <n v="213870000"/>
    <m/>
    <m/>
    <m/>
    <m/>
    <m/>
    <n v="2037000"/>
    <n v="1745000"/>
    <n v="1414000"/>
    <n v="856000"/>
    <n v="592000"/>
    <m/>
    <m/>
    <m/>
    <m/>
    <m/>
    <m/>
    <m/>
    <m/>
    <m/>
    <m/>
    <m/>
    <m/>
    <m/>
    <m/>
    <m/>
    <n v="2122000"/>
    <n v="433000"/>
    <n v="414000"/>
    <n v="400000"/>
    <n v="397000"/>
    <n v="-4159000"/>
    <n v="-2178000"/>
    <n v="-1828000"/>
    <n v="-1256000"/>
    <n v="-989000"/>
  </r>
  <r>
    <x v="20"/>
    <n v="11"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1"/>
    <n v="11"/>
    <x v="2"/>
    <m/>
    <m/>
    <m/>
    <m/>
    <m/>
    <m/>
    <m/>
    <m/>
    <m/>
    <m/>
    <m/>
    <m/>
    <m/>
    <m/>
    <m/>
    <n v="1094000"/>
    <n v="306000"/>
    <n v="407000"/>
    <n v="139000"/>
    <m/>
    <m/>
    <m/>
    <m/>
    <m/>
    <m/>
    <m/>
    <m/>
    <m/>
    <m/>
    <m/>
    <m/>
    <m/>
    <m/>
    <m/>
    <m/>
    <n v="50885000"/>
    <n v="55646000"/>
    <n v="56279000"/>
    <n v="56463000"/>
    <m/>
    <m/>
    <m/>
    <m/>
    <m/>
    <m/>
    <n v="120000"/>
    <n v="107000"/>
    <n v="143000"/>
    <n v="62000"/>
    <m/>
    <m/>
    <m/>
    <m/>
    <m/>
    <m/>
    <m/>
    <m/>
    <m/>
    <m/>
    <m/>
    <m/>
    <m/>
    <m/>
    <m/>
    <m/>
    <n v="591000"/>
    <n v="5442000"/>
    <n v="389000"/>
    <n v="390000"/>
    <m/>
    <n v="-711000"/>
    <n v="-5549000"/>
    <n v="-532000"/>
    <n v="-452000"/>
    <m/>
  </r>
  <r>
    <x v="22"/>
    <n v="4"/>
    <x v="2"/>
    <m/>
    <m/>
    <m/>
    <m/>
    <m/>
    <m/>
    <n v="10000"/>
    <n v="10000"/>
    <n v="10000"/>
    <n v="10000"/>
    <m/>
    <m/>
    <n v="32267000"/>
    <n v="71479000"/>
    <n v="71479000"/>
    <m/>
    <m/>
    <m/>
    <n v="5000"/>
    <n v="5000"/>
    <m/>
    <m/>
    <m/>
    <m/>
    <m/>
    <m/>
    <m/>
    <m/>
    <m/>
    <m/>
    <m/>
    <m/>
    <n v="184000"/>
    <n v="234000"/>
    <n v="234000"/>
    <m/>
    <n v="2000"/>
    <n v="28446000"/>
    <n v="63548000"/>
    <n v="63548000"/>
    <m/>
    <m/>
    <n v="32338000"/>
    <n v="39262000"/>
    <m/>
    <m/>
    <m/>
    <n v="28697000"/>
    <n v="35196000"/>
    <m/>
    <m/>
    <m/>
    <m/>
    <m/>
    <m/>
    <m/>
    <m/>
    <m/>
    <m/>
    <m/>
    <m/>
    <m/>
    <m/>
    <m/>
    <m/>
    <m/>
    <n v="2000"/>
    <n v="3000"/>
    <m/>
    <m/>
    <m/>
    <n v="-2000"/>
    <n v="3638000"/>
    <n v="4065000"/>
    <m/>
  </r>
  <r>
    <x v="23"/>
    <n v="14"/>
    <x v="2"/>
    <m/>
    <m/>
    <m/>
    <m/>
    <m/>
    <n v="993000"/>
    <m/>
    <m/>
    <m/>
    <m/>
    <n v="55857000"/>
    <n v="51701000"/>
    <n v="47893000"/>
    <n v="21396000"/>
    <n v="20358000"/>
    <n v="3929000"/>
    <m/>
    <m/>
    <m/>
    <m/>
    <n v="10000"/>
    <n v="10000"/>
    <n v="10000"/>
    <n v="10000"/>
    <n v="10000"/>
    <n v="-15763000"/>
    <n v="-55021000"/>
    <n v="-56682000"/>
    <n v="-83179000"/>
    <n v="-83179000"/>
    <m/>
    <m/>
    <m/>
    <m/>
    <m/>
    <n v="77407000"/>
    <n v="106712000"/>
    <n v="104565000"/>
    <n v="104565000"/>
    <n v="103527000"/>
    <n v="101000"/>
    <m/>
    <m/>
    <m/>
    <m/>
    <n v="2000"/>
    <m/>
    <m/>
    <m/>
    <m/>
    <m/>
    <m/>
    <m/>
    <m/>
    <m/>
    <n v="3692000"/>
    <n v="39258000"/>
    <m/>
    <m/>
    <m/>
    <n v="16000"/>
    <m/>
    <m/>
    <m/>
    <m/>
    <n v="22000"/>
    <m/>
    <n v="1661000"/>
    <n v="26498000"/>
    <m/>
    <n v="-3599000"/>
    <n v="-39258000"/>
    <n v="-1661000"/>
    <n v="-26498000"/>
    <m/>
  </r>
  <r>
    <x v="24"/>
    <n v="17"/>
    <x v="2"/>
    <m/>
    <m/>
    <n v="20000"/>
    <m/>
    <m/>
    <n v="13000"/>
    <n v="11000"/>
    <n v="9000"/>
    <m/>
    <m/>
    <n v="200810000"/>
    <n v="279592000"/>
    <n v="273573000"/>
    <m/>
    <m/>
    <n v="7249000"/>
    <n v="506000"/>
    <n v="156000"/>
    <m/>
    <m/>
    <n v="10000"/>
    <n v="10000"/>
    <n v="10000"/>
    <m/>
    <m/>
    <n v="-2230000"/>
    <n v="-219536000"/>
    <n v="-224466000"/>
    <m/>
    <m/>
    <m/>
    <m/>
    <m/>
    <m/>
    <m/>
    <n v="226820000"/>
    <n v="516748000"/>
    <n v="516306000"/>
    <m/>
    <m/>
    <n v="108190000"/>
    <n v="59010000"/>
    <n v="26298000"/>
    <m/>
    <m/>
    <n v="111821000"/>
    <n v="63240000"/>
    <n v="31809000"/>
    <m/>
    <m/>
    <m/>
    <m/>
    <m/>
    <m/>
    <m/>
    <m/>
    <m/>
    <m/>
    <m/>
    <m/>
    <n v="974000"/>
    <n v="51825000"/>
    <n v="1034000"/>
    <m/>
    <m/>
    <n v="2327000"/>
    <n v="329912000"/>
    <n v="1659000"/>
    <m/>
    <m/>
    <n v="-3958000"/>
    <n v="-217306000"/>
    <n v="-4957000"/>
    <m/>
    <m/>
  </r>
  <r>
    <x v="25"/>
    <n v="12"/>
    <x v="2"/>
    <n v="52000"/>
    <m/>
    <m/>
    <m/>
    <m/>
    <n v="102000"/>
    <n v="13000"/>
    <n v="6000"/>
    <n v="3000"/>
    <n v="1000"/>
    <n v="220906000"/>
    <n v="191267000"/>
    <n v="135934000"/>
    <n v="129999000"/>
    <n v="114467000"/>
    <n v="554000"/>
    <n v="34000"/>
    <n v="13000"/>
    <n v="433000"/>
    <n v="9187000"/>
    <n v="10000"/>
    <n v="10000"/>
    <n v="10000"/>
    <n v="10000"/>
    <n v="10000"/>
    <n v="-41025000"/>
    <n v="-52930000"/>
    <n v="-66434000"/>
    <n v="-69898000"/>
    <n v="-88375000"/>
    <n v="1002000"/>
    <m/>
    <n v="5232000"/>
    <n v="12386000"/>
    <n v="12809000"/>
    <n v="232114000"/>
    <n v="236844000"/>
    <n v="197479000"/>
    <n v="188506000"/>
    <n v="196375000"/>
    <n v="562247000"/>
    <n v="295436000"/>
    <n v="142275000"/>
    <n v="102835000"/>
    <n v="22189000"/>
    <n v="529895000"/>
    <n v="283286000"/>
    <n v="130887000"/>
    <n v="96286000"/>
    <n v="17022000"/>
    <m/>
    <m/>
    <m/>
    <m/>
    <m/>
    <n v="29640000"/>
    <n v="21231000"/>
    <n v="14387000"/>
    <n v="11241000"/>
    <n v="4392000"/>
    <n v="17495000"/>
    <n v="26951000"/>
    <n v="75355000"/>
    <n v="49107000"/>
    <n v="14147000"/>
    <n v="21096000"/>
    <n v="28912000"/>
    <n v="85555000"/>
    <n v="46475000"/>
    <n v="34397000"/>
    <n v="-4072000"/>
    <n v="-11905000"/>
    <n v="-13504000"/>
    <n v="-3464000"/>
    <n v="-18477000"/>
  </r>
  <r>
    <x v="26"/>
    <n v="19"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08469000"/>
    <n v="311472000"/>
    <n v="314638000"/>
    <n v="316401000"/>
    <n v="317564000"/>
    <m/>
    <m/>
    <m/>
    <m/>
    <m/>
    <n v="2591000"/>
    <n v="2489000"/>
    <n v="2714000"/>
    <n v="1260000"/>
    <n v="740000"/>
    <m/>
    <m/>
    <m/>
    <m/>
    <m/>
    <m/>
    <m/>
    <m/>
    <m/>
    <m/>
    <m/>
    <m/>
    <m/>
    <m/>
    <m/>
    <n v="418000"/>
    <n v="514000"/>
    <n v="452000"/>
    <n v="503000"/>
    <n v="423000"/>
    <n v="-3009000"/>
    <n v="-3003000"/>
    <n v="-3166000"/>
    <n v="-1763000"/>
    <n v="-1163000"/>
  </r>
  <r>
    <x v="27"/>
    <n v="13"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8"/>
    <n v="6"/>
    <x v="3"/>
    <n v="29698000"/>
    <n v="51507000"/>
    <n v="34104000"/>
    <n v="39432000"/>
    <n v="133332000"/>
    <n v="505000"/>
    <n v="104000"/>
    <n v="94000"/>
    <n v="48000"/>
    <n v="210000"/>
    <n v="12233000"/>
    <n v="13023000"/>
    <n v="20933000"/>
    <n v="24929000"/>
    <n v="24759000"/>
    <n v="277000"/>
    <n v="265000"/>
    <n v="373000"/>
    <n v="75000"/>
    <n v="893000"/>
    <n v="300000"/>
    <n v="750000"/>
    <n v="750000"/>
    <n v="750000"/>
    <n v="750000"/>
    <n v="5348000"/>
    <n v="-140000"/>
    <n v="-7968000"/>
    <n v="-5172000"/>
    <n v="9954000"/>
    <n v="14395000"/>
    <n v="19196000"/>
    <n v="16301000"/>
    <n v="17438000"/>
    <n v="5291000"/>
    <n v="9652000"/>
    <n v="8726000"/>
    <n v="15209000"/>
    <n v="19488000"/>
    <n v="6303000"/>
    <n v="132408000"/>
    <n v="127412000"/>
    <n v="125394000"/>
    <n v="107752000"/>
    <n v="147259000"/>
    <n v="89138000"/>
    <n v="97109000"/>
    <n v="106792000"/>
    <n v="90610000"/>
    <n v="117854000"/>
    <m/>
    <m/>
    <m/>
    <m/>
    <m/>
    <n v="29341000"/>
    <n v="33830000"/>
    <n v="16114000"/>
    <n v="13149000"/>
    <n v="24971000"/>
    <n v="11000"/>
    <n v="5139000"/>
    <n v="7931000"/>
    <n v="2932000"/>
    <n v="20041000"/>
    <n v="1312000"/>
    <n v="5942000"/>
    <n v="17064000"/>
    <n v="6916000"/>
    <n v="5767000"/>
    <n v="9882000"/>
    <n v="-5505000"/>
    <n v="-7968000"/>
    <n v="-2796000"/>
    <n v="15049000"/>
  </r>
  <r>
    <x v="29"/>
    <n v="9"/>
    <x v="4"/>
    <m/>
    <m/>
    <m/>
    <m/>
    <m/>
    <m/>
    <m/>
    <m/>
    <m/>
    <m/>
    <m/>
    <m/>
    <n v="18718000"/>
    <n v="14170000"/>
    <n v="10733000"/>
    <m/>
    <m/>
    <n v="3326000"/>
    <n v="241000"/>
    <n v="225000"/>
    <m/>
    <m/>
    <m/>
    <m/>
    <m/>
    <m/>
    <m/>
    <m/>
    <m/>
    <m/>
    <m/>
    <m/>
    <m/>
    <m/>
    <m/>
    <m/>
    <m/>
    <n v="18830000"/>
    <n v="11197000"/>
    <n v="14883000"/>
    <m/>
    <m/>
    <n v="23571000"/>
    <m/>
    <m/>
    <m/>
    <m/>
    <n v="15891000"/>
    <m/>
    <m/>
    <m/>
    <m/>
    <m/>
    <m/>
    <m/>
    <m/>
    <m/>
    <m/>
    <m/>
    <m/>
    <m/>
    <m/>
    <n v="203000"/>
    <m/>
    <m/>
    <m/>
    <m/>
    <n v="667000"/>
    <m/>
    <n v="7139000"/>
    <m/>
    <m/>
    <n v="6503000"/>
    <m/>
    <n v="-7139000"/>
  </r>
  <r>
    <x v="30"/>
    <n v="20"/>
    <x v="5"/>
    <n v="945364000"/>
    <n v="912455000"/>
    <n v="8101090000"/>
    <n v="425628000"/>
    <n v="312210000"/>
    <n v="14359920000"/>
    <n v="15123264000"/>
    <n v="4414615000"/>
    <n v="3413685000"/>
    <n v="3488787000"/>
    <n v="27842542000"/>
    <n v="32016168000"/>
    <n v="4243988000"/>
    <n v="2385946000"/>
    <n v="2357946000"/>
    <n v="3297906000"/>
    <n v="3760475000"/>
    <n v="1224940000"/>
    <n v="24524000"/>
    <n v="55835000"/>
    <n v="32143000"/>
    <n v="32143000"/>
    <n v="32143000"/>
    <n v="32143000"/>
    <n v="32143000"/>
    <n v="3612998000"/>
    <n v="3628277000"/>
    <n v="-44916058000"/>
    <n v="-48297330000"/>
    <n v="-48652696000"/>
    <n v="17591345000"/>
    <n v="10542639000"/>
    <m/>
    <n v="8012792000"/>
    <n v="8013422000"/>
    <n v="48981006000"/>
    <n v="54041839000"/>
    <n v="53532029000"/>
    <n v="47499363000"/>
    <n v="47530919000"/>
    <n v="102151702000"/>
    <n v="105462524000"/>
    <n v="56759628000"/>
    <n v="5460267000"/>
    <n v="9889000"/>
    <n v="77585664000"/>
    <n v="81463799000"/>
    <n v="38316485000"/>
    <n v="4016869000"/>
    <m/>
    <n v="24126948000"/>
    <n v="20197306000"/>
    <n v="16003711000"/>
    <n v="6648956000"/>
    <n v="506665000"/>
    <m/>
    <m/>
    <m/>
    <m/>
    <m/>
    <n v="2558364000"/>
    <n v="1214348000"/>
    <n v="352547000"/>
    <n v="3511891000"/>
    <n v="78156000"/>
    <n v="4564922000"/>
    <n v="4227624000"/>
    <n v="46396282000"/>
    <n v="1848243000"/>
    <n v="28066000"/>
    <n v="-2156481000"/>
    <n v="15280000"/>
    <n v="-48544335000"/>
    <n v="-3039019000"/>
    <n v="-355366000"/>
  </r>
  <r>
    <x v="31"/>
    <n v="24"/>
    <x v="6"/>
    <n v="14016000"/>
    <n v="14759000"/>
    <n v="282944000"/>
    <n v="439288000"/>
    <n v="370661000"/>
    <n v="591313000"/>
    <n v="618765000"/>
    <n v="592607000"/>
    <n v="586718000"/>
    <n v="338042000"/>
    <n v="76543000"/>
    <n v="58086000"/>
    <n v="53439000"/>
    <n v="55332000"/>
    <n v="45934000"/>
    <n v="12162000"/>
    <n v="23876000"/>
    <n v="25167000"/>
    <n v="31468000"/>
    <n v="27697000"/>
    <n v="20000"/>
    <n v="20000"/>
    <n v="20000"/>
    <n v="20000"/>
    <n v="20000"/>
    <n v="145367000"/>
    <n v="163395000"/>
    <n v="174867000"/>
    <n v="185627000"/>
    <n v="-99926000"/>
    <n v="5627000"/>
    <n v="42211000"/>
    <m/>
    <m/>
    <n v="5300000"/>
    <n v="445755000"/>
    <n v="463929000"/>
    <n v="445490000"/>
    <n v="454484000"/>
    <n v="434417000"/>
    <n v="1046987000"/>
    <n v="941381000"/>
    <n v="858086000"/>
    <n v="752211000"/>
    <n v="591349000"/>
    <n v="665981000"/>
    <n v="583857000"/>
    <n v="504924000"/>
    <n v="381565000"/>
    <n v="374650000"/>
    <n v="329316000"/>
    <n v="317518000"/>
    <n v="307990000"/>
    <n v="313832000"/>
    <n v="356823000"/>
    <m/>
    <m/>
    <m/>
    <m/>
    <m/>
    <n v="26004000"/>
    <n v="56678000"/>
    <n v="35914000"/>
    <n v="6352000"/>
    <n v="16282000"/>
    <n v="48994000"/>
    <n v="64448000"/>
    <n v="43067000"/>
    <n v="32677000"/>
    <n v="131408000"/>
    <n v="12791000"/>
    <n v="18028000"/>
    <n v="16972000"/>
    <n v="10760000"/>
    <n v="-285553000"/>
  </r>
  <r>
    <x v="32"/>
    <n v="5"/>
    <x v="7"/>
    <n v="870000"/>
    <n v="646000"/>
    <n v="568000"/>
    <n v="4216000"/>
    <n v="4216000"/>
    <n v="6885000"/>
    <n v="7538000"/>
    <n v="6550000"/>
    <n v="11699000"/>
    <n v="9713000"/>
    <n v="1425000"/>
    <n v="5307000"/>
    <n v="11358000"/>
    <n v="14290000"/>
    <n v="561000"/>
    <n v="29000"/>
    <n v="7000"/>
    <n v="1190000"/>
    <n v="138000"/>
    <m/>
    <m/>
    <m/>
    <m/>
    <m/>
    <m/>
    <m/>
    <m/>
    <m/>
    <m/>
    <m/>
    <n v="3000"/>
    <m/>
    <m/>
    <n v="9970000"/>
    <n v="5941000"/>
    <n v="8214000"/>
    <n v="11569000"/>
    <n v="16519000"/>
    <n v="15594000"/>
    <n v="10798000"/>
    <n v="15414000"/>
    <n v="16327000"/>
    <n v="54929000"/>
    <n v="72361000"/>
    <n v="33041000"/>
    <n v="14139000"/>
    <n v="15119000"/>
    <n v="53345000"/>
    <n v="69625000"/>
    <n v="32268000"/>
    <m/>
    <m/>
    <m/>
    <m/>
    <m/>
    <m/>
    <m/>
    <m/>
    <m/>
    <m/>
    <m/>
    <m/>
    <m/>
    <m/>
    <m/>
    <n v="47000"/>
    <n v="37000"/>
    <n v="62000"/>
    <n v="80000"/>
    <n v="6971000"/>
    <n v="982000"/>
    <n v="937000"/>
    <n v="1218000"/>
    <n v="1632000"/>
    <n v="-7028000"/>
  </r>
  <r>
    <x v="33"/>
    <n v="11"/>
    <x v="8"/>
    <m/>
    <m/>
    <m/>
    <m/>
    <m/>
    <m/>
    <m/>
    <m/>
    <m/>
    <m/>
    <m/>
    <m/>
    <m/>
    <m/>
    <m/>
    <m/>
    <m/>
    <n v="254000"/>
    <m/>
    <m/>
    <m/>
    <m/>
    <m/>
    <m/>
    <m/>
    <m/>
    <m/>
    <m/>
    <m/>
    <m/>
    <m/>
    <m/>
    <m/>
    <m/>
    <m/>
    <n v="13140000"/>
    <n v="13140000"/>
    <n v="13895000"/>
    <n v="13899000"/>
    <n v="142590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n v="19"/>
    <x v="9"/>
    <m/>
    <m/>
    <n v="11838000"/>
    <n v="11838000"/>
    <n v="11838000"/>
    <m/>
    <m/>
    <m/>
    <m/>
    <m/>
    <n v="2558000"/>
    <n v="2558000"/>
    <n v="2558000"/>
    <n v="2558000"/>
    <n v="2558000"/>
    <m/>
    <m/>
    <m/>
    <m/>
    <m/>
    <n v="121031000"/>
    <n v="121031000"/>
    <n v="121031000"/>
    <n v="121031000"/>
    <n v="121031000"/>
    <n v="-266006000"/>
    <n v="-267183000"/>
    <n v="-255345000"/>
    <n v="-255345000"/>
    <n v="-257391000"/>
    <m/>
    <m/>
    <m/>
    <m/>
    <m/>
    <n v="147533000"/>
    <n v="148710000"/>
    <n v="148710000"/>
    <n v="148710000"/>
    <n v="150756000"/>
    <n v="18993000"/>
    <m/>
    <m/>
    <m/>
    <m/>
    <m/>
    <m/>
    <m/>
    <m/>
    <m/>
    <m/>
    <m/>
    <m/>
    <m/>
    <m/>
    <m/>
    <m/>
    <m/>
    <m/>
    <m/>
    <m/>
    <m/>
    <m/>
    <m/>
    <m/>
    <n v="18996000"/>
    <n v="1187000"/>
    <n v="1320000"/>
    <n v="1320000"/>
    <n v="1320000"/>
    <n v="-3000"/>
    <n v="-1187000"/>
    <n v="-1320000"/>
    <n v="-1320000"/>
    <n v="-1320000"/>
  </r>
  <r>
    <x v="35"/>
    <n v="6"/>
    <x v="10"/>
    <m/>
    <m/>
    <m/>
    <m/>
    <m/>
    <n v="6215000"/>
    <n v="9982000"/>
    <n v="10404000"/>
    <m/>
    <m/>
    <n v="7918000"/>
    <n v="18068000"/>
    <n v="21414000"/>
    <n v="21946000"/>
    <n v="21976000"/>
    <n v="13481000"/>
    <n v="4021000"/>
    <n v="2515000"/>
    <n v="18000"/>
    <m/>
    <m/>
    <m/>
    <m/>
    <m/>
    <m/>
    <m/>
    <m/>
    <m/>
    <m/>
    <n v="-2920000"/>
    <n v="2473000"/>
    <m/>
    <m/>
    <m/>
    <m/>
    <n v="5998000"/>
    <n v="10128000"/>
    <n v="11267000"/>
    <n v="22000"/>
    <n v="24896000"/>
    <n v="149055000"/>
    <n v="178225000"/>
    <n v="194580000"/>
    <n v="71347000"/>
    <m/>
    <n v="131347000"/>
    <n v="172464000"/>
    <n v="189744000"/>
    <n v="71401000"/>
    <m/>
    <m/>
    <m/>
    <m/>
    <m/>
    <m/>
    <m/>
    <m/>
    <m/>
    <m/>
    <m/>
    <n v="739000"/>
    <n v="1071000"/>
    <n v="209000"/>
    <m/>
    <m/>
    <n v="1358000"/>
    <n v="2114000"/>
    <n v="1955000"/>
    <n v="345000"/>
    <m/>
    <n v="15091000"/>
    <n v="2799000"/>
    <n v="1123000"/>
    <n v="-1124000"/>
    <m/>
  </r>
  <r>
    <x v="36"/>
    <n v="10"/>
    <x v="11"/>
    <n v="496000"/>
    <n v="432000"/>
    <m/>
    <m/>
    <m/>
    <n v="634520000"/>
    <n v="443883000"/>
    <n v="71992000"/>
    <n v="37221000"/>
    <n v="29783000"/>
    <n v="65258000"/>
    <n v="209011000"/>
    <n v="263000000"/>
    <n v="257268000"/>
    <n v="193444000"/>
    <n v="9170000"/>
    <n v="2858000"/>
    <n v="3558000"/>
    <n v="5195000"/>
    <n v="458000"/>
    <n v="30000"/>
    <n v="30000"/>
    <n v="30000"/>
    <n v="30000"/>
    <n v="30000"/>
    <n v="40071000"/>
    <n v="35145000"/>
    <n v="1113000"/>
    <n v="2763000"/>
    <n v="3496000"/>
    <n v="5074000"/>
    <n v="3427000"/>
    <n v="7410000"/>
    <n v="33587000"/>
    <n v="5864000"/>
    <n v="667219000"/>
    <n v="625868000"/>
    <n v="342506000"/>
    <n v="274902000"/>
    <n v="227191000"/>
    <n v="314616000"/>
    <n v="370254000"/>
    <n v="185892000"/>
    <n v="46513000"/>
    <n v="26263000"/>
    <n v="205525000"/>
    <n v="322434000"/>
    <n v="160555000"/>
    <n v="43639000"/>
    <n v="10704000"/>
    <n v="136706000"/>
    <n v="154549000"/>
    <n v="84362000"/>
    <n v="38783000"/>
    <n v="24548000"/>
    <m/>
    <m/>
    <m/>
    <m/>
    <m/>
    <n v="45294000"/>
    <n v="114977000"/>
    <n v="273160000"/>
    <n v="61753000"/>
    <n v="23463000"/>
    <n v="17324000"/>
    <n v="14308000"/>
    <n v="244919000"/>
    <n v="21498000"/>
    <n v="13666000"/>
    <n v="-250000"/>
    <n v="-4925000"/>
    <n v="-33136000"/>
    <n v="2172000"/>
    <n v="731000"/>
  </r>
  <r>
    <x v="37"/>
    <n v="8"/>
    <x v="12"/>
    <n v="83671000"/>
    <m/>
    <m/>
    <m/>
    <m/>
    <n v="728116000"/>
    <m/>
    <m/>
    <m/>
    <m/>
    <n v="1354894000"/>
    <m/>
    <m/>
    <m/>
    <m/>
    <n v="9321000"/>
    <m/>
    <m/>
    <m/>
    <m/>
    <n v="10000"/>
    <m/>
    <m/>
    <m/>
    <m/>
    <n v="45552000"/>
    <m/>
    <m/>
    <m/>
    <m/>
    <n v="1257150000"/>
    <m/>
    <m/>
    <m/>
    <m/>
    <n v="932303000"/>
    <m/>
    <m/>
    <m/>
    <m/>
    <n v="1842726000"/>
    <m/>
    <m/>
    <m/>
    <m/>
    <n v="1133488000"/>
    <m/>
    <m/>
    <m/>
    <m/>
    <n v="443515000"/>
    <m/>
    <m/>
    <m/>
    <m/>
    <m/>
    <m/>
    <m/>
    <m/>
    <m/>
    <n v="100328000"/>
    <m/>
    <m/>
    <m/>
    <m/>
    <n v="306500000"/>
    <m/>
    <m/>
    <m/>
    <m/>
    <n v="9088000"/>
    <m/>
    <m/>
    <m/>
    <m/>
  </r>
  <r>
    <x v="38"/>
    <n v="22"/>
    <x v="13"/>
    <n v="633546000"/>
    <n v="590821000"/>
    <n v="444509000"/>
    <n v="379098000"/>
    <n v="372785000"/>
    <n v="18123730000"/>
    <n v="15562098000"/>
    <n v="416510000"/>
    <n v="774000"/>
    <n v="774000"/>
    <n v="3924535000"/>
    <n v="4201342000"/>
    <n v="1668490000"/>
    <n v="1673314000"/>
    <n v="1208574000"/>
    <n v="143697000"/>
    <n v="43761000"/>
    <n v="43460000"/>
    <n v="32126000"/>
    <n v="8840000"/>
    <n v="1574352000"/>
    <n v="1574352000"/>
    <n v="1574352000"/>
    <n v="1574352000"/>
    <n v="1574352000"/>
    <n v="6481420000"/>
    <n v="2000516000"/>
    <n v="-11637758000"/>
    <n v="-14713232000"/>
    <n v="-14778792000"/>
    <n v="3476438000"/>
    <n v="3879436000"/>
    <n v="10923707000"/>
    <n v="4859029000"/>
    <n v="4859029000"/>
    <n v="5073286000"/>
    <n v="6848820000"/>
    <n v="3957423000"/>
    <n v="11939932000"/>
    <n v="13220190000"/>
    <n v="7296907000"/>
    <n v="5513600000"/>
    <n v="1867457000"/>
    <n v="229520000"/>
    <n v="55742000"/>
    <n v="4296596000"/>
    <n v="3484867000"/>
    <n v="2049018000"/>
    <n v="333205000"/>
    <n v="39267000"/>
    <n v="1860899000"/>
    <n v="2028601000"/>
    <n v="1283469000"/>
    <n v="366961000"/>
    <m/>
    <n v="287995000"/>
    <n v="297497000"/>
    <n v="191962000"/>
    <n v="66031000"/>
    <n v="34234000"/>
    <n v="465113000"/>
    <n v="2531376000"/>
    <n v="2063179000"/>
    <n v="279514000"/>
    <n v="33982000"/>
    <n v="471811000"/>
    <n v="6547565000"/>
    <n v="16110339000"/>
    <n v="2387943000"/>
    <m/>
    <n v="-40383000"/>
    <n v="-4351294000"/>
    <n v="-13641847000"/>
    <n v="-2883190000"/>
    <n v="-65560000"/>
  </r>
  <r>
    <x v="39"/>
    <n v="23"/>
    <x v="14"/>
    <n v="4027000"/>
    <m/>
    <n v="744000"/>
    <n v="618000"/>
    <m/>
    <n v="5310000"/>
    <n v="5535000"/>
    <n v="7638000"/>
    <n v="2218000"/>
    <m/>
    <n v="8639000"/>
    <n v="14846000"/>
    <n v="15253000"/>
    <n v="12922000"/>
    <m/>
    <n v="263000"/>
    <n v="447000"/>
    <n v="468000"/>
    <n v="120000"/>
    <m/>
    <n v="14000"/>
    <n v="14000"/>
    <n v="14000"/>
    <n v="14000"/>
    <m/>
    <n v="16702000"/>
    <n v="19358000"/>
    <n v="22015000"/>
    <n v="14405000"/>
    <m/>
    <n v="1523000"/>
    <m/>
    <m/>
    <m/>
    <m/>
    <m/>
    <n v="1456000"/>
    <n v="2074000"/>
    <n v="1459000"/>
    <m/>
    <n v="60187000"/>
    <n v="51655000"/>
    <n v="44893000"/>
    <n v="24778000"/>
    <m/>
    <n v="50384000"/>
    <n v="42886000"/>
    <n v="37947000"/>
    <n v="22693000"/>
    <m/>
    <n v="6439000"/>
    <n v="8673000"/>
    <n v="5793000"/>
    <n v="9823000"/>
    <m/>
    <m/>
    <m/>
    <m/>
    <m/>
    <m/>
    <n v="4872000"/>
    <n v="3666000"/>
    <n v="2392000"/>
    <n v="767000"/>
    <m/>
    <n v="571000"/>
    <n v="543000"/>
    <n v="385000"/>
    <n v="382000"/>
    <m/>
    <n v="7239000"/>
    <n v="2656000"/>
    <n v="2657000"/>
    <n v="-7610000"/>
    <m/>
  </r>
  <r>
    <x v="40"/>
    <n v="8"/>
    <x v="15"/>
    <n v="1291000"/>
    <n v="111000"/>
    <m/>
    <m/>
    <m/>
    <n v="664425000"/>
    <n v="423415000"/>
    <m/>
    <n v="5000"/>
    <n v="5000"/>
    <n v="1922091000"/>
    <n v="1621127000"/>
    <m/>
    <n v="24000"/>
    <m/>
    <n v="366000"/>
    <n v="5550000"/>
    <m/>
    <n v="101000"/>
    <n v="107000"/>
    <n v="20000"/>
    <n v="20000"/>
    <m/>
    <n v="20000"/>
    <n v="20000"/>
    <n v="37932000"/>
    <n v="-226930000"/>
    <m/>
    <n v="-2826678000"/>
    <n v="-2836238000"/>
    <n v="439829000"/>
    <n v="489646000"/>
    <m/>
    <m/>
    <m/>
    <n v="2147151000"/>
    <n v="1928670000"/>
    <m/>
    <n v="2827888000"/>
    <n v="2836330000"/>
    <n v="1805986000"/>
    <n v="640098000"/>
    <m/>
    <n v="92000"/>
    <n v="149000"/>
    <n v="1356738000"/>
    <n v="503785000"/>
    <m/>
    <n v="1420000"/>
    <n v="8518000"/>
    <n v="407832000"/>
    <n v="281605000"/>
    <m/>
    <m/>
    <m/>
    <m/>
    <m/>
    <m/>
    <m/>
    <m/>
    <n v="204103000"/>
    <n v="40770000"/>
    <m/>
    <n v="2000000"/>
    <m/>
    <n v="175431000"/>
    <n v="139440000"/>
    <m/>
    <n v="901000"/>
    <n v="1191000"/>
    <n v="36012000"/>
    <n v="-235060000"/>
    <m/>
    <n v="-229000"/>
    <n v="-9560000"/>
  </r>
  <r>
    <x v="41"/>
    <n v="8"/>
    <x v="15"/>
    <n v="220074000"/>
    <n v="52191000"/>
    <n v="34217000"/>
    <n v="17974000"/>
    <n v="17974000"/>
    <n v="3002589000"/>
    <n v="2378795000"/>
    <n v="773493000"/>
    <n v="763493000"/>
    <n v="761493000"/>
    <n v="1582995000"/>
    <n v="1547653000"/>
    <n v="901436000"/>
    <n v="80919000"/>
    <n v="80919000"/>
    <n v="481555000"/>
    <n v="550331000"/>
    <m/>
    <n v="12815000"/>
    <n v="47000"/>
    <n v="20000"/>
    <n v="20000"/>
    <n v="20000"/>
    <n v="20000"/>
    <n v="20000"/>
    <n v="236705000"/>
    <n v="-507164000"/>
    <n v="-1671570000"/>
    <n v="-3889762000"/>
    <n v="-3908476000"/>
    <n v="751964000"/>
    <n v="1510742000"/>
    <n v="865458000"/>
    <n v="3039105000"/>
    <n v="3039105000"/>
    <n v="4770627000"/>
    <n v="4211650000"/>
    <n v="2588564000"/>
    <n v="1725838000"/>
    <n v="1729784000"/>
    <n v="11624287000"/>
    <n v="9939709000"/>
    <n v="1063592000"/>
    <n v="10371000"/>
    <n v="4121000"/>
    <n v="8701033000"/>
    <n v="7097609000"/>
    <n v="972955000"/>
    <n v="35327000"/>
    <n v="2000000"/>
    <n v="2774188000"/>
    <n v="3193428000"/>
    <n v="1255043000"/>
    <n v="24916000"/>
    <n v="20708000"/>
    <m/>
    <m/>
    <m/>
    <m/>
    <m/>
    <n v="1213642000"/>
    <n v="684906000"/>
    <m/>
    <m/>
    <m/>
    <n v="1245046000"/>
    <n v="765791000"/>
    <m/>
    <n v="2168320000"/>
    <n v="147000"/>
    <n v="40592000"/>
    <n v="-387431000"/>
    <n v="-1164406000"/>
    <n v="-2218192000"/>
    <n v="-18734000"/>
  </r>
  <r>
    <x v="42"/>
    <n v="15"/>
    <x v="16"/>
    <n v="25000"/>
    <n v="1356000"/>
    <m/>
    <m/>
    <m/>
    <n v="5799000"/>
    <n v="22436000"/>
    <n v="28633000"/>
    <m/>
    <m/>
    <n v="65325000"/>
    <n v="70272000"/>
    <n v="66439000"/>
    <m/>
    <m/>
    <n v="547000"/>
    <n v="2086000"/>
    <n v="223000"/>
    <n v="1430000"/>
    <m/>
    <n v="10000"/>
    <n v="10000"/>
    <m/>
    <m/>
    <m/>
    <n v="6391000"/>
    <n v="7370000"/>
    <m/>
    <m/>
    <m/>
    <n v="1750000"/>
    <n v="1751000"/>
    <n v="1446000"/>
    <m/>
    <m/>
    <n v="39722000"/>
    <n v="91299000"/>
    <n v="34584000"/>
    <n v="561000"/>
    <m/>
    <n v="79428000"/>
    <n v="107430000"/>
    <n v="148719000"/>
    <n v="28790000"/>
    <m/>
    <n v="76377000"/>
    <n v="86290000"/>
    <n v="152649000"/>
    <n v="27816000"/>
    <m/>
    <m/>
    <m/>
    <m/>
    <m/>
    <m/>
    <m/>
    <n v="18464000"/>
    <m/>
    <m/>
    <m/>
    <n v="19000"/>
    <n v="33000"/>
    <n v="6823000"/>
    <m/>
    <m/>
    <n v="447000"/>
    <n v="1167000"/>
    <n v="746000"/>
    <n v="176000"/>
    <m/>
    <n v="2075000"/>
    <n v="979000"/>
    <n v="1718000"/>
    <n v="798000"/>
    <m/>
  </r>
  <r>
    <x v="43"/>
    <n v="18"/>
    <x v="17"/>
    <n v="72041000"/>
    <n v="52973000"/>
    <n v="89410000"/>
    <n v="12870000"/>
    <n v="12870000"/>
    <n v="6148227000"/>
    <n v="5999859000"/>
    <n v="6028868000"/>
    <n v="15816000"/>
    <n v="15816000"/>
    <n v="2673379000"/>
    <n v="3233937000"/>
    <n v="5335774000"/>
    <n v="5062119000"/>
    <n v="5038140000"/>
    <n v="3402000"/>
    <n v="1892000"/>
    <n v="79059000"/>
    <n v="4015000"/>
    <n v="610000"/>
    <n v="200000"/>
    <n v="200000"/>
    <n v="200000"/>
    <n v="200000"/>
    <n v="200000"/>
    <n v="1230753000"/>
    <n v="1428233000"/>
    <n v="1636796000"/>
    <n v="-3501497000"/>
    <n v="-3518048000"/>
    <n v="2774000000"/>
    <n v="3304063000"/>
    <n v="4452075000"/>
    <m/>
    <m/>
    <n v="5777048000"/>
    <n v="5489957000"/>
    <n v="6448950000"/>
    <n v="4585314000"/>
    <n v="4578356000"/>
    <n v="20322825000"/>
    <n v="17415422000"/>
    <n v="17414894000"/>
    <n v="7384425000"/>
    <n v="242000"/>
    <n v="19891083000"/>
    <n v="16919131000"/>
    <n v="16655535000"/>
    <n v="7323049000"/>
    <m/>
    <n v="889453000"/>
    <n v="794697000"/>
    <n v="776373000"/>
    <n v="558244000"/>
    <n v="20864000"/>
    <m/>
    <m/>
    <m/>
    <m/>
    <m/>
    <n v="1193766000"/>
    <n v="1166975000"/>
    <n v="1028320000"/>
    <n v="507121000"/>
    <n v="1115000"/>
    <n v="268982000"/>
    <n v="360848000"/>
    <n v="245209000"/>
    <n v="729924000"/>
    <n v="781000"/>
    <n v="185594000"/>
    <n v="197480000"/>
    <n v="198986000"/>
    <n v="-5138293000"/>
    <n v="-16549000"/>
  </r>
  <r>
    <x v="44"/>
    <n v="22"/>
    <x v="17"/>
    <n v="106059000"/>
    <m/>
    <m/>
    <m/>
    <m/>
    <m/>
    <m/>
    <m/>
    <m/>
    <m/>
    <n v="426775000"/>
    <m/>
    <m/>
    <m/>
    <m/>
    <n v="29496000"/>
    <m/>
    <m/>
    <m/>
    <m/>
    <n v="1000000"/>
    <n v="1000000"/>
    <m/>
    <m/>
    <m/>
    <n v="-24949906000"/>
    <n v="-1000000"/>
    <m/>
    <m/>
    <m/>
    <m/>
    <m/>
    <m/>
    <m/>
    <m/>
    <n v="25511236000"/>
    <m/>
    <m/>
    <m/>
    <m/>
    <m/>
    <m/>
    <m/>
    <m/>
    <m/>
    <m/>
    <m/>
    <m/>
    <m/>
    <m/>
    <m/>
    <m/>
    <m/>
    <m/>
    <m/>
    <m/>
    <m/>
    <m/>
    <m/>
    <m/>
    <m/>
    <m/>
    <m/>
    <m/>
    <m/>
    <n v="11428997000"/>
    <m/>
    <m/>
    <m/>
    <m/>
    <n v="-11428997000"/>
    <m/>
    <m/>
    <m/>
    <m/>
  </r>
  <r>
    <x v="45"/>
    <n v="25"/>
    <x v="18"/>
    <n v="44884000"/>
    <n v="3126000"/>
    <n v="3124000"/>
    <n v="3122000"/>
    <n v="3120000"/>
    <n v="332660000"/>
    <n v="327623000"/>
    <n v="271348000"/>
    <n v="235636000"/>
    <n v="235636000"/>
    <n v="1544265000"/>
    <n v="1522381000"/>
    <n v="1454858000"/>
    <n v="1448260000"/>
    <n v="1448260000"/>
    <n v="29529000"/>
    <n v="59995000"/>
    <n v="39489000"/>
    <n v="33155000"/>
    <n v="23368000"/>
    <n v="70000000"/>
    <n v="70000000"/>
    <n v="70000000"/>
    <n v="70000000"/>
    <n v="70000000"/>
    <n v="194514000"/>
    <n v="-248925000"/>
    <n v="-380653000"/>
    <n v="-436034000"/>
    <n v="-438631000"/>
    <n v="1187063000"/>
    <n v="1182811000"/>
    <n v="1175022000"/>
    <n v="1175022000"/>
    <n v="1168216000"/>
    <n v="1189026000"/>
    <n v="1168522000"/>
    <n v="1164435000"/>
    <n v="1166256000"/>
    <n v="1165870000"/>
    <n v="21373000"/>
    <n v="45922000"/>
    <n v="9000000"/>
    <m/>
    <m/>
    <n v="29630000"/>
    <n v="40890000"/>
    <n v="123520000"/>
    <m/>
    <m/>
    <m/>
    <m/>
    <m/>
    <m/>
    <m/>
    <m/>
    <m/>
    <m/>
    <m/>
    <m/>
    <n v="6477000"/>
    <n v="53000"/>
    <n v="674000"/>
    <n v="10769000"/>
    <n v="206000"/>
    <n v="30074000"/>
    <n v="448649000"/>
    <n v="17882000"/>
    <n v="66150000"/>
    <n v="2803000"/>
    <n v="-31854000"/>
    <n v="-443439000"/>
    <n v="-131728000"/>
    <n v="-55381000"/>
    <n v="-2597000"/>
  </r>
  <r>
    <x v="46"/>
    <n v="10"/>
    <x v="19"/>
    <n v="54413000"/>
    <m/>
    <m/>
    <m/>
    <m/>
    <m/>
    <m/>
    <m/>
    <m/>
    <m/>
    <m/>
    <m/>
    <m/>
    <m/>
    <m/>
    <m/>
    <m/>
    <m/>
    <m/>
    <m/>
    <n v="10000"/>
    <m/>
    <m/>
    <m/>
    <m/>
    <n v="-156641000"/>
    <m/>
    <m/>
    <m/>
    <m/>
    <m/>
    <m/>
    <m/>
    <m/>
    <m/>
    <n v="660440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7"/>
    <n v="16"/>
    <x v="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8"/>
    <n v="14"/>
    <x v="20"/>
    <n v="7065000"/>
    <n v="13004000"/>
    <n v="7318000"/>
    <n v="1635000"/>
    <n v="383000"/>
    <n v="39210000"/>
    <n v="65329000"/>
    <n v="37482000"/>
    <n v="6258000"/>
    <m/>
    <n v="17501000"/>
    <n v="37350000"/>
    <n v="28533000"/>
    <n v="25450000"/>
    <n v="13055000"/>
    <n v="1024000"/>
    <n v="146000"/>
    <n v="65000"/>
    <n v="16000"/>
    <n v="1000"/>
    <n v="10000"/>
    <n v="10000"/>
    <n v="10000"/>
    <n v="10000"/>
    <n v="10000"/>
    <n v="1238000"/>
    <n v="280000"/>
    <n v="1410000"/>
    <n v="1231000"/>
    <n v="934000"/>
    <n v="1784000"/>
    <n v="2312000"/>
    <n v="2312000"/>
    <n v="1341000"/>
    <n v="1174000"/>
    <n v="58450000"/>
    <n v="105681000"/>
    <n v="67958000"/>
    <n v="28987000"/>
    <n v="11010000"/>
    <n v="95047000"/>
    <n v="199888000"/>
    <n v="66970000"/>
    <n v="20482000"/>
    <n v="7933000"/>
    <n v="42039000"/>
    <n v="136121000"/>
    <n v="64095000"/>
    <n v="12907000"/>
    <n v="5636000"/>
    <n v="46993000"/>
    <n v="46163000"/>
    <n v="3095000"/>
    <n v="770000"/>
    <n v="2242000"/>
    <n v="5177000"/>
    <n v="15499000"/>
    <n v="8216000"/>
    <n v="9023000"/>
    <n v="1688000"/>
    <n v="692000"/>
    <n v="4262000"/>
    <n v="14254000"/>
    <n v="2709000"/>
    <n v="1604000"/>
    <n v="1263000"/>
    <n v="2747000"/>
    <n v="4371000"/>
    <n v="670000"/>
    <n v="268000"/>
    <n v="138000"/>
    <n v="-968000"/>
    <n v="1130000"/>
    <n v="-179000"/>
    <n v="-297000"/>
  </r>
  <r>
    <x v="49"/>
    <n v="20"/>
    <x v="21"/>
    <n v="6011000"/>
    <n v="6011000"/>
    <n v="6011000"/>
    <n v="6011000"/>
    <m/>
    <n v="287540000"/>
    <n v="19181000"/>
    <n v="1928000"/>
    <n v="1928000"/>
    <n v="1928000"/>
    <n v="528496000"/>
    <n v="378372000"/>
    <n v="405434000"/>
    <n v="685748000"/>
    <n v="457927000"/>
    <n v="4830000"/>
    <n v="1899000"/>
    <n v="17387000"/>
    <n v="15219000"/>
    <n v="41031000"/>
    <n v="10000000"/>
    <n v="10000000"/>
    <n v="10000000"/>
    <n v="10000000"/>
    <n v="10000000"/>
    <n v="-2115172000"/>
    <n v="-2828121000"/>
    <n v="-2844245000"/>
    <n v="-4972477000"/>
    <n v="-5164664000"/>
    <n v="3165144000"/>
    <n v="3165144000"/>
    <n v="3165144000"/>
    <n v="3165144000"/>
    <n v="3165144000"/>
    <n v="329571000"/>
    <n v="83214000"/>
    <n v="99361000"/>
    <n v="2505739000"/>
    <n v="2489906000"/>
    <n v="467052000"/>
    <m/>
    <m/>
    <m/>
    <m/>
    <n v="544775000"/>
    <n v="710908000"/>
    <m/>
    <m/>
    <m/>
    <n v="7264000"/>
    <n v="3241000"/>
    <n v="15284000"/>
    <m/>
    <m/>
    <n v="125095000"/>
    <n v="17178000"/>
    <m/>
    <m/>
    <m/>
    <n v="64590000"/>
    <n v="9844000"/>
    <m/>
    <n v="12628000"/>
    <n v="35634000"/>
    <n v="437053000"/>
    <n v="25423000"/>
    <n v="3170000"/>
    <n v="12617000"/>
    <n v="227821000"/>
    <n v="-473982000"/>
    <n v="-717425000"/>
    <n v="-16124000"/>
    <n v="9000"/>
    <n v="-192187000"/>
  </r>
  <r>
    <x v="50"/>
    <n v="5"/>
    <x v="22"/>
    <n v="48770000"/>
    <n v="111869000"/>
    <n v="218282000"/>
    <m/>
    <m/>
    <n v="1316733000"/>
    <n v="835197000"/>
    <n v="952368000"/>
    <m/>
    <m/>
    <n v="7325084000"/>
    <n v="6562026000"/>
    <n v="4220629000"/>
    <m/>
    <m/>
    <n v="515442000"/>
    <n v="1870923000"/>
    <n v="2886181000"/>
    <m/>
    <m/>
    <n v="15000000"/>
    <n v="123085000"/>
    <n v="123085000"/>
    <m/>
    <m/>
    <n v="-339877000"/>
    <n v="1453586000"/>
    <n v="64625000"/>
    <m/>
    <m/>
    <n v="1101556000"/>
    <n v="1778000"/>
    <m/>
    <m/>
    <m/>
    <n v="8288544000"/>
    <n v="7579087000"/>
    <n v="6253970000"/>
    <m/>
    <m/>
    <n v="23749524000"/>
    <n v="23129009000"/>
    <n v="6184671000"/>
    <m/>
    <m/>
    <n v="21362788000"/>
    <n v="19103021000"/>
    <n v="4703493000"/>
    <m/>
    <m/>
    <n v="840300000"/>
    <n v="843212000"/>
    <n v="688119000"/>
    <m/>
    <m/>
    <n v="630180000"/>
    <n v="651423000"/>
    <n v="523791000"/>
    <m/>
    <m/>
    <n v="11618000"/>
    <n v="598873000"/>
    <n v="68113000"/>
    <m/>
    <m/>
    <n v="1043994000"/>
    <n v="861733000"/>
    <n v="1806497000"/>
    <m/>
    <m/>
    <n v="-113526000"/>
    <n v="1793463000"/>
    <n v="-1435653000"/>
    <m/>
    <m/>
  </r>
  <r>
    <x v="51"/>
    <n v="14"/>
    <x v="22"/>
    <n v="3867000"/>
    <m/>
    <m/>
    <m/>
    <m/>
    <n v="46672000"/>
    <n v="8791000"/>
    <n v="5465000"/>
    <n v="1414000"/>
    <n v="724000"/>
    <n v="189846000"/>
    <n v="245004000"/>
    <n v="175186000"/>
    <n v="206298000"/>
    <n v="208501000"/>
    <n v="35000"/>
    <n v="14000"/>
    <n v="14000"/>
    <n v="14000"/>
    <n v="39000"/>
    <n v="10000000"/>
    <n v="10000000"/>
    <n v="10000000"/>
    <n v="10000000"/>
    <n v="10000000"/>
    <n v="9264000"/>
    <n v="4172000"/>
    <n v="5043000"/>
    <n v="6255000"/>
    <n v="5306000"/>
    <n v="13537000"/>
    <m/>
    <m/>
    <n v="220000"/>
    <n v="46000"/>
    <n v="180165000"/>
    <n v="234543000"/>
    <n v="160357000"/>
    <n v="186014000"/>
    <n v="187211000"/>
    <n v="87137000"/>
    <n v="147986000"/>
    <n v="30547000"/>
    <n v="3738000"/>
    <n v="738000"/>
    <n v="32874000"/>
    <n v="174832000"/>
    <n v="13563000"/>
    <m/>
    <m/>
    <n v="6898000"/>
    <n v="6757000"/>
    <n v="963000"/>
    <n v="378000"/>
    <n v="180000"/>
    <n v="40267000"/>
    <n v="7540000"/>
    <n v="5786000"/>
    <n v="1804000"/>
    <n v="1734000"/>
    <n v="8808000"/>
    <n v="163505000"/>
    <n v="192302000"/>
    <m/>
    <n v="2888000"/>
    <n v="11081000"/>
    <n v="152853000"/>
    <n v="201426000"/>
    <n v="1134000"/>
    <n v="2032000"/>
    <n v="-5955000"/>
    <n v="-27510000"/>
    <n v="872000"/>
    <n v="338000"/>
    <n v="-950000"/>
  </r>
  <r>
    <x v="52"/>
    <n v="20"/>
    <x v="22"/>
    <m/>
    <n v="3405000"/>
    <m/>
    <m/>
    <m/>
    <n v="2314000"/>
    <n v="8228000"/>
    <m/>
    <m/>
    <m/>
    <n v="342000"/>
    <n v="3196000"/>
    <m/>
    <m/>
    <m/>
    <n v="165000"/>
    <n v="109000"/>
    <m/>
    <m/>
    <m/>
    <n v="15000"/>
    <n v="15000"/>
    <m/>
    <m/>
    <m/>
    <n v="299000"/>
    <n v="595000"/>
    <m/>
    <m/>
    <m/>
    <m/>
    <m/>
    <m/>
    <m/>
    <m/>
    <n v="2577000"/>
    <n v="14471000"/>
    <m/>
    <m/>
    <m/>
    <n v="5034000"/>
    <n v="102643000"/>
    <m/>
    <m/>
    <m/>
    <n v="4433000"/>
    <n v="89844000"/>
    <m/>
    <m/>
    <m/>
    <m/>
    <n v="12154000"/>
    <m/>
    <m/>
    <m/>
    <n v="400000"/>
    <m/>
    <m/>
    <m/>
    <m/>
    <m/>
    <m/>
    <m/>
    <m/>
    <m/>
    <n v="33000"/>
    <n v="52000"/>
    <m/>
    <m/>
    <m/>
    <n v="134000"/>
    <n v="474000"/>
    <m/>
    <m/>
    <m/>
  </r>
  <r>
    <x v="53"/>
    <n v="18"/>
    <x v="23"/>
    <n v="3256000"/>
    <m/>
    <m/>
    <m/>
    <m/>
    <n v="63062000"/>
    <m/>
    <m/>
    <m/>
    <m/>
    <n v="36402000"/>
    <m/>
    <m/>
    <m/>
    <m/>
    <n v="34000"/>
    <m/>
    <m/>
    <m/>
    <m/>
    <n v="10000"/>
    <m/>
    <m/>
    <m/>
    <m/>
    <n v="5386000"/>
    <m/>
    <m/>
    <m/>
    <m/>
    <n v="10899000"/>
    <m/>
    <m/>
    <m/>
    <m/>
    <n v="44728000"/>
    <m/>
    <m/>
    <m/>
    <m/>
    <n v="139034000"/>
    <m/>
    <m/>
    <m/>
    <m/>
    <n v="134477000"/>
    <m/>
    <m/>
    <m/>
    <m/>
    <n v="67000"/>
    <m/>
    <m/>
    <m/>
    <m/>
    <n v="29481000"/>
    <m/>
    <m/>
    <m/>
    <m/>
    <n v="28197000"/>
    <m/>
    <m/>
    <m/>
    <m/>
    <n v="4359000"/>
    <m/>
    <m/>
    <m/>
    <m/>
    <n v="-4578000"/>
    <m/>
    <m/>
    <m/>
    <m/>
  </r>
  <r>
    <x v="54"/>
    <n v="16"/>
    <x v="24"/>
    <m/>
    <m/>
    <m/>
    <m/>
    <m/>
    <m/>
    <m/>
    <m/>
    <m/>
    <m/>
    <n v="72901000"/>
    <m/>
    <m/>
    <m/>
    <m/>
    <m/>
    <m/>
    <m/>
    <m/>
    <m/>
    <n v="10000"/>
    <m/>
    <m/>
    <m/>
    <m/>
    <n v="-161150000"/>
    <m/>
    <m/>
    <m/>
    <m/>
    <n v="143881000"/>
    <m/>
    <m/>
    <m/>
    <m/>
    <n v="90160000"/>
    <m/>
    <m/>
    <m/>
    <m/>
    <n v="180000"/>
    <m/>
    <m/>
    <m/>
    <m/>
    <m/>
    <m/>
    <m/>
    <m/>
    <m/>
    <m/>
    <m/>
    <m/>
    <m/>
    <m/>
    <m/>
    <m/>
    <m/>
    <m/>
    <m/>
    <m/>
    <m/>
    <m/>
    <m/>
    <m/>
    <n v="361000"/>
    <m/>
    <m/>
    <m/>
    <m/>
    <n v="-181000"/>
    <m/>
    <m/>
    <m/>
    <m/>
  </r>
  <r>
    <x v="55"/>
    <n v="17"/>
    <x v="25"/>
    <n v="5862000"/>
    <m/>
    <m/>
    <m/>
    <m/>
    <n v="1722000"/>
    <n v="1534000"/>
    <m/>
    <m/>
    <m/>
    <n v="10130000"/>
    <n v="13126000"/>
    <m/>
    <m/>
    <m/>
    <m/>
    <m/>
    <m/>
    <m/>
    <m/>
    <m/>
    <m/>
    <m/>
    <m/>
    <m/>
    <m/>
    <m/>
    <m/>
    <m/>
    <m/>
    <m/>
    <m/>
    <m/>
    <m/>
    <m/>
    <n v="5184000"/>
    <n v="3875000"/>
    <m/>
    <m/>
    <m/>
    <n v="55229000"/>
    <n v="150000"/>
    <m/>
    <m/>
    <m/>
    <n v="54443000"/>
    <n v="150000"/>
    <m/>
    <m/>
    <m/>
    <m/>
    <m/>
    <m/>
    <m/>
    <m/>
    <m/>
    <m/>
    <m/>
    <m/>
    <m/>
    <m/>
    <m/>
    <m/>
    <m/>
    <m/>
    <m/>
    <m/>
    <m/>
    <m/>
    <m/>
    <n v="247000"/>
    <m/>
    <m/>
    <m/>
    <m/>
  </r>
  <r>
    <x v="56"/>
    <n v="20"/>
    <x v="25"/>
    <n v="850000"/>
    <n v="435000"/>
    <m/>
    <m/>
    <m/>
    <m/>
    <m/>
    <m/>
    <m/>
    <m/>
    <n v="21565000"/>
    <n v="9132000"/>
    <n v="552000"/>
    <n v="484000"/>
    <n v="483000"/>
    <n v="48000"/>
    <n v="95000"/>
    <n v="17000"/>
    <n v="43000"/>
    <n v="43000"/>
    <n v="48547000"/>
    <n v="48547000"/>
    <n v="48547000"/>
    <n v="48547000"/>
    <n v="48547000"/>
    <n v="-125908000"/>
    <n v="-125109000"/>
    <n v="-125779000"/>
    <n v="-126020000"/>
    <n v="-126369000"/>
    <m/>
    <m/>
    <m/>
    <m/>
    <m/>
    <n v="115112000"/>
    <n v="97717000"/>
    <n v="90825000"/>
    <n v="90824000"/>
    <n v="90922000"/>
    <n v="486019000"/>
    <n v="690604000"/>
    <n v="3263000"/>
    <m/>
    <m/>
    <n v="484848000"/>
    <n v="689865000"/>
    <n v="3261000"/>
    <m/>
    <m/>
    <n v="2202000"/>
    <m/>
    <m/>
    <m/>
    <m/>
    <n v="3637000"/>
    <n v="558000"/>
    <n v="316000"/>
    <n v="215000"/>
    <n v="292000"/>
    <n v="244000"/>
    <n v="5519000"/>
    <n v="130000"/>
    <n v="10000"/>
    <m/>
    <n v="5706000"/>
    <n v="3855000"/>
    <n v="486000"/>
    <n v="36000"/>
    <n v="61000"/>
    <n v="-9267000"/>
    <n v="799000"/>
    <n v="-670000"/>
    <n v="-241000"/>
    <n v="-349000"/>
  </r>
  <r>
    <x v="57"/>
    <n v="13"/>
    <x v="2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8"/>
    <n v="14"/>
    <x v="26"/>
    <m/>
    <n v="444000"/>
    <m/>
    <m/>
    <m/>
    <n v="39630000"/>
    <n v="78843000"/>
    <n v="19473000"/>
    <m/>
    <m/>
    <n v="20536000"/>
    <n v="8837000"/>
    <n v="3702000"/>
    <m/>
    <m/>
    <n v="2511000"/>
    <n v="8600000"/>
    <n v="2000"/>
    <m/>
    <m/>
    <n v="15000"/>
    <n v="15000"/>
    <n v="15000"/>
    <m/>
    <m/>
    <n v="1515000"/>
    <n v="3628000"/>
    <n v="6722000"/>
    <m/>
    <m/>
    <n v="6764000"/>
    <n v="4725000"/>
    <n v="466000"/>
    <m/>
    <m/>
    <n v="55212000"/>
    <n v="92900000"/>
    <n v="16915000"/>
    <m/>
    <m/>
    <n v="110117000"/>
    <n v="134431000"/>
    <n v="174922000"/>
    <m/>
    <m/>
    <n v="95795000"/>
    <n v="91169000"/>
    <n v="167398000"/>
    <m/>
    <m/>
    <n v="12298000"/>
    <n v="40513000"/>
    <n v="3388000"/>
    <m/>
    <m/>
    <m/>
    <m/>
    <m/>
    <m/>
    <m/>
    <m/>
    <m/>
    <m/>
    <m/>
    <m/>
    <n v="132000"/>
    <n v="108000"/>
    <n v="268000"/>
    <m/>
    <m/>
    <n v="1513000"/>
    <n v="2113000"/>
    <n v="3094000"/>
    <m/>
    <m/>
  </r>
  <r>
    <x v="59"/>
    <n v="7"/>
    <x v="27"/>
    <m/>
    <m/>
    <m/>
    <m/>
    <m/>
    <m/>
    <m/>
    <m/>
    <m/>
    <m/>
    <n v="63720000"/>
    <n v="25981000"/>
    <m/>
    <n v="1000000"/>
    <n v="974000"/>
    <n v="135000"/>
    <n v="29000"/>
    <m/>
    <m/>
    <m/>
    <n v="50000"/>
    <n v="50000"/>
    <n v="50000"/>
    <n v="50000"/>
    <n v="50000"/>
    <n v="157000"/>
    <n v="186000"/>
    <n v="-22311000"/>
    <n v="-26036000"/>
    <n v="-26627000"/>
    <n v="5000000"/>
    <n v="3000000"/>
    <m/>
    <m/>
    <m/>
    <n v="58648000"/>
    <n v="22774000"/>
    <n v="22261000"/>
    <n v="26986000"/>
    <n v="27551000"/>
    <n v="1400000"/>
    <n v="1472000"/>
    <m/>
    <m/>
    <m/>
    <n v="1304000"/>
    <n v="1436000"/>
    <m/>
    <m/>
    <m/>
    <m/>
    <m/>
    <m/>
    <m/>
    <m/>
    <m/>
    <m/>
    <m/>
    <m/>
    <m/>
    <m/>
    <m/>
    <m/>
    <m/>
    <m/>
    <m/>
    <m/>
    <n v="380000"/>
    <n v="625000"/>
    <n v="490000"/>
    <n v="77000"/>
    <n v="29000"/>
    <n v="-380000"/>
    <n v="-625000"/>
    <n v="-490000"/>
  </r>
  <r>
    <x v="60"/>
    <n v="19"/>
    <x v="2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61"/>
    <n v="9"/>
    <x v="29"/>
    <n v="18342000"/>
    <n v="6988000"/>
    <n v="7098000"/>
    <n v="446000"/>
    <m/>
    <n v="8224000"/>
    <n v="13639000"/>
    <n v="8222000"/>
    <n v="423000"/>
    <m/>
    <n v="63257000"/>
    <n v="103852000"/>
    <n v="127038000"/>
    <n v="89997000"/>
    <m/>
    <n v="57000"/>
    <n v="1672000"/>
    <n v="8000"/>
    <n v="14000"/>
    <m/>
    <n v="100000"/>
    <n v="100000"/>
    <n v="100000"/>
    <n v="100000"/>
    <m/>
    <n v="-36304000"/>
    <n v="-40324000"/>
    <n v="-61419000"/>
    <n v="-127873000"/>
    <m/>
    <n v="4727000"/>
    <n v="4643000"/>
    <n v="84634000"/>
    <n v="84634000"/>
    <m/>
    <n v="118679000"/>
    <n v="163141000"/>
    <n v="199538000"/>
    <n v="196564000"/>
    <m/>
    <n v="103555000"/>
    <n v="134066000"/>
    <n v="74731000"/>
    <n v="4346000"/>
    <m/>
    <n v="93983000"/>
    <n v="121978000"/>
    <n v="76343000"/>
    <n v="6141000"/>
    <m/>
    <n v="8756000"/>
    <n v="9781000"/>
    <n v="5519000"/>
    <n v="594000"/>
    <m/>
    <n v="20964000"/>
    <n v="18471000"/>
    <n v="22395000"/>
    <n v="3179000"/>
    <m/>
    <n v="31774000"/>
    <n v="25563000"/>
    <n v="17718000"/>
    <n v="4645000"/>
    <m/>
    <n v="19506000"/>
    <n v="11797000"/>
    <n v="9413000"/>
    <n v="65653000"/>
    <m/>
    <n v="-7189000"/>
    <n v="-4020000"/>
    <n v="-21095000"/>
    <n v="-66454000"/>
    <m/>
  </r>
  <r>
    <x v="62"/>
    <n v="15"/>
    <x v="30"/>
    <m/>
    <m/>
    <m/>
    <m/>
    <m/>
    <m/>
    <m/>
    <m/>
    <m/>
    <m/>
    <m/>
    <m/>
    <m/>
    <m/>
    <m/>
    <m/>
    <m/>
    <m/>
    <m/>
    <m/>
    <n v="10000"/>
    <n v="10000"/>
    <n v="80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63"/>
    <n v="17"/>
    <x v="30"/>
    <m/>
    <m/>
    <m/>
    <m/>
    <m/>
    <m/>
    <m/>
    <m/>
    <m/>
    <m/>
    <n v="4261000"/>
    <n v="4261000"/>
    <n v="4261000"/>
    <m/>
    <m/>
    <m/>
    <m/>
    <m/>
    <m/>
    <m/>
    <n v="500000"/>
    <n v="500000"/>
    <n v="500000"/>
    <n v="500000"/>
    <n v="500000"/>
    <n v="-527776000"/>
    <n v="-527776000"/>
    <n v="-527776000"/>
    <n v="-532037000"/>
    <n v="-532037000"/>
    <n v="196761000"/>
    <n v="196761000"/>
    <n v="196761000"/>
    <n v="196761000"/>
    <n v="196761000"/>
    <n v="149862000"/>
    <n v="149862000"/>
    <n v="149862000"/>
    <n v="149862000"/>
    <n v="149862000"/>
    <n v="69000"/>
    <m/>
    <m/>
    <m/>
    <m/>
    <m/>
    <m/>
    <m/>
    <m/>
    <m/>
    <m/>
    <m/>
    <m/>
    <m/>
    <m/>
    <m/>
    <m/>
    <m/>
    <m/>
    <m/>
    <m/>
    <m/>
    <m/>
    <n v="500000"/>
    <n v="1523000"/>
    <n v="69000"/>
    <m/>
    <m/>
    <n v="4761000"/>
    <n v="1523000"/>
    <m/>
    <m/>
    <m/>
    <n v="-4261000"/>
    <m/>
  </r>
  <r>
    <x v="64"/>
    <n v="6"/>
    <x v="31"/>
    <m/>
    <n v="15751000"/>
    <m/>
    <m/>
    <m/>
    <n v="152000"/>
    <n v="187000"/>
    <m/>
    <m/>
    <m/>
    <n v="3184000"/>
    <n v="3372000"/>
    <m/>
    <m/>
    <m/>
    <n v="312000"/>
    <n v="59000"/>
    <m/>
    <m/>
    <m/>
    <n v="10000"/>
    <n v="10000"/>
    <m/>
    <m/>
    <m/>
    <n v="-3812000"/>
    <n v="-17555000"/>
    <m/>
    <m/>
    <m/>
    <m/>
    <m/>
    <m/>
    <m/>
    <m/>
    <n v="4590000"/>
    <n v="14050000"/>
    <m/>
    <m/>
    <m/>
    <n v="60515000"/>
    <n v="58252000"/>
    <m/>
    <m/>
    <m/>
    <n v="55571000"/>
    <n v="45794000"/>
    <m/>
    <m/>
    <m/>
    <n v="9234000"/>
    <n v="23475000"/>
    <m/>
    <m/>
    <m/>
    <n v="49000"/>
    <n v="271000"/>
    <m/>
    <m/>
    <m/>
    <m/>
    <n v="101000"/>
    <m/>
    <m/>
    <m/>
    <n v="125000"/>
    <n v="1344000"/>
    <m/>
    <m/>
    <m/>
    <n v="-3810000"/>
    <n v="-13733000"/>
    <m/>
    <m/>
    <m/>
  </r>
  <r>
    <x v="65"/>
    <n v="17"/>
    <x v="32"/>
    <n v="4016000"/>
    <n v="625000"/>
    <m/>
    <m/>
    <m/>
    <n v="97000"/>
    <m/>
    <m/>
    <m/>
    <m/>
    <n v="19811000"/>
    <n v="13672000"/>
    <m/>
    <m/>
    <m/>
    <n v="483000"/>
    <m/>
    <m/>
    <m/>
    <m/>
    <m/>
    <m/>
    <m/>
    <m/>
    <m/>
    <m/>
    <m/>
    <m/>
    <m/>
    <m/>
    <n v="240000"/>
    <n v="240000"/>
    <m/>
    <m/>
    <m/>
    <n v="21315000"/>
    <n v="19270000"/>
    <m/>
    <m/>
    <m/>
    <n v="31713000"/>
    <n v="30013000"/>
    <m/>
    <m/>
    <m/>
    <n v="29492000"/>
    <n v="34589000"/>
    <m/>
    <m/>
    <m/>
    <m/>
    <m/>
    <m/>
    <m/>
    <m/>
    <m/>
    <m/>
    <m/>
    <m/>
    <m/>
    <n v="12000"/>
    <n v="3000"/>
    <m/>
    <m/>
    <m/>
    <n v="1097000"/>
    <n v="3453000"/>
    <m/>
    <m/>
    <m/>
    <n v="837000"/>
    <n v="-8065000"/>
    <m/>
    <m/>
    <m/>
  </r>
  <r>
    <x v="66"/>
    <n v="8"/>
    <x v="33"/>
    <m/>
    <m/>
    <m/>
    <m/>
    <m/>
    <m/>
    <m/>
    <m/>
    <m/>
    <m/>
    <m/>
    <m/>
    <m/>
    <m/>
    <m/>
    <m/>
    <n v="10000"/>
    <n v="10000"/>
    <n v="10000"/>
    <m/>
    <m/>
    <m/>
    <n v="10000"/>
    <n v="100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67"/>
    <n v="17"/>
    <x v="34"/>
    <n v="1098000"/>
    <n v="751000"/>
    <n v="73000"/>
    <m/>
    <m/>
    <m/>
    <m/>
    <n v="150000"/>
    <m/>
    <m/>
    <n v="6911000"/>
    <n v="11908000"/>
    <n v="13847000"/>
    <m/>
    <m/>
    <n v="138000"/>
    <n v="498000"/>
    <n v="365000"/>
    <m/>
    <m/>
    <m/>
    <m/>
    <m/>
    <m/>
    <m/>
    <m/>
    <m/>
    <m/>
    <m/>
    <m/>
    <m/>
    <n v="5061000"/>
    <n v="2889000"/>
    <m/>
    <m/>
    <n v="6254000"/>
    <n v="3093000"/>
    <n v="2715000"/>
    <m/>
    <m/>
    <n v="8464000"/>
    <n v="13152000"/>
    <n v="7768000"/>
    <m/>
    <m/>
    <n v="7205000"/>
    <n v="9149000"/>
    <n v="5604000"/>
    <m/>
    <m/>
    <m/>
    <m/>
    <m/>
    <m/>
    <m/>
    <m/>
    <m/>
    <m/>
    <m/>
    <m/>
    <n v="3044000"/>
    <n v="255000"/>
    <n v="150000"/>
    <m/>
    <m/>
    <n v="2238000"/>
    <n v="1176000"/>
    <n v="675000"/>
    <m/>
    <m/>
    <n v="1500000"/>
    <n v="1708000"/>
    <n v="1252000"/>
    <m/>
    <m/>
  </r>
  <r>
    <x v="68"/>
    <n v="17"/>
    <x v="35"/>
    <m/>
    <m/>
    <m/>
    <n v="2217000"/>
    <n v="1674000"/>
    <n v="16590000"/>
    <n v="17100000"/>
    <n v="23443000"/>
    <n v="2681000"/>
    <n v="34470000"/>
    <n v="3947000"/>
    <n v="4122000"/>
    <n v="5292000"/>
    <n v="2712000"/>
    <n v="2050000"/>
    <n v="323000"/>
    <n v="215000"/>
    <n v="925000"/>
    <n v="714000"/>
    <n v="712000"/>
    <n v="10000"/>
    <n v="10000"/>
    <n v="10000"/>
    <n v="10000"/>
    <n v="10000"/>
    <n v="6247000"/>
    <n v="6247000"/>
    <n v="6373000"/>
    <n v="5202000"/>
    <n v="4857000"/>
    <n v="1371000"/>
    <n v="1371000"/>
    <n v="1381000"/>
    <n v="1371000"/>
    <n v="1371000"/>
    <n v="11045000"/>
    <n v="12409000"/>
    <n v="21281000"/>
    <n v="324000"/>
    <n v="31244000"/>
    <n v="10831000"/>
    <n v="12012000"/>
    <n v="8841000"/>
    <n v="14872000"/>
    <n v="379000"/>
    <n v="6691000"/>
    <n v="7728000"/>
    <n v="4409000"/>
    <n v="13036000"/>
    <n v="133000"/>
    <n v="3684000"/>
    <n v="3948000"/>
    <n v="3994000"/>
    <n v="8066000"/>
    <n v="843000"/>
    <m/>
    <m/>
    <m/>
    <m/>
    <m/>
    <n v="774000"/>
    <n v="39000"/>
    <n v="49000"/>
    <n v="7088000"/>
    <n v="1117000"/>
    <n v="779000"/>
    <n v="111000"/>
    <n v="186000"/>
    <n v="2161000"/>
    <n v="1060000"/>
    <n v="280000"/>
    <n v="5000"/>
    <n v="128000"/>
    <n v="-1093000"/>
    <n v="-330000"/>
  </r>
  <r>
    <x v="69"/>
    <n v="28"/>
    <x v="36"/>
    <n v="718000"/>
    <m/>
    <m/>
    <m/>
    <m/>
    <n v="46304000"/>
    <n v="10990000"/>
    <n v="10990000"/>
    <n v="10990000"/>
    <n v="10990000"/>
    <n v="4443000"/>
    <n v="3866000"/>
    <n v="3910000"/>
    <n v="3318000"/>
    <m/>
    <n v="25178000"/>
    <n v="1139000"/>
    <n v="843000"/>
    <n v="1532000"/>
    <n v="969000"/>
    <n v="43186000"/>
    <n v="43186000"/>
    <n v="43186000"/>
    <n v="43186000"/>
    <n v="43186000"/>
    <n v="-772100000"/>
    <n v="-792190000"/>
    <n v="-792114000"/>
    <n v="-720617000"/>
    <n v="-724507000"/>
    <m/>
    <m/>
    <m/>
    <m/>
    <m/>
    <n v="805222000"/>
    <n v="765077000"/>
    <n v="764733000"/>
    <n v="693300000"/>
    <n v="693280000"/>
    <n v="2846000"/>
    <m/>
    <m/>
    <m/>
    <m/>
    <m/>
    <m/>
    <m/>
    <m/>
    <m/>
    <m/>
    <m/>
    <m/>
    <m/>
    <m/>
    <n v="11523000"/>
    <n v="2985000"/>
    <n v="1169000"/>
    <n v="526000"/>
    <m/>
    <n v="603966000"/>
    <n v="15902000"/>
    <n v="1461000"/>
    <n v="1037000"/>
    <m/>
    <n v="89234000"/>
    <n v="44710000"/>
    <n v="421000"/>
    <n v="451000"/>
    <m/>
    <n v="508646000"/>
    <n v="-31848000"/>
    <n v="-129000"/>
    <n v="60000"/>
    <m/>
  </r>
  <r>
    <x v="70"/>
    <n v="10"/>
    <x v="37"/>
    <n v="1743000"/>
    <n v="2766000"/>
    <n v="1770000"/>
    <n v="643000"/>
    <n v="156000"/>
    <n v="117587000"/>
    <n v="192391000"/>
    <n v="43830000"/>
    <n v="57687000"/>
    <n v="53791000"/>
    <n v="1191000"/>
    <n v="73669000"/>
    <n v="18251000"/>
    <n v="27072000"/>
    <n v="21065000"/>
    <n v="20572000"/>
    <n v="10666000"/>
    <n v="75000"/>
    <n v="98000"/>
    <m/>
    <n v="10000"/>
    <n v="10000"/>
    <n v="10000"/>
    <n v="10000"/>
    <n v="10000"/>
    <n v="4532000"/>
    <n v="4773000"/>
    <n v="-27906000"/>
    <n v="-33735000"/>
    <n v="-36201000"/>
    <m/>
    <n v="5804000"/>
    <n v="11971000"/>
    <n v="12832000"/>
    <n v="12382000"/>
    <n v="136551000"/>
    <n v="268960000"/>
    <n v="79851000"/>
    <n v="106393000"/>
    <n v="98821000"/>
    <n v="288133000"/>
    <n v="195157000"/>
    <n v="370819000"/>
    <n v="24236000"/>
    <n v="1305000"/>
    <n v="274761000"/>
    <n v="180954000"/>
    <n v="395275000"/>
    <n v="14653000"/>
    <n v="2358000"/>
    <m/>
    <m/>
    <m/>
    <m/>
    <m/>
    <n v="12871000"/>
    <n v="13601000"/>
    <n v="14683000"/>
    <n v="7189000"/>
    <n v="1218000"/>
    <m/>
    <m/>
    <n v="25019000"/>
    <n v="4274000"/>
    <m/>
    <n v="122000"/>
    <n v="241000"/>
    <n v="21842000"/>
    <n v="8849000"/>
    <n v="205000"/>
    <n v="379000"/>
    <n v="361000"/>
    <n v="-35962000"/>
    <n v="-2181000"/>
    <n v="-2476000"/>
  </r>
  <r>
    <x v="71"/>
    <n v="14"/>
    <x v="38"/>
    <n v="77566000"/>
    <n v="67792000"/>
    <n v="60290000"/>
    <n v="57862000"/>
    <n v="289000"/>
    <n v="212209000"/>
    <n v="226034000"/>
    <n v="226034000"/>
    <n v="223949000"/>
    <n v="223949000"/>
    <n v="91702000"/>
    <n v="89118000"/>
    <n v="107194000"/>
    <n v="72035000"/>
    <n v="13317000"/>
    <m/>
    <m/>
    <n v="286000"/>
    <n v="23093000"/>
    <n v="27251000"/>
    <n v="10000000"/>
    <n v="10000000"/>
    <n v="10000000"/>
    <n v="10000000"/>
    <n v="10000000"/>
    <n v="-64752000"/>
    <n v="-86226000"/>
    <n v="-64035000"/>
    <n v="-77096000"/>
    <n v="-129701000"/>
    <n v="12359000"/>
    <n v="12353000"/>
    <n v="12353000"/>
    <n v="12353000"/>
    <n v="12353000"/>
    <n v="444591000"/>
    <n v="467381000"/>
    <n v="457150000"/>
    <n v="453323000"/>
    <n v="393793000"/>
    <n v="71835000"/>
    <n v="1145000"/>
    <m/>
    <m/>
    <m/>
    <n v="85733000"/>
    <m/>
    <m/>
    <m/>
    <m/>
    <m/>
    <m/>
    <m/>
    <m/>
    <m/>
    <n v="51679000"/>
    <n v="23897000"/>
    <n v="10117000"/>
    <n v="6140000"/>
    <n v="4098000"/>
    <n v="22490000"/>
    <n v="7031000"/>
    <n v="44789000"/>
    <n v="3000000"/>
    <n v="9268000"/>
    <n v="57894000"/>
    <n v="3927000"/>
    <n v="6840000"/>
    <n v="9921000"/>
    <n v="57775000"/>
    <n v="-84328000"/>
    <n v="-19648000"/>
    <n v="22190000"/>
    <n v="-13061000"/>
    <n v="-52605000"/>
  </r>
  <r>
    <x v="72"/>
    <n v="5"/>
    <x v="38"/>
    <n v="86000"/>
    <n v="10157000"/>
    <n v="8598000"/>
    <n v="6314000"/>
    <n v="70000"/>
    <n v="2355000"/>
    <n v="14378000"/>
    <n v="14704000"/>
    <n v="77380000"/>
    <n v="105438000"/>
    <n v="5831000"/>
    <n v="12763000"/>
    <n v="21132000"/>
    <n v="38150000"/>
    <n v="37134000"/>
    <n v="1560000"/>
    <n v="67000"/>
    <n v="11434000"/>
    <n v="1889000"/>
    <n v="89000"/>
    <m/>
    <m/>
    <m/>
    <m/>
    <m/>
    <m/>
    <m/>
    <m/>
    <m/>
    <m/>
    <n v="650000"/>
    <n v="1373000"/>
    <n v="1370000"/>
    <m/>
    <m/>
    <n v="5085000"/>
    <n v="7777000"/>
    <n v="20820000"/>
    <n v="54109000"/>
    <n v="72737000"/>
    <n v="28948000"/>
    <n v="47747000"/>
    <n v="93383000"/>
    <n v="133381000"/>
    <n v="104332000"/>
    <n v="28781000"/>
    <n v="45487000"/>
    <n v="91694000"/>
    <n v="128465000"/>
    <n v="104154000"/>
    <m/>
    <m/>
    <m/>
    <m/>
    <m/>
    <m/>
    <m/>
    <m/>
    <m/>
    <m/>
    <m/>
    <m/>
    <n v="30000"/>
    <n v="3821000"/>
    <n v="22652000"/>
    <n v="61000"/>
    <n v="134000"/>
    <n v="603000"/>
    <n v="4068000"/>
    <n v="17060000"/>
    <n v="86000"/>
    <n v="1784000"/>
    <n v="209000"/>
    <n v="2154000"/>
    <n v="200000"/>
  </r>
  <r>
    <x v="73"/>
    <n v="32"/>
    <x v="39"/>
    <n v="367420000"/>
    <n v="353701000"/>
    <n v="298856000"/>
    <n v="224123000"/>
    <n v="112842000"/>
    <n v="439645000"/>
    <n v="445688000"/>
    <n v="443054000"/>
    <n v="435788000"/>
    <n v="412956000"/>
    <n v="1228777000"/>
    <n v="1265599000"/>
    <n v="1362357000"/>
    <n v="1798613000"/>
    <n v="1660245000"/>
    <n v="55117000"/>
    <n v="283000"/>
    <n v="9733000"/>
    <n v="4162000"/>
    <n v="2579000"/>
    <n v="977000"/>
    <n v="977000"/>
    <n v="977000"/>
    <n v="977000"/>
    <n v="977000"/>
    <n v="-2445078000"/>
    <n v="-2508018000"/>
    <n v="-2800056000"/>
    <n v="-2344725000"/>
    <n v="-2000784000"/>
    <n v="297268000"/>
    <n v="307908000"/>
    <n v="318548000"/>
    <n v="329188000"/>
    <n v="270624000"/>
    <n v="3734172000"/>
    <n v="3791148000"/>
    <n v="4201778000"/>
    <n v="4064303000"/>
    <n v="3585076000"/>
    <n v="319294000"/>
    <n v="119395000"/>
    <n v="171801000"/>
    <n v="30107000"/>
    <n v="6124000"/>
    <n v="421764000"/>
    <n v="158353000"/>
    <n v="95185000"/>
    <n v="75580000"/>
    <m/>
    <m/>
    <m/>
    <m/>
    <m/>
    <m/>
    <n v="81594000"/>
    <n v="66180000"/>
    <n v="69427000"/>
    <n v="51367000"/>
    <n v="121350000"/>
    <n v="50773000"/>
    <n v="39541000"/>
    <n v="322160000"/>
    <n v="908756000"/>
    <n v="583635000"/>
    <n v="26081000"/>
    <n v="12102000"/>
    <n v="220469000"/>
    <n v="260369000"/>
    <n v="139882000"/>
    <n v="-307791000"/>
    <n v="-71066000"/>
    <n v="-382876000"/>
    <n v="414586000"/>
    <n v="226364000"/>
  </r>
  <r>
    <x v="74"/>
    <n v="32"/>
    <x v="39"/>
    <m/>
    <m/>
    <m/>
    <m/>
    <m/>
    <n v="29000"/>
    <n v="29000"/>
    <n v="21000"/>
    <n v="21000"/>
    <n v="21000"/>
    <n v="2512000"/>
    <n v="302000"/>
    <n v="476000"/>
    <n v="481000"/>
    <n v="356000"/>
    <n v="2752000"/>
    <n v="2398000"/>
    <n v="1508000"/>
    <n v="2245000"/>
    <n v="2585000"/>
    <n v="1000000"/>
    <n v="1000000"/>
    <n v="1000000"/>
    <n v="1000000"/>
    <n v="1000000"/>
    <n v="-330005000"/>
    <n v="-319764000"/>
    <n v="-319469000"/>
    <n v="-316964000"/>
    <n v="-317559000"/>
    <m/>
    <m/>
    <m/>
    <m/>
    <m/>
    <n v="38994000"/>
    <n v="34231000"/>
    <n v="36581000"/>
    <n v="34969000"/>
    <n v="319280000"/>
    <m/>
    <m/>
    <n v="1000000"/>
    <m/>
    <m/>
    <n v="497000"/>
    <m/>
    <n v="1000"/>
    <m/>
    <m/>
    <m/>
    <m/>
    <m/>
    <m/>
    <m/>
    <m/>
    <n v="463000"/>
    <n v="490000"/>
    <n v="648000"/>
    <n v="451000"/>
    <n v="3373000"/>
    <n v="10984000"/>
    <m/>
    <n v="3781000"/>
    <n v="1000"/>
    <n v="202000"/>
    <n v="154000"/>
    <n v="141000"/>
    <n v="173000"/>
    <n v="25000"/>
    <n v="2674000"/>
    <n v="10241000"/>
    <n v="294000"/>
    <n v="2364000"/>
    <n v="-475000"/>
  </r>
  <r>
    <x v="75"/>
    <n v="8"/>
    <x v="39"/>
    <n v="2704000"/>
    <n v="1526000"/>
    <n v="729000"/>
    <n v="12652000"/>
    <n v="9747000"/>
    <n v="522000"/>
    <n v="2866000"/>
    <n v="3131000"/>
    <n v="31909000"/>
    <n v="6226000"/>
    <n v="12611000"/>
    <n v="11128000"/>
    <n v="15832000"/>
    <n v="46818000"/>
    <n v="47410000"/>
    <n v="35000"/>
    <n v="4295000"/>
    <n v="898000"/>
    <n v="3735000"/>
    <n v="4000"/>
    <m/>
    <m/>
    <m/>
    <m/>
    <m/>
    <m/>
    <m/>
    <m/>
    <m/>
    <m/>
    <m/>
    <m/>
    <n v="46000"/>
    <n v="585000"/>
    <n v="2096000"/>
    <n v="4207000"/>
    <n v="6481000"/>
    <n v="6906000"/>
    <n v="51154000"/>
    <n v="29552000"/>
    <n v="30975000"/>
    <n v="47862000"/>
    <n v="82674000"/>
    <n v="87627000"/>
    <n v="49283000"/>
    <n v="29728000"/>
    <n v="45769000"/>
    <n v="72722000"/>
    <n v="84492000"/>
    <n v="49023000"/>
    <m/>
    <m/>
    <m/>
    <m/>
    <m/>
    <m/>
    <m/>
    <m/>
    <m/>
    <m/>
    <m/>
    <n v="826000"/>
    <n v="10383000"/>
    <n v="951000"/>
    <n v="397000"/>
    <n v="295000"/>
    <n v="408000"/>
    <n v="16393000"/>
    <n v="3767000"/>
    <n v="2205000"/>
    <n v="312000"/>
    <n v="1792000"/>
    <n v="1630000"/>
    <n v="-1529000"/>
    <n v="-4226000"/>
  </r>
  <r>
    <x v="76"/>
    <n v="17"/>
    <x v="3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7"/>
    <n v="16"/>
    <x v="39"/>
    <n v="746000"/>
    <n v="317000"/>
    <n v="17000"/>
    <m/>
    <m/>
    <n v="29737000"/>
    <n v="29260000"/>
    <n v="20737000"/>
    <m/>
    <m/>
    <n v="13876000"/>
    <n v="1393000"/>
    <n v="989000"/>
    <m/>
    <m/>
    <n v="1000"/>
    <m/>
    <n v="2000"/>
    <m/>
    <m/>
    <m/>
    <m/>
    <m/>
    <m/>
    <m/>
    <m/>
    <m/>
    <m/>
    <m/>
    <m/>
    <n v="367000"/>
    <n v="1010000"/>
    <n v="331000"/>
    <m/>
    <m/>
    <n v="32607000"/>
    <n v="23057000"/>
    <n v="35131000"/>
    <m/>
    <m/>
    <n v="40576000"/>
    <n v="29759000"/>
    <n v="32789000"/>
    <m/>
    <m/>
    <n v="39475000"/>
    <n v="29114000"/>
    <n v="51535000"/>
    <m/>
    <m/>
    <m/>
    <m/>
    <m/>
    <m/>
    <m/>
    <m/>
    <m/>
    <m/>
    <m/>
    <m/>
    <n v="472000"/>
    <n v="805000"/>
    <n v="224000"/>
    <m/>
    <m/>
    <n v="360000"/>
    <n v="402000"/>
    <n v="354000"/>
    <m/>
    <m/>
    <n v="103000"/>
    <n v="98000"/>
    <n v="-19891000"/>
    <m/>
    <m/>
  </r>
  <r>
    <x v="78"/>
    <n v="31"/>
    <x v="4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9"/>
    <n v="14"/>
    <x v="40"/>
    <m/>
    <m/>
    <m/>
    <m/>
    <m/>
    <m/>
    <m/>
    <m/>
    <m/>
    <m/>
    <n v="13129000"/>
    <m/>
    <m/>
    <m/>
    <m/>
    <n v="214000"/>
    <m/>
    <m/>
    <m/>
    <m/>
    <n v="10000"/>
    <m/>
    <m/>
    <m/>
    <m/>
    <n v="10654000"/>
    <m/>
    <m/>
    <m/>
    <m/>
    <m/>
    <m/>
    <m/>
    <m/>
    <m/>
    <n v="2679000"/>
    <m/>
    <m/>
    <m/>
    <m/>
    <n v="12939000"/>
    <m/>
    <m/>
    <m/>
    <m/>
    <n v="7399000"/>
    <m/>
    <m/>
    <m/>
    <m/>
    <m/>
    <m/>
    <m/>
    <m/>
    <m/>
    <m/>
    <m/>
    <m/>
    <m/>
    <m/>
    <m/>
    <m/>
    <m/>
    <m/>
    <m/>
    <m/>
    <m/>
    <m/>
    <m/>
    <m/>
    <n v="4432000"/>
    <m/>
    <m/>
    <m/>
    <m/>
  </r>
  <r>
    <x v="80"/>
    <n v="22"/>
    <x v="40"/>
    <n v="152000"/>
    <n v="201000"/>
    <m/>
    <m/>
    <m/>
    <n v="17768000"/>
    <n v="86870000"/>
    <m/>
    <m/>
    <m/>
    <n v="16542000"/>
    <n v="20531000"/>
    <m/>
    <m/>
    <m/>
    <n v="12879000"/>
    <m/>
    <m/>
    <m/>
    <m/>
    <n v="10000"/>
    <n v="10000"/>
    <m/>
    <m/>
    <m/>
    <n v="1993000"/>
    <n v="2586000"/>
    <m/>
    <m/>
    <m/>
    <n v="2700000"/>
    <n v="16199000"/>
    <m/>
    <m/>
    <m/>
    <n v="45141000"/>
    <n v="93118000"/>
    <m/>
    <m/>
    <m/>
    <n v="5397000"/>
    <n v="31348000"/>
    <m/>
    <m/>
    <m/>
    <n v="5536000"/>
    <n v="29384000"/>
    <m/>
    <m/>
    <m/>
    <m/>
    <m/>
    <m/>
    <m/>
    <m/>
    <n v="3018000"/>
    <m/>
    <m/>
    <m/>
    <m/>
    <n v="8643000"/>
    <m/>
    <m/>
    <m/>
    <m/>
    <n v="5051000"/>
    <n v="918000"/>
    <m/>
    <m/>
    <m/>
    <n v="345000"/>
    <n v="-759000"/>
    <m/>
    <m/>
    <m/>
  </r>
  <r>
    <x v="81"/>
    <n v="9"/>
    <x v="40"/>
    <n v="3628000"/>
    <n v="2267000"/>
    <n v="907000"/>
    <m/>
    <m/>
    <n v="2342000"/>
    <n v="5000"/>
    <m/>
    <m/>
    <m/>
    <n v="2535000"/>
    <n v="3869000"/>
    <n v="3142000"/>
    <m/>
    <m/>
    <m/>
    <m/>
    <m/>
    <m/>
    <m/>
    <n v="10000"/>
    <n v="10000"/>
    <n v="10000"/>
    <m/>
    <m/>
    <n v="-3837000"/>
    <n v="-5321000"/>
    <n v="-7417000"/>
    <m/>
    <m/>
    <m/>
    <m/>
    <m/>
    <m/>
    <m/>
    <n v="11053000"/>
    <n v="9239000"/>
    <n v="9237000"/>
    <n v="7671000"/>
    <m/>
    <n v="1461000"/>
    <n v="2327000"/>
    <m/>
    <m/>
    <m/>
    <n v="1119000"/>
    <n v="2336000"/>
    <n v="1730000"/>
    <m/>
    <m/>
    <n v="2000"/>
    <m/>
    <m/>
    <m/>
    <m/>
    <n v="2372000"/>
    <n v="1470000"/>
    <m/>
    <m/>
    <m/>
    <n v="2549000"/>
    <m/>
    <m/>
    <m/>
    <m/>
    <n v="922000"/>
    <m/>
    <n v="366000"/>
    <n v="264000"/>
    <m/>
    <n v="-423000"/>
    <n v="-1484000"/>
    <n v="-2096000"/>
    <n v="-264000"/>
    <m/>
  </r>
  <r>
    <x v="82"/>
    <n v="29"/>
    <x v="40"/>
    <m/>
    <m/>
    <m/>
    <m/>
    <m/>
    <m/>
    <m/>
    <m/>
    <m/>
    <m/>
    <n v="6399000"/>
    <n v="6239000"/>
    <n v="6263000"/>
    <n v="6064000"/>
    <n v="6028000"/>
    <n v="10000"/>
    <n v="9000"/>
    <n v="4000"/>
    <n v="5000"/>
    <m/>
    <m/>
    <m/>
    <m/>
    <m/>
    <m/>
    <m/>
    <m/>
    <m/>
    <m/>
    <n v="-19060000"/>
    <m/>
    <m/>
    <m/>
    <m/>
    <m/>
    <n v="74000"/>
    <n v="104000"/>
    <n v="374000"/>
    <n v="358000"/>
    <n v="25088000"/>
    <m/>
    <n v="600000"/>
    <n v="600000"/>
    <n v="622000"/>
    <m/>
    <n v="681000"/>
    <n v="694000"/>
    <n v="812000"/>
    <n v="750000"/>
    <m/>
    <m/>
    <m/>
    <m/>
    <m/>
    <m/>
    <m/>
    <m/>
    <m/>
    <m/>
    <n v="987000"/>
    <n v="4000"/>
    <m/>
    <m/>
    <m/>
    <n v="805000"/>
    <n v="321000"/>
    <n v="97000"/>
    <n v="33000"/>
    <n v="49000"/>
    <m/>
    <n v="-1002000"/>
    <n v="-191000"/>
    <n v="-251000"/>
    <n v="-183000"/>
    <n v="-182000"/>
  </r>
  <r>
    <x v="83"/>
    <n v="12"/>
    <x v="4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84"/>
    <n v="8"/>
    <x v="40"/>
    <m/>
    <n v="513000"/>
    <n v="426000"/>
    <n v="1514000"/>
    <n v="441000"/>
    <n v="37000"/>
    <m/>
    <n v="19880000"/>
    <n v="35544000"/>
    <n v="1000"/>
    <n v="1104000"/>
    <n v="9854000"/>
    <n v="5703000"/>
    <n v="9897000"/>
    <n v="804000"/>
    <n v="123000"/>
    <n v="726000"/>
    <n v="877000"/>
    <n v="226000"/>
    <n v="1000"/>
    <n v="10000"/>
    <m/>
    <m/>
    <m/>
    <m/>
    <n v="123000"/>
    <m/>
    <m/>
    <m/>
    <m/>
    <m/>
    <m/>
    <m/>
    <m/>
    <m/>
    <n v="333000"/>
    <n v="8951000"/>
    <n v="16092000"/>
    <n v="19994000"/>
    <n v="15629000"/>
    <n v="581000"/>
    <n v="31542000"/>
    <n v="26051000"/>
    <n v="47837000"/>
    <n v="25506000"/>
    <n v="319000"/>
    <n v="29861000"/>
    <n v="23759000"/>
    <n v="43265000"/>
    <n v="56970000"/>
    <m/>
    <m/>
    <m/>
    <m/>
    <m/>
    <n v="163000"/>
    <m/>
    <m/>
    <m/>
    <m/>
    <m/>
    <n v="25000"/>
    <m/>
    <n v="25000"/>
    <m/>
    <n v="23000"/>
    <n v="305000"/>
    <n v="1105000"/>
    <n v="2454000"/>
    <n v="1078000"/>
    <n v="61000"/>
    <n v="1150000"/>
    <n v="893000"/>
    <n v="1669000"/>
    <n v="-33458000"/>
  </r>
  <r>
    <x v="85"/>
    <n v="17"/>
    <x v="40"/>
    <n v="985000"/>
    <m/>
    <m/>
    <m/>
    <m/>
    <n v="3026000"/>
    <n v="3547000"/>
    <n v="2964000"/>
    <n v="2964000"/>
    <m/>
    <n v="111235000"/>
    <n v="111235000"/>
    <n v="3252000"/>
    <n v="3252000"/>
    <n v="3064000"/>
    <m/>
    <m/>
    <m/>
    <m/>
    <m/>
    <m/>
    <m/>
    <m/>
    <m/>
    <m/>
    <m/>
    <m/>
    <m/>
    <m/>
    <m/>
    <n v="10491000"/>
    <n v="10491000"/>
    <m/>
    <m/>
    <m/>
    <n v="142017000"/>
    <n v="142017000"/>
    <n v="85481000"/>
    <n v="85481000"/>
    <n v="100071000"/>
    <n v="74616000"/>
    <n v="3528000"/>
    <n v="583000"/>
    <m/>
    <n v="92000"/>
    <n v="82170000"/>
    <n v="3987000"/>
    <n v="38722000"/>
    <m/>
    <n v="17834000"/>
    <m/>
    <m/>
    <m/>
    <m/>
    <m/>
    <m/>
    <m/>
    <m/>
    <m/>
    <m/>
    <n v="22000"/>
    <m/>
    <m/>
    <m/>
    <m/>
    <n v="25186000"/>
    <n v="5000"/>
    <m/>
    <m/>
    <m/>
    <n v="-32718000"/>
    <n v="-464000"/>
    <n v="-38139000"/>
    <m/>
    <n v="-17742000"/>
  </r>
  <r>
    <x v="86"/>
    <n v="11"/>
    <x v="40"/>
    <n v="9494000"/>
    <n v="9771000"/>
    <n v="2970000"/>
    <n v="2212000"/>
    <n v="1659000"/>
    <n v="54068000"/>
    <n v="39070000"/>
    <n v="24697000"/>
    <n v="48933000"/>
    <n v="39894000"/>
    <n v="53492000"/>
    <n v="53896000"/>
    <n v="75901000"/>
    <n v="67410000"/>
    <n v="113451000"/>
    <n v="2745000"/>
    <n v="95000"/>
    <n v="1474000"/>
    <n v="3588000"/>
    <n v="882000"/>
    <n v="10000"/>
    <n v="10000"/>
    <n v="10000"/>
    <n v="10000"/>
    <n v="10000"/>
    <n v="57223000"/>
    <n v="69214000"/>
    <n v="61451000"/>
    <n v="1491000"/>
    <n v="-41383000"/>
    <m/>
    <m/>
    <m/>
    <m/>
    <m/>
    <n v="47597000"/>
    <n v="32684000"/>
    <n v="46730000"/>
    <n v="108274000"/>
    <n v="184316000"/>
    <n v="98500000"/>
    <n v="221469000"/>
    <n v="325832000"/>
    <n v="214938000"/>
    <n v="62166000"/>
    <n v="87035000"/>
    <n v="204523000"/>
    <n v="271619000"/>
    <n v="214386000"/>
    <n v="60945000"/>
    <m/>
    <m/>
    <m/>
    <m/>
    <m/>
    <n v="1084000"/>
    <n v="3200000"/>
    <n v="2487000"/>
    <n v="2154000"/>
    <n v="1211000"/>
    <n v="2898000"/>
    <n v="4130000"/>
    <n v="4222000"/>
    <n v="1700000"/>
    <m/>
    <n v="588000"/>
    <n v="3489000"/>
    <n v="4992000"/>
    <m/>
    <m/>
    <n v="11230000"/>
    <n v="12399000"/>
    <n v="43771000"/>
    <n v="78000"/>
    <n v="10000"/>
  </r>
  <r>
    <x v="87"/>
    <n v="22"/>
    <x v="40"/>
    <m/>
    <m/>
    <m/>
    <m/>
    <m/>
    <m/>
    <m/>
    <m/>
    <m/>
    <m/>
    <n v="15000"/>
    <n v="37000"/>
    <m/>
    <m/>
    <m/>
    <n v="1207000"/>
    <n v="1038000"/>
    <n v="931000"/>
    <n v="764000"/>
    <n v="676000"/>
    <n v="10000"/>
    <n v="10000"/>
    <n v="10000"/>
    <n v="10000"/>
    <n v="10000"/>
    <n v="-20150000"/>
    <n v="-20332000"/>
    <n v="-20476000"/>
    <n v="-20716000"/>
    <n v="-23923000"/>
    <n v="3129000"/>
    <n v="23860000"/>
    <n v="23860000"/>
    <n v="23860000"/>
    <n v="23860000"/>
    <n v="591000"/>
    <n v="624000"/>
    <n v="652000"/>
    <n v="719000"/>
    <n v="729000"/>
    <n v="4850000"/>
    <m/>
    <m/>
    <m/>
    <m/>
    <n v="4530000"/>
    <m/>
    <m/>
    <m/>
    <m/>
    <n v="173000"/>
    <n v="25000"/>
    <m/>
    <m/>
    <m/>
    <n v="493000"/>
    <n v="167000"/>
    <n v="120000"/>
    <n v="170000"/>
    <n v="129000"/>
    <n v="27000"/>
    <m/>
    <m/>
    <n v="67000"/>
    <n v="42000"/>
    <n v="31000"/>
    <n v="16000"/>
    <n v="24000"/>
    <n v="137000"/>
    <n v="1000"/>
    <n v="-288000"/>
    <n v="-182000"/>
    <n v="-144000"/>
    <n v="-240000"/>
    <n v="-88000"/>
  </r>
  <r>
    <x v="88"/>
    <n v="12"/>
    <x v="40"/>
    <m/>
    <m/>
    <m/>
    <m/>
    <m/>
    <m/>
    <m/>
    <m/>
    <m/>
    <m/>
    <m/>
    <n v="17776000"/>
    <n v="12269000"/>
    <n v="11128000"/>
    <n v="10692000"/>
    <m/>
    <n v="451000"/>
    <n v="944000"/>
    <n v="1080000"/>
    <n v="531000"/>
    <m/>
    <m/>
    <m/>
    <m/>
    <m/>
    <m/>
    <m/>
    <n v="-5912000"/>
    <n v="-6917000"/>
    <n v="-7902000"/>
    <m/>
    <m/>
    <m/>
    <m/>
    <m/>
    <m/>
    <n v="17924000"/>
    <n v="18822000"/>
    <n v="18822000"/>
    <n v="18822000"/>
    <m/>
    <m/>
    <m/>
    <m/>
    <m/>
    <m/>
    <m/>
    <m/>
    <m/>
    <m/>
    <m/>
    <m/>
    <m/>
    <m/>
    <m/>
    <m/>
    <m/>
    <m/>
    <m/>
    <m/>
    <m/>
    <m/>
    <m/>
    <m/>
    <m/>
    <m/>
    <m/>
    <n v="389000"/>
    <n v="595000"/>
    <n v="444000"/>
    <m/>
    <m/>
    <n v="-389000"/>
    <n v="-595000"/>
    <n v="-444000"/>
  </r>
  <r>
    <x v="89"/>
    <n v="14"/>
    <x v="40"/>
    <n v="1133000"/>
    <n v="4486000"/>
    <n v="3754000"/>
    <m/>
    <n v="2068000"/>
    <n v="3799000"/>
    <n v="124000"/>
    <m/>
    <m/>
    <m/>
    <n v="39273000"/>
    <n v="47008000"/>
    <n v="47008000"/>
    <m/>
    <n v="3992000"/>
    <n v="2304000"/>
    <m/>
    <m/>
    <m/>
    <m/>
    <n v="3000000"/>
    <n v="3000000"/>
    <n v="3000000"/>
    <m/>
    <n v="3000000"/>
    <n v="17331000"/>
    <n v="19602000"/>
    <n v="18002000"/>
    <m/>
    <n v="-76068000"/>
    <n v="17217000"/>
    <n v="3290000"/>
    <n v="4704000"/>
    <m/>
    <m/>
    <n v="10041000"/>
    <n v="7875000"/>
    <n v="7205000"/>
    <m/>
    <n v="79128000"/>
    <n v="26099000"/>
    <n v="3871000"/>
    <m/>
    <m/>
    <m/>
    <n v="19343000"/>
    <n v="890000"/>
    <m/>
    <m/>
    <m/>
    <m/>
    <m/>
    <n v="1481000"/>
    <m/>
    <m/>
    <n v="751000"/>
    <n v="710000"/>
    <m/>
    <m/>
    <m/>
    <n v="31775000"/>
    <m/>
    <m/>
    <m/>
    <m/>
    <n v="29403000"/>
    <m/>
    <n v="118000"/>
    <m/>
    <m/>
    <n v="8377000"/>
    <n v="2271000"/>
    <n v="-1599000"/>
    <m/>
    <m/>
  </r>
  <r>
    <x v="90"/>
    <n v="19"/>
    <x v="40"/>
    <n v="22818000"/>
    <n v="54597000"/>
    <n v="57804000"/>
    <m/>
    <m/>
    <n v="58122000"/>
    <n v="181340000"/>
    <n v="155940000"/>
    <m/>
    <m/>
    <n v="59459000"/>
    <n v="98936000"/>
    <n v="71288000"/>
    <m/>
    <m/>
    <n v="4476000"/>
    <n v="1261000"/>
    <m/>
    <m/>
    <m/>
    <n v="30000"/>
    <n v="30000"/>
    <n v="30000"/>
    <m/>
    <m/>
    <n v="28486000"/>
    <n v="27728000"/>
    <n v="33119000"/>
    <m/>
    <m/>
    <m/>
    <n v="3085000"/>
    <m/>
    <m/>
    <m/>
    <n v="26314000"/>
    <n v="168650000"/>
    <n v="127938000"/>
    <m/>
    <m/>
    <n v="264237000"/>
    <n v="211842000"/>
    <n v="271311000"/>
    <m/>
    <m/>
    <n v="255129000"/>
    <n v="190456000"/>
    <n v="257743000"/>
    <m/>
    <m/>
    <m/>
    <m/>
    <n v="1067000"/>
    <m/>
    <m/>
    <m/>
    <m/>
    <n v="5763000"/>
    <m/>
    <m/>
    <m/>
    <m/>
    <m/>
    <m/>
    <m/>
    <m/>
    <n v="16084000"/>
    <m/>
    <m/>
    <m/>
    <n v="7286000"/>
    <n v="4242000"/>
    <n v="5391000"/>
    <m/>
    <m/>
  </r>
  <r>
    <x v="91"/>
    <n v="9"/>
    <x v="40"/>
    <n v="4531000"/>
    <n v="2528000"/>
    <n v="1800000"/>
    <n v="1573000"/>
    <m/>
    <n v="200060000"/>
    <n v="145651000"/>
    <n v="139493000"/>
    <n v="140758000"/>
    <m/>
    <n v="1586433000"/>
    <n v="1239967000"/>
    <n v="860852000"/>
    <n v="855375000"/>
    <m/>
    <n v="59871000"/>
    <n v="19264000"/>
    <n v="2901000"/>
    <n v="3084000"/>
    <m/>
    <n v="100000"/>
    <n v="100000"/>
    <n v="100000"/>
    <n v="100000"/>
    <m/>
    <n v="-40440000"/>
    <n v="-107058000"/>
    <n v="-482398000"/>
    <n v="-491937000"/>
    <m/>
    <n v="37131000"/>
    <n v="39011000"/>
    <n v="39847000"/>
    <n v="41096000"/>
    <m/>
    <n v="1891175000"/>
    <n v="1513531000"/>
    <n v="1483105000"/>
    <n v="1487191000"/>
    <m/>
    <n v="331119000"/>
    <n v="506271000"/>
    <n v="486713000"/>
    <n v="2664000"/>
    <m/>
    <n v="298564000"/>
    <n v="512586000"/>
    <n v="467907000"/>
    <n v="1235000"/>
    <m/>
    <m/>
    <m/>
    <m/>
    <m/>
    <m/>
    <n v="34343000"/>
    <n v="41161000"/>
    <n v="23512000"/>
    <n v="9163000"/>
    <m/>
    <n v="4415000"/>
    <n v="3378000"/>
    <n v="10844000"/>
    <n v="1085000"/>
    <m/>
    <n v="9411000"/>
    <n v="29702000"/>
    <n v="22052000"/>
    <n v="4447000"/>
    <m/>
    <n v="-6965000"/>
    <n v="-60612000"/>
    <n v="-14221000"/>
    <n v="-9538000"/>
    <m/>
  </r>
  <r>
    <x v="92"/>
    <n v="17"/>
    <x v="40"/>
    <n v="1117000"/>
    <m/>
    <m/>
    <m/>
    <m/>
    <m/>
    <m/>
    <m/>
    <m/>
    <m/>
    <n v="15372000"/>
    <m/>
    <m/>
    <m/>
    <m/>
    <m/>
    <m/>
    <m/>
    <m/>
    <m/>
    <m/>
    <m/>
    <m/>
    <m/>
    <m/>
    <m/>
    <m/>
    <m/>
    <m/>
    <m/>
    <m/>
    <m/>
    <m/>
    <m/>
    <m/>
    <n v="235520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93"/>
    <n v="20"/>
    <x v="40"/>
    <n v="47367000"/>
    <n v="39920000"/>
    <n v="31682000"/>
    <n v="28631000"/>
    <n v="307000"/>
    <n v="306373000"/>
    <n v="245384000"/>
    <n v="134874000"/>
    <n v="45313000"/>
    <n v="33404000"/>
    <n v="425434000"/>
    <n v="460768000"/>
    <n v="672561000"/>
    <n v="720899000"/>
    <n v="657093000"/>
    <n v="404070000"/>
    <n v="78772000"/>
    <n v="129246000"/>
    <n v="17296000"/>
    <n v="898000"/>
    <n v="10000"/>
    <n v="10000"/>
    <n v="10000"/>
    <n v="10000"/>
    <n v="10000"/>
    <n v="8796000"/>
    <n v="12755000"/>
    <n v="14712000"/>
    <n v="24104000"/>
    <n v="-49618000"/>
    <n v="12198000"/>
    <n v="28028000"/>
    <n v="18528000"/>
    <n v="47759000"/>
    <n v="20988000"/>
    <n v="1169822000"/>
    <n v="786236000"/>
    <n v="940016000"/>
    <n v="712304000"/>
    <n v="734598000"/>
    <n v="452204000"/>
    <n v="990182000"/>
    <n v="719678000"/>
    <n v="1424541000"/>
    <n v="486692000"/>
    <n v="308668000"/>
    <n v="902629000"/>
    <n v="640363000"/>
    <n v="1223644000"/>
    <n v="447801000"/>
    <m/>
    <m/>
    <m/>
    <m/>
    <m/>
    <n v="96221000"/>
    <n v="85807000"/>
    <n v="75644000"/>
    <n v="77788000"/>
    <n v="46761000"/>
    <n v="43860000"/>
    <n v="75186000"/>
    <n v="50949000"/>
    <n v="1214000"/>
    <n v="61596000"/>
    <n v="84057000"/>
    <n v="70377000"/>
    <n v="48356000"/>
    <n v="109430000"/>
    <n v="140956000"/>
    <n v="4246000"/>
    <n v="3959000"/>
    <n v="2029000"/>
    <n v="9392000"/>
    <n v="-73722000"/>
  </r>
  <r>
    <x v="94"/>
    <n v="14"/>
    <x v="40"/>
    <n v="8189000"/>
    <n v="2210000"/>
    <n v="2210000"/>
    <n v="2210000"/>
    <n v="2210000"/>
    <m/>
    <m/>
    <m/>
    <m/>
    <m/>
    <n v="1569788000"/>
    <n v="68626000"/>
    <n v="67469000"/>
    <n v="75300000"/>
    <n v="75300000"/>
    <n v="351000"/>
    <n v="421000"/>
    <n v="421000"/>
    <n v="421000"/>
    <n v="421000"/>
    <n v="10000"/>
    <n v="10000"/>
    <n v="10000"/>
    <n v="10000"/>
    <n v="10000"/>
    <n v="-34641000"/>
    <n v="-30224000"/>
    <n v="-28282000"/>
    <n v="-28542000"/>
    <n v="-28542000"/>
    <n v="777000"/>
    <n v="1922000"/>
    <n v="1940000"/>
    <n v="10474000"/>
    <n v="10474000"/>
    <n v="21065000"/>
    <n v="60913000"/>
    <n v="65488000"/>
    <n v="99649000"/>
    <n v="99649000"/>
    <m/>
    <n v="54589000"/>
    <n v="7935000"/>
    <m/>
    <m/>
    <m/>
    <n v="12948000"/>
    <m/>
    <m/>
    <m/>
    <m/>
    <m/>
    <m/>
    <m/>
    <m/>
    <m/>
    <n v="2082000"/>
    <n v="1735000"/>
    <n v="260000"/>
    <m/>
    <n v="4943000"/>
    <n v="7289000"/>
    <n v="2000"/>
    <m/>
    <m/>
    <n v="21447000"/>
    <n v="41290000"/>
    <n v="3775000"/>
    <m/>
    <m/>
    <n v="-16504000"/>
    <n v="4416000"/>
    <n v="1942000"/>
    <n v="-260000"/>
    <m/>
  </r>
  <r>
    <x v="95"/>
    <n v="10"/>
    <x v="40"/>
    <n v="985000"/>
    <n v="959000"/>
    <n v="963000"/>
    <m/>
    <m/>
    <n v="3000"/>
    <n v="27000"/>
    <n v="5000"/>
    <n v="5000"/>
    <n v="5000"/>
    <n v="3576000"/>
    <n v="2640000"/>
    <n v="5502000"/>
    <n v="5386000"/>
    <n v="5386000"/>
    <m/>
    <m/>
    <n v="2588000"/>
    <n v="758000"/>
    <n v="170000"/>
    <n v="100000"/>
    <n v="100000"/>
    <n v="100000"/>
    <n v="100000"/>
    <n v="100000"/>
    <n v="-4705000"/>
    <n v="-4726000"/>
    <n v="-3229000"/>
    <n v="-4133000"/>
    <n v="-5244000"/>
    <n v="6000"/>
    <n v="6000"/>
    <n v="3000"/>
    <n v="3000"/>
    <n v="3000"/>
    <n v="9663000"/>
    <n v="9281000"/>
    <n v="13263000"/>
    <n v="11272000"/>
    <n v="11795000"/>
    <n v="732000"/>
    <m/>
    <m/>
    <m/>
    <m/>
    <n v="1505000"/>
    <m/>
    <m/>
    <m/>
    <m/>
    <m/>
    <m/>
    <m/>
    <m/>
    <m/>
    <n v="4544000"/>
    <m/>
    <m/>
    <m/>
    <m/>
    <m/>
    <m/>
    <n v="2953000"/>
    <n v="735000"/>
    <n v="72000"/>
    <m/>
    <n v="21000"/>
    <n v="1027000"/>
    <n v="1639000"/>
    <n v="1183000"/>
    <n v="-5317000"/>
    <n v="-21000"/>
    <n v="1497000"/>
    <n v="-904000"/>
    <n v="-1111000"/>
  </r>
  <r>
    <x v="96"/>
    <n v="10"/>
    <x v="40"/>
    <n v="77823000"/>
    <n v="67475000"/>
    <n v="60252000"/>
    <m/>
    <m/>
    <n v="47831000"/>
    <n v="129646000"/>
    <n v="137406000"/>
    <m/>
    <m/>
    <n v="146883000"/>
    <n v="153461000"/>
    <n v="121158000"/>
    <m/>
    <m/>
    <n v="84765000"/>
    <n v="270000"/>
    <n v="14366000"/>
    <m/>
    <m/>
    <n v="10000"/>
    <n v="10000"/>
    <n v="10000"/>
    <m/>
    <m/>
    <n v="10234000"/>
    <n v="11203000"/>
    <n v="-10193000"/>
    <m/>
    <m/>
    <m/>
    <n v="5000000"/>
    <n v="10356000"/>
    <m/>
    <m/>
    <n v="381872000"/>
    <n v="363825000"/>
    <n v="364265000"/>
    <m/>
    <m/>
    <n v="108518000"/>
    <n v="64312000"/>
    <n v="70949000"/>
    <m/>
    <m/>
    <n v="79898000"/>
    <n v="46716000"/>
    <n v="57278000"/>
    <m/>
    <m/>
    <n v="28000"/>
    <n v="111000"/>
    <n v="151000"/>
    <m/>
    <m/>
    <n v="22972000"/>
    <n v="15123000"/>
    <n v="13977000"/>
    <m/>
    <m/>
    <n v="52000"/>
    <n v="136000"/>
    <n v="4673000"/>
    <m/>
    <m/>
    <n v="2764000"/>
    <n v="1351000"/>
    <n v="7132000"/>
    <m/>
    <m/>
    <n v="3278000"/>
    <n v="969000"/>
    <n v="-21287000"/>
    <m/>
    <m/>
  </r>
  <r>
    <x v="97"/>
    <n v="33"/>
    <x v="40"/>
    <n v="73047000"/>
    <n v="65087000"/>
    <n v="43768000"/>
    <n v="4860000"/>
    <n v="2367000"/>
    <n v="1485597000"/>
    <n v="1523204000"/>
    <n v="1407486000"/>
    <n v="594865000"/>
    <n v="540043000"/>
    <n v="64835000"/>
    <n v="36331000"/>
    <n v="14310000"/>
    <n v="13401000"/>
    <n v="5721000"/>
    <n v="5442000"/>
    <n v="1727000"/>
    <n v="36206000"/>
    <n v="78002000"/>
    <n v="34352000"/>
    <n v="151510000"/>
    <n v="151510000"/>
    <n v="151510000"/>
    <n v="151510000"/>
    <n v="151510000"/>
    <n v="130261000"/>
    <n v="75648000"/>
    <n v="66108000"/>
    <n v="-603343000"/>
    <n v="-714734000"/>
    <n v="37960000"/>
    <n v="37960000"/>
    <n v="37960000"/>
    <n v="37960000"/>
    <n v="37960000"/>
    <n v="1133977000"/>
    <n v="1322447000"/>
    <n v="1361977000"/>
    <n v="1190049000"/>
    <n v="1193049000"/>
    <n v="597961000"/>
    <n v="24981000"/>
    <n v="17032000"/>
    <n v="24063000"/>
    <m/>
    <n v="607223000"/>
    <n v="43333000"/>
    <n v="23040000"/>
    <n v="74534000"/>
    <m/>
    <m/>
    <m/>
    <m/>
    <m/>
    <m/>
    <m/>
    <m/>
    <m/>
    <m/>
    <m/>
    <n v="59796000"/>
    <n v="8719000"/>
    <n v="210770000"/>
    <n v="288043000"/>
    <n v="62159000"/>
    <n v="88227000"/>
    <n v="28438000"/>
    <n v="214274000"/>
    <n v="907023000"/>
    <n v="173550000"/>
    <n v="46273000"/>
    <n v="-74722000"/>
    <n v="-9540000"/>
    <n v="-669451000"/>
    <n v="-111391000"/>
  </r>
  <r>
    <x v="98"/>
    <n v="16"/>
    <x v="4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99"/>
    <n v="19"/>
    <x v="40"/>
    <n v="27000"/>
    <m/>
    <m/>
    <m/>
    <m/>
    <n v="8286000"/>
    <n v="10419000"/>
    <n v="8141000"/>
    <n v="8141000"/>
    <m/>
    <n v="44082000"/>
    <n v="47748000"/>
    <n v="36397000"/>
    <n v="36397000"/>
    <m/>
    <n v="79000"/>
    <n v="277000"/>
    <m/>
    <m/>
    <m/>
    <n v="10000"/>
    <n v="10000"/>
    <n v="10000"/>
    <n v="10000"/>
    <m/>
    <n v="2518000"/>
    <n v="2521000"/>
    <n v="2525000"/>
    <n v="2525000"/>
    <m/>
    <n v="812000"/>
    <n v="822000"/>
    <n v="836000"/>
    <n v="836000"/>
    <m/>
    <n v="7896000"/>
    <n v="8658000"/>
    <n v="8045000"/>
    <n v="8045000"/>
    <m/>
    <n v="29138000"/>
    <n v="1319000"/>
    <n v="534000"/>
    <m/>
    <m/>
    <n v="21355000"/>
    <n v="962000"/>
    <n v="487000"/>
    <m/>
    <m/>
    <m/>
    <m/>
    <m/>
    <m/>
    <m/>
    <n v="5954000"/>
    <n v="299000"/>
    <n v="42000"/>
    <m/>
    <m/>
    <n v="258000"/>
    <m/>
    <m/>
    <m/>
    <m/>
    <n v="1357000"/>
    <n v="54000"/>
    <m/>
    <m/>
    <m/>
    <n v="-742000"/>
    <n v="4000"/>
    <n v="4000"/>
    <m/>
    <m/>
  </r>
  <r>
    <x v="100"/>
    <n v="14"/>
    <x v="40"/>
    <n v="10465000"/>
    <n v="3848000"/>
    <n v="2069000"/>
    <n v="1733000"/>
    <m/>
    <n v="208480000"/>
    <n v="132954000"/>
    <n v="2099000"/>
    <n v="1469000"/>
    <m/>
    <n v="94545000"/>
    <n v="98435000"/>
    <n v="81078000"/>
    <n v="80325000"/>
    <n v="78856000"/>
    <n v="61654000"/>
    <n v="12000"/>
    <n v="39000"/>
    <n v="7367000"/>
    <n v="3070000"/>
    <n v="7600000"/>
    <n v="7600000"/>
    <n v="7600000"/>
    <n v="7600000"/>
    <n v="7600000"/>
    <n v="30490000"/>
    <n v="-11660000"/>
    <n v="-55925000"/>
    <n v="-51435000"/>
    <n v="-45949000"/>
    <n v="411000"/>
    <n v="687000"/>
    <n v="687000"/>
    <n v="687000"/>
    <m/>
    <n v="340491000"/>
    <n v="244009000"/>
    <n v="138309000"/>
    <n v="138309000"/>
    <n v="120275000"/>
    <n v="746272000"/>
    <n v="34274000"/>
    <n v="64000"/>
    <m/>
    <m/>
    <n v="794999000"/>
    <n v="42639000"/>
    <m/>
    <m/>
    <m/>
    <m/>
    <m/>
    <m/>
    <m/>
    <m/>
    <n v="66016000"/>
    <n v="25216000"/>
    <n v="3013000"/>
    <m/>
    <m/>
    <n v="133020000"/>
    <n v="64168000"/>
    <n v="92261000"/>
    <n v="14568000"/>
    <n v="4568000"/>
    <n v="11620000"/>
    <n v="71523000"/>
    <n v="133577000"/>
    <n v="14568000"/>
    <n v="4568000"/>
    <n v="2470000"/>
    <n v="-41616000"/>
    <n v="-44265000"/>
    <m/>
    <m/>
  </r>
  <r>
    <x v="101"/>
    <n v="17"/>
    <x v="40"/>
    <n v="11563000"/>
    <n v="8100000"/>
    <m/>
    <n v="8100000"/>
    <n v="8100000"/>
    <n v="113385000"/>
    <n v="128094000"/>
    <m/>
    <n v="128094000"/>
    <n v="128094000"/>
    <n v="267386000"/>
    <n v="293445000"/>
    <m/>
    <n v="293446000"/>
    <n v="293446000"/>
    <n v="4623000"/>
    <n v="5000"/>
    <m/>
    <n v="5000"/>
    <n v="5000"/>
    <n v="1000000"/>
    <n v="1000000"/>
    <n v="1000000"/>
    <n v="1000000"/>
    <n v="1000000"/>
    <n v="-102934000"/>
    <n v="-102765000"/>
    <n v="-495635000"/>
    <n v="-102765000"/>
    <n v="-102765000"/>
    <m/>
    <m/>
    <m/>
    <m/>
    <m/>
    <n v="501181000"/>
    <n v="530709000"/>
    <n v="494635000"/>
    <n v="530709000"/>
    <n v="530709000"/>
    <n v="634524000"/>
    <n v="151018000"/>
    <m/>
    <m/>
    <m/>
    <n v="707906000"/>
    <n v="129923000"/>
    <m/>
    <m/>
    <m/>
    <m/>
    <m/>
    <m/>
    <m/>
    <m/>
    <n v="28203000"/>
    <n v="14708000"/>
    <m/>
    <m/>
    <m/>
    <n v="57758000"/>
    <n v="260000"/>
    <m/>
    <m/>
    <m/>
    <n v="76949000"/>
    <n v="6477000"/>
    <m/>
    <m/>
    <m/>
    <n v="-124138000"/>
    <n v="169000"/>
    <m/>
    <m/>
    <m/>
  </r>
  <r>
    <x v="102"/>
    <n v="9"/>
    <x v="40"/>
    <n v="145264000"/>
    <n v="80834000"/>
    <n v="87015000"/>
    <n v="3414000"/>
    <m/>
    <m/>
    <m/>
    <m/>
    <m/>
    <m/>
    <m/>
    <m/>
    <m/>
    <m/>
    <m/>
    <m/>
    <m/>
    <m/>
    <m/>
    <n v="2944000"/>
    <n v="10000"/>
    <n v="10000"/>
    <n v="10000"/>
    <n v="10000"/>
    <n v="10000"/>
    <n v="-110000"/>
    <n v="-65838000"/>
    <n v="-91600000"/>
    <n v="-94440000"/>
    <n v="-93825000"/>
    <m/>
    <m/>
    <m/>
    <m/>
    <m/>
    <n v="140987000"/>
    <n v="146662000"/>
    <n v="181047000"/>
    <n v="121948000"/>
    <n v="120863000"/>
    <m/>
    <m/>
    <m/>
    <m/>
    <m/>
    <m/>
    <m/>
    <m/>
    <m/>
    <m/>
    <m/>
    <m/>
    <m/>
    <m/>
    <m/>
    <m/>
    <m/>
    <m/>
    <m/>
    <m/>
    <m/>
    <m/>
    <m/>
    <n v="83705000"/>
    <n v="4268000"/>
    <m/>
    <n v="65728000"/>
    <n v="25762000"/>
    <n v="86545000"/>
    <n v="3709000"/>
    <m/>
    <n v="-65728000"/>
    <n v="-25762000"/>
    <n v="-2840000"/>
    <n v="615000"/>
  </r>
  <r>
    <x v="103"/>
    <n v="20"/>
    <x v="40"/>
    <n v="1335000"/>
    <n v="945000"/>
    <m/>
    <m/>
    <m/>
    <n v="2124000"/>
    <n v="1501000"/>
    <n v="30000"/>
    <n v="1000"/>
    <m/>
    <n v="52009000"/>
    <n v="48040000"/>
    <n v="10366000"/>
    <n v="4544000"/>
    <m/>
    <n v="17959000"/>
    <n v="4466000"/>
    <n v="81000"/>
    <m/>
    <n v="10000"/>
    <n v="10000"/>
    <n v="10000"/>
    <n v="10000"/>
    <n v="10000"/>
    <n v="10000"/>
    <n v="27700000"/>
    <n v="20843000"/>
    <n v="2988000"/>
    <n v="-15911000"/>
    <m/>
    <m/>
    <m/>
    <m/>
    <m/>
    <m/>
    <n v="46233000"/>
    <n v="34575000"/>
    <n v="8966000"/>
    <n v="20836000"/>
    <m/>
    <n v="224861000"/>
    <n v="109334000"/>
    <n v="26336000"/>
    <m/>
    <m/>
    <n v="200628000"/>
    <n v="96475000"/>
    <n v="26449000"/>
    <m/>
    <m/>
    <m/>
    <m/>
    <m/>
    <m/>
    <m/>
    <n v="23342000"/>
    <n v="18594000"/>
    <n v="14776000"/>
    <n v="782000"/>
    <m/>
    <n v="2155000"/>
    <n v="5403000"/>
    <n v="3000000"/>
    <n v="1435000"/>
    <m/>
    <n v="326000"/>
    <n v="6272000"/>
    <n v="3151000"/>
    <n v="19553000"/>
    <m/>
    <n v="2472000"/>
    <n v="-6857000"/>
    <n v="-15040000"/>
    <n v="-18900000"/>
    <m/>
  </r>
  <r>
    <x v="104"/>
    <n v="12"/>
    <x v="40"/>
    <m/>
    <m/>
    <m/>
    <m/>
    <m/>
    <n v="615675000"/>
    <m/>
    <m/>
    <m/>
    <m/>
    <n v="260945000"/>
    <m/>
    <m/>
    <m/>
    <m/>
    <n v="21107000"/>
    <m/>
    <m/>
    <m/>
    <m/>
    <n v="30000"/>
    <m/>
    <m/>
    <m/>
    <m/>
    <n v="-599914000"/>
    <m/>
    <m/>
    <m/>
    <m/>
    <n v="116867000"/>
    <m/>
    <m/>
    <m/>
    <m/>
    <n v="1408081000"/>
    <m/>
    <m/>
    <m/>
    <m/>
    <n v="99786000"/>
    <m/>
    <m/>
    <m/>
    <m/>
    <n v="118948000"/>
    <m/>
    <m/>
    <m/>
    <m/>
    <m/>
    <m/>
    <m/>
    <m/>
    <m/>
    <n v="5758000"/>
    <m/>
    <m/>
    <m/>
    <m/>
    <n v="12736000"/>
    <m/>
    <m/>
    <m/>
    <m/>
    <n v="7095000"/>
    <m/>
    <m/>
    <m/>
    <m/>
    <n v="-19122000"/>
    <m/>
    <m/>
    <m/>
    <m/>
  </r>
  <r>
    <x v="105"/>
    <n v="22"/>
    <x v="40"/>
    <m/>
    <m/>
    <m/>
    <m/>
    <m/>
    <m/>
    <m/>
    <n v="3565000"/>
    <n v="2568000"/>
    <n v="10000"/>
    <m/>
    <n v="2900000"/>
    <n v="3295000"/>
    <n v="2873000"/>
    <m/>
    <n v="10000"/>
    <n v="5140000"/>
    <n v="258000"/>
    <n v="1229000"/>
    <m/>
    <m/>
    <m/>
    <m/>
    <m/>
    <m/>
    <m/>
    <m/>
    <m/>
    <m/>
    <m/>
    <m/>
    <m/>
    <m/>
    <m/>
    <m/>
    <m/>
    <m/>
    <m/>
    <m/>
    <m/>
    <n v="19702000"/>
    <n v="26606000"/>
    <n v="38147000"/>
    <n v="36278000"/>
    <n v="23678000"/>
    <n v="18376000"/>
    <n v="24809000"/>
    <n v="34870000"/>
    <n v="33857000"/>
    <n v="21982000"/>
    <m/>
    <m/>
    <m/>
    <m/>
    <m/>
    <m/>
    <m/>
    <m/>
    <m/>
    <m/>
    <m/>
    <m/>
    <m/>
    <m/>
    <m/>
    <m/>
    <m/>
    <m/>
    <m/>
    <m/>
    <n v="1326000"/>
    <n v="1438000"/>
    <n v="2621000"/>
    <n v="2058000"/>
    <n v="1459000"/>
  </r>
  <r>
    <x v="106"/>
    <n v="12"/>
    <x v="40"/>
    <m/>
    <m/>
    <m/>
    <m/>
    <m/>
    <m/>
    <m/>
    <m/>
    <m/>
    <m/>
    <m/>
    <m/>
    <m/>
    <n v="11088000"/>
    <n v="11088000"/>
    <m/>
    <m/>
    <m/>
    <m/>
    <m/>
    <m/>
    <m/>
    <m/>
    <n v="20000"/>
    <n v="20000"/>
    <m/>
    <m/>
    <m/>
    <n v="-147546000"/>
    <n v="-147859000"/>
    <m/>
    <m/>
    <m/>
    <m/>
    <m/>
    <m/>
    <m/>
    <m/>
    <n v="158614000"/>
    <n v="158927000"/>
    <m/>
    <m/>
    <m/>
    <m/>
    <m/>
    <m/>
    <m/>
    <m/>
    <m/>
    <m/>
    <m/>
    <m/>
    <m/>
    <m/>
    <m/>
    <m/>
    <m/>
    <m/>
    <m/>
    <m/>
    <m/>
    <m/>
    <m/>
    <m/>
    <m/>
    <m/>
    <m/>
    <m/>
    <n v="365000"/>
    <n v="313000"/>
    <m/>
    <m/>
    <m/>
    <n v="-365000"/>
    <n v="-313000"/>
  </r>
  <r>
    <x v="107"/>
    <n v="12"/>
    <x v="40"/>
    <n v="6989000"/>
    <n v="4316000"/>
    <n v="914000"/>
    <n v="914000"/>
    <n v="148000"/>
    <n v="17131000"/>
    <n v="21848000"/>
    <n v="32292000"/>
    <n v="32292000"/>
    <m/>
    <n v="19595000"/>
    <n v="4732000"/>
    <n v="2960000"/>
    <n v="2960000"/>
    <n v="50000"/>
    <n v="537000"/>
    <n v="20000"/>
    <n v="38000"/>
    <n v="38000"/>
    <m/>
    <n v="10000"/>
    <n v="10000"/>
    <n v="10000"/>
    <n v="10000"/>
    <n v="10000"/>
    <n v="6869000"/>
    <n v="-1171000"/>
    <n v="-1981000"/>
    <n v="-1981000"/>
    <n v="-17315000"/>
    <n v="3675000"/>
    <n v="2195000"/>
    <n v="1886000"/>
    <n v="1886000"/>
    <m/>
    <n v="30817000"/>
    <n v="29388000"/>
    <n v="38271000"/>
    <n v="38271000"/>
    <n v="17503000"/>
    <n v="80722000"/>
    <n v="33995000"/>
    <n v="25334000"/>
    <m/>
    <m/>
    <n v="75038000"/>
    <n v="25719000"/>
    <n v="13125000"/>
    <m/>
    <m/>
    <m/>
    <m/>
    <m/>
    <m/>
    <m/>
    <m/>
    <n v="16897000"/>
    <n v="13171000"/>
    <m/>
    <m/>
    <n v="2750000"/>
    <n v="3113000"/>
    <n v="2865000"/>
    <m/>
    <n v="88000"/>
    <n v="3618000"/>
    <n v="4308000"/>
    <n v="2641000"/>
    <m/>
    <n v="95000"/>
    <n v="3553000"/>
    <n v="-8043000"/>
    <n v="-810000"/>
    <m/>
    <n v="-7000"/>
  </r>
  <r>
    <x v="108"/>
    <n v="17"/>
    <x v="40"/>
    <m/>
    <m/>
    <m/>
    <m/>
    <m/>
    <n v="5685000"/>
    <m/>
    <m/>
    <m/>
    <m/>
    <n v="17710000"/>
    <m/>
    <m/>
    <m/>
    <m/>
    <n v="128000"/>
    <m/>
    <m/>
    <m/>
    <m/>
    <n v="10000"/>
    <m/>
    <m/>
    <m/>
    <m/>
    <n v="1954000"/>
    <m/>
    <m/>
    <m/>
    <m/>
    <n v="748000"/>
    <m/>
    <m/>
    <m/>
    <m/>
    <n v="20707000"/>
    <m/>
    <m/>
    <m/>
    <m/>
    <n v="8498000"/>
    <m/>
    <m/>
    <m/>
    <m/>
    <n v="8219000"/>
    <m/>
    <m/>
    <m/>
    <m/>
    <m/>
    <m/>
    <m/>
    <m/>
    <m/>
    <m/>
    <m/>
    <m/>
    <m/>
    <m/>
    <n v="1599000"/>
    <m/>
    <m/>
    <m/>
    <m/>
    <n v="1408000"/>
    <m/>
    <m/>
    <m/>
    <m/>
    <n v="348000"/>
    <m/>
    <m/>
    <m/>
    <m/>
  </r>
  <r>
    <x v="109"/>
    <n v="15"/>
    <x v="40"/>
    <n v="4186000"/>
    <n v="3841000"/>
    <n v="3496000"/>
    <m/>
    <n v="2806000"/>
    <n v="17495000"/>
    <n v="13555000"/>
    <m/>
    <m/>
    <m/>
    <n v="76541000"/>
    <n v="67482000"/>
    <n v="79115000"/>
    <m/>
    <n v="51219000"/>
    <n v="140000"/>
    <n v="568000"/>
    <n v="8000"/>
    <m/>
    <m/>
    <m/>
    <m/>
    <m/>
    <m/>
    <m/>
    <m/>
    <m/>
    <m/>
    <m/>
    <m/>
    <n v="683000"/>
    <n v="3175000"/>
    <n v="3192000"/>
    <m/>
    <n v="2487000"/>
    <n v="88254000"/>
    <n v="72491000"/>
    <n v="69490000"/>
    <m/>
    <n v="55121000"/>
    <n v="204466000"/>
    <n v="7476000"/>
    <n v="3447000"/>
    <m/>
    <n v="405000"/>
    <n v="200876000"/>
    <n v="4184000"/>
    <n v="5606000"/>
    <m/>
    <n v="738000"/>
    <m/>
    <m/>
    <m/>
    <m/>
    <m/>
    <m/>
    <m/>
    <m/>
    <m/>
    <m/>
    <n v="3748000"/>
    <n v="1360000"/>
    <n v="3634000"/>
    <m/>
    <m/>
    <n v="4427000"/>
    <n v="4137000"/>
    <n v="1160000"/>
    <m/>
    <n v="8384000"/>
    <n v="2480000"/>
    <n v="355000"/>
    <n v="115000"/>
    <m/>
    <n v="-8717000"/>
  </r>
  <r>
    <x v="110"/>
    <n v="11"/>
    <x v="41"/>
    <n v="15772000"/>
    <n v="10916000"/>
    <m/>
    <m/>
    <m/>
    <n v="39496000"/>
    <n v="21614000"/>
    <n v="22239000"/>
    <n v="22239000"/>
    <m/>
    <n v="14383000"/>
    <n v="6871000"/>
    <n v="4814000"/>
    <n v="4814000"/>
    <m/>
    <n v="196000"/>
    <m/>
    <m/>
    <m/>
    <m/>
    <m/>
    <m/>
    <m/>
    <m/>
    <m/>
    <m/>
    <m/>
    <m/>
    <m/>
    <m/>
    <m/>
    <m/>
    <m/>
    <m/>
    <m/>
    <n v="67774000"/>
    <n v="43027000"/>
    <n v="47274000"/>
    <n v="47274000"/>
    <n v="48359000"/>
    <n v="53646000"/>
    <n v="53158000"/>
    <n v="14475000"/>
    <m/>
    <m/>
    <n v="58593000"/>
    <n v="55990000"/>
    <n v="3497000"/>
    <m/>
    <m/>
    <m/>
    <m/>
    <m/>
    <m/>
    <m/>
    <m/>
    <m/>
    <m/>
    <m/>
    <m/>
    <n v="5799000"/>
    <n v="3069000"/>
    <m/>
    <m/>
    <m/>
    <n v="679000"/>
    <n v="5936000"/>
    <n v="14848000"/>
    <m/>
    <m/>
    <n v="29000"/>
    <n v="-5699000"/>
    <n v="-3870000"/>
    <m/>
    <m/>
  </r>
  <r>
    <x v="111"/>
    <n v="6"/>
    <x v="42"/>
    <n v="2615000"/>
    <n v="230279000"/>
    <n v="487200000"/>
    <n v="230915000"/>
    <n v="121550000"/>
    <n v="825000"/>
    <n v="3806321000"/>
    <n v="10360362000"/>
    <n v="9088150000"/>
    <n v="9081928000"/>
    <n v="163635000"/>
    <n v="1357321000"/>
    <n v="4055627000"/>
    <n v="1544859000"/>
    <n v="1490337000"/>
    <n v="110771000"/>
    <n v="205680000"/>
    <n v="56513000"/>
    <n v="21679000"/>
    <n v="15804000"/>
    <n v="10000"/>
    <n v="10000"/>
    <n v="1000000"/>
    <n v="1000000"/>
    <n v="1000000"/>
    <n v="12517000"/>
    <n v="17492000"/>
    <n v="119177000"/>
    <n v="-735386000"/>
    <n v="-862380000"/>
    <m/>
    <m/>
    <n v="5000000"/>
    <m/>
    <m/>
    <n v="288802000"/>
    <n v="5561856000"/>
    <n v="14572226000"/>
    <n v="11742541000"/>
    <n v="11800443000"/>
    <n v="477768000"/>
    <n v="1581781000"/>
    <n v="5713885000"/>
    <n v="4231423000"/>
    <n v="45214000"/>
    <n v="423271000"/>
    <n v="1395104000"/>
    <n v="5134236000"/>
    <n v="4712567000"/>
    <n v="51857000"/>
    <m/>
    <m/>
    <m/>
    <m/>
    <m/>
    <n v="51100000"/>
    <n v="175987000"/>
    <n v="495777000"/>
    <n v="409365000"/>
    <n v="279203000"/>
    <n v="16079000"/>
    <n v="10289000"/>
    <n v="216548000"/>
    <n v="224640000"/>
    <n v="222129000"/>
    <n v="3484000"/>
    <n v="13701000"/>
    <n v="245168000"/>
    <n v="395644000"/>
    <n v="167618000"/>
    <n v="12466000"/>
    <n v="4975000"/>
    <n v="58825000"/>
    <n v="-854563000"/>
    <n v="-126994000"/>
  </r>
  <r>
    <x v="112"/>
    <n v="10"/>
    <x v="43"/>
    <n v="3482000"/>
    <n v="2370000"/>
    <m/>
    <m/>
    <m/>
    <n v="30835000"/>
    <m/>
    <m/>
    <m/>
    <m/>
    <n v="44545000"/>
    <n v="28830000"/>
    <m/>
    <n v="87109000"/>
    <n v="87109000"/>
    <n v="49000"/>
    <n v="1393000"/>
    <m/>
    <n v="71000"/>
    <m/>
    <m/>
    <m/>
    <m/>
    <m/>
    <m/>
    <m/>
    <m/>
    <m/>
    <m/>
    <m/>
    <n v="7666000"/>
    <n v="12737000"/>
    <m/>
    <m/>
    <m/>
    <n v="62883000"/>
    <n v="38187000"/>
    <m/>
    <n v="219371000"/>
    <n v="219371000"/>
    <n v="179332000"/>
    <n v="35387000"/>
    <m/>
    <m/>
    <m/>
    <n v="156342000"/>
    <n v="80269000"/>
    <m/>
    <m/>
    <m/>
    <m/>
    <m/>
    <m/>
    <m/>
    <m/>
    <m/>
    <m/>
    <m/>
    <m/>
    <m/>
    <n v="2785000"/>
    <n v="56949000"/>
    <m/>
    <m/>
    <m/>
    <n v="2754000"/>
    <n v="36917000"/>
    <m/>
    <n v="203000"/>
    <m/>
    <n v="2385000"/>
    <n v="-26692000"/>
    <m/>
    <n v="-203000"/>
    <m/>
  </r>
  <r>
    <x v="113"/>
    <n v="12"/>
    <x v="43"/>
    <n v="26759000"/>
    <m/>
    <m/>
    <m/>
    <m/>
    <n v="158854000"/>
    <m/>
    <m/>
    <m/>
    <m/>
    <n v="22998000"/>
    <m/>
    <n v="203384000"/>
    <m/>
    <m/>
    <m/>
    <m/>
    <m/>
    <m/>
    <m/>
    <m/>
    <m/>
    <m/>
    <m/>
    <m/>
    <m/>
    <m/>
    <m/>
    <m/>
    <m/>
    <n v="1227000"/>
    <m/>
    <m/>
    <m/>
    <m/>
    <n v="188131000"/>
    <m/>
    <n v="203374000"/>
    <m/>
    <m/>
    <n v="78483000"/>
    <m/>
    <m/>
    <m/>
    <m/>
    <n v="77338000"/>
    <m/>
    <n v="188756000"/>
    <m/>
    <m/>
    <m/>
    <m/>
    <m/>
    <m/>
    <m/>
    <m/>
    <m/>
    <m/>
    <m/>
    <m/>
    <m/>
    <m/>
    <m/>
    <m/>
    <m/>
    <n v="82000"/>
    <m/>
    <n v="239000"/>
    <m/>
    <m/>
    <n v="677000"/>
    <m/>
    <n v="-203374000"/>
    <m/>
    <m/>
  </r>
  <r>
    <x v="114"/>
    <n v="18"/>
    <x v="43"/>
    <n v="10599000"/>
    <m/>
    <m/>
    <m/>
    <m/>
    <n v="125000"/>
    <n v="125000"/>
    <m/>
    <m/>
    <m/>
    <n v="44866000"/>
    <n v="26182000"/>
    <n v="23576000"/>
    <n v="21068000"/>
    <n v="9611000"/>
    <n v="858000"/>
    <n v="5029000"/>
    <n v="3432000"/>
    <n v="2663000"/>
    <n v="2014000"/>
    <m/>
    <m/>
    <m/>
    <m/>
    <m/>
    <m/>
    <m/>
    <m/>
    <m/>
    <m/>
    <m/>
    <m/>
    <m/>
    <m/>
    <m/>
    <n v="96515000"/>
    <n v="80043000"/>
    <n v="79335000"/>
    <n v="79333000"/>
    <n v="75414000"/>
    <m/>
    <n v="8314000"/>
    <m/>
    <m/>
    <m/>
    <m/>
    <n v="8433000"/>
    <m/>
    <m/>
    <m/>
    <m/>
    <m/>
    <m/>
    <m/>
    <m/>
    <m/>
    <m/>
    <m/>
    <m/>
    <m/>
    <n v="242000"/>
    <n v="17055000"/>
    <n v="6000"/>
    <n v="1716000"/>
    <n v="10630000"/>
    <n v="66491000"/>
    <n v="19047000"/>
    <n v="3626000"/>
    <n v="4988000"/>
    <n v="18817000"/>
    <n v="-66249000"/>
    <n v="-2111000"/>
    <n v="-3620000"/>
    <n v="-3272000"/>
    <n v="-8187000"/>
  </r>
  <r>
    <x v="115"/>
    <n v="25"/>
    <x v="43"/>
    <n v="3951000"/>
    <n v="83000"/>
    <n v="83000"/>
    <m/>
    <m/>
    <m/>
    <m/>
    <m/>
    <m/>
    <m/>
    <n v="1156000"/>
    <n v="1044000"/>
    <n v="1156000"/>
    <n v="2645000"/>
    <n v="2764000"/>
    <n v="1749000"/>
    <n v="2382000"/>
    <n v="3195000"/>
    <n v="648000"/>
    <n v="194000"/>
    <n v="10000"/>
    <n v="10000"/>
    <n v="10000"/>
    <n v="10000"/>
    <n v="10000"/>
    <n v="-56245000"/>
    <n v="-48412000"/>
    <n v="-47278000"/>
    <n v="-46389000"/>
    <n v="-46354000"/>
    <n v="730000"/>
    <m/>
    <m/>
    <m/>
    <m/>
    <n v="53115000"/>
    <n v="51911000"/>
    <n v="51702000"/>
    <n v="49672000"/>
    <n v="49302000"/>
    <n v="3796000"/>
    <n v="4081000"/>
    <n v="1780000"/>
    <m/>
    <n v="370000"/>
    <m/>
    <m/>
    <m/>
    <m/>
    <m/>
    <m/>
    <m/>
    <m/>
    <m/>
    <m/>
    <n v="2406000"/>
    <n v="1038000"/>
    <n v="679000"/>
    <n v="454000"/>
    <n v="308000"/>
    <m/>
    <m/>
    <m/>
    <n v="1362000"/>
    <m/>
    <n v="46000"/>
    <n v="33000"/>
    <n v="37000"/>
    <n v="19000"/>
    <n v="27000"/>
    <n v="1142000"/>
    <n v="3114000"/>
    <n v="1134000"/>
    <n v="889000"/>
    <n v="35000"/>
  </r>
  <r>
    <x v="116"/>
    <n v="24"/>
    <x v="43"/>
    <n v="48124000"/>
    <n v="20543000"/>
    <m/>
    <m/>
    <m/>
    <n v="65181000"/>
    <n v="65062000"/>
    <m/>
    <m/>
    <m/>
    <n v="701623000"/>
    <n v="837385000"/>
    <n v="211119000"/>
    <n v="9034000"/>
    <m/>
    <n v="117000"/>
    <n v="448210000"/>
    <n v="40333000"/>
    <n v="13156000"/>
    <n v="6177000"/>
    <n v="60000"/>
    <n v="60000"/>
    <n v="60000"/>
    <n v="60000"/>
    <n v="60000"/>
    <n v="-656597000"/>
    <n v="-982109000"/>
    <n v="-1624920000"/>
    <n v="-1915989000"/>
    <n v="-1928141000"/>
    <n v="256710000"/>
    <n v="1290000"/>
    <m/>
    <n v="21845000"/>
    <n v="21845000"/>
    <n v="1506149000"/>
    <n v="2713378000"/>
    <n v="1876312000"/>
    <n v="1916274000"/>
    <n v="1912413000"/>
    <n v="352000"/>
    <m/>
    <m/>
    <m/>
    <m/>
    <n v="3519000"/>
    <m/>
    <m/>
    <m/>
    <m/>
    <m/>
    <m/>
    <m/>
    <m/>
    <m/>
    <n v="47132000"/>
    <n v="36389000"/>
    <n v="22592000"/>
    <n v="2540000"/>
    <n v="3144000"/>
    <n v="25244000"/>
    <n v="1020322000"/>
    <n v="24641000"/>
    <n v="2257000"/>
    <n v="33000"/>
    <n v="67365000"/>
    <n v="1347541000"/>
    <n v="31135000"/>
    <n v="290786000"/>
    <n v="9041000"/>
    <n v="-69369000"/>
    <n v="-325512000"/>
    <n v="-29086000"/>
    <n v="-291069000"/>
    <n v="-12152000"/>
  </r>
  <r>
    <x v="117"/>
    <n v="17"/>
    <x v="43"/>
    <n v="1682000"/>
    <m/>
    <n v="1940000"/>
    <m/>
    <m/>
    <m/>
    <m/>
    <m/>
    <m/>
    <m/>
    <n v="25448000"/>
    <n v="20127000"/>
    <n v="7782000"/>
    <n v="7536000"/>
    <m/>
    <m/>
    <n v="137000"/>
    <m/>
    <n v="714000"/>
    <m/>
    <n v="11000"/>
    <n v="11000"/>
    <n v="11000"/>
    <n v="11000"/>
    <m/>
    <n v="-10539000"/>
    <n v="-27656000"/>
    <n v="-39714000"/>
    <n v="-40230000"/>
    <m/>
    <m/>
    <m/>
    <m/>
    <m/>
    <m/>
    <n v="49815000"/>
    <n v="47909000"/>
    <n v="49425000"/>
    <n v="48469000"/>
    <m/>
    <n v="251000"/>
    <n v="4186000"/>
    <n v="35000"/>
    <n v="2334000"/>
    <m/>
    <m/>
    <m/>
    <m/>
    <m/>
    <m/>
    <m/>
    <m/>
    <m/>
    <m/>
    <m/>
    <m/>
    <n v="725000"/>
    <n v="694000"/>
    <n v="849000"/>
    <m/>
    <m/>
    <m/>
    <m/>
    <n v="66000"/>
    <m/>
    <n v="4701000"/>
    <n v="20257000"/>
    <n v="11398000"/>
    <n v="1976000"/>
    <m/>
    <n v="-4454000"/>
    <n v="-17117000"/>
    <n v="-12058000"/>
    <n v="-516000"/>
    <m/>
  </r>
  <r>
    <x v="118"/>
    <n v="12"/>
    <x v="43"/>
    <n v="48641000"/>
    <n v="1306000"/>
    <m/>
    <m/>
    <m/>
    <n v="55030000"/>
    <n v="3547000"/>
    <m/>
    <m/>
    <m/>
    <n v="90314000"/>
    <n v="55053000"/>
    <m/>
    <m/>
    <m/>
    <n v="2061000"/>
    <n v="2728000"/>
    <m/>
    <m/>
    <m/>
    <m/>
    <m/>
    <m/>
    <m/>
    <m/>
    <m/>
    <m/>
    <m/>
    <m/>
    <m/>
    <n v="54583000"/>
    <n v="82073000"/>
    <m/>
    <m/>
    <m/>
    <n v="91447000"/>
    <n v="143321000"/>
    <m/>
    <m/>
    <m/>
    <n v="604340000"/>
    <n v="143934000"/>
    <m/>
    <m/>
    <m/>
    <n v="594214000"/>
    <n v="203338000"/>
    <m/>
    <m/>
    <m/>
    <m/>
    <m/>
    <m/>
    <m/>
    <m/>
    <m/>
    <m/>
    <m/>
    <m/>
    <m/>
    <n v="44245000"/>
    <n v="54372000"/>
    <m/>
    <m/>
    <m/>
    <n v="55963000"/>
    <n v="122949000"/>
    <m/>
    <m/>
    <m/>
    <n v="-7005000"/>
    <n v="-128100000"/>
    <m/>
    <m/>
    <m/>
  </r>
  <r>
    <x v="119"/>
    <n v="33"/>
    <x v="4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0"/>
    <n v="27"/>
    <x v="4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1"/>
    <n v="21"/>
    <x v="46"/>
    <m/>
    <n v="31840000"/>
    <n v="4113000"/>
    <n v="2211000"/>
    <m/>
    <m/>
    <m/>
    <m/>
    <m/>
    <m/>
    <m/>
    <n v="420000"/>
    <n v="33866000"/>
    <n v="6164000"/>
    <n v="79710000"/>
    <m/>
    <n v="81000"/>
    <n v="4143000"/>
    <n v="5384000"/>
    <n v="6028000"/>
    <m/>
    <n v="10000"/>
    <n v="10000"/>
    <n v="10000"/>
    <n v="10000"/>
    <m/>
    <n v="-57662000"/>
    <n v="-47274000"/>
    <n v="-54707000"/>
    <n v="13300000"/>
    <m/>
    <m/>
    <m/>
    <m/>
    <m/>
    <m/>
    <n v="89993000"/>
    <n v="89385000"/>
    <n v="68455000"/>
    <n v="724280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2"/>
    <n v="10"/>
    <x v="47"/>
    <n v="472000"/>
    <n v="374000"/>
    <n v="237000"/>
    <n v="110000"/>
    <n v="110000"/>
    <n v="3543000"/>
    <n v="92000"/>
    <m/>
    <m/>
    <m/>
    <n v="26794000"/>
    <n v="20134000"/>
    <n v="19375000"/>
    <m/>
    <m/>
    <n v="6121000"/>
    <n v="7000"/>
    <m/>
    <n v="11901000"/>
    <n v="11219000"/>
    <n v="15000"/>
    <n v="15000"/>
    <n v="15000"/>
    <n v="15000"/>
    <n v="15000"/>
    <n v="8372000"/>
    <n v="-25141000"/>
    <n v="-49909000"/>
    <n v="-35120000"/>
    <n v="-35802000"/>
    <n v="458000"/>
    <n v="1270000"/>
    <n v="1880000"/>
    <m/>
    <m/>
    <n v="28435000"/>
    <n v="44763000"/>
    <n v="67923000"/>
    <n v="47116000"/>
    <n v="47116000"/>
    <n v="153814000"/>
    <n v="174156000"/>
    <n v="17799000"/>
    <m/>
    <m/>
    <n v="151099000"/>
    <n v="198862000"/>
    <n v="41900000"/>
    <m/>
    <m/>
    <m/>
    <m/>
    <m/>
    <m/>
    <m/>
    <m/>
    <m/>
    <m/>
    <m/>
    <m/>
    <n v="3455000"/>
    <n v="672000"/>
    <m/>
    <m/>
    <m/>
    <n v="4362000"/>
    <n v="6090000"/>
    <n v="653000"/>
    <m/>
    <m/>
    <n v="1451000"/>
    <n v="-30135000"/>
    <n v="-24768000"/>
    <m/>
    <m/>
  </r>
  <r>
    <x v="123"/>
    <n v="24"/>
    <x v="47"/>
    <n v="4907000"/>
    <n v="4539000"/>
    <n v="4458000"/>
    <n v="4378000"/>
    <m/>
    <m/>
    <m/>
    <m/>
    <m/>
    <m/>
    <n v="700000"/>
    <n v="881000"/>
    <n v="15759000"/>
    <n v="15259000"/>
    <m/>
    <m/>
    <m/>
    <m/>
    <m/>
    <m/>
    <n v="1455000"/>
    <n v="1455000"/>
    <n v="1455000"/>
    <n v="1455000"/>
    <m/>
    <n v="-47470000"/>
    <n v="-49431000"/>
    <n v="-32336000"/>
    <n v="-38944000"/>
    <m/>
    <n v="2258000"/>
    <n v="4278000"/>
    <m/>
    <m/>
    <m/>
    <n v="39204000"/>
    <n v="38958000"/>
    <n v="36963000"/>
    <n v="27150000"/>
    <m/>
    <n v="6618000"/>
    <n v="216000"/>
    <n v="261000"/>
    <n v="283000"/>
    <m/>
    <n v="6690000"/>
    <m/>
    <n v="81000"/>
    <m/>
    <m/>
    <m/>
    <m/>
    <n v="949000"/>
    <n v="255000"/>
    <m/>
    <n v="6651000"/>
    <n v="324000"/>
    <m/>
    <m/>
    <m/>
    <n v="11737000"/>
    <n v="1976000"/>
    <n v="1159000"/>
    <m/>
    <m/>
    <n v="21222000"/>
    <n v="729000"/>
    <n v="1061000"/>
    <m/>
    <m/>
    <n v="-19486000"/>
    <n v="-1961000"/>
    <n v="-2692000"/>
    <n v="-1993000"/>
    <m/>
  </r>
  <r>
    <x v="124"/>
    <n v="13"/>
    <x v="48"/>
    <n v="3009000"/>
    <n v="2177000"/>
    <m/>
    <m/>
    <m/>
    <n v="415000"/>
    <m/>
    <m/>
    <m/>
    <m/>
    <n v="14719000"/>
    <n v="15025000"/>
    <n v="15100000"/>
    <m/>
    <m/>
    <n v="38000"/>
    <n v="191000"/>
    <n v="43000"/>
    <m/>
    <m/>
    <n v="10000"/>
    <n v="10000"/>
    <n v="10000"/>
    <n v="10000"/>
    <m/>
    <n v="-6169000"/>
    <n v="-6427000"/>
    <n v="-6723000"/>
    <n v="-7742000"/>
    <m/>
    <n v="3330000"/>
    <n v="2860000"/>
    <n v="2810000"/>
    <n v="7732000"/>
    <m/>
    <n v="21054000"/>
    <n v="20960000"/>
    <n v="19633000"/>
    <m/>
    <m/>
    <n v="8321000"/>
    <n v="1250000"/>
    <n v="498000"/>
    <m/>
    <m/>
    <n v="8428000"/>
    <m/>
    <n v="1076000"/>
    <m/>
    <m/>
    <n v="6074000"/>
    <n v="767000"/>
    <n v="247000"/>
    <m/>
    <m/>
    <n v="4738000"/>
    <n v="62000"/>
    <m/>
    <m/>
    <m/>
    <m/>
    <m/>
    <n v="916000"/>
    <m/>
    <m/>
    <n v="225000"/>
    <n v="679000"/>
    <n v="387000"/>
    <m/>
    <m/>
    <n v="-10955000"/>
    <n v="-258000"/>
    <n v="-296000"/>
    <m/>
    <m/>
  </r>
  <r>
    <x v="125"/>
    <n v="16"/>
    <x v="49"/>
    <n v="145248000"/>
    <n v="139450000"/>
    <n v="39450000"/>
    <n v="37369000"/>
    <n v="1729000"/>
    <n v="97044000"/>
    <n v="86265000"/>
    <n v="37090000"/>
    <n v="20135000"/>
    <m/>
    <n v="52891000"/>
    <n v="6886000"/>
    <n v="4250000"/>
    <n v="4058000"/>
    <m/>
    <n v="129000"/>
    <n v="4897000"/>
    <n v="39000"/>
    <m/>
    <m/>
    <n v="1730000"/>
    <n v="1730000"/>
    <n v="1730000"/>
    <n v="1730000"/>
    <n v="1729000"/>
    <n v="40964000"/>
    <n v="38451000"/>
    <n v="35389000"/>
    <n v="33294000"/>
    <m/>
    <n v="63168000"/>
    <n v="63934000"/>
    <n v="13934000"/>
    <m/>
    <m/>
    <n v="115901000"/>
    <n v="63954000"/>
    <n v="257000"/>
    <n v="540000"/>
    <m/>
    <n v="142462000"/>
    <n v="127106000"/>
    <n v="73187000"/>
    <n v="27932000"/>
    <m/>
    <n v="153041000"/>
    <n v="143906000"/>
    <n v="76047000"/>
    <n v="29663000"/>
    <m/>
    <m/>
    <m/>
    <m/>
    <m/>
    <m/>
    <m/>
    <m/>
    <m/>
    <m/>
    <m/>
    <n v="22842000"/>
    <n v="21920000"/>
    <m/>
    <m/>
    <m/>
    <n v="16961000"/>
    <n v="5543000"/>
    <n v="202000"/>
    <n v="364000"/>
    <m/>
    <n v="-13130000"/>
    <n v="-2513000"/>
    <n v="-3062000"/>
    <n v="-2095000"/>
    <m/>
  </r>
  <r>
    <x v="126"/>
    <n v="33"/>
    <x v="49"/>
    <n v="374303000"/>
    <n v="354156000"/>
    <n v="337254000"/>
    <n v="241143000"/>
    <n v="120881000"/>
    <n v="78127000"/>
    <n v="68695000"/>
    <n v="104474000"/>
    <n v="14662000"/>
    <n v="10017000"/>
    <n v="34633000"/>
    <n v="3552000"/>
    <n v="6165000"/>
    <n v="1564000"/>
    <n v="398000"/>
    <n v="134000"/>
    <n v="1242000"/>
    <n v="306000"/>
    <n v="1298000"/>
    <n v="20895000"/>
    <n v="246358000"/>
    <n v="246358000"/>
    <n v="246358000"/>
    <n v="246358000"/>
    <n v="246358000"/>
    <n v="131155000"/>
    <n v="98337000"/>
    <n v="108430000"/>
    <n v="-356628000"/>
    <n v="-449501000"/>
    <n v="78760000"/>
    <n v="55446000"/>
    <n v="55446000"/>
    <m/>
    <m/>
    <n v="203050000"/>
    <n v="194916000"/>
    <n v="205382000"/>
    <n v="357090000"/>
    <n v="343454000"/>
    <n v="131908000"/>
    <n v="115565000"/>
    <n v="57798000"/>
    <n v="17191000"/>
    <n v="2700000"/>
    <n v="125976000"/>
    <n v="152127000"/>
    <n v="44797000"/>
    <n v="11687000"/>
    <m/>
    <m/>
    <m/>
    <m/>
    <m/>
    <m/>
    <m/>
    <m/>
    <n v="2504000"/>
    <n v="1462000"/>
    <m/>
    <n v="18727000"/>
    <n v="13054000"/>
    <m/>
    <n v="2100000"/>
    <n v="32696000"/>
    <n v="1302000"/>
    <n v="8189000"/>
    <n v="405000"/>
    <n v="493000"/>
    <n v="145130000"/>
    <n v="-1138000"/>
    <n v="-32817000"/>
    <n v="10092000"/>
    <n v="5649000"/>
    <n v="-109734000"/>
  </r>
  <r>
    <x v="127"/>
    <n v="32"/>
    <x v="49"/>
    <n v="204008000"/>
    <m/>
    <m/>
    <m/>
    <m/>
    <n v="39471000"/>
    <m/>
    <m/>
    <m/>
    <m/>
    <n v="4544000"/>
    <m/>
    <m/>
    <m/>
    <m/>
    <n v="203000"/>
    <m/>
    <m/>
    <m/>
    <m/>
    <n v="198464000"/>
    <m/>
    <m/>
    <m/>
    <m/>
    <n v="8487000"/>
    <m/>
    <m/>
    <m/>
    <m/>
    <n v="13901000"/>
    <m/>
    <m/>
    <m/>
    <m/>
    <n v="18328000"/>
    <m/>
    <m/>
    <m/>
    <m/>
    <n v="38285000"/>
    <m/>
    <n v="12630000"/>
    <n v="10856000"/>
    <m/>
    <n v="44257000"/>
    <m/>
    <n v="13388000"/>
    <n v="8930000"/>
    <m/>
    <m/>
    <m/>
    <m/>
    <m/>
    <m/>
    <m/>
    <m/>
    <n v="599000"/>
    <n v="1914000"/>
    <m/>
    <n v="7113000"/>
    <m/>
    <n v="1402000"/>
    <m/>
    <m/>
    <n v="1034000"/>
    <m/>
    <n v="45000"/>
    <n v="12000"/>
    <m/>
    <n v="-1452000"/>
    <m/>
    <m/>
    <m/>
    <m/>
  </r>
  <r>
    <x v="128"/>
    <n v="13"/>
    <x v="50"/>
    <n v="68214000"/>
    <n v="43248000"/>
    <n v="29472000"/>
    <n v="1716000"/>
    <m/>
    <n v="377184000"/>
    <n v="472036000"/>
    <n v="4345000"/>
    <m/>
    <m/>
    <n v="102352000"/>
    <n v="91462000"/>
    <n v="60234000"/>
    <n v="51880000"/>
    <n v="33032000"/>
    <n v="9000"/>
    <n v="20621000"/>
    <n v="2902000"/>
    <n v="1780000"/>
    <n v="5295000"/>
    <n v="12000"/>
    <n v="12000"/>
    <n v="12000"/>
    <n v="12000"/>
    <n v="12000"/>
    <n v="35371000"/>
    <n v="40893000"/>
    <n v="-443877000"/>
    <n v="-467940000"/>
    <n v="-468411000"/>
    <n v="176311000"/>
    <n v="164861000"/>
    <n v="146170000"/>
    <n v="143745000"/>
    <n v="143745000"/>
    <n v="182248000"/>
    <n v="327937000"/>
    <n v="322834000"/>
    <n v="338823000"/>
    <n v="345461000"/>
    <n v="423926000"/>
    <n v="445677000"/>
    <n v="358122000"/>
    <n v="80198000"/>
    <m/>
    <n v="354131000"/>
    <n v="388142000"/>
    <n v="317784000"/>
    <n v="101215000"/>
    <n v="238000"/>
    <m/>
    <m/>
    <m/>
    <m/>
    <m/>
    <n v="69637000"/>
    <n v="50219000"/>
    <n v="44506000"/>
    <n v="22556000"/>
    <n v="504000"/>
    <n v="104063000"/>
    <n v="159054000"/>
    <n v="60587000"/>
    <n v="57442000"/>
    <n v="28081000"/>
    <n v="73278000"/>
    <n v="137538000"/>
    <n v="521656000"/>
    <n v="36022000"/>
    <n v="27810000"/>
    <n v="3982000"/>
    <n v="5522000"/>
    <n v="-484770000"/>
    <n v="-24063000"/>
    <n v="-471000"/>
  </r>
  <r>
    <x v="129"/>
    <n v="19"/>
    <x v="50"/>
    <n v="96000"/>
    <n v="96000"/>
    <m/>
    <m/>
    <m/>
    <n v="19673000"/>
    <n v="19673000"/>
    <m/>
    <m/>
    <m/>
    <n v="12776000"/>
    <n v="12596000"/>
    <m/>
    <m/>
    <m/>
    <m/>
    <n v="2225000"/>
    <m/>
    <m/>
    <m/>
    <n v="10000"/>
    <n v="10000"/>
    <m/>
    <m/>
    <m/>
    <n v="-3264000"/>
    <n v="-4963000"/>
    <m/>
    <m/>
    <m/>
    <m/>
    <m/>
    <m/>
    <m/>
    <m/>
    <n v="35799000"/>
    <n v="39543000"/>
    <m/>
    <m/>
    <m/>
    <m/>
    <n v="133000"/>
    <m/>
    <m/>
    <m/>
    <m/>
    <m/>
    <m/>
    <m/>
    <m/>
    <m/>
    <m/>
    <m/>
    <m/>
    <m/>
    <m/>
    <m/>
    <m/>
    <m/>
    <m/>
    <m/>
    <m/>
    <m/>
    <m/>
    <m/>
    <n v="355000"/>
    <n v="1699000"/>
    <m/>
    <m/>
    <m/>
    <n v="-355000"/>
    <n v="-1566000"/>
    <m/>
    <m/>
    <m/>
  </r>
  <r>
    <x v="130"/>
    <n v="13"/>
    <x v="51"/>
    <m/>
    <m/>
    <m/>
    <m/>
    <m/>
    <n v="34484000"/>
    <n v="34484000"/>
    <n v="34484000"/>
    <n v="34484000"/>
    <m/>
    <n v="10960000"/>
    <n v="10601000"/>
    <n v="10601000"/>
    <n v="10601000"/>
    <m/>
    <m/>
    <m/>
    <m/>
    <m/>
    <m/>
    <m/>
    <n v="10000"/>
    <n v="10000"/>
    <n v="10000"/>
    <m/>
    <m/>
    <n v="2092000"/>
    <n v="2092000"/>
    <n v="2092000"/>
    <m/>
    <m/>
    <m/>
    <m/>
    <m/>
    <m/>
    <n v="42991000"/>
    <n v="42991000"/>
    <n v="42991000"/>
    <n v="42991000"/>
    <m/>
    <m/>
    <m/>
    <m/>
    <m/>
    <m/>
    <n v="358000"/>
    <m/>
    <m/>
    <m/>
    <m/>
    <m/>
    <m/>
    <m/>
    <m/>
    <m/>
    <m/>
    <n v="347000"/>
    <m/>
    <m/>
    <m/>
    <m/>
    <m/>
    <m/>
    <m/>
    <m/>
    <n v="147000"/>
    <n v="3000"/>
    <m/>
    <m/>
    <m/>
    <n v="-505000"/>
    <n v="-350000"/>
    <m/>
    <m/>
    <m/>
  </r>
  <r>
    <x v="131"/>
    <n v="24"/>
    <x v="52"/>
    <n v="16028000"/>
    <n v="13392000"/>
    <n v="10398000"/>
    <n v="9607000"/>
    <m/>
    <n v="208752000"/>
    <n v="266863000"/>
    <n v="327812000"/>
    <n v="208249000"/>
    <m/>
    <n v="92096000"/>
    <n v="134668000"/>
    <n v="74841000"/>
    <n v="115066000"/>
    <m/>
    <n v="15898000"/>
    <n v="205000"/>
    <n v="39000"/>
    <n v="210000"/>
    <m/>
    <n v="4146000"/>
    <n v="4146000"/>
    <m/>
    <m/>
    <m/>
    <n v="25632000"/>
    <n v="27439000"/>
    <m/>
    <m/>
    <m/>
    <n v="278000"/>
    <n v="18609000"/>
    <n v="32246000"/>
    <n v="44596000"/>
    <m/>
    <n v="181381000"/>
    <n v="233729000"/>
    <n v="229641000"/>
    <n v="297366000"/>
    <m/>
    <n v="362112000"/>
    <n v="282951000"/>
    <n v="143601000"/>
    <n v="122828000"/>
    <m/>
    <n v="287425000"/>
    <n v="223123000"/>
    <n v="150744000"/>
    <n v="137983000"/>
    <m/>
    <m/>
    <m/>
    <m/>
    <m/>
    <m/>
    <n v="22091000"/>
    <n v="40044000"/>
    <m/>
    <m/>
    <m/>
    <n v="28357000"/>
    <n v="20828000"/>
    <n v="41069000"/>
    <n v="74954000"/>
    <m/>
    <n v="70191000"/>
    <n v="28371000"/>
    <n v="26349000"/>
    <n v="82200000"/>
    <m/>
    <n v="2505000"/>
    <n v="1807000"/>
    <n v="-5525000"/>
    <n v="-21316000"/>
    <m/>
  </r>
  <r>
    <x v="132"/>
    <n v="23"/>
    <x v="5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33"/>
    <n v="8"/>
    <x v="54"/>
    <n v="202000"/>
    <m/>
    <m/>
    <m/>
    <m/>
    <n v="401000"/>
    <n v="554000"/>
    <n v="155000"/>
    <n v="288000"/>
    <n v="83000"/>
    <n v="8950000"/>
    <n v="14014000"/>
    <n v="20416000"/>
    <n v="21284000"/>
    <n v="9015000"/>
    <n v="791000"/>
    <n v="15000"/>
    <n v="37000"/>
    <n v="40000"/>
    <n v="34000"/>
    <m/>
    <m/>
    <m/>
    <m/>
    <m/>
    <m/>
    <m/>
    <m/>
    <m/>
    <m/>
    <n v="1069000"/>
    <n v="582000"/>
    <n v="2484000"/>
    <n v="532000"/>
    <m/>
    <n v="9265000"/>
    <n v="13992000"/>
    <n v="18114000"/>
    <n v="19266000"/>
    <n v="32545000"/>
    <n v="21637000"/>
    <n v="28299000"/>
    <n v="33294000"/>
    <n v="35753000"/>
    <n v="38477000"/>
    <n v="21065000"/>
    <n v="27654000"/>
    <n v="32476000"/>
    <n v="35174000"/>
    <n v="45125000"/>
    <m/>
    <m/>
    <m/>
    <m/>
    <m/>
    <m/>
    <m/>
    <m/>
    <m/>
    <m/>
    <m/>
    <n v="384000"/>
    <n v="728000"/>
    <n v="853000"/>
    <n v="271000"/>
    <n v="224000"/>
    <n v="328000"/>
    <n v="825000"/>
    <n v="1096000"/>
    <n v="1242000"/>
    <n v="348000"/>
    <n v="701000"/>
    <n v="381000"/>
    <n v="86000"/>
    <n v="-7987000"/>
  </r>
  <r>
    <x v="134"/>
    <n v="8"/>
    <x v="54"/>
    <m/>
    <m/>
    <m/>
    <m/>
    <m/>
    <m/>
    <m/>
    <m/>
    <m/>
    <m/>
    <n v="11824000"/>
    <n v="16219000"/>
    <n v="21921000"/>
    <n v="18039000"/>
    <n v="16053000"/>
    <n v="40000"/>
    <n v="11000"/>
    <m/>
    <m/>
    <m/>
    <n v="10000"/>
    <n v="10000"/>
    <n v="10000"/>
    <n v="10000"/>
    <n v="10000"/>
    <n v="-19743000"/>
    <n v="-23081000"/>
    <n v="-25069000"/>
    <n v="-38172000"/>
    <n v="-37908000"/>
    <m/>
    <m/>
    <m/>
    <m/>
    <m/>
    <n v="31597000"/>
    <n v="39301000"/>
    <n v="46980000"/>
    <n v="56201000"/>
    <n v="53951000"/>
    <n v="14179000"/>
    <n v="18338000"/>
    <n v="19955000"/>
    <n v="3612000"/>
    <n v="1696000"/>
    <n v="17943000"/>
    <n v="19408000"/>
    <n v="19655000"/>
    <n v="11928000"/>
    <m/>
    <m/>
    <m/>
    <m/>
    <m/>
    <m/>
    <n v="1905000"/>
    <n v="2550000"/>
    <n v="4052000"/>
    <n v="2581000"/>
    <n v="1484000"/>
    <n v="323000"/>
    <n v="1318000"/>
    <n v="2421000"/>
    <n v="9000"/>
    <m/>
    <n v="651000"/>
    <n v="886000"/>
    <n v="493000"/>
    <n v="2179000"/>
    <m/>
    <n v="-6118000"/>
    <n v="-3338000"/>
    <n v="-1988000"/>
    <n v="-13103000"/>
    <n v="180000"/>
  </r>
  <r>
    <x v="135"/>
    <n v="10"/>
    <x v="54"/>
    <n v="9686000"/>
    <n v="7751000"/>
    <n v="8190000"/>
    <m/>
    <m/>
    <n v="212000"/>
    <n v="21000"/>
    <n v="57000"/>
    <n v="127000"/>
    <m/>
    <n v="29619000"/>
    <n v="39966000"/>
    <n v="34538000"/>
    <n v="38924000"/>
    <n v="17999000"/>
    <n v="480000"/>
    <n v="532000"/>
    <n v="358000"/>
    <n v="1219000"/>
    <n v="543000"/>
    <m/>
    <n v="10000"/>
    <n v="10000"/>
    <n v="10000"/>
    <n v="10000"/>
    <m/>
    <n v="-33851000"/>
    <n v="-32430000"/>
    <n v="-33833000"/>
    <n v="-34669000"/>
    <m/>
    <m/>
    <m/>
    <m/>
    <m/>
    <n v="41334000"/>
    <n v="58209000"/>
    <n v="51636000"/>
    <n v="55047000"/>
    <n v="53201000"/>
    <n v="13932000"/>
    <n v="12163000"/>
    <n v="11995000"/>
    <n v="10249000"/>
    <m/>
    <n v="21014000"/>
    <n v="555000"/>
    <n v="637000"/>
    <n v="230000"/>
    <m/>
    <m/>
    <m/>
    <m/>
    <m/>
    <m/>
    <m/>
    <n v="18849000"/>
    <n v="21535000"/>
    <n v="8822000"/>
    <n v="1513000"/>
    <m/>
    <n v="1000"/>
    <m/>
    <m/>
    <m/>
    <n v="8057000"/>
    <n v="57000"/>
    <n v="1581000"/>
    <n v="2916000"/>
    <n v="8906000"/>
    <n v="-15139000"/>
    <n v="-7297000"/>
    <n v="-11758000"/>
    <n v="-1719000"/>
    <n v="-10419000"/>
  </r>
  <r>
    <x v="136"/>
    <n v="18"/>
    <x v="55"/>
    <n v="993000"/>
    <n v="887000"/>
    <n v="785000"/>
    <m/>
    <m/>
    <n v="6862000"/>
    <n v="2296000"/>
    <n v="1273000"/>
    <m/>
    <m/>
    <n v="263633000"/>
    <n v="279857000"/>
    <n v="268396000"/>
    <m/>
    <m/>
    <n v="222000"/>
    <n v="27000"/>
    <n v="3000"/>
    <m/>
    <m/>
    <n v="10000"/>
    <n v="10000"/>
    <n v="10000"/>
    <m/>
    <m/>
    <n v="21650000"/>
    <n v="20505000"/>
    <n v="23360000"/>
    <m/>
    <m/>
    <n v="4357000"/>
    <n v="16916000"/>
    <n v="7747000"/>
    <m/>
    <m/>
    <n v="350116000"/>
    <n v="358907000"/>
    <n v="352614000"/>
    <m/>
    <m/>
    <n v="220278000"/>
    <n v="104175000"/>
    <n v="31925000"/>
    <m/>
    <m/>
    <n v="171167000"/>
    <n v="63181000"/>
    <n v="7160000"/>
    <m/>
    <m/>
    <m/>
    <m/>
    <m/>
    <m/>
    <m/>
    <n v="42852000"/>
    <n v="36759000"/>
    <n v="18499000"/>
    <m/>
    <m/>
    <n v="17126000"/>
    <n v="5754000"/>
    <n v="7721000"/>
    <m/>
    <m/>
    <n v="19099000"/>
    <n v="13739000"/>
    <n v="9127000"/>
    <m/>
    <m/>
    <n v="5109000"/>
    <n v="-1145000"/>
    <n v="2855000"/>
    <m/>
    <m/>
  </r>
  <r>
    <x v="137"/>
    <n v="5"/>
    <x v="55"/>
    <n v="1487000"/>
    <n v="1200000"/>
    <n v="913000"/>
    <n v="5320000"/>
    <n v="2797000"/>
    <n v="17743000"/>
    <n v="168287000"/>
    <n v="236688000"/>
    <n v="124090000"/>
    <n v="13640000"/>
    <n v="52115000"/>
    <n v="149659000"/>
    <n v="1000000"/>
    <n v="6914000"/>
    <n v="131742000"/>
    <n v="416000"/>
    <n v="12459000"/>
    <n v="7404000"/>
    <n v="12074000"/>
    <n v="436000"/>
    <n v="20000"/>
    <n v="20000"/>
    <n v="20000"/>
    <n v="20000"/>
    <n v="20000"/>
    <n v="3114000"/>
    <n v="3515000"/>
    <n v="4740000"/>
    <n v="7216000"/>
    <n v="12627000"/>
    <m/>
    <m/>
    <m/>
    <m/>
    <m/>
    <n v="17935000"/>
    <n v="180586000"/>
    <n v="199453000"/>
    <n v="126287000"/>
    <n v="136295000"/>
    <n v="44333000"/>
    <n v="102261000"/>
    <n v="211994000"/>
    <n v="325800000"/>
    <n v="47524000"/>
    <n v="37152000"/>
    <n v="50912000"/>
    <n v="117149000"/>
    <n v="216388000"/>
    <n v="11419000"/>
    <m/>
    <m/>
    <m/>
    <m/>
    <m/>
    <n v="6274000"/>
    <n v="46795000"/>
    <n v="96712000"/>
    <n v="103251000"/>
    <n v="36299000"/>
    <n v="29291000"/>
    <n v="7933000"/>
    <n v="6682000"/>
    <n v="3792000"/>
    <n v="676000"/>
    <n v="26306000"/>
    <n v="11985000"/>
    <n v="3285000"/>
    <n v="6858000"/>
    <n v="128000"/>
    <n v="3114000"/>
    <n v="402000"/>
    <n v="1224000"/>
    <n v="2476000"/>
    <n v="283000"/>
  </r>
  <r>
    <x v="138"/>
    <n v="33"/>
    <x v="55"/>
    <m/>
    <m/>
    <m/>
    <m/>
    <m/>
    <m/>
    <m/>
    <m/>
    <m/>
    <m/>
    <n v="103968000"/>
    <n v="103968000"/>
    <n v="103968000"/>
    <m/>
    <m/>
    <n v="304000"/>
    <m/>
    <m/>
    <m/>
    <m/>
    <n v="37459000"/>
    <n v="37459000"/>
    <m/>
    <m/>
    <m/>
    <n v="-257912000"/>
    <n v="-258469000"/>
    <m/>
    <m/>
    <m/>
    <n v="16000"/>
    <n v="16000"/>
    <m/>
    <m/>
    <m/>
    <n v="323919000"/>
    <n v="323919000"/>
    <n v="348673000"/>
    <m/>
    <m/>
    <n v="525000"/>
    <m/>
    <m/>
    <m/>
    <m/>
    <m/>
    <m/>
    <m/>
    <m/>
    <m/>
    <m/>
    <m/>
    <m/>
    <m/>
    <m/>
    <n v="7353000"/>
    <m/>
    <m/>
    <m/>
    <m/>
    <n v="1021000"/>
    <m/>
    <m/>
    <m/>
    <m/>
    <n v="50337000"/>
    <m/>
    <m/>
    <m/>
    <m/>
    <n v="-57564000"/>
    <m/>
    <m/>
    <m/>
    <m/>
  </r>
  <r>
    <x v="139"/>
    <n v="10"/>
    <x v="55"/>
    <n v="41000"/>
    <m/>
    <m/>
    <m/>
    <m/>
    <n v="14000"/>
    <n v="8000"/>
    <m/>
    <m/>
    <m/>
    <n v="1000000"/>
    <n v="2104000"/>
    <m/>
    <m/>
    <m/>
    <n v="207000"/>
    <m/>
    <m/>
    <m/>
    <m/>
    <n v="10000"/>
    <m/>
    <m/>
    <m/>
    <m/>
    <n v="2824000"/>
    <m/>
    <m/>
    <m/>
    <m/>
    <m/>
    <m/>
    <m/>
    <m/>
    <m/>
    <n v="471000"/>
    <n v="4923000"/>
    <m/>
    <m/>
    <m/>
    <n v="7456000"/>
    <n v="6240000"/>
    <m/>
    <m/>
    <m/>
    <n v="301000"/>
    <n v="5505000"/>
    <m/>
    <m/>
    <m/>
    <m/>
    <m/>
    <m/>
    <m/>
    <m/>
    <n v="4878000"/>
    <m/>
    <m/>
    <m/>
    <m/>
    <n v="698000"/>
    <n v="4180000"/>
    <m/>
    <m/>
    <m/>
    <n v="4210000"/>
    <n v="7956000"/>
    <m/>
    <m/>
    <m/>
    <n v="-1277000"/>
    <n v="-3295000"/>
    <m/>
    <m/>
    <m/>
  </r>
  <r>
    <x v="140"/>
    <n v="32"/>
    <x v="56"/>
    <m/>
    <m/>
    <m/>
    <m/>
    <m/>
    <n v="768772000"/>
    <n v="726400000"/>
    <n v="768395000"/>
    <n v="683468000"/>
    <n v="681868000"/>
    <n v="84353000"/>
    <n v="82488000"/>
    <n v="77636000"/>
    <n v="8011000"/>
    <n v="6493000"/>
    <n v="49326000"/>
    <n v="35583000"/>
    <n v="23980000"/>
    <n v="25393000"/>
    <n v="21727000"/>
    <n v="77816000"/>
    <n v="77816000"/>
    <n v="77816000"/>
    <n v="77816000"/>
    <n v="77816000"/>
    <n v="-1366127000"/>
    <n v="-1300573000"/>
    <n v="-538095000"/>
    <n v="-364560000"/>
    <n v="-370236000"/>
    <m/>
    <m/>
    <m/>
    <m/>
    <m/>
    <n v="1384830000"/>
    <n v="1347200000"/>
    <n v="1346450000"/>
    <n v="1015789000"/>
    <n v="1014206000"/>
    <m/>
    <m/>
    <m/>
    <m/>
    <m/>
    <m/>
    <m/>
    <m/>
    <m/>
    <m/>
    <m/>
    <m/>
    <m/>
    <m/>
    <m/>
    <m/>
    <m/>
    <m/>
    <m/>
    <m/>
    <n v="321592000"/>
    <n v="95355000"/>
    <n v="24252000"/>
    <n v="348559000"/>
    <n v="61685000"/>
    <n v="198688000"/>
    <n v="115706000"/>
    <n v="48920000"/>
    <n v="155838000"/>
    <n v="48431000"/>
    <n v="110596000"/>
    <n v="-17944000"/>
    <n v="-19070000"/>
    <n v="173535000"/>
    <n v="13017000"/>
  </r>
  <r>
    <x v="141"/>
    <n v="33"/>
    <x v="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42"/>
    <n v="19"/>
    <x v="58"/>
    <n v="204394000"/>
    <n v="234901000"/>
    <n v="249993000"/>
    <n v="228250000"/>
    <n v="230775000"/>
    <n v="94295000"/>
    <n v="91441000"/>
    <n v="89224000"/>
    <n v="13402000"/>
    <n v="13448000"/>
    <n v="61951000"/>
    <n v="32302000"/>
    <n v="20738000"/>
    <n v="14327000"/>
    <n v="9479000"/>
    <n v="608000"/>
    <n v="34000"/>
    <n v="60000"/>
    <n v="141000"/>
    <n v="388000"/>
    <m/>
    <m/>
    <m/>
    <m/>
    <m/>
    <m/>
    <m/>
    <m/>
    <m/>
    <m/>
    <n v="5992000"/>
    <n v="3628000"/>
    <n v="2633000"/>
    <n v="6190000"/>
    <n v="6190000"/>
    <n v="97223000"/>
    <n v="96756000"/>
    <n v="119116000"/>
    <n v="125752000"/>
    <n v="121455000"/>
    <n v="138837000"/>
    <n v="220483000"/>
    <n v="130263000"/>
    <n v="22878000"/>
    <n v="37875000"/>
    <n v="101638000"/>
    <n v="191581000"/>
    <n v="120129000"/>
    <n v="31402000"/>
    <n v="37047000"/>
    <m/>
    <m/>
    <m/>
    <m/>
    <m/>
    <m/>
    <m/>
    <m/>
    <m/>
    <m/>
    <n v="473000"/>
    <n v="5119000"/>
    <n v="18546000"/>
    <n v="6365000"/>
    <n v="11390000"/>
    <n v="25553000"/>
    <n v="12876000"/>
    <n v="29846000"/>
    <n v="101565000"/>
    <n v="9586000"/>
    <n v="2131000"/>
    <n v="4206000"/>
    <n v="-14665000"/>
    <n v="-113428000"/>
    <n v="2269000"/>
  </r>
  <r>
    <x v="143"/>
    <n v="32"/>
    <x v="59"/>
    <n v="17859000"/>
    <n v="18951000"/>
    <n v="18439000"/>
    <n v="7032000"/>
    <n v="5000000"/>
    <n v="17782000"/>
    <n v="23633000"/>
    <n v="21195000"/>
    <n v="17384000"/>
    <n v="6572000"/>
    <n v="15230000"/>
    <n v="17533000"/>
    <n v="17823000"/>
    <n v="21236000"/>
    <n v="9860000"/>
    <n v="680000"/>
    <n v="531000"/>
    <n v="952000"/>
    <n v="4503000"/>
    <n v="5000"/>
    <n v="109000"/>
    <n v="109000"/>
    <n v="109000"/>
    <n v="109000"/>
    <n v="109000"/>
    <n v="13319000"/>
    <n v="7503000"/>
    <n v="11112000"/>
    <n v="20728000"/>
    <n v="-10709000"/>
    <n v="17133000"/>
    <n v="21535000"/>
    <n v="20350000"/>
    <m/>
    <n v="600000"/>
    <n v="16644000"/>
    <n v="30308000"/>
    <n v="18827000"/>
    <n v="37492000"/>
    <n v="41617000"/>
    <n v="216598000"/>
    <n v="214968000"/>
    <n v="250085000"/>
    <n v="225730000"/>
    <n v="196323000"/>
    <n v="157762000"/>
    <n v="156090000"/>
    <n v="168221000"/>
    <n v="151356000"/>
    <n v="127467000"/>
    <n v="50217000"/>
    <n v="48146000"/>
    <n v="65227000"/>
    <n v="78154000"/>
    <n v="90199000"/>
    <n v="17516000"/>
    <n v="17876000"/>
    <n v="19346000"/>
    <n v="19516000"/>
    <n v="19123000"/>
    <n v="208000"/>
    <n v="89000"/>
    <n v="715000"/>
    <n v="37618000"/>
    <n v="5492000"/>
    <n v="652000"/>
    <n v="754000"/>
    <n v="2903000"/>
    <n v="13624000"/>
    <n v="1207000"/>
    <n v="-9781000"/>
    <n v="-8211000"/>
    <n v="-3249000"/>
    <n v="398000"/>
    <n v="-28690000"/>
  </r>
  <r>
    <x v="144"/>
    <n v="11"/>
    <x v="60"/>
    <m/>
    <n v="20193000"/>
    <n v="88866000"/>
    <n v="75134000"/>
    <n v="14777000"/>
    <n v="167779000"/>
    <n v="215355000"/>
    <n v="418226000"/>
    <n v="428400000"/>
    <n v="197505000"/>
    <n v="262385000"/>
    <n v="311189000"/>
    <n v="139567000"/>
    <n v="34203000"/>
    <n v="276564000"/>
    <n v="10977000"/>
    <n v="9282000"/>
    <n v="152000"/>
    <n v="5587000"/>
    <n v="651000"/>
    <n v="20000"/>
    <n v="20000"/>
    <n v="20000"/>
    <n v="20000"/>
    <n v="20000"/>
    <n v="15107000"/>
    <n v="37319000"/>
    <n v="44425000"/>
    <n v="41620000"/>
    <n v="23651000"/>
    <n v="520000"/>
    <n v="30591000"/>
    <n v="116819000"/>
    <n v="147176000"/>
    <n v="144164000"/>
    <n v="370172000"/>
    <n v="438169000"/>
    <n v="432899000"/>
    <n v="437857000"/>
    <n v="828597000"/>
    <n v="715641000"/>
    <n v="1029745000"/>
    <n v="893503000"/>
    <n v="725914000"/>
    <n v="449610000"/>
    <n v="617689000"/>
    <n v="892281000"/>
    <n v="764087000"/>
    <n v="647917000"/>
    <n v="499362000"/>
    <n v="54360000"/>
    <n v="61162000"/>
    <n v="53069000"/>
    <n v="23403000"/>
    <n v="3623000"/>
    <n v="28818000"/>
    <n v="53241000"/>
    <n v="39194000"/>
    <n v="30927000"/>
    <n v="28582000"/>
    <n v="430748000"/>
    <n v="351668000"/>
    <n v="306631000"/>
    <n v="44633000"/>
    <n v="93463000"/>
    <n v="428806000"/>
    <n v="339043000"/>
    <n v="315605000"/>
    <n v="48883000"/>
    <n v="22510000"/>
    <n v="7931000"/>
    <n v="22212000"/>
    <n v="7107000"/>
    <n v="-2805000"/>
    <n v="-17970000"/>
  </r>
  <r>
    <x v="145"/>
    <n v="8"/>
    <x v="61"/>
    <n v="52000"/>
    <n v="13000"/>
    <m/>
    <m/>
    <m/>
    <m/>
    <m/>
    <m/>
    <m/>
    <m/>
    <n v="38950000"/>
    <n v="37778000"/>
    <m/>
    <m/>
    <m/>
    <m/>
    <m/>
    <m/>
    <m/>
    <m/>
    <n v="10000"/>
    <n v="10000"/>
    <m/>
    <m/>
    <m/>
    <n v="-5657000"/>
    <n v="-8630000"/>
    <m/>
    <m/>
    <m/>
    <m/>
    <m/>
    <m/>
    <m/>
    <m/>
    <n v="49677000"/>
    <n v="49512000"/>
    <m/>
    <m/>
    <m/>
    <n v="43793000"/>
    <m/>
    <m/>
    <m/>
    <m/>
    <n v="21380000"/>
    <m/>
    <m/>
    <m/>
    <m/>
    <n v="34288000"/>
    <n v="724000"/>
    <m/>
    <m/>
    <m/>
    <n v="1418000"/>
    <m/>
    <m/>
    <m/>
    <m/>
    <n v="1000"/>
    <n v="334000"/>
    <m/>
    <m/>
    <m/>
    <n v="193000"/>
    <n v="34000"/>
    <m/>
    <m/>
    <m/>
    <n v="-10762000"/>
    <n v="-2973000"/>
    <m/>
    <m/>
    <m/>
  </r>
  <r>
    <x v="146"/>
    <n v="8"/>
    <x v="61"/>
    <n v="23954000"/>
    <m/>
    <m/>
    <m/>
    <m/>
    <n v="171994000"/>
    <m/>
    <m/>
    <m/>
    <m/>
    <n v="96293000"/>
    <m/>
    <m/>
    <m/>
    <m/>
    <n v="5716000"/>
    <m/>
    <m/>
    <m/>
    <m/>
    <n v="12028000"/>
    <m/>
    <m/>
    <m/>
    <m/>
    <n v="29015000"/>
    <m/>
    <m/>
    <m/>
    <m/>
    <n v="8848000"/>
    <m/>
    <m/>
    <m/>
    <m/>
    <n v="238275000"/>
    <m/>
    <m/>
    <m/>
    <m/>
    <n v="474621000"/>
    <m/>
    <m/>
    <m/>
    <m/>
    <n v="456035000"/>
    <m/>
    <m/>
    <m/>
    <m/>
    <m/>
    <m/>
    <m/>
    <m/>
    <m/>
    <n v="16745000"/>
    <m/>
    <m/>
    <m/>
    <m/>
    <n v="1826000"/>
    <m/>
    <m/>
    <m/>
    <m/>
    <n v="99000"/>
    <m/>
    <m/>
    <m/>
    <m/>
    <n v="2803000"/>
    <m/>
    <m/>
    <m/>
    <m/>
  </r>
  <r>
    <x v="147"/>
    <n v="13"/>
    <x v="62"/>
    <n v="2695000"/>
    <n v="6217000"/>
    <m/>
    <m/>
    <m/>
    <n v="44714000"/>
    <n v="45381000"/>
    <m/>
    <m/>
    <m/>
    <n v="61801000"/>
    <n v="72481000"/>
    <m/>
    <m/>
    <m/>
    <n v="797000"/>
    <n v="1015000"/>
    <m/>
    <m/>
    <m/>
    <m/>
    <m/>
    <m/>
    <m/>
    <m/>
    <m/>
    <m/>
    <m/>
    <m/>
    <m/>
    <n v="14963000"/>
    <n v="9269000"/>
    <m/>
    <m/>
    <m/>
    <n v="76181000"/>
    <n v="98639000"/>
    <m/>
    <m/>
    <m/>
    <n v="269813000"/>
    <n v="402296000"/>
    <m/>
    <m/>
    <m/>
    <n v="279093000"/>
    <n v="396093000"/>
    <m/>
    <m/>
    <m/>
    <m/>
    <m/>
    <m/>
    <m/>
    <m/>
    <m/>
    <m/>
    <m/>
    <m/>
    <m/>
    <n v="21684000"/>
    <n v="17098000"/>
    <m/>
    <m/>
    <m/>
    <n v="9171000"/>
    <n v="19211000"/>
    <m/>
    <m/>
    <m/>
    <n v="335000"/>
    <n v="494000"/>
    <m/>
    <m/>
    <m/>
  </r>
  <r>
    <x v="148"/>
    <n v="13"/>
    <x v="63"/>
    <n v="3624804000"/>
    <n v="7068000"/>
    <n v="49000"/>
    <n v="49000"/>
    <n v="49000"/>
    <n v="450077000"/>
    <n v="382318000"/>
    <m/>
    <m/>
    <m/>
    <m/>
    <m/>
    <n v="252117000"/>
    <n v="251186000"/>
    <n v="1675000"/>
    <m/>
    <n v="71571000"/>
    <n v="74771000"/>
    <m/>
    <m/>
    <n v="100000"/>
    <n v="100000"/>
    <n v="100000"/>
    <n v="100000"/>
    <n v="100000"/>
    <n v="-3467255000"/>
    <n v="-4065423000"/>
    <n v="-894107000"/>
    <n v="-1420229000"/>
    <n v="-1729194000"/>
    <n v="698978000"/>
    <n v="698978000"/>
    <m/>
    <m/>
    <m/>
    <n v="838584000"/>
    <n v="826583000"/>
    <n v="1221177000"/>
    <n v="1671489000"/>
    <n v="1730943000"/>
    <n v="1893000"/>
    <m/>
    <m/>
    <m/>
    <m/>
    <n v="24991000"/>
    <m/>
    <m/>
    <m/>
    <m/>
    <m/>
    <m/>
    <m/>
    <m/>
    <m/>
    <m/>
    <m/>
    <m/>
    <m/>
    <m/>
    <n v="338849000"/>
    <n v="1727137000"/>
    <n v="116000"/>
    <m/>
    <m/>
    <n v="771022000"/>
    <n v="3551869000"/>
    <n v="4455000"/>
    <m/>
    <m/>
    <n v="-539334000"/>
    <n v="-1824731000"/>
    <n v="-4339000"/>
    <m/>
    <m/>
  </r>
  <r>
    <x v="149"/>
    <n v="25"/>
    <x v="64"/>
    <n v="159990000"/>
    <n v="159678000"/>
    <n v="64000"/>
    <n v="64000"/>
    <n v="64000"/>
    <n v="57139000"/>
    <n v="36717000"/>
    <n v="28240000"/>
    <n v="24874000"/>
    <n v="4245000"/>
    <n v="558738000"/>
    <n v="509638000"/>
    <n v="452620000"/>
    <n v="236132000"/>
    <n v="76854000"/>
    <n v="32000"/>
    <n v="32000"/>
    <n v="32000"/>
    <n v="122000"/>
    <n v="208000"/>
    <n v="210108000"/>
    <n v="210108000"/>
    <n v="210108000"/>
    <n v="210108000"/>
    <n v="210108000"/>
    <n v="-5063307000"/>
    <n v="-5084850000"/>
    <n v="-5139023000"/>
    <n v="-4639525000"/>
    <n v="-4781947000"/>
    <n v="90026000"/>
    <n v="90026000"/>
    <n v="90026000"/>
    <n v="90026000"/>
    <n v="90026000"/>
    <n v="5495479000"/>
    <n v="5437254000"/>
    <n v="5260474000"/>
    <n v="4535288000"/>
    <n v="4491727000"/>
    <n v="492000"/>
    <n v="11438000"/>
    <n v="3478000"/>
    <n v="350000"/>
    <n v="9411000"/>
    <n v="1819000"/>
    <n v="25205000"/>
    <n v="8476000"/>
    <n v="3366000"/>
    <n v="19275000"/>
    <m/>
    <m/>
    <m/>
    <m/>
    <m/>
    <m/>
    <m/>
    <m/>
    <m/>
    <m/>
    <n v="16000"/>
    <n v="67804000"/>
    <n v="133088000"/>
    <n v="519141000"/>
    <n v="199963000"/>
    <n v="8221000"/>
    <n v="31620000"/>
    <n v="158127000"/>
    <n v="16627000"/>
    <n v="332520000"/>
    <n v="-43714000"/>
    <n v="-21543000"/>
    <n v="-54173000"/>
    <n v="499498000"/>
    <n v="-142422000"/>
  </r>
  <r>
    <x v="150"/>
    <n v="24"/>
    <x v="65"/>
    <m/>
    <m/>
    <m/>
    <m/>
    <m/>
    <m/>
    <m/>
    <m/>
    <m/>
    <m/>
    <n v="99845000"/>
    <n v="99845000"/>
    <n v="81785000"/>
    <n v="81785000"/>
    <n v="33970000"/>
    <m/>
    <m/>
    <n v="570000"/>
    <m/>
    <n v="1716000"/>
    <n v="10000"/>
    <n v="10000"/>
    <n v="10000"/>
    <n v="10000"/>
    <n v="10000"/>
    <m/>
    <m/>
    <n v="-17500000"/>
    <n v="-17500000"/>
    <n v="-64169000"/>
    <m/>
    <m/>
    <m/>
    <m/>
    <m/>
    <n v="99845000"/>
    <n v="99845000"/>
    <n v="99845000"/>
    <n v="99845000"/>
    <n v="99845000"/>
    <m/>
    <m/>
    <m/>
    <m/>
    <m/>
    <m/>
    <m/>
    <m/>
    <m/>
    <m/>
    <m/>
    <m/>
    <m/>
    <m/>
    <m/>
    <m/>
    <m/>
    <m/>
    <m/>
    <m/>
    <m/>
    <n v="100000"/>
    <m/>
    <m/>
    <m/>
    <m/>
    <n v="100000"/>
    <m/>
    <m/>
    <m/>
    <m/>
    <m/>
    <m/>
    <m/>
    <m/>
  </r>
  <r>
    <x v="151"/>
    <n v="19"/>
    <x v="66"/>
    <n v="123000"/>
    <n v="111000"/>
    <m/>
    <m/>
    <m/>
    <n v="118000"/>
    <n v="145000"/>
    <n v="18000"/>
    <m/>
    <m/>
    <n v="10494000"/>
    <n v="10240000"/>
    <n v="9187000"/>
    <n v="8671000"/>
    <n v="8384000"/>
    <n v="1264000"/>
    <n v="1530000"/>
    <n v="214000"/>
    <n v="247000"/>
    <m/>
    <m/>
    <m/>
    <m/>
    <m/>
    <m/>
    <m/>
    <m/>
    <m/>
    <m/>
    <m/>
    <m/>
    <m/>
    <m/>
    <m/>
    <m/>
    <n v="7919000"/>
    <n v="9845000"/>
    <n v="9735000"/>
    <n v="10175000"/>
    <n v="10885000"/>
    <n v="8533000"/>
    <n v="8419000"/>
    <n v="4817000"/>
    <m/>
    <m/>
    <n v="9497000"/>
    <n v="9665000"/>
    <n v="5545000"/>
    <m/>
    <m/>
    <m/>
    <m/>
    <m/>
    <m/>
    <m/>
    <m/>
    <m/>
    <m/>
    <m/>
    <m/>
    <n v="2502000"/>
    <n v="68000"/>
    <n v="932000"/>
    <m/>
    <m/>
    <n v="840000"/>
    <n v="902000"/>
    <n v="1120000"/>
    <n v="941000"/>
    <n v="376000"/>
    <n v="610000"/>
    <n v="-2167000"/>
    <n v="-1002000"/>
    <n v="-941000"/>
    <n v="-376000"/>
  </r>
  <r>
    <x v="152"/>
    <n v="10"/>
    <x v="67"/>
    <n v="10574000"/>
    <n v="17238000"/>
    <n v="18787000"/>
    <n v="11262000"/>
    <m/>
    <n v="1557000"/>
    <n v="30496000"/>
    <n v="109059000"/>
    <n v="339000"/>
    <m/>
    <n v="39987000"/>
    <n v="167621000"/>
    <n v="392877000"/>
    <n v="55923000"/>
    <m/>
    <n v="18985000"/>
    <n v="1133000"/>
    <n v="421000"/>
    <n v="1553000"/>
    <m/>
    <m/>
    <m/>
    <m/>
    <m/>
    <m/>
    <m/>
    <m/>
    <m/>
    <m/>
    <m/>
    <n v="447000"/>
    <n v="1282000"/>
    <n v="4001000"/>
    <n v="7116000"/>
    <m/>
    <n v="61678000"/>
    <n v="94245000"/>
    <n v="202879000"/>
    <n v="10895000"/>
    <m/>
    <n v="103441000"/>
    <n v="134381000"/>
    <n v="260155000"/>
    <n v="505987000"/>
    <m/>
    <n v="103077000"/>
    <n v="102004000"/>
    <n v="265371000"/>
    <n v="506028000"/>
    <m/>
    <m/>
    <m/>
    <m/>
    <m/>
    <m/>
    <m/>
    <m/>
    <m/>
    <m/>
    <m/>
    <m/>
    <n v="93000"/>
    <n v="5367000"/>
    <n v="882000"/>
    <m/>
    <n v="379000"/>
    <n v="975000"/>
    <n v="8412000"/>
    <n v="393000"/>
    <m/>
    <n v="-15000"/>
    <n v="38504000"/>
    <n v="-10726000"/>
    <n v="358000"/>
    <m/>
  </r>
  <r>
    <x v="153"/>
    <n v="7"/>
    <x v="67"/>
    <n v="33394000"/>
    <n v="31358000"/>
    <n v="26657000"/>
    <n v="20250000"/>
    <n v="16818000"/>
    <n v="2051000"/>
    <n v="15551000"/>
    <n v="2702000"/>
    <n v="13585000"/>
    <n v="34248000"/>
    <n v="20336000"/>
    <n v="22002000"/>
    <n v="52027000"/>
    <n v="48873000"/>
    <n v="208511000"/>
    <n v="5902000"/>
    <n v="352000"/>
    <n v="11103000"/>
    <n v="850000"/>
    <n v="542000"/>
    <m/>
    <m/>
    <m/>
    <m/>
    <m/>
    <m/>
    <m/>
    <m/>
    <m/>
    <m/>
    <m/>
    <m/>
    <m/>
    <m/>
    <m/>
    <n v="30977000"/>
    <n v="29636000"/>
    <n v="51184000"/>
    <n v="30249000"/>
    <n v="189291000"/>
    <n v="97070000"/>
    <n v="65882000"/>
    <n v="117063000"/>
    <n v="67012000"/>
    <n v="252902000"/>
    <n v="72267000"/>
    <n v="57126000"/>
    <n v="100015000"/>
    <n v="62208000"/>
    <n v="271463000"/>
    <m/>
    <m/>
    <m/>
    <m/>
    <m/>
    <m/>
    <m/>
    <m/>
    <m/>
    <m/>
    <n v="1000"/>
    <n v="3633000"/>
    <n v="1032000"/>
    <n v="1445000"/>
    <n v="4126000"/>
    <n v="1156000"/>
    <n v="6649000"/>
    <n v="2448000"/>
    <n v="1797000"/>
    <n v="5209000"/>
    <n v="19017000"/>
    <n v="4787000"/>
    <n v="16938000"/>
    <n v="116000"/>
    <n v="-27297000"/>
  </r>
  <r>
    <x v="154"/>
    <n v="23"/>
    <x v="68"/>
    <n v="194000"/>
    <m/>
    <m/>
    <m/>
    <m/>
    <n v="123000"/>
    <n v="46000"/>
    <m/>
    <m/>
    <m/>
    <n v="10358000"/>
    <n v="845000"/>
    <n v="2699000"/>
    <n v="1754000"/>
    <n v="2815000"/>
    <n v="169000"/>
    <n v="20000"/>
    <n v="1161000"/>
    <n v="159000"/>
    <n v="776000"/>
    <m/>
    <m/>
    <m/>
    <m/>
    <m/>
    <m/>
    <m/>
    <m/>
    <m/>
    <m/>
    <m/>
    <m/>
    <m/>
    <m/>
    <m/>
    <n v="7033000"/>
    <n v="301000"/>
    <n v="6860000"/>
    <n v="10886000"/>
    <n v="7119000"/>
    <n v="13019000"/>
    <n v="8442000"/>
    <n v="2278000"/>
    <n v="419000"/>
    <m/>
    <n v="11699000"/>
    <n v="8123000"/>
    <n v="2121000"/>
    <n v="652000"/>
    <n v="523000"/>
    <m/>
    <m/>
    <m/>
    <m/>
    <m/>
    <m/>
    <m/>
    <m/>
    <m/>
    <m/>
    <n v="94000"/>
    <m/>
    <m/>
    <m/>
    <n v="6203000"/>
    <n v="214000"/>
    <n v="3493000"/>
    <n v="3767000"/>
    <n v="5740000"/>
    <n v="5680000"/>
    <n v="960000"/>
    <n v="-3221000"/>
    <n v="-3610000"/>
    <n v="-5973000"/>
    <m/>
  </r>
  <r>
    <x v="155"/>
    <n v="32"/>
    <x v="69"/>
    <n v="1551000"/>
    <n v="4480000"/>
    <n v="2155000"/>
    <n v="1200000"/>
    <m/>
    <n v="250358000"/>
    <n v="217253000"/>
    <n v="123074000"/>
    <n v="310000"/>
    <m/>
    <n v="52258000"/>
    <n v="43419000"/>
    <n v="99736000"/>
    <n v="74650000"/>
    <m/>
    <n v="4404000"/>
    <n v="7540000"/>
    <n v="1600000"/>
    <n v="334000"/>
    <m/>
    <m/>
    <m/>
    <m/>
    <m/>
    <m/>
    <m/>
    <m/>
    <m/>
    <m/>
    <m/>
    <n v="45035000"/>
    <n v="31095000"/>
    <n v="1375000"/>
    <n v="1377000"/>
    <m/>
    <n v="170181000"/>
    <n v="146128000"/>
    <n v="128399000"/>
    <n v="185824000"/>
    <m/>
    <n v="319376000"/>
    <n v="324907000"/>
    <n v="371634000"/>
    <n v="6275000"/>
    <m/>
    <n v="306854000"/>
    <n v="324505000"/>
    <n v="351997000"/>
    <n v="115651000"/>
    <m/>
    <m/>
    <m/>
    <m/>
    <m/>
    <m/>
    <m/>
    <m/>
    <m/>
    <m/>
    <m/>
    <n v="3370000"/>
    <n v="19517000"/>
    <n v="6528000"/>
    <n v="403000"/>
    <m/>
    <n v="3509000"/>
    <n v="14435000"/>
    <n v="24106000"/>
    <n v="97326000"/>
    <m/>
    <n v="9143000"/>
    <n v="2045000"/>
    <n v="1273000"/>
    <n v="-207771000"/>
    <m/>
  </r>
  <r>
    <x v="156"/>
    <n v="8"/>
    <x v="70"/>
    <n v="16663000"/>
    <n v="16663000"/>
    <n v="11038000"/>
    <n v="11038000"/>
    <n v="4364000"/>
    <n v="7752000"/>
    <n v="4546000"/>
    <n v="4546000"/>
    <n v="4546000"/>
    <m/>
    <m/>
    <m/>
    <n v="8000000"/>
    <n v="7702000"/>
    <m/>
    <n v="278000"/>
    <n v="589000"/>
    <n v="1513000"/>
    <n v="1971000"/>
    <n v="962000"/>
    <n v="10000"/>
    <n v="10000"/>
    <n v="10000"/>
    <n v="20000"/>
    <n v="20000"/>
    <n v="695000"/>
    <m/>
    <n v="939000"/>
    <n v="939000"/>
    <n v="-18992000"/>
    <m/>
    <m/>
    <m/>
    <m/>
    <m/>
    <n v="9615000"/>
    <n v="16747000"/>
    <n v="19107000"/>
    <n v="19257000"/>
    <n v="19257000"/>
    <n v="69621000"/>
    <n v="79151000"/>
    <n v="30202000"/>
    <m/>
    <m/>
    <n v="68911000"/>
    <n v="78957000"/>
    <n v="28998000"/>
    <m/>
    <m/>
    <n v="15000"/>
    <m/>
    <m/>
    <m/>
    <m/>
    <m/>
    <m/>
    <m/>
    <m/>
    <m/>
    <m/>
    <m/>
    <m/>
    <m/>
    <m/>
    <m/>
    <m/>
    <n v="30000"/>
    <m/>
    <m/>
    <n v="834000"/>
    <n v="233000"/>
    <n v="939000"/>
    <m/>
    <m/>
  </r>
  <r>
    <x v="157"/>
    <n v="10"/>
    <x v="71"/>
    <n v="3337000"/>
    <n v="2847000"/>
    <n v="1942000"/>
    <m/>
    <m/>
    <n v="15102000"/>
    <n v="12985000"/>
    <n v="8935000"/>
    <m/>
    <m/>
    <n v="3721000"/>
    <n v="2345000"/>
    <n v="1159000"/>
    <m/>
    <m/>
    <n v="68000"/>
    <n v="163000"/>
    <m/>
    <m/>
    <m/>
    <m/>
    <m/>
    <m/>
    <m/>
    <m/>
    <m/>
    <m/>
    <m/>
    <m/>
    <m/>
    <m/>
    <m/>
    <m/>
    <m/>
    <m/>
    <n v="472000"/>
    <n v="398000"/>
    <n v="217000"/>
    <m/>
    <m/>
    <n v="47641000"/>
    <n v="17932000"/>
    <n v="8944000"/>
    <m/>
    <m/>
    <n v="45881000"/>
    <n v="17736000"/>
    <n v="8913000"/>
    <m/>
    <m/>
    <m/>
    <m/>
    <m/>
    <m/>
    <m/>
    <m/>
    <m/>
    <m/>
    <m/>
    <m/>
    <n v="5099000"/>
    <n v="115000"/>
    <n v="68000"/>
    <m/>
    <m/>
    <n v="6563000"/>
    <n v="73000"/>
    <n v="42000"/>
    <m/>
    <m/>
    <n v="237000"/>
    <n v="191000"/>
    <n v="46000"/>
    <m/>
    <m/>
  </r>
  <r>
    <x v="158"/>
    <n v="28"/>
    <x v="7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59"/>
    <n v="6"/>
    <x v="71"/>
    <m/>
    <m/>
    <m/>
    <m/>
    <m/>
    <n v="15571000"/>
    <n v="20628000"/>
    <n v="27963000"/>
    <n v="30786000"/>
    <m/>
    <n v="5485000"/>
    <n v="5033000"/>
    <n v="7187000"/>
    <n v="47270000"/>
    <n v="3713000"/>
    <n v="292000"/>
    <n v="61000"/>
    <n v="26000"/>
    <n v="28000"/>
    <m/>
    <m/>
    <m/>
    <m/>
    <m/>
    <n v="20000"/>
    <m/>
    <m/>
    <m/>
    <m/>
    <n v="-45302000"/>
    <n v="4416000"/>
    <n v="7733000"/>
    <n v="7816000"/>
    <m/>
    <m/>
    <n v="16236000"/>
    <n v="17120000"/>
    <n v="25885000"/>
    <n v="77031000"/>
    <n v="49214000"/>
    <n v="247757000"/>
    <n v="209672000"/>
    <n v="64554000"/>
    <n v="45681000"/>
    <n v="26329000"/>
    <n v="244479000"/>
    <n v="207252000"/>
    <n v="63358000"/>
    <n v="45671000"/>
    <n v="69961000"/>
    <m/>
    <m/>
    <m/>
    <m/>
    <m/>
    <m/>
    <m/>
    <m/>
    <m/>
    <n v="2703000"/>
    <n v="707000"/>
    <n v="113000"/>
    <n v="303000"/>
    <n v="1377000"/>
    <m/>
    <n v="735000"/>
    <n v="1260000"/>
    <n v="945000"/>
    <n v="1313000"/>
    <m/>
    <n v="2502000"/>
    <n v="174000"/>
    <n v="126000"/>
    <n v="47000"/>
    <n v="-46335000"/>
  </r>
  <r>
    <x v="160"/>
    <n v="8"/>
    <x v="72"/>
    <n v="4203000"/>
    <n v="3693000"/>
    <m/>
    <m/>
    <m/>
    <m/>
    <n v="2198000"/>
    <n v="377000"/>
    <m/>
    <m/>
    <n v="16046000"/>
    <n v="14658000"/>
    <n v="12788000"/>
    <n v="10801000"/>
    <n v="9278000"/>
    <n v="1747000"/>
    <n v="2443000"/>
    <n v="5533000"/>
    <n v="1973000"/>
    <n v="1505000"/>
    <m/>
    <m/>
    <m/>
    <m/>
    <m/>
    <m/>
    <m/>
    <m/>
    <m/>
    <m/>
    <m/>
    <m/>
    <m/>
    <m/>
    <m/>
    <n v="20970000"/>
    <n v="26390000"/>
    <n v="27723000"/>
    <n v="24353000"/>
    <n v="22915000"/>
    <n v="41465000"/>
    <n v="36536000"/>
    <n v="35701000"/>
    <m/>
    <m/>
    <n v="41229000"/>
    <n v="42476000"/>
    <n v="37707000"/>
    <n v="2322000"/>
    <m/>
    <m/>
    <m/>
    <m/>
    <m/>
    <m/>
    <m/>
    <m/>
    <m/>
    <m/>
    <m/>
    <n v="12000"/>
    <m/>
    <m/>
    <n v="168000"/>
    <m/>
    <n v="82000"/>
    <n v="52000"/>
    <n v="3224000"/>
    <n v="376000"/>
    <n v="538000"/>
    <n v="-95000"/>
    <n v="-5992000"/>
    <n v="-5519000"/>
    <n v="-2554000"/>
    <n v="-553000"/>
  </r>
  <r>
    <x v="161"/>
    <n v="19"/>
    <x v="72"/>
    <m/>
    <n v="2173000"/>
    <n v="3433000"/>
    <m/>
    <m/>
    <m/>
    <n v="25000"/>
    <n v="65000"/>
    <m/>
    <m/>
    <n v="1400000"/>
    <m/>
    <n v="2093000"/>
    <m/>
    <m/>
    <n v="22000"/>
    <m/>
    <n v="47000"/>
    <m/>
    <m/>
    <n v="100000"/>
    <n v="100000"/>
    <m/>
    <m/>
    <m/>
    <n v="-1459000"/>
    <n v="-117000"/>
    <n v="-3283000"/>
    <m/>
    <m/>
    <m/>
    <m/>
    <m/>
    <m/>
    <m/>
    <n v="2782000"/>
    <n v="42000"/>
    <n v="5183000"/>
    <m/>
    <m/>
    <n v="763000"/>
    <m/>
    <n v="6332000"/>
    <m/>
    <m/>
    <n v="710000"/>
    <m/>
    <n v="7768000"/>
    <m/>
    <m/>
    <m/>
    <m/>
    <m/>
    <m/>
    <m/>
    <m/>
    <m/>
    <n v="2048000"/>
    <m/>
    <m/>
    <n v="166000"/>
    <m/>
    <n v="1157000"/>
    <m/>
    <m/>
    <n v="16000"/>
    <m/>
    <n v="544000"/>
    <m/>
    <m/>
    <n v="203000"/>
    <m/>
    <n v="-3284000"/>
    <m/>
    <m/>
  </r>
  <r>
    <x v="162"/>
    <n v="9"/>
    <x v="72"/>
    <m/>
    <m/>
    <m/>
    <m/>
    <m/>
    <m/>
    <m/>
    <m/>
    <m/>
    <m/>
    <n v="7771000"/>
    <n v="15581000"/>
    <n v="15475000"/>
    <m/>
    <m/>
    <m/>
    <n v="3023000"/>
    <n v="787000"/>
    <m/>
    <m/>
    <m/>
    <m/>
    <m/>
    <m/>
    <m/>
    <m/>
    <m/>
    <m/>
    <m/>
    <m/>
    <m/>
    <m/>
    <m/>
    <m/>
    <m/>
    <n v="35592000"/>
    <n v="49725000"/>
    <n v="48063000"/>
    <m/>
    <m/>
    <m/>
    <m/>
    <m/>
    <m/>
    <m/>
    <m/>
    <m/>
    <m/>
    <m/>
    <m/>
    <m/>
    <m/>
    <m/>
    <m/>
    <m/>
    <m/>
    <m/>
    <m/>
    <m/>
    <m/>
    <m/>
    <m/>
    <m/>
    <m/>
    <m/>
    <n v="8595000"/>
    <n v="949000"/>
    <n v="680000"/>
    <m/>
    <m/>
    <n v="-8595000"/>
    <n v="-949000"/>
    <n v="-680000"/>
    <m/>
    <m/>
  </r>
  <r>
    <x v="163"/>
    <n v="11"/>
    <x v="72"/>
    <n v="103000"/>
    <n v="103000"/>
    <n v="103000"/>
    <n v="103000"/>
    <n v="103000"/>
    <m/>
    <m/>
    <m/>
    <m/>
    <m/>
    <n v="24187000"/>
    <n v="22198000"/>
    <n v="7356000"/>
    <n v="6881000"/>
    <n v="6881000"/>
    <m/>
    <n v="2641000"/>
    <n v="3232000"/>
    <n v="2197000"/>
    <n v="2197000"/>
    <n v="10000"/>
    <n v="10000"/>
    <n v="10000"/>
    <n v="10000"/>
    <n v="10000"/>
    <n v="-38594000"/>
    <n v="-39359000"/>
    <n v="-40199000"/>
    <n v="-40559000"/>
    <n v="-40559000"/>
    <m/>
    <m/>
    <m/>
    <m/>
    <m/>
    <n v="69219000"/>
    <n v="70636000"/>
    <n v="57225000"/>
    <n v="56075000"/>
    <n v="56075000"/>
    <m/>
    <m/>
    <m/>
    <m/>
    <m/>
    <m/>
    <m/>
    <m/>
    <m/>
    <m/>
    <m/>
    <m/>
    <m/>
    <m/>
    <m/>
    <m/>
    <m/>
    <m/>
    <m/>
    <m/>
    <m/>
    <m/>
    <m/>
    <m/>
    <m/>
    <n v="2791000"/>
    <n v="765000"/>
    <n v="840000"/>
    <n v="360000"/>
    <m/>
    <n v="-2780000"/>
    <n v="-765000"/>
    <n v="-840000"/>
    <n v="-360000"/>
    <m/>
  </r>
  <r>
    <x v="164"/>
    <n v="14"/>
    <x v="72"/>
    <m/>
    <m/>
    <m/>
    <m/>
    <m/>
    <m/>
    <m/>
    <m/>
    <m/>
    <m/>
    <n v="70626000"/>
    <n v="111667000"/>
    <n v="120998000"/>
    <n v="117837000"/>
    <n v="115394000"/>
    <n v="100000"/>
    <n v="455000"/>
    <m/>
    <n v="40000"/>
    <m/>
    <n v="10000"/>
    <n v="10000"/>
    <n v="10000"/>
    <n v="10000"/>
    <n v="10000"/>
    <n v="1063000"/>
    <n v="1159000"/>
    <n v="-801000"/>
    <n v="-2310000"/>
    <n v="-3569000"/>
    <m/>
    <m/>
    <m/>
    <m/>
    <m/>
    <n v="69653000"/>
    <n v="110953000"/>
    <n v="121789000"/>
    <n v="120177000"/>
    <n v="118953000"/>
    <m/>
    <m/>
    <n v="56137000"/>
    <n v="161000"/>
    <m/>
    <m/>
    <m/>
    <n v="57653000"/>
    <m/>
    <m/>
    <m/>
    <m/>
    <m/>
    <m/>
    <n v="1231000"/>
    <m/>
    <m/>
    <m/>
    <n v="1701000"/>
    <m/>
    <m/>
    <m/>
    <m/>
    <n v="62000"/>
    <m/>
    <m/>
    <m/>
    <m/>
    <m/>
    <n v="28000"/>
    <m/>
    <m/>
    <n v="-1960000"/>
    <n v="-1509000"/>
    <n v="-1259000"/>
  </r>
  <r>
    <x v="165"/>
    <n v="17"/>
    <x v="72"/>
    <n v="290000"/>
    <n v="379000"/>
    <n v="275000"/>
    <n v="205000"/>
    <m/>
    <n v="759000"/>
    <n v="799000"/>
    <n v="744000"/>
    <n v="890000"/>
    <m/>
    <n v="86022000"/>
    <n v="94228000"/>
    <n v="104618000"/>
    <n v="114957000"/>
    <n v="109720000"/>
    <n v="5754000"/>
    <n v="7169000"/>
    <n v="1631000"/>
    <n v="5131000"/>
    <n v="521000"/>
    <n v="10000"/>
    <n v="10000"/>
    <n v="10000"/>
    <n v="10000"/>
    <n v="10000"/>
    <n v="30730000"/>
    <n v="31314000"/>
    <n v="26254000"/>
    <n v="31801000"/>
    <n v="36021000"/>
    <m/>
    <m/>
    <m/>
    <m/>
    <m/>
    <n v="61677000"/>
    <n v="70875000"/>
    <n v="80632000"/>
    <n v="88972000"/>
    <n v="73791000"/>
    <n v="84766000"/>
    <n v="93628000"/>
    <n v="89782000"/>
    <n v="91452000"/>
    <n v="41343000"/>
    <n v="83691000"/>
    <n v="90452000"/>
    <n v="93431000"/>
    <n v="82987000"/>
    <n v="42953000"/>
    <m/>
    <m/>
    <m/>
    <m/>
    <m/>
    <m/>
    <m/>
    <m/>
    <m/>
    <m/>
    <n v="182000"/>
    <n v="290000"/>
    <n v="2988000"/>
    <n v="163000"/>
    <n v="10977000"/>
    <n v="11598000"/>
    <n v="967000"/>
    <n v="2205000"/>
    <n v="656000"/>
    <n v="3461000"/>
    <n v="-12395000"/>
    <n v="-12000"/>
    <n v="-5291000"/>
    <n v="5547000"/>
    <n v="4197000"/>
  </r>
  <r>
    <x v="166"/>
    <n v="11"/>
    <x v="73"/>
    <n v="247619000"/>
    <n v="191808000"/>
    <n v="139776000"/>
    <n v="85782000"/>
    <n v="18233000"/>
    <n v="1349000"/>
    <n v="6232000"/>
    <n v="9154000"/>
    <n v="9551000"/>
    <n v="12243000"/>
    <n v="72924000"/>
    <n v="66020000"/>
    <n v="82965000"/>
    <n v="88021000"/>
    <n v="104238000"/>
    <n v="3456000"/>
    <n v="45000"/>
    <n v="451000"/>
    <n v="2317000"/>
    <n v="911000"/>
    <n v="20000"/>
    <n v="20000"/>
    <n v="20000"/>
    <n v="20000"/>
    <n v="20000"/>
    <n v="-44549000"/>
    <n v="-147258000"/>
    <n v="-265903000"/>
    <n v="-334990000"/>
    <n v="-430391000"/>
    <n v="60220000"/>
    <n v="49690000"/>
    <n v="50603000"/>
    <n v="53670000"/>
    <n v="56738000"/>
    <n v="156856000"/>
    <n v="298359000"/>
    <n v="467767000"/>
    <n v="554691000"/>
    <n v="655643000"/>
    <n v="244739000"/>
    <n v="255891000"/>
    <n v="258582000"/>
    <n v="307611000"/>
    <n v="324873000"/>
    <n v="274263000"/>
    <n v="308378000"/>
    <n v="326204000"/>
    <n v="339553000"/>
    <n v="347822000"/>
    <m/>
    <m/>
    <m/>
    <m/>
    <m/>
    <n v="33392000"/>
    <n v="41399000"/>
    <n v="47627000"/>
    <n v="27723000"/>
    <n v="26732000"/>
    <n v="2398000"/>
    <n v="10691000"/>
    <n v="28236000"/>
    <n v="29873000"/>
    <n v="30007000"/>
    <n v="2600000"/>
    <n v="41244000"/>
    <n v="56149000"/>
    <n v="50585000"/>
    <n v="133445000"/>
    <n v="-52709000"/>
    <n v="-102684000"/>
    <n v="-116829000"/>
    <n v="-69061000"/>
    <n v="-98184000"/>
  </r>
  <r>
    <x v="167"/>
    <n v="14"/>
    <x v="74"/>
    <n v="5370000"/>
    <n v="5211000"/>
    <n v="5211000"/>
    <m/>
    <m/>
    <n v="117299000"/>
    <n v="9222000"/>
    <n v="9222000"/>
    <m/>
    <m/>
    <n v="221006000"/>
    <n v="9993000"/>
    <n v="9993000"/>
    <n v="558775000"/>
    <n v="558552000"/>
    <n v="5000"/>
    <m/>
    <m/>
    <n v="64000"/>
    <m/>
    <n v="10000"/>
    <n v="10000"/>
    <n v="10000"/>
    <n v="10000"/>
    <m/>
    <n v="48872000"/>
    <n v="11310000"/>
    <n v="11310000"/>
    <n v="21353000"/>
    <m/>
    <n v="312000"/>
    <m/>
    <m/>
    <m/>
    <m/>
    <n v="298536000"/>
    <n v="13702000"/>
    <n v="13702000"/>
    <n v="537476000"/>
    <n v="813193000"/>
    <n v="410640000"/>
    <n v="373997000"/>
    <m/>
    <m/>
    <m/>
    <n v="373837000"/>
    <n v="401691000"/>
    <m/>
    <m/>
    <m/>
    <n v="416000"/>
    <n v="410000"/>
    <m/>
    <m/>
    <m/>
    <n v="27391000"/>
    <n v="1608000"/>
    <m/>
    <m/>
    <m/>
    <n v="182000"/>
    <n v="72000"/>
    <m/>
    <m/>
    <m/>
    <n v="2164000"/>
    <n v="7922000"/>
    <m/>
    <m/>
    <n v="335000"/>
    <n v="6908000"/>
    <n v="-37562000"/>
    <m/>
    <m/>
    <n v="-335000"/>
  </r>
  <r>
    <x v="168"/>
    <n v="32"/>
    <x v="75"/>
    <n v="589997000"/>
    <n v="494802000"/>
    <n v="422323000"/>
    <n v="387692000"/>
    <n v="10615000"/>
    <n v="1673508000"/>
    <n v="1963695000"/>
    <n v="245363000"/>
    <n v="159076000"/>
    <n v="7669000"/>
    <n v="3724817000"/>
    <n v="3570973000"/>
    <n v="828243000"/>
    <n v="269907000"/>
    <n v="10320000"/>
    <n v="985693000"/>
    <n v="212800000"/>
    <n v="27516000"/>
    <n v="15304000"/>
    <n v="1077222000"/>
    <n v="89000"/>
    <n v="89000"/>
    <n v="89000"/>
    <n v="89000"/>
    <n v="89000"/>
    <n v="54565000"/>
    <n v="-329752000"/>
    <n v="-5050335000"/>
    <n v="-6091493000"/>
    <n v="-5369159000"/>
    <n v="1825794000"/>
    <n v="1798475000"/>
    <n v="7908589000"/>
    <n v="8016737000"/>
    <n v="6871908000"/>
    <n v="1347623000"/>
    <n v="1317181000"/>
    <n v="1036971000"/>
    <n v="997694000"/>
    <n v="556008000"/>
    <n v="6781526000"/>
    <n v="5038130000"/>
    <n v="2423842000"/>
    <n v="792282000"/>
    <n v="287543000"/>
    <n v="5122392000"/>
    <n v="4884794000"/>
    <n v="2373095000"/>
    <n v="1144419000"/>
    <n v="408691000"/>
    <n v="208641000"/>
    <n v="183925000"/>
    <n v="79464000"/>
    <n v="43000"/>
    <m/>
    <n v="446465000"/>
    <n v="474491000"/>
    <n v="300405000"/>
    <n v="258703000"/>
    <n v="129521000"/>
    <n v="510310000"/>
    <n v="307599000"/>
    <n v="223599000"/>
    <n v="441429000"/>
    <n v="5425388000"/>
    <n v="1235372000"/>
    <n v="388839000"/>
    <n v="4922171000"/>
    <n v="1085817000"/>
    <n v="4480512000"/>
    <n v="-286338000"/>
    <n v="-384316000"/>
    <n v="-4047547000"/>
    <n v="-1041164000"/>
    <n v="563013000"/>
  </r>
  <r>
    <x v="169"/>
    <n v="12"/>
    <x v="76"/>
    <n v="2636000"/>
    <n v="1455000"/>
    <n v="2550000"/>
    <n v="2550000"/>
    <n v="2350000"/>
    <n v="10717000"/>
    <n v="6491000"/>
    <n v="11893000"/>
    <n v="11893000"/>
    <n v="11893000"/>
    <n v="7496000"/>
    <n v="14884000"/>
    <n v="14573000"/>
    <n v="13694000"/>
    <n v="13694000"/>
    <n v="306000"/>
    <n v="3670000"/>
    <n v="214000"/>
    <n v="4000"/>
    <n v="4000"/>
    <n v="10000"/>
    <n v="10000"/>
    <n v="10000"/>
    <n v="10000"/>
    <n v="10000"/>
    <n v="-20441000"/>
    <n v="-25339000"/>
    <n v="-22951000"/>
    <n v="-23017000"/>
    <n v="-23602000"/>
    <m/>
    <m/>
    <n v="150000"/>
    <n v="150000"/>
    <n v="150000"/>
    <n v="22474000"/>
    <n v="27861000"/>
    <n v="19876000"/>
    <n v="18852000"/>
    <n v="19237000"/>
    <n v="63111000"/>
    <n v="85212000"/>
    <n v="64795000"/>
    <m/>
    <m/>
    <n v="53122000"/>
    <n v="72261000"/>
    <n v="52381000"/>
    <m/>
    <m/>
    <m/>
    <m/>
    <n v="4957000"/>
    <m/>
    <m/>
    <n v="11962000"/>
    <n v="14013000"/>
    <n v="4417000"/>
    <m/>
    <m/>
    <n v="2208000"/>
    <m/>
    <n v="1049000"/>
    <m/>
    <m/>
    <n v="698000"/>
    <n v="3602000"/>
    <n v="1120000"/>
    <n v="67000"/>
    <n v="585000"/>
    <n v="-464000"/>
    <n v="-4899000"/>
    <n v="2397000"/>
    <n v="-67000"/>
    <n v="-585000"/>
  </r>
  <r>
    <x v="170"/>
    <n v="22"/>
    <x v="77"/>
    <n v="61711000"/>
    <m/>
    <m/>
    <m/>
    <m/>
    <m/>
    <n v="74820000"/>
    <n v="20489000"/>
    <n v="61311000"/>
    <m/>
    <n v="422401000"/>
    <n v="467823000"/>
    <n v="152057000"/>
    <n v="709751000"/>
    <m/>
    <m/>
    <n v="19295000"/>
    <n v="17229000"/>
    <n v="2563000"/>
    <n v="392000"/>
    <n v="1000000"/>
    <n v="1000000"/>
    <n v="1000000"/>
    <n v="1000000"/>
    <n v="1000000"/>
    <n v="-4890693000"/>
    <n v="-4879651000"/>
    <n v="-5013694000"/>
    <n v="-4953254000"/>
    <n v="-3832947000"/>
    <n v="905267000"/>
    <n v="905267000"/>
    <n v="905267000"/>
    <n v="905267000"/>
    <m/>
    <n v="4462418000"/>
    <n v="4527727000"/>
    <n v="4280995000"/>
    <n v="4816006000"/>
    <n v="3832339000"/>
    <m/>
    <m/>
    <n v="366000"/>
    <m/>
    <m/>
    <m/>
    <m/>
    <n v="293000"/>
    <m/>
    <m/>
    <m/>
    <m/>
    <m/>
    <m/>
    <m/>
    <m/>
    <n v="80000"/>
    <n v="9000"/>
    <n v="351000"/>
    <m/>
    <m/>
    <n v="3146000"/>
    <n v="18017000"/>
    <n v="5941000"/>
    <m/>
    <m/>
    <n v="2963000"/>
    <n v="151292000"/>
    <n v="7677000"/>
    <m/>
    <m/>
    <n v="82000"/>
    <n v="-134043000"/>
    <n v="-2052000"/>
    <m/>
  </r>
  <r>
    <x v="171"/>
    <n v="23"/>
    <x v="77"/>
    <n v="85092000"/>
    <m/>
    <m/>
    <m/>
    <m/>
    <m/>
    <m/>
    <m/>
    <m/>
    <m/>
    <n v="6070000"/>
    <m/>
    <m/>
    <n v="821000"/>
    <n v="590000"/>
    <m/>
    <n v="17687000"/>
    <n v="23682000"/>
    <n v="17943000"/>
    <n v="1830000"/>
    <n v="10000"/>
    <n v="10000"/>
    <n v="10000"/>
    <n v="10000"/>
    <n v="10000"/>
    <n v="-266774000"/>
    <n v="-341287000"/>
    <n v="-353213000"/>
    <n v="-335335000"/>
    <n v="-341560000"/>
    <n v="152487000"/>
    <n v="152487000"/>
    <n v="152487000"/>
    <n v="152487000"/>
    <n v="152487000"/>
    <n v="5051000"/>
    <n v="6088000"/>
    <n v="26429000"/>
    <n v="3632000"/>
    <n v="2336000"/>
    <m/>
    <m/>
    <n v="800000"/>
    <n v="1340000"/>
    <n v="1748000"/>
    <m/>
    <m/>
    <m/>
    <m/>
    <m/>
    <m/>
    <m/>
    <m/>
    <m/>
    <m/>
    <n v="657000"/>
    <n v="741000"/>
    <n v="5281000"/>
    <n v="1150000"/>
    <n v="2103000"/>
    <n v="81000"/>
    <n v="17778000"/>
    <n v="31790000"/>
    <m/>
    <n v="2053000"/>
    <n v="215519000"/>
    <n v="91550000"/>
    <n v="39235000"/>
    <n v="617000"/>
    <n v="7760000"/>
    <n v="-216095000"/>
    <n v="-74513000"/>
    <n v="-11926000"/>
    <n v="-427000"/>
    <n v="-5496000"/>
  </r>
  <r>
    <x v="172"/>
    <n v="23"/>
    <x v="78"/>
    <n v="171460000"/>
    <n v="133699000"/>
    <n v="153009000"/>
    <n v="113517000"/>
    <n v="84912000"/>
    <n v="253338000"/>
    <n v="321752000"/>
    <n v="266434000"/>
    <n v="370302000"/>
    <n v="244419000"/>
    <n v="451618000"/>
    <n v="670895000"/>
    <n v="221296000"/>
    <n v="162334000"/>
    <n v="269190000"/>
    <n v="31361000"/>
    <n v="720000"/>
    <n v="48000"/>
    <n v="15451000"/>
    <n v="12291000"/>
    <n v="50135000"/>
    <n v="50135000"/>
    <n v="50135000"/>
    <n v="50135000"/>
    <n v="50135000"/>
    <n v="-39553000"/>
    <n v="-25956000"/>
    <n v="-645547000"/>
    <n v="-675513000"/>
    <n v="-640973000"/>
    <n v="15629000"/>
    <n v="214814000"/>
    <n v="160190000"/>
    <n v="159508000"/>
    <n v="158989000"/>
    <n v="285837000"/>
    <n v="594866000"/>
    <n v="868366000"/>
    <n v="928311000"/>
    <n v="953651000"/>
    <n v="1562762000"/>
    <n v="1628832000"/>
    <n v="675007000"/>
    <n v="538838000"/>
    <n v="908559000"/>
    <n v="1450564000"/>
    <n v="1483319000"/>
    <n v="952715000"/>
    <n v="458001000"/>
    <n v="801416000"/>
    <n v="177000"/>
    <m/>
    <n v="89000"/>
    <n v="159000"/>
    <n v="34000"/>
    <n v="49005000"/>
    <n v="53580000"/>
    <n v="62313000"/>
    <n v="51201000"/>
    <n v="45438000"/>
    <n v="605251000"/>
    <n v="356243000"/>
    <n v="102790000"/>
    <n v="28504000"/>
    <n v="35918000"/>
    <n v="619090000"/>
    <n v="375791000"/>
    <n v="89949000"/>
    <n v="51287000"/>
    <n v="133443000"/>
    <n v="8165000"/>
    <n v="14191000"/>
    <n v="-321622000"/>
    <n v="-29966000"/>
    <n v="-34975000"/>
  </r>
  <r>
    <x v="173"/>
    <n v="16"/>
    <x v="79"/>
    <m/>
    <m/>
    <m/>
    <n v="10892000"/>
    <n v="1035000"/>
    <m/>
    <m/>
    <m/>
    <m/>
    <m/>
    <m/>
    <m/>
    <m/>
    <n v="888701000"/>
    <n v="9500000"/>
    <m/>
    <m/>
    <m/>
    <m/>
    <n v="7195000"/>
    <m/>
    <m/>
    <m/>
    <m/>
    <m/>
    <m/>
    <m/>
    <m/>
    <m/>
    <m/>
    <m/>
    <m/>
    <m/>
    <m/>
    <m/>
    <m/>
    <m/>
    <m/>
    <n v="275426000"/>
    <n v="335830000"/>
    <m/>
    <m/>
    <m/>
    <n v="12856000"/>
    <n v="2197000"/>
    <m/>
    <m/>
    <m/>
    <n v="15128000"/>
    <n v="16468000"/>
    <m/>
    <m/>
    <m/>
    <m/>
    <m/>
    <m/>
    <m/>
    <m/>
    <m/>
    <m/>
    <m/>
    <m/>
    <m/>
    <m/>
    <n v="10015000"/>
    <m/>
    <m/>
    <m/>
    <n v="2479000"/>
    <n v="938377000"/>
    <m/>
    <m/>
    <m/>
    <n v="-4751000"/>
    <n v="-942633000"/>
  </r>
  <r>
    <x v="174"/>
    <n v="14"/>
    <x v="79"/>
    <n v="12598000"/>
    <n v="7011000"/>
    <n v="6674000"/>
    <n v="5123000"/>
    <m/>
    <n v="4594000"/>
    <n v="4322000"/>
    <n v="6478000"/>
    <n v="6884000"/>
    <m/>
    <n v="31382000"/>
    <n v="9147000"/>
    <n v="22384000"/>
    <n v="23457000"/>
    <n v="11929000"/>
    <n v="481000"/>
    <m/>
    <n v="1583000"/>
    <n v="53000"/>
    <m/>
    <n v="100000"/>
    <n v="100000"/>
    <n v="100000"/>
    <n v="100000"/>
    <n v="100000"/>
    <n v="30299000"/>
    <n v="30535000"/>
    <n v="21479000"/>
    <n v="18080000"/>
    <n v="-650900000"/>
    <m/>
    <m/>
    <m/>
    <n v="2423000"/>
    <m/>
    <n v="19319000"/>
    <n v="6635000"/>
    <n v="11503000"/>
    <n v="12863000"/>
    <m/>
    <n v="70741000"/>
    <n v="27859000"/>
    <n v="16115000"/>
    <n v="30494000"/>
    <m/>
    <n v="52459000"/>
    <n v="16038000"/>
    <n v="1118000"/>
    <n v="12055000"/>
    <m/>
    <m/>
    <m/>
    <n v="660000"/>
    <n v="1300000"/>
    <m/>
    <n v="23188000"/>
    <n v="3835000"/>
    <n v="30837000"/>
    <n v="15407000"/>
    <m/>
    <n v="26373000"/>
    <n v="1921000"/>
    <n v="7675000"/>
    <m/>
    <m/>
    <n v="18336000"/>
    <n v="6288000"/>
    <n v="2668000"/>
    <n v="3466000"/>
    <m/>
    <n v="2284000"/>
    <n v="236000"/>
    <n v="-11494000"/>
    <n v="-1734000"/>
    <m/>
  </r>
  <r>
    <x v="175"/>
    <n v="13"/>
    <x v="80"/>
    <m/>
    <m/>
    <m/>
    <m/>
    <m/>
    <m/>
    <m/>
    <m/>
    <m/>
    <m/>
    <n v="8278000"/>
    <n v="8248000"/>
    <n v="8248000"/>
    <n v="8248000"/>
    <n v="8248000"/>
    <n v="570000"/>
    <m/>
    <m/>
    <m/>
    <m/>
    <n v="10000"/>
    <n v="10000"/>
    <n v="10000"/>
    <n v="10000"/>
    <n v="10000"/>
    <n v="-13997000"/>
    <n v="-14285000"/>
    <n v="-14285000"/>
    <n v="-14285000"/>
    <n v="-14285000"/>
    <m/>
    <m/>
    <m/>
    <m/>
    <m/>
    <n v="25628000"/>
    <n v="25389000"/>
    <n v="25389000"/>
    <n v="25389000"/>
    <n v="25389000"/>
    <m/>
    <m/>
    <m/>
    <m/>
    <m/>
    <m/>
    <m/>
    <m/>
    <m/>
    <m/>
    <n v="360000"/>
    <n v="360000"/>
    <m/>
    <m/>
    <m/>
    <m/>
    <m/>
    <n v="360000"/>
    <m/>
    <m/>
    <m/>
    <m/>
    <m/>
    <m/>
    <m/>
    <n v="986000"/>
    <m/>
    <m/>
    <m/>
    <m/>
    <n v="-1427000"/>
    <n v="-288000"/>
    <n v="-360000"/>
    <m/>
    <m/>
  </r>
  <r>
    <x v="176"/>
    <n v="23"/>
    <x v="8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77"/>
    <n v="15"/>
    <x v="82"/>
    <n v="53882000"/>
    <n v="175642000"/>
    <n v="195577000"/>
    <n v="333466000"/>
    <n v="303046000"/>
    <n v="26524000"/>
    <n v="43961000"/>
    <n v="95507000"/>
    <n v="134907000"/>
    <n v="23307000"/>
    <n v="20654000"/>
    <n v="35584000"/>
    <n v="15237000"/>
    <n v="69272000"/>
    <n v="111728000"/>
    <n v="105000"/>
    <n v="127000"/>
    <n v="292000"/>
    <n v="1524000"/>
    <n v="1000"/>
    <n v="10000"/>
    <n v="10000"/>
    <n v="10000"/>
    <n v="10000"/>
    <n v="10000"/>
    <n v="8353000"/>
    <n v="10913000"/>
    <n v="21913000"/>
    <n v="24381000"/>
    <n v="-145222000"/>
    <n v="12707000"/>
    <n v="140343000"/>
    <n v="1158000"/>
    <n v="7702000"/>
    <n v="12747000"/>
    <n v="74124000"/>
    <n v="97869000"/>
    <n v="139388000"/>
    <n v="209782000"/>
    <n v="302264000"/>
    <n v="98235000"/>
    <n v="118347000"/>
    <n v="225414000"/>
    <n v="204459000"/>
    <n v="30181000"/>
    <n v="83284000"/>
    <n v="91221000"/>
    <n v="183550000"/>
    <n v="173359000"/>
    <n v="51401000"/>
    <n v="4272000"/>
    <m/>
    <m/>
    <m/>
    <m/>
    <n v="6671000"/>
    <n v="15874000"/>
    <n v="13592000"/>
    <n v="9114000"/>
    <n v="13806000"/>
    <n v="1591000"/>
    <n v="683000"/>
    <n v="1749000"/>
    <n v="5537000"/>
    <n v="53915000"/>
    <n v="1090000"/>
    <n v="2491000"/>
    <n v="1737000"/>
    <n v="7056000"/>
    <n v="178810000"/>
    <n v="4410000"/>
    <n v="2547000"/>
    <n v="11001000"/>
    <n v="2467000"/>
    <n v="-169604000"/>
  </r>
  <r>
    <x v="178"/>
    <n v="19"/>
    <x v="83"/>
    <n v="49759000"/>
    <m/>
    <m/>
    <m/>
    <m/>
    <n v="984000"/>
    <m/>
    <m/>
    <m/>
    <m/>
    <n v="16961000"/>
    <m/>
    <m/>
    <m/>
    <m/>
    <m/>
    <m/>
    <m/>
    <m/>
    <m/>
    <n v="10000"/>
    <m/>
    <m/>
    <m/>
    <m/>
    <n v="56586000"/>
    <m/>
    <m/>
    <m/>
    <m/>
    <n v="2813000"/>
    <m/>
    <m/>
    <m/>
    <m/>
    <n v="8295000"/>
    <m/>
    <m/>
    <m/>
    <m/>
    <n v="3834000"/>
    <m/>
    <m/>
    <m/>
    <m/>
    <m/>
    <m/>
    <m/>
    <m/>
    <m/>
    <m/>
    <m/>
    <m/>
    <m/>
    <m/>
    <n v="4405000"/>
    <m/>
    <m/>
    <m/>
    <m/>
    <n v="690000"/>
    <m/>
    <m/>
    <m/>
    <m/>
    <m/>
    <m/>
    <m/>
    <m/>
    <m/>
    <n v="95000"/>
    <m/>
    <m/>
    <m/>
    <m/>
  </r>
  <r>
    <x v="179"/>
    <n v="32"/>
    <x v="84"/>
    <n v="50332000"/>
    <n v="21264000"/>
    <n v="8123000"/>
    <m/>
    <m/>
    <n v="56451000"/>
    <n v="39145000"/>
    <n v="117000"/>
    <m/>
    <m/>
    <n v="177539000"/>
    <n v="182346000"/>
    <n v="188389000"/>
    <m/>
    <m/>
    <m/>
    <n v="5571000"/>
    <n v="2784000"/>
    <m/>
    <m/>
    <n v="2000000"/>
    <n v="2000000"/>
    <m/>
    <m/>
    <m/>
    <n v="-2589000"/>
    <n v="-24177000"/>
    <m/>
    <m/>
    <m/>
    <m/>
    <m/>
    <m/>
    <m/>
    <m/>
    <n v="151357000"/>
    <n v="176993000"/>
    <n v="180031000"/>
    <m/>
    <m/>
    <n v="53701000"/>
    <n v="4554000"/>
    <m/>
    <m/>
    <m/>
    <n v="57483000"/>
    <n v="14610000"/>
    <n v="4351000"/>
    <m/>
    <m/>
    <m/>
    <m/>
    <m/>
    <m/>
    <m/>
    <n v="5913000"/>
    <n v="16653000"/>
    <m/>
    <m/>
    <m/>
    <n v="67955000"/>
    <n v="24768000"/>
    <n v="67600000"/>
    <m/>
    <m/>
    <n v="60231000"/>
    <n v="29095000"/>
    <n v="92202000"/>
    <m/>
    <m/>
    <n v="-2589000"/>
    <n v="-21588000"/>
    <n v="-35419000"/>
    <m/>
    <m/>
  </r>
  <r>
    <x v="180"/>
    <n v="17"/>
    <x v="84"/>
    <n v="20000"/>
    <m/>
    <n v="3624000"/>
    <m/>
    <m/>
    <n v="1070000"/>
    <n v="936000"/>
    <n v="2524000"/>
    <n v="5078000"/>
    <n v="5078000"/>
    <n v="176000"/>
    <n v="676000"/>
    <n v="9800000"/>
    <n v="16715000"/>
    <n v="16715000"/>
    <n v="17000"/>
    <n v="41000"/>
    <n v="833000"/>
    <n v="6000"/>
    <m/>
    <n v="80000"/>
    <m/>
    <n v="30000"/>
    <n v="30000"/>
    <n v="30000"/>
    <n v="721000"/>
    <m/>
    <n v="1092000"/>
    <n v="-1991000"/>
    <n v="15209000"/>
    <n v="20000"/>
    <m/>
    <n v="986000"/>
    <m/>
    <m/>
    <n v="562000"/>
    <n v="740000"/>
    <n v="14673000"/>
    <n v="19192000"/>
    <n v="6554000"/>
    <n v="20224000"/>
    <n v="8992000"/>
    <n v="14372000"/>
    <n v="9246000"/>
    <m/>
    <n v="17254000"/>
    <n v="8753000"/>
    <n v="12516000"/>
    <n v="8408000"/>
    <m/>
    <m/>
    <m/>
    <m/>
    <m/>
    <m/>
    <n v="2639000"/>
    <m/>
    <n v="1619000"/>
    <n v="1060000"/>
    <m/>
    <m/>
    <m/>
    <n v="3000"/>
    <n v="309000"/>
    <m/>
    <n v="22000"/>
    <n v="35000"/>
    <n v="41000"/>
    <n v="552000"/>
    <m/>
    <n v="247000"/>
    <n v="162000"/>
    <n v="159000"/>
    <n v="-485000"/>
    <m/>
  </r>
  <r>
    <x v="181"/>
    <n v="20"/>
    <x v="85"/>
    <n v="162460000"/>
    <n v="69396000"/>
    <n v="20029000"/>
    <m/>
    <m/>
    <n v="8850000"/>
    <n v="13568000"/>
    <n v="8330000"/>
    <m/>
    <m/>
    <n v="98715000"/>
    <n v="18075000"/>
    <n v="25024000"/>
    <n v="20018000"/>
    <n v="15350000"/>
    <n v="7248000"/>
    <n v="70704000"/>
    <n v="8085000"/>
    <m/>
    <m/>
    <n v="10000"/>
    <n v="10000"/>
    <n v="10000"/>
    <n v="10000"/>
    <n v="10000"/>
    <n v="-169276000"/>
    <n v="-211216000"/>
    <n v="-188407000"/>
    <n v="-189302000"/>
    <n v="-190990000"/>
    <n v="1007000"/>
    <m/>
    <m/>
    <m/>
    <m/>
    <n v="449048000"/>
    <n v="383069000"/>
    <n v="249874000"/>
    <n v="209310000"/>
    <n v="206330000"/>
    <n v="96367000"/>
    <n v="73590000"/>
    <n v="49400000"/>
    <n v="17170000"/>
    <m/>
    <n v="168350000"/>
    <n v="97193000"/>
    <n v="68463000"/>
    <n v="3092000"/>
    <m/>
    <m/>
    <m/>
    <m/>
    <m/>
    <m/>
    <n v="18042000"/>
    <n v="14859000"/>
    <n v="11161000"/>
    <n v="6683000"/>
    <n v="801000"/>
    <n v="63244000"/>
    <n v="22566000"/>
    <n v="92144000"/>
    <n v="1206000"/>
    <n v="15798000"/>
    <n v="49946000"/>
    <n v="26035000"/>
    <n v="39056000"/>
    <n v="9496000"/>
    <n v="16685000"/>
    <n v="-76613000"/>
    <n v="-41940000"/>
    <n v="22809000"/>
    <n v="-895000"/>
    <n v="-1688000"/>
  </r>
  <r>
    <x v="182"/>
    <n v="11"/>
    <x v="85"/>
    <n v="2569000"/>
    <n v="20092000"/>
    <n v="81416000"/>
    <n v="122222000"/>
    <n v="117775000"/>
    <n v="2205000"/>
    <n v="2446000"/>
    <n v="1865000"/>
    <n v="1865000"/>
    <n v="484000"/>
    <n v="4850000"/>
    <n v="20953000"/>
    <n v="9544000"/>
    <n v="3894000"/>
    <n v="27349000"/>
    <m/>
    <m/>
    <n v="38000"/>
    <n v="99000"/>
    <n v="6170000"/>
    <n v="25000"/>
    <n v="25000"/>
    <n v="25000"/>
    <n v="25000"/>
    <n v="25000"/>
    <n v="-14972000"/>
    <n v="-1153000"/>
    <n v="-823000"/>
    <n v="-13535000"/>
    <n v="-13535000"/>
    <m/>
    <m/>
    <m/>
    <m/>
    <m/>
    <n v="61243000"/>
    <n v="81291000"/>
    <n v="127549000"/>
    <n v="176288000"/>
    <n v="145210000"/>
    <n v="16143000"/>
    <n v="94852000"/>
    <n v="81051000"/>
    <n v="34724000"/>
    <n v="80325000"/>
    <n v="25859000"/>
    <n v="97347000"/>
    <n v="81849000"/>
    <n v="48259000"/>
    <n v="81673000"/>
    <m/>
    <m/>
    <m/>
    <m/>
    <m/>
    <n v="5125000"/>
    <m/>
    <m/>
    <m/>
    <m/>
    <n v="9000"/>
    <n v="1902000"/>
    <m/>
    <m/>
    <n v="42230000"/>
    <n v="140000"/>
    <n v="560000"/>
    <m/>
    <m/>
    <n v="40882000"/>
    <n v="-14972000"/>
    <n v="-1153000"/>
    <n v="-798000"/>
    <n v="-13535000"/>
    <m/>
  </r>
  <r>
    <x v="183"/>
    <n v="11"/>
    <x v="85"/>
    <n v="27794000"/>
    <n v="27794000"/>
    <n v="28844000"/>
    <m/>
    <m/>
    <m/>
    <m/>
    <m/>
    <m/>
    <m/>
    <n v="33210000"/>
    <n v="33210000"/>
    <n v="35636000"/>
    <m/>
    <m/>
    <n v="333000"/>
    <n v="2000"/>
    <n v="1000"/>
    <m/>
    <m/>
    <n v="31413000"/>
    <n v="31413000"/>
    <n v="31413000"/>
    <m/>
    <m/>
    <n v="-8177000"/>
    <n v="-2152000"/>
    <n v="-478000"/>
    <m/>
    <m/>
    <m/>
    <m/>
    <m/>
    <m/>
    <m/>
    <n v="22861000"/>
    <n v="16505000"/>
    <n v="18306000"/>
    <m/>
    <m/>
    <n v="12403000"/>
    <n v="18263000"/>
    <n v="16711000"/>
    <m/>
    <m/>
    <n v="18450000"/>
    <n v="18393000"/>
    <n v="17189000"/>
    <m/>
    <m/>
    <m/>
    <m/>
    <m/>
    <m/>
    <m/>
    <n v="2130000"/>
    <n v="1950000"/>
    <m/>
    <m/>
    <m/>
    <m/>
    <n v="178000"/>
    <m/>
    <m/>
    <m/>
    <m/>
    <n v="250000"/>
    <m/>
    <m/>
    <m/>
    <n v="-8177000"/>
    <n v="-2152000"/>
    <n v="-478000"/>
    <m/>
    <m/>
  </r>
  <r>
    <x v="184"/>
    <n v="11"/>
    <x v="85"/>
    <n v="4157000"/>
    <n v="4103000"/>
    <n v="24554000"/>
    <n v="6212000"/>
    <m/>
    <n v="10694000"/>
    <n v="15496000"/>
    <n v="19720000"/>
    <n v="20620000"/>
    <m/>
    <n v="5240000"/>
    <n v="6599000"/>
    <n v="6483000"/>
    <n v="7286000"/>
    <m/>
    <n v="4000"/>
    <n v="182000"/>
    <n v="468000"/>
    <n v="60000"/>
    <m/>
    <n v="10000"/>
    <n v="10000"/>
    <n v="18646000"/>
    <n v="10000"/>
    <m/>
    <n v="-3411000"/>
    <n v="-3045000"/>
    <n v="-2891000"/>
    <n v="-12812000"/>
    <m/>
    <m/>
    <m/>
    <m/>
    <n v="13000"/>
    <m/>
    <n v="20115000"/>
    <n v="30472000"/>
    <n v="38656000"/>
    <n v="50598000"/>
    <m/>
    <n v="12651000"/>
    <n v="20804000"/>
    <n v="21528000"/>
    <n v="14834000"/>
    <m/>
    <n v="9321000"/>
    <n v="16259000"/>
    <n v="18180000"/>
    <n v="20678000"/>
    <m/>
    <m/>
    <m/>
    <m/>
    <m/>
    <m/>
    <n v="3609000"/>
    <n v="2870000"/>
    <n v="2924000"/>
    <n v="3196000"/>
    <m/>
    <n v="415000"/>
    <n v="323000"/>
    <n v="1542000"/>
    <n v="934000"/>
    <m/>
    <n v="1369000"/>
    <n v="1494000"/>
    <n v="1874000"/>
    <n v="1876000"/>
    <m/>
    <n v="-1281000"/>
    <n v="366000"/>
    <n v="154000"/>
    <n v="-9921000"/>
    <m/>
  </r>
  <r>
    <x v="185"/>
    <n v="11"/>
    <x v="86"/>
    <n v="14281000"/>
    <n v="12657000"/>
    <n v="10022000"/>
    <n v="8160000"/>
    <m/>
    <n v="1267000"/>
    <n v="1254000"/>
    <n v="1126000"/>
    <n v="1126000"/>
    <m/>
    <n v="285240000"/>
    <n v="225493000"/>
    <n v="212307000"/>
    <n v="192186000"/>
    <n v="3873000"/>
    <n v="11684000"/>
    <n v="1530000"/>
    <n v="3158000"/>
    <n v="13487000"/>
    <n v="26435000"/>
    <n v="2000000"/>
    <n v="2000000"/>
    <n v="2000000"/>
    <n v="2000000"/>
    <n v="2000000"/>
    <n v="-167649000"/>
    <n v="-129551000"/>
    <n v="-135471000"/>
    <n v="-135471000"/>
    <n v="-350096000"/>
    <m/>
    <m/>
    <m/>
    <m/>
    <m/>
    <n v="535028000"/>
    <n v="421091000"/>
    <n v="412130000"/>
    <n v="400476000"/>
    <n v="400476000"/>
    <n v="447179000"/>
    <n v="144530000"/>
    <n v="12742000"/>
    <m/>
    <n v="7394000"/>
    <n v="395903000"/>
    <n v="90382000"/>
    <n v="17158000"/>
    <m/>
    <n v="214219000"/>
    <m/>
    <m/>
    <m/>
    <m/>
    <m/>
    <n v="44333000"/>
    <n v="29002000"/>
    <n v="1661000"/>
    <m/>
    <m/>
    <n v="27910000"/>
    <n v="39902000"/>
    <n v="423000"/>
    <m/>
    <n v="8000"/>
    <n v="34972000"/>
    <n v="15346000"/>
    <n v="266000"/>
    <m/>
    <n v="7808000"/>
    <n v="-904000"/>
    <n v="38098000"/>
    <n v="-5920000"/>
    <m/>
    <n v="-214625000"/>
  </r>
  <r>
    <x v="186"/>
    <n v="23"/>
    <x v="86"/>
    <m/>
    <m/>
    <m/>
    <m/>
    <m/>
    <m/>
    <m/>
    <m/>
    <m/>
    <m/>
    <n v="160753000"/>
    <n v="84729000"/>
    <n v="54723000"/>
    <n v="45031000"/>
    <n v="45031000"/>
    <n v="7031000"/>
    <n v="12200000"/>
    <m/>
    <m/>
    <m/>
    <n v="103932000"/>
    <n v="103932000"/>
    <n v="103932000"/>
    <n v="103932000"/>
    <n v="103932000"/>
    <n v="-24240000"/>
    <n v="-147003000"/>
    <n v="-185329000"/>
    <n v="-195217000"/>
    <n v="-195329000"/>
    <n v="41056000"/>
    <n v="41056000"/>
    <n v="41056000"/>
    <n v="41056000"/>
    <n v="41056000"/>
    <n v="99971000"/>
    <n v="103277000"/>
    <n v="99397000"/>
    <n v="99593000"/>
    <n v="99705000"/>
    <n v="6766000"/>
    <m/>
    <m/>
    <m/>
    <m/>
    <m/>
    <m/>
    <m/>
    <m/>
    <m/>
    <m/>
    <m/>
    <m/>
    <m/>
    <m/>
    <n v="5217000"/>
    <n v="1843000"/>
    <n v="1567000"/>
    <n v="1565000"/>
    <n v="1568000"/>
    <n v="86153000"/>
    <n v="4330000"/>
    <n v="2496000"/>
    <n v="1084000"/>
    <m/>
    <n v="67883000"/>
    <n v="106795000"/>
    <n v="1257000"/>
    <n v="1243000"/>
    <n v="1210000"/>
    <n v="19819000"/>
    <n v="-114830000"/>
    <n v="-328000"/>
    <n v="-1724000"/>
    <n v="-2778000"/>
  </r>
  <r>
    <x v="187"/>
    <n v="14"/>
    <x v="8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88"/>
    <n v="20"/>
    <x v="88"/>
    <m/>
    <n v="1000"/>
    <n v="1000"/>
    <n v="1000"/>
    <n v="1000"/>
    <m/>
    <m/>
    <m/>
    <m/>
    <m/>
    <n v="4850000"/>
    <n v="3715000"/>
    <n v="3635000"/>
    <n v="3675000"/>
    <n v="3215000"/>
    <n v="288000"/>
    <n v="445000"/>
    <n v="907000"/>
    <n v="225000"/>
    <n v="1000"/>
    <m/>
    <m/>
    <m/>
    <m/>
    <m/>
    <m/>
    <m/>
    <m/>
    <m/>
    <m/>
    <m/>
    <m/>
    <m/>
    <m/>
    <n v="38000"/>
    <n v="4424000"/>
    <n v="4231000"/>
    <n v="4610000"/>
    <n v="4217000"/>
    <n v="4207000"/>
    <n v="1013000"/>
    <n v="43000"/>
    <n v="5836000"/>
    <m/>
    <m/>
    <n v="862000"/>
    <n v="811000"/>
    <n v="5546000"/>
    <n v="223000"/>
    <n v="138000"/>
    <m/>
    <m/>
    <m/>
    <m/>
    <m/>
    <m/>
    <m/>
    <m/>
    <m/>
    <m/>
    <n v="2000"/>
    <n v="5000"/>
    <n v="7000"/>
    <n v="25000"/>
    <m/>
    <n v="255000"/>
    <n v="19000"/>
    <n v="296000"/>
    <n v="51000"/>
    <n v="12000"/>
    <n v="-121000"/>
    <n v="-783000"/>
    <n v="1000"/>
    <n v="-249000"/>
    <n v="-150000"/>
  </r>
  <r>
    <x v="189"/>
    <n v="14"/>
    <x v="89"/>
    <n v="769000"/>
    <n v="769000"/>
    <n v="769000"/>
    <m/>
    <m/>
    <m/>
    <m/>
    <m/>
    <m/>
    <m/>
    <n v="21377000"/>
    <n v="21377000"/>
    <n v="1489000"/>
    <n v="1489000"/>
    <n v="1489000"/>
    <m/>
    <m/>
    <m/>
    <m/>
    <m/>
    <n v="10000"/>
    <n v="10000"/>
    <n v="10000"/>
    <n v="10000"/>
    <n v="10000"/>
    <n v="-30424000"/>
    <n v="-30424000"/>
    <n v="-42835000"/>
    <n v="-42835000"/>
    <n v="-42835000"/>
    <n v="346000"/>
    <n v="346000"/>
    <m/>
    <m/>
    <m/>
    <n v="52029000"/>
    <n v="52029000"/>
    <n v="44898000"/>
    <n v="44314000"/>
    <n v="44314000"/>
    <n v="86481000"/>
    <m/>
    <m/>
    <m/>
    <m/>
    <n v="93453000"/>
    <m/>
    <m/>
    <m/>
    <m/>
    <m/>
    <m/>
    <m/>
    <m/>
    <m/>
    <n v="12684000"/>
    <m/>
    <m/>
    <m/>
    <m/>
    <n v="7971000"/>
    <m/>
    <m/>
    <m/>
    <m/>
    <n v="47483000"/>
    <m/>
    <m/>
    <m/>
    <m/>
    <n v="-59240000"/>
    <m/>
    <m/>
    <m/>
    <m/>
  </r>
  <r>
    <x v="190"/>
    <n v="28"/>
    <x v="89"/>
    <m/>
    <m/>
    <m/>
    <m/>
    <m/>
    <m/>
    <m/>
    <m/>
    <m/>
    <m/>
    <n v="22181000"/>
    <n v="19802000"/>
    <m/>
    <m/>
    <m/>
    <m/>
    <n v="6000"/>
    <m/>
    <m/>
    <m/>
    <n v="17508000"/>
    <n v="17508000"/>
    <m/>
    <m/>
    <m/>
    <n v="-19424000"/>
    <n v="-20965000"/>
    <m/>
    <m/>
    <m/>
    <m/>
    <m/>
    <m/>
    <m/>
    <m/>
    <n v="8609000"/>
    <n v="7841000"/>
    <m/>
    <m/>
    <m/>
    <n v="213000"/>
    <m/>
    <m/>
    <m/>
    <m/>
    <n v="630000"/>
    <m/>
    <m/>
    <m/>
    <m/>
    <m/>
    <m/>
    <m/>
    <m/>
    <m/>
    <m/>
    <n v="559000"/>
    <m/>
    <m/>
    <m/>
    <n v="41000"/>
    <n v="1291000"/>
    <m/>
    <m/>
    <m/>
    <n v="5097000"/>
    <n v="2502000"/>
    <m/>
    <m/>
    <m/>
    <n v="-5210000"/>
    <n v="-1541000"/>
    <m/>
    <m/>
    <m/>
  </r>
  <r>
    <x v="191"/>
    <n v="6"/>
    <x v="90"/>
    <n v="693000"/>
    <n v="296000"/>
    <m/>
    <m/>
    <m/>
    <n v="327000"/>
    <n v="362000"/>
    <n v="122000"/>
    <n v="122000"/>
    <n v="12000"/>
    <n v="7914000"/>
    <n v="10762000"/>
    <n v="7437000"/>
    <n v="7919000"/>
    <n v="4165000"/>
    <n v="693000"/>
    <n v="315000"/>
    <n v="1649000"/>
    <n v="434000"/>
    <n v="48000"/>
    <n v="10000"/>
    <n v="10000"/>
    <n v="10000"/>
    <n v="10000"/>
    <n v="10000"/>
    <n v="-2958000"/>
    <n v="-7802000"/>
    <n v="-8074000"/>
    <n v="-10126000"/>
    <n v="-14376000"/>
    <m/>
    <m/>
    <m/>
    <m/>
    <m/>
    <n v="12467000"/>
    <n v="19187000"/>
    <n v="17272000"/>
    <n v="18591000"/>
    <n v="18591000"/>
    <n v="41701000"/>
    <n v="21913000"/>
    <n v="6326000"/>
    <m/>
    <m/>
    <n v="43102000"/>
    <n v="26708000"/>
    <n v="6481000"/>
    <m/>
    <m/>
    <m/>
    <m/>
    <m/>
    <m/>
    <m/>
    <m/>
    <n v="438000"/>
    <n v="524000"/>
    <n v="533000"/>
    <m/>
    <n v="335000"/>
    <n v="369000"/>
    <n v="482000"/>
    <n v="507000"/>
    <n v="2777000"/>
    <n v="137000"/>
    <n v="195000"/>
    <n v="75000"/>
    <m/>
    <n v="7027000"/>
    <n v="-962000"/>
    <n v="-4844000"/>
    <n v="-272000"/>
    <n v="-26000"/>
    <n v="-4250000"/>
  </r>
  <r>
    <x v="192"/>
    <n v="6"/>
    <x v="9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93"/>
    <n v="30"/>
    <x v="91"/>
    <n v="104525000"/>
    <n v="77248000"/>
    <n v="67425000"/>
    <n v="67813000"/>
    <n v="60278000"/>
    <n v="116271000"/>
    <n v="77831000"/>
    <n v="64182000"/>
    <n v="50545000"/>
    <n v="32418000"/>
    <n v="5849000"/>
    <n v="6299000"/>
    <n v="9547000"/>
    <n v="7711000"/>
    <n v="7820000"/>
    <n v="10000"/>
    <n v="2980000"/>
    <n v="135000"/>
    <n v="163000"/>
    <n v="66000"/>
    <n v="10000"/>
    <n v="10000"/>
    <n v="10000"/>
    <n v="10000"/>
    <n v="10000"/>
    <n v="84551000"/>
    <n v="32797000"/>
    <n v="10823000"/>
    <n v="-8903000"/>
    <n v="-54390000"/>
    <n v="2048000"/>
    <n v="2075000"/>
    <n v="2075000"/>
    <n v="2075000"/>
    <n v="2075000"/>
    <n v="91483000"/>
    <n v="81343000"/>
    <n v="79611000"/>
    <n v="84280000"/>
    <n v="104117000"/>
    <n v="79364000"/>
    <n v="57568000"/>
    <n v="48791000"/>
    <n v="60449000"/>
    <n v="53594000"/>
    <n v="134823000"/>
    <n v="105382000"/>
    <n v="76646000"/>
    <n v="72171000"/>
    <n v="91580000"/>
    <m/>
    <m/>
    <m/>
    <m/>
    <m/>
    <m/>
    <m/>
    <m/>
    <m/>
    <m/>
    <n v="12010000"/>
    <n v="26833000"/>
    <n v="22473000"/>
    <n v="3167000"/>
    <n v="4420000"/>
    <n v="11227000"/>
    <n v="30746000"/>
    <n v="15893000"/>
    <n v="11171000"/>
    <n v="11921000"/>
    <n v="-54771000"/>
    <n v="-51754000"/>
    <n v="-21275000"/>
    <n v="-19726000"/>
    <n v="-45487000"/>
  </r>
  <r>
    <x v="194"/>
    <n v="19"/>
    <x v="91"/>
    <n v="42270000"/>
    <n v="36546000"/>
    <n v="81670000"/>
    <n v="39714000"/>
    <n v="38376000"/>
    <n v="47024000"/>
    <n v="22054000"/>
    <n v="940000"/>
    <n v="3624000"/>
    <n v="3624000"/>
    <n v="138488000"/>
    <n v="142099000"/>
    <m/>
    <n v="115116000"/>
    <n v="115116000"/>
    <n v="4000"/>
    <n v="517000"/>
    <n v="841000"/>
    <n v="87000"/>
    <m/>
    <n v="18460000"/>
    <n v="18460000"/>
    <n v="18460000"/>
    <m/>
    <m/>
    <n v="87764000"/>
    <n v="65475000"/>
    <n v="-251841000"/>
    <m/>
    <m/>
    <n v="33765000"/>
    <n v="34274000"/>
    <m/>
    <m/>
    <m/>
    <n v="111199000"/>
    <n v="106295000"/>
    <n v="316749000"/>
    <n v="316749000"/>
    <n v="315206000"/>
    <n v="58846000"/>
    <n v="66305000"/>
    <n v="28485000"/>
    <n v="1200000"/>
    <n v="1338000"/>
    <n v="62781000"/>
    <n v="79636000"/>
    <n v="20653000"/>
    <m/>
    <m/>
    <m/>
    <m/>
    <m/>
    <m/>
    <m/>
    <m/>
    <n v="4780000"/>
    <n v="9134000"/>
    <m/>
    <m/>
    <n v="7879000"/>
    <n v="8912000"/>
    <n v="2014000"/>
    <m/>
    <m/>
    <n v="10132000"/>
    <n v="11753000"/>
    <n v="2316000"/>
    <n v="1844000"/>
    <n v="1190000"/>
    <n v="-7047000"/>
    <n v="-22278000"/>
    <n v="-1687000"/>
    <n v="-644000"/>
    <n v="118000"/>
  </r>
  <r>
    <x v="195"/>
    <n v="33"/>
    <x v="91"/>
    <n v="165453000"/>
    <n v="160754000"/>
    <n v="160754000"/>
    <n v="160754000"/>
    <n v="47102000"/>
    <n v="54677000"/>
    <n v="49256000"/>
    <n v="48761000"/>
    <n v="36728000"/>
    <n v="36728000"/>
    <n v="4780000"/>
    <n v="1324000"/>
    <n v="1324000"/>
    <n v="1324000"/>
    <n v="1324000"/>
    <n v="285000"/>
    <n v="823000"/>
    <n v="1429000"/>
    <n v="9966000"/>
    <n v="18223000"/>
    <n v="57778000"/>
    <n v="57778000"/>
    <n v="57778000"/>
    <n v="57778000"/>
    <n v="57778000"/>
    <n v="-101075000"/>
    <n v="-178448000"/>
    <n v="-178448000"/>
    <n v="-178448000"/>
    <n v="-185892000"/>
    <n v="89750000"/>
    <n v="95619000"/>
    <n v="95619000"/>
    <n v="95619000"/>
    <n v="95619000"/>
    <n v="55694000"/>
    <n v="114829000"/>
    <n v="114829000"/>
    <n v="111334000"/>
    <n v="111334000"/>
    <n v="68554000"/>
    <n v="81935000"/>
    <n v="29042000"/>
    <n v="13137000"/>
    <m/>
    <n v="83748000"/>
    <n v="97682000"/>
    <n v="37783000"/>
    <n v="10444000"/>
    <m/>
    <m/>
    <m/>
    <n v="1857000"/>
    <m/>
    <m/>
    <m/>
    <n v="8203000"/>
    <m/>
    <n v="1921000"/>
    <m/>
    <n v="6406000"/>
    <n v="7676000"/>
    <m/>
    <m/>
    <m/>
    <n v="910000"/>
    <n v="2643000"/>
    <m/>
    <n v="72000"/>
    <m/>
    <n v="-22649000"/>
    <n v="-20862000"/>
    <n v="-10598000"/>
    <n v="700000"/>
    <m/>
  </r>
  <r>
    <x v="196"/>
    <n v="15"/>
    <x v="92"/>
    <m/>
    <m/>
    <m/>
    <m/>
    <m/>
    <m/>
    <m/>
    <m/>
    <m/>
    <m/>
    <m/>
    <n v="50000"/>
    <n v="3000"/>
    <n v="199000"/>
    <n v="232000"/>
    <n v="1535000"/>
    <n v="784000"/>
    <n v="414000"/>
    <n v="1306000"/>
    <m/>
    <n v="1018000"/>
    <n v="1018000"/>
    <n v="1018000"/>
    <n v="1018000"/>
    <n v="1018000"/>
    <n v="-386000"/>
    <n v="-1094000"/>
    <n v="-1523000"/>
    <n v="-6651000"/>
    <n v="-7054000"/>
    <m/>
    <m/>
    <m/>
    <m/>
    <m/>
    <n v="903000"/>
    <n v="910000"/>
    <n v="922000"/>
    <n v="7138000"/>
    <n v="6268000"/>
    <m/>
    <m/>
    <m/>
    <m/>
    <m/>
    <m/>
    <m/>
    <m/>
    <m/>
    <m/>
    <m/>
    <m/>
    <m/>
    <m/>
    <m/>
    <n v="306000"/>
    <n v="315000"/>
    <n v="42000"/>
    <n v="73000"/>
    <n v="182000"/>
    <n v="3720000"/>
    <m/>
    <m/>
    <n v="3229000"/>
    <n v="196000"/>
    <n v="460000"/>
    <n v="393000"/>
    <n v="383000"/>
    <n v="1447000"/>
    <n v="402000"/>
    <n v="2475000"/>
    <n v="-708000"/>
    <n v="-429000"/>
    <n v="-5128000"/>
    <n v="-403000"/>
  </r>
  <r>
    <x v="197"/>
    <n v="13"/>
    <x v="93"/>
    <n v="22945000"/>
    <n v="16929000"/>
    <n v="14716000"/>
    <n v="15609000"/>
    <n v="14193000"/>
    <n v="13260000"/>
    <n v="13594000"/>
    <n v="11049000"/>
    <n v="67186000"/>
    <n v="47489000"/>
    <n v="8612000"/>
    <n v="44363000"/>
    <n v="78593000"/>
    <n v="143248000"/>
    <n v="190433000"/>
    <n v="336000"/>
    <n v="1360000"/>
    <n v="7601000"/>
    <n v="1076000"/>
    <n v="1351000"/>
    <m/>
    <m/>
    <m/>
    <m/>
    <m/>
    <m/>
    <m/>
    <m/>
    <m/>
    <m/>
    <m/>
    <m/>
    <m/>
    <m/>
    <n v="689000"/>
    <n v="7344000"/>
    <n v="16025000"/>
    <n v="47520000"/>
    <n v="159251000"/>
    <n v="199480000"/>
    <n v="205723000"/>
    <n v="75472000"/>
    <n v="252414000"/>
    <n v="146427000"/>
    <n v="143898000"/>
    <n v="195677000"/>
    <n v="68941000"/>
    <n v="234806000"/>
    <n v="134643000"/>
    <n v="122644000"/>
    <m/>
    <m/>
    <m/>
    <m/>
    <m/>
    <m/>
    <m/>
    <m/>
    <m/>
    <m/>
    <n v="5618000"/>
    <n v="3484000"/>
    <n v="1489000"/>
    <n v="1696000"/>
    <n v="31000"/>
    <n v="8755000"/>
    <n v="6445000"/>
    <n v="14687000"/>
    <n v="11790000"/>
    <n v="19539000"/>
    <n v="5523000"/>
    <n v="2672000"/>
    <n v="3348000"/>
    <n v="474000"/>
    <n v="1397000"/>
  </r>
  <r>
    <x v="198"/>
    <n v="13"/>
    <x v="94"/>
    <n v="35544000"/>
    <m/>
    <m/>
    <m/>
    <m/>
    <n v="569000"/>
    <m/>
    <m/>
    <m/>
    <m/>
    <n v="7337000"/>
    <m/>
    <m/>
    <m/>
    <m/>
    <n v="1000"/>
    <m/>
    <m/>
    <m/>
    <m/>
    <n v="10000"/>
    <m/>
    <m/>
    <m/>
    <m/>
    <n v="97000"/>
    <m/>
    <m/>
    <m/>
    <m/>
    <n v="1000"/>
    <m/>
    <m/>
    <m/>
    <m/>
    <n v="12513000"/>
    <m/>
    <m/>
    <m/>
    <m/>
    <n v="19487000"/>
    <m/>
    <m/>
    <m/>
    <m/>
    <n v="19039000"/>
    <m/>
    <m/>
    <m/>
    <m/>
    <m/>
    <m/>
    <m/>
    <m/>
    <m/>
    <m/>
    <m/>
    <m/>
    <m/>
    <m/>
    <n v="1885000"/>
    <m/>
    <m/>
    <m/>
    <m/>
    <n v="1811000"/>
    <m/>
    <m/>
    <m/>
    <m/>
    <n v="495000"/>
    <m/>
    <m/>
    <m/>
    <m/>
  </r>
  <r>
    <x v="199"/>
    <n v="19"/>
    <x v="95"/>
    <m/>
    <n v="9121000"/>
    <n v="8401000"/>
    <m/>
    <m/>
    <n v="1949000"/>
    <n v="1854000"/>
    <n v="2006000"/>
    <m/>
    <m/>
    <m/>
    <n v="1051000"/>
    <n v="126000"/>
    <m/>
    <m/>
    <n v="115000"/>
    <n v="57000"/>
    <n v="15000"/>
    <m/>
    <m/>
    <n v="10000"/>
    <n v="10000"/>
    <n v="10000"/>
    <m/>
    <m/>
    <n v="10138000"/>
    <n v="11314000"/>
    <n v="11388000"/>
    <m/>
    <m/>
    <n v="1000000"/>
    <n v="1911000"/>
    <n v="3002000"/>
    <m/>
    <m/>
    <n v="768000"/>
    <n v="126000"/>
    <m/>
    <m/>
    <n v="3715000"/>
    <n v="7229000"/>
    <n v="10884000"/>
    <n v="7652000"/>
    <m/>
    <m/>
    <n v="8630000"/>
    <n v="10599000"/>
    <n v="7327000"/>
    <m/>
    <m/>
    <m/>
    <m/>
    <m/>
    <m/>
    <m/>
    <m/>
    <m/>
    <m/>
    <m/>
    <m/>
    <n v="428000"/>
    <n v="1103000"/>
    <n v="288000"/>
    <m/>
    <m/>
    <n v="64000"/>
    <n v="95000"/>
    <n v="452000"/>
    <m/>
    <n v="96000"/>
    <n v="-1109000"/>
    <n v="1176000"/>
    <n v="74000"/>
    <m/>
    <n v="-96000"/>
  </r>
  <r>
    <x v="200"/>
    <n v="19"/>
    <x v="96"/>
    <m/>
    <m/>
    <m/>
    <m/>
    <m/>
    <m/>
    <m/>
    <m/>
    <m/>
    <m/>
    <m/>
    <m/>
    <m/>
    <m/>
    <m/>
    <n v="1000"/>
    <m/>
    <m/>
    <m/>
    <m/>
    <n v="10000"/>
    <m/>
    <m/>
    <m/>
    <m/>
    <n v="-803000"/>
    <m/>
    <m/>
    <m/>
    <m/>
    <m/>
    <m/>
    <m/>
    <m/>
    <m/>
    <n v="7940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01"/>
    <n v="18"/>
    <x v="9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02"/>
    <n v="18"/>
    <x v="98"/>
    <n v="11124000"/>
    <n v="25313000"/>
    <n v="32916000"/>
    <n v="12340000"/>
    <n v="4154000"/>
    <n v="175621000"/>
    <n v="311603000"/>
    <n v="626056000"/>
    <n v="866477000"/>
    <m/>
    <n v="376301000"/>
    <n v="400596000"/>
    <n v="433257000"/>
    <n v="331430000"/>
    <n v="95094000"/>
    <n v="13667000"/>
    <n v="14985000"/>
    <n v="4330000"/>
    <n v="9575000"/>
    <n v="63774000"/>
    <n v="500000"/>
    <n v="500000"/>
    <n v="500000"/>
    <n v="500000"/>
    <n v="500000"/>
    <n v="121941000"/>
    <n v="253971000"/>
    <n v="296636000"/>
    <n v="329842000"/>
    <n v="-822445000"/>
    <n v="31706000"/>
    <n v="33290000"/>
    <n v="39393000"/>
    <n v="45939000"/>
    <n v="168833000"/>
    <n v="206826000"/>
    <n v="474318000"/>
    <n v="414016000"/>
    <n v="346771000"/>
    <n v="364503000"/>
    <n v="2148293000"/>
    <n v="2557546000"/>
    <n v="2251574000"/>
    <n v="1765759000"/>
    <n v="1055578000"/>
    <n v="1943662000"/>
    <n v="2303088000"/>
    <n v="2011850000"/>
    <n v="1511407000"/>
    <n v="1023101000"/>
    <m/>
    <m/>
    <m/>
    <m/>
    <m/>
    <n v="114889000"/>
    <n v="160185000"/>
    <n v="170150000"/>
    <n v="140109000"/>
    <n v="104352000"/>
    <n v="968726000"/>
    <n v="1201805000"/>
    <n v="291717000"/>
    <n v="68763000"/>
    <n v="67460000"/>
    <n v="962317000"/>
    <n v="1108690000"/>
    <n v="247354000"/>
    <n v="52471000"/>
    <n v="1118853000"/>
    <n v="41156000"/>
    <n v="132028000"/>
    <n v="42972000"/>
    <n v="33206000"/>
    <n v="-1167348000"/>
  </r>
  <r>
    <x v="203"/>
    <n v="6"/>
    <x v="98"/>
    <n v="8903000"/>
    <n v="59057000"/>
    <n v="52319000"/>
    <m/>
    <m/>
    <n v="41700000"/>
    <n v="73115000"/>
    <n v="309281000"/>
    <m/>
    <m/>
    <n v="5681000"/>
    <n v="33249000"/>
    <n v="246469000"/>
    <m/>
    <m/>
    <n v="1024000"/>
    <n v="1820000"/>
    <n v="3992000"/>
    <m/>
    <m/>
    <n v="10000"/>
    <n v="10000"/>
    <n v="10000"/>
    <m/>
    <m/>
    <n v="2041000"/>
    <n v="5699000"/>
    <n v="11448000"/>
    <m/>
    <m/>
    <n v="3700000"/>
    <n v="4415000"/>
    <n v="9744000"/>
    <m/>
    <m/>
    <n v="50540000"/>
    <n v="104177000"/>
    <n v="376052000"/>
    <m/>
    <m/>
    <n v="83250000"/>
    <n v="272725000"/>
    <n v="776124000"/>
    <m/>
    <m/>
    <n v="66072000"/>
    <n v="242649000"/>
    <n v="680243000"/>
    <m/>
    <m/>
    <m/>
    <m/>
    <m/>
    <m/>
    <m/>
    <n v="13219000"/>
    <n v="24094000"/>
    <n v="64749000"/>
    <m/>
    <m/>
    <n v="3372000"/>
    <n v="8550000"/>
    <n v="1118000"/>
    <m/>
    <m/>
    <n v="2026000"/>
    <n v="8376000"/>
    <n v="19148000"/>
    <m/>
    <m/>
    <n v="4640000"/>
    <n v="5699000"/>
    <n v="11448000"/>
    <m/>
    <m/>
  </r>
  <r>
    <x v="204"/>
    <n v="33"/>
    <x v="99"/>
    <n v="58332000"/>
    <n v="40436000"/>
    <m/>
    <m/>
    <m/>
    <n v="6139000"/>
    <n v="6139000"/>
    <m/>
    <m/>
    <m/>
    <n v="236076000"/>
    <n v="120964000"/>
    <n v="120964000"/>
    <n v="120964000"/>
    <n v="120964000"/>
    <n v="29727000"/>
    <n v="23410000"/>
    <n v="79414000"/>
    <n v="127000"/>
    <n v="19284000"/>
    <n v="441632000"/>
    <n v="441632000"/>
    <n v="441632000"/>
    <n v="441632000"/>
    <n v="441632000"/>
    <n v="-1669500000"/>
    <n v="-1889532000"/>
    <n v="-1889532000"/>
    <n v="-1945684000"/>
    <n v="-1946044000"/>
    <n v="76949000"/>
    <n v="76949000"/>
    <n v="76949000"/>
    <n v="76949000"/>
    <n v="76949000"/>
    <n v="392470000"/>
    <n v="470088000"/>
    <n v="470088000"/>
    <n v="470088000"/>
    <n v="489605000"/>
    <n v="146000"/>
    <m/>
    <m/>
    <m/>
    <m/>
    <n v="6840000"/>
    <n v="3698000"/>
    <m/>
    <m/>
    <m/>
    <m/>
    <m/>
    <m/>
    <m/>
    <m/>
    <n v="2926000"/>
    <n v="2825000"/>
    <m/>
    <m/>
    <m/>
    <n v="5107000"/>
    <n v="9013000"/>
    <m/>
    <m/>
    <m/>
    <n v="4368000"/>
    <n v="220823000"/>
    <m/>
    <n v="56152000"/>
    <n v="360000"/>
    <n v="-16990000"/>
    <n v="-220031000"/>
    <m/>
    <n v="-56152000"/>
    <n v="-360000"/>
  </r>
  <r>
    <x v="205"/>
    <n v="25"/>
    <x v="100"/>
    <n v="3280000"/>
    <n v="1890000"/>
    <m/>
    <m/>
    <m/>
    <m/>
    <m/>
    <m/>
    <m/>
    <m/>
    <n v="255446000"/>
    <n v="198875000"/>
    <n v="25472000"/>
    <n v="25472000"/>
    <n v="25472000"/>
    <m/>
    <n v="30274000"/>
    <n v="20272000"/>
    <n v="21340000"/>
    <n v="21899000"/>
    <n v="75000000"/>
    <n v="75000000"/>
    <n v="75000000"/>
    <n v="75000000"/>
    <n v="75000000"/>
    <n v="-580880000"/>
    <n v="-581949000"/>
    <n v="-745739000"/>
    <n v="-746302000"/>
    <n v="-751292000"/>
    <m/>
    <m/>
    <m/>
    <m/>
    <m/>
    <n v="855385000"/>
    <n v="734238000"/>
    <n v="712733000"/>
    <n v="714364000"/>
    <n v="719913000"/>
    <n v="22111000"/>
    <n v="8686000"/>
    <n v="6651000"/>
    <n v="153000"/>
    <m/>
    <n v="4298000"/>
    <m/>
    <m/>
    <m/>
    <m/>
    <m/>
    <m/>
    <m/>
    <m/>
    <m/>
    <n v="21734000"/>
    <n v="11753000"/>
    <n v="7152000"/>
    <n v="1266000"/>
    <n v="10373000"/>
    <n v="269000"/>
    <n v="3458000"/>
    <n v="580000"/>
    <n v="740000"/>
    <n v="5986000"/>
    <n v="2342000"/>
    <n v="1460000"/>
    <n v="371000"/>
    <n v="190000"/>
    <n v="603000"/>
    <n v="-5168000"/>
    <n v="-1069000"/>
    <n v="-292000"/>
    <n v="-563000"/>
    <n v="-4990000"/>
  </r>
  <r>
    <x v="206"/>
    <n v="18"/>
    <x v="101"/>
    <n v="37161000"/>
    <n v="36738000"/>
    <n v="22919000"/>
    <n v="22824000"/>
    <m/>
    <n v="21919000"/>
    <n v="10008000"/>
    <n v="3897000"/>
    <n v="2108000"/>
    <n v="14000"/>
    <n v="19937000"/>
    <n v="44891000"/>
    <n v="26682000"/>
    <n v="25305000"/>
    <n v="57987000"/>
    <n v="172000"/>
    <n v="21000"/>
    <n v="36000"/>
    <n v="2690000"/>
    <n v="11086000"/>
    <n v="25000"/>
    <n v="25000"/>
    <n v="25000"/>
    <n v="25000"/>
    <n v="25000"/>
    <n v="-116310000"/>
    <n v="-117503000"/>
    <n v="-130802000"/>
    <n v="-130879000"/>
    <n v="-129519000"/>
    <n v="76452000"/>
    <n v="51409000"/>
    <n v="55850000"/>
    <n v="56238000"/>
    <n v="56238000"/>
    <n v="117506000"/>
    <n v="64091000"/>
    <n v="56528000"/>
    <n v="57419000"/>
    <n v="60800000"/>
    <n v="66749000"/>
    <n v="302535000"/>
    <n v="53204000"/>
    <n v="5126000"/>
    <n v="3131000"/>
    <n v="78808000"/>
    <n v="290189000"/>
    <n v="50749000"/>
    <n v="4938000"/>
    <n v="2492000"/>
    <m/>
    <m/>
    <m/>
    <m/>
    <n v="2000"/>
    <n v="3911000"/>
    <n v="4625000"/>
    <n v="3410000"/>
    <n v="2369000"/>
    <n v="1874000"/>
    <n v="1178000"/>
    <n v="37000"/>
    <n v="10000"/>
    <n v="6973000"/>
    <n v="44148000"/>
    <n v="1248000"/>
    <n v="1426000"/>
    <n v="7651000"/>
    <n v="4483000"/>
    <n v="40749000"/>
    <n v="-26368000"/>
    <n v="-1193000"/>
    <n v="-13299000"/>
    <n v="-79000"/>
    <n v="1360000"/>
  </r>
  <r>
    <x v="207"/>
    <n v="12"/>
    <x v="1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08"/>
    <n v="16"/>
    <x v="103"/>
    <n v="23393000"/>
    <m/>
    <m/>
    <m/>
    <m/>
    <m/>
    <m/>
    <m/>
    <m/>
    <m/>
    <n v="4563000"/>
    <m/>
    <m/>
    <m/>
    <n v="18324000"/>
    <n v="3506000"/>
    <m/>
    <m/>
    <m/>
    <m/>
    <m/>
    <m/>
    <m/>
    <m/>
    <m/>
    <m/>
    <m/>
    <m/>
    <m/>
    <m/>
    <n v="4282000"/>
    <m/>
    <m/>
    <m/>
    <n v="1715000"/>
    <n v="2409000"/>
    <m/>
    <m/>
    <m/>
    <n v="520000"/>
    <n v="631000"/>
    <m/>
    <m/>
    <m/>
    <m/>
    <n v="3392000"/>
    <m/>
    <m/>
    <m/>
    <m/>
    <m/>
    <m/>
    <m/>
    <m/>
    <m/>
    <m/>
    <m/>
    <m/>
    <m/>
    <m/>
    <n v="146000"/>
    <m/>
    <m/>
    <m/>
    <m/>
    <n v="53000"/>
    <m/>
    <m/>
    <m/>
    <n v="213000"/>
    <n v="-2701000"/>
    <m/>
    <m/>
    <m/>
    <n v="-213000"/>
  </r>
  <r>
    <x v="209"/>
    <n v="11"/>
    <x v="104"/>
    <n v="248054000"/>
    <m/>
    <m/>
    <m/>
    <m/>
    <m/>
    <m/>
    <m/>
    <m/>
    <m/>
    <n v="47251000"/>
    <m/>
    <m/>
    <m/>
    <m/>
    <m/>
    <m/>
    <m/>
    <m/>
    <m/>
    <n v="10000"/>
    <n v="10000"/>
    <n v="10000"/>
    <n v="10000"/>
    <n v="10000"/>
    <n v="-798065000"/>
    <n v="-844460000"/>
    <n v="-844730000"/>
    <n v="-844730000"/>
    <n v="-844730000"/>
    <n v="3808000"/>
    <n v="808000"/>
    <n v="808000"/>
    <n v="808000"/>
    <n v="808000"/>
    <n v="589161000"/>
    <n v="343251000"/>
    <n v="343521000"/>
    <n v="343521000"/>
    <n v="343521000"/>
    <m/>
    <m/>
    <m/>
    <m/>
    <m/>
    <m/>
    <m/>
    <m/>
    <m/>
    <m/>
    <m/>
    <m/>
    <m/>
    <m/>
    <m/>
    <m/>
    <m/>
    <m/>
    <m/>
    <m/>
    <n v="250570000"/>
    <m/>
    <m/>
    <m/>
    <m/>
    <n v="286265000"/>
    <n v="46395000"/>
    <n v="270000"/>
    <m/>
    <m/>
    <n v="-35695000"/>
    <n v="-46395000"/>
    <n v="-270000"/>
    <m/>
    <m/>
  </r>
  <r>
    <x v="210"/>
    <n v="18"/>
    <x v="104"/>
    <n v="87936000"/>
    <n v="87217000"/>
    <n v="86500000"/>
    <n v="31145000"/>
    <m/>
    <n v="21380000"/>
    <n v="21598000"/>
    <n v="21864000"/>
    <n v="22129000"/>
    <n v="22316000"/>
    <n v="219016000"/>
    <n v="193017000"/>
    <n v="195136000"/>
    <n v="196825000"/>
    <n v="170156000"/>
    <n v="5614000"/>
    <n v="34138000"/>
    <n v="30643000"/>
    <n v="27278000"/>
    <n v="26563000"/>
    <n v="5028000"/>
    <n v="5028000"/>
    <n v="5028000"/>
    <n v="5028000"/>
    <n v="5028000"/>
    <n v="-144285000"/>
    <n v="-146209000"/>
    <n v="-147098000"/>
    <n v="-136731000"/>
    <n v="-245686000"/>
    <n v="170638000"/>
    <n v="170638000"/>
    <n v="170638000"/>
    <n v="170638000"/>
    <n v="170638000"/>
    <n v="292356000"/>
    <n v="296051000"/>
    <n v="316313000"/>
    <n v="267608000"/>
    <n v="318221000"/>
    <n v="2664000"/>
    <n v="1146000"/>
    <n v="2512000"/>
    <n v="2363000"/>
    <n v="443000"/>
    <n v="3175000"/>
    <n v="598000"/>
    <n v="598000"/>
    <n v="537000"/>
    <n v="13000"/>
    <m/>
    <m/>
    <m/>
    <m/>
    <m/>
    <n v="4983000"/>
    <n v="2014000"/>
    <n v="2492000"/>
    <n v="1415000"/>
    <n v="579000"/>
    <n v="28313000"/>
    <m/>
    <n v="146000"/>
    <n v="44731000"/>
    <n v="2291000"/>
    <n v="61497000"/>
    <n v="458000"/>
    <n v="457000"/>
    <n v="56912000"/>
    <n v="111097000"/>
    <n v="-38678000"/>
    <n v="-1924000"/>
    <n v="-889000"/>
    <n v="-10337000"/>
    <n v="-108955000"/>
  </r>
  <r>
    <x v="211"/>
    <n v="10"/>
    <x v="105"/>
    <m/>
    <m/>
    <m/>
    <m/>
    <m/>
    <n v="1620000"/>
    <m/>
    <m/>
    <m/>
    <m/>
    <n v="24356000"/>
    <m/>
    <m/>
    <m/>
    <m/>
    <n v="3000"/>
    <m/>
    <m/>
    <m/>
    <m/>
    <n v="10000"/>
    <m/>
    <m/>
    <m/>
    <m/>
    <n v="1951000"/>
    <m/>
    <m/>
    <m/>
    <m/>
    <n v="315000"/>
    <m/>
    <m/>
    <m/>
    <m/>
    <n v="23803000"/>
    <m/>
    <m/>
    <m/>
    <m/>
    <n v="26580000"/>
    <m/>
    <m/>
    <m/>
    <m/>
    <n v="26361000"/>
    <m/>
    <m/>
    <m/>
    <m/>
    <m/>
    <m/>
    <m/>
    <m/>
    <m/>
    <n v="109000"/>
    <m/>
    <m/>
    <m/>
    <m/>
    <m/>
    <m/>
    <m/>
    <m/>
    <m/>
    <n v="33000"/>
    <m/>
    <m/>
    <m/>
    <m/>
    <n v="62000"/>
    <m/>
    <m/>
    <m/>
    <m/>
  </r>
  <r>
    <x v="212"/>
    <n v="16"/>
    <x v="10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43299000"/>
    <m/>
    <m/>
    <m/>
    <m/>
    <m/>
    <m/>
    <m/>
    <m/>
    <m/>
    <n v="242000"/>
    <m/>
    <m/>
    <m/>
    <m/>
    <m/>
    <m/>
    <m/>
    <m/>
    <m/>
    <m/>
    <m/>
    <m/>
    <m/>
    <m/>
    <m/>
    <m/>
    <m/>
    <m/>
    <m/>
    <n v="18000"/>
    <m/>
    <m/>
    <m/>
    <m/>
    <n v="-260000"/>
    <m/>
    <m/>
  </r>
  <r>
    <x v="213"/>
    <n v="9"/>
    <x v="107"/>
    <m/>
    <n v="1365000"/>
    <n v="5364000"/>
    <m/>
    <m/>
    <m/>
    <m/>
    <m/>
    <m/>
    <m/>
    <n v="1833000"/>
    <n v="4591000"/>
    <n v="7746000"/>
    <n v="2807000"/>
    <m/>
    <n v="476000"/>
    <n v="1033000"/>
    <n v="66000"/>
    <m/>
    <m/>
    <n v="100000"/>
    <n v="250000"/>
    <n v="250000"/>
    <n v="250000"/>
    <m/>
    <n v="1666000"/>
    <n v="4682000"/>
    <n v="8929000"/>
    <n v="275000"/>
    <m/>
    <m/>
    <n v="12000"/>
    <m/>
    <m/>
    <m/>
    <n v="543000"/>
    <n v="683000"/>
    <n v="1470000"/>
    <n v="2282000"/>
    <m/>
    <n v="11614000"/>
    <n v="31532000"/>
    <n v="71060000"/>
    <n v="94610000"/>
    <m/>
    <m/>
    <n v="19861000"/>
    <n v="37439000"/>
    <n v="50012000"/>
    <m/>
    <m/>
    <m/>
    <m/>
    <m/>
    <m/>
    <n v="11096000"/>
    <m/>
    <m/>
    <m/>
    <m/>
    <m/>
    <m/>
    <n v="4000"/>
    <n v="19000"/>
    <m/>
    <n v="41000"/>
    <n v="279000"/>
    <n v="1948000"/>
    <n v="40066000"/>
    <m/>
    <n v="-187000"/>
    <n v="9959000"/>
    <n v="27402000"/>
    <n v="274000"/>
    <m/>
  </r>
  <r>
    <x v="214"/>
    <n v="18"/>
    <x v="10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15"/>
    <n v="8"/>
    <x v="109"/>
    <m/>
    <m/>
    <m/>
    <m/>
    <m/>
    <m/>
    <m/>
    <m/>
    <m/>
    <m/>
    <m/>
    <m/>
    <m/>
    <m/>
    <n v="100000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16"/>
    <n v="12"/>
    <x v="110"/>
    <m/>
    <n v="917000"/>
    <m/>
    <m/>
    <m/>
    <n v="5907000"/>
    <n v="2331000"/>
    <n v="105000"/>
    <m/>
    <m/>
    <n v="24055000"/>
    <n v="19855000"/>
    <n v="5592000"/>
    <m/>
    <m/>
    <n v="24000"/>
    <n v="10000"/>
    <n v="7000"/>
    <m/>
    <m/>
    <n v="22000000"/>
    <n v="22000000"/>
    <n v="22000000"/>
    <m/>
    <m/>
    <n v="-40562000"/>
    <n v="-77181000"/>
    <n v="-83520000"/>
    <m/>
    <m/>
    <n v="27946000"/>
    <n v="12930000"/>
    <n v="2665000"/>
    <m/>
    <m/>
    <n v="48737000"/>
    <n v="73373000"/>
    <n v="75135000"/>
    <m/>
    <m/>
    <n v="7050000"/>
    <n v="100000"/>
    <n v="25000"/>
    <m/>
    <m/>
    <n v="4941000"/>
    <m/>
    <m/>
    <m/>
    <m/>
    <m/>
    <m/>
    <m/>
    <m/>
    <m/>
    <n v="4996000"/>
    <n v="4337000"/>
    <n v="1267000"/>
    <m/>
    <m/>
    <n v="7995000"/>
    <n v="13414000"/>
    <n v="53000"/>
    <m/>
    <m/>
    <n v="13034000"/>
    <n v="45333000"/>
    <n v="6777000"/>
    <m/>
    <m/>
    <n v="-6643000"/>
    <n v="-36619000"/>
    <n v="-6339000"/>
    <m/>
    <m/>
  </r>
  <r>
    <x v="217"/>
    <n v="22"/>
    <x v="110"/>
    <n v="80768000"/>
    <n v="42993000"/>
    <n v="20410000"/>
    <n v="1663000"/>
    <n v="778000"/>
    <n v="1054404000"/>
    <n v="964323000"/>
    <n v="1017474000"/>
    <n v="1017474000"/>
    <m/>
    <n v="2785228000"/>
    <n v="1743471000"/>
    <n v="1631576000"/>
    <n v="1410386000"/>
    <n v="1216584000"/>
    <n v="17729000"/>
    <n v="299000"/>
    <n v="24141000"/>
    <n v="347935000"/>
    <n v="252468000"/>
    <n v="400000"/>
    <n v="400000"/>
    <n v="400000"/>
    <n v="400000"/>
    <n v="400000"/>
    <n v="512226000"/>
    <n v="407413000"/>
    <n v="-763743000"/>
    <n v="-566690000"/>
    <n v="-1799313000"/>
    <n v="185960000"/>
    <n v="185960000"/>
    <n v="185960000"/>
    <n v="185960000"/>
    <n v="185960000"/>
    <n v="11890699000"/>
    <n v="2265298000"/>
    <n v="2172656000"/>
    <n v="2020871000"/>
    <n v="1936005000"/>
    <n v="3678378000"/>
    <n v="1410179000"/>
    <n v="16387000"/>
    <n v="6938000"/>
    <n v="706000"/>
    <n v="3632067000"/>
    <n v="1426265000"/>
    <n v="17632000"/>
    <n v="6686000"/>
    <n v="12609000"/>
    <n v="300000"/>
    <n v="205000"/>
    <m/>
    <m/>
    <m/>
    <n v="203090000"/>
    <n v="121495000"/>
    <n v="10499000"/>
    <n v="15712000"/>
    <n v="754000"/>
    <n v="227446000"/>
    <n v="93572000"/>
    <n v="8778000"/>
    <n v="495748000"/>
    <n v="12356000"/>
    <n v="48299000"/>
    <n v="70511000"/>
    <n v="5865000"/>
    <n v="233522000"/>
    <n v="1182522000"/>
    <n v="118000"/>
    <n v="-110394000"/>
    <n v="-8829000"/>
    <n v="197053000"/>
    <n v="-1179472000"/>
  </r>
  <r>
    <x v="218"/>
    <n v="31"/>
    <x v="111"/>
    <n v="486406000"/>
    <n v="452039000"/>
    <n v="419622000"/>
    <n v="10641000"/>
    <n v="6033000"/>
    <n v="45067000"/>
    <n v="1986000"/>
    <n v="1857000"/>
    <m/>
    <m/>
    <n v="92211000"/>
    <n v="82000000"/>
    <n v="18678000"/>
    <n v="1157000"/>
    <n v="6088000"/>
    <n v="1843000"/>
    <n v="161000"/>
    <m/>
    <n v="152000"/>
    <n v="4071000"/>
    <n v="1214571000"/>
    <n v="1214571000"/>
    <n v="1214571000"/>
    <n v="1214571000"/>
    <n v="1214571000"/>
    <n v="-1819547000"/>
    <n v="-1817304000"/>
    <n v="-1816019000"/>
    <n v="-1752629000"/>
    <n v="-1783438000"/>
    <n v="273158000"/>
    <n v="273158000"/>
    <m/>
    <m/>
    <m/>
    <n v="1136958000"/>
    <n v="1051230000"/>
    <n v="763945000"/>
    <n v="547255000"/>
    <n v="326462000"/>
    <n v="167000"/>
    <n v="28080000"/>
    <n v="16390000"/>
    <n v="15261000"/>
    <n v="10909000"/>
    <m/>
    <n v="36527000"/>
    <m/>
    <m/>
    <m/>
    <m/>
    <m/>
    <m/>
    <m/>
    <m/>
    <n v="83644000"/>
    <n v="73851000"/>
    <n v="51431000"/>
    <n v="35416000"/>
    <n v="26182000"/>
    <n v="57557000"/>
    <n v="105466000"/>
    <n v="376846000"/>
    <n v="304201000"/>
    <n v="87249000"/>
    <n v="39796000"/>
    <n v="20364000"/>
    <n v="340241000"/>
    <n v="100130000"/>
    <n v="25609000"/>
    <n v="-108176000"/>
    <n v="2243000"/>
    <n v="1285000"/>
    <n v="140304000"/>
    <n v="35625000"/>
  </r>
  <r>
    <x v="219"/>
    <n v="22"/>
    <x v="112"/>
    <n v="64890000"/>
    <n v="28545000"/>
    <n v="23551000"/>
    <n v="19124000"/>
    <n v="28449000"/>
    <n v="334711000"/>
    <n v="112751000"/>
    <n v="51346000"/>
    <n v="19040000"/>
    <m/>
    <n v="806850000"/>
    <n v="254557000"/>
    <n v="191591000"/>
    <n v="171995000"/>
    <n v="82573000"/>
    <n v="90604000"/>
    <n v="43660000"/>
    <n v="261000"/>
    <n v="78000"/>
    <n v="4230000"/>
    <n v="10000"/>
    <n v="10000"/>
    <n v="10000"/>
    <n v="10000"/>
    <n v="10000"/>
    <n v="1026000"/>
    <n v="-30077000"/>
    <n v="-87459000"/>
    <n v="-86176000"/>
    <n v="-742411000"/>
    <m/>
    <m/>
    <m/>
    <m/>
    <m/>
    <n v="1345484000"/>
    <n v="496269000"/>
    <n v="391021000"/>
    <n v="334409000"/>
    <n v="857653000"/>
    <n v="3435826000"/>
    <n v="1563840000"/>
    <n v="350807000"/>
    <n v="141565000"/>
    <m/>
    <n v="3548818000"/>
    <n v="1474520000"/>
    <n v="338033000"/>
    <n v="104203000"/>
    <m/>
    <m/>
    <m/>
    <m/>
    <m/>
    <m/>
    <m/>
    <n v="160641000"/>
    <n v="79023000"/>
    <n v="30972000"/>
    <m/>
    <n v="293456000"/>
    <n v="348538000"/>
    <n v="97867000"/>
    <n v="43792000"/>
    <m/>
    <n v="300058000"/>
    <n v="315243000"/>
    <n v="101085000"/>
    <n v="48533000"/>
    <m/>
    <n v="-86833000"/>
    <n v="-31103000"/>
    <n v="-58212000"/>
    <n v="1283000"/>
    <m/>
  </r>
  <r>
    <x v="220"/>
    <n v="11"/>
    <x v="113"/>
    <n v="435415000"/>
    <n v="463280000"/>
    <n v="197001000"/>
    <n v="146710000"/>
    <n v="652440000"/>
    <n v="46542000"/>
    <n v="52041000"/>
    <n v="107426000"/>
    <n v="74876000"/>
    <m/>
    <n v="289242000"/>
    <n v="510957000"/>
    <n v="52332000"/>
    <n v="11872000"/>
    <m/>
    <n v="29339000"/>
    <n v="5059000"/>
    <n v="22948000"/>
    <n v="19263000"/>
    <n v="19263000"/>
    <n v="10000"/>
    <n v="10000"/>
    <n v="10000"/>
    <n v="10000"/>
    <n v="10000"/>
    <n v="-138781000"/>
    <n v="-262137000"/>
    <n v="-863815000"/>
    <n v="-1092041000"/>
    <n v="380715000"/>
    <n v="360916000"/>
    <n v="389589000"/>
    <n v="398183000"/>
    <n v="405943000"/>
    <m/>
    <n v="614017000"/>
    <n v="651376000"/>
    <n v="803871000"/>
    <n v="842197000"/>
    <m/>
    <n v="1065179000"/>
    <n v="1179624000"/>
    <n v="819814000"/>
    <n v="363392000"/>
    <n v="12372000"/>
    <n v="898462000"/>
    <n v="1110541000"/>
    <n v="883497000"/>
    <n v="428389000"/>
    <n v="7770000"/>
    <m/>
    <m/>
    <m/>
    <m/>
    <m/>
    <n v="101633000"/>
    <n v="110639000"/>
    <n v="131795000"/>
    <n v="110061000"/>
    <n v="59398000"/>
    <n v="35504000"/>
    <n v="74252000"/>
    <n v="121544000"/>
    <n v="67375000"/>
    <n v="4411000"/>
    <n v="236844000"/>
    <n v="169416000"/>
    <n v="810073000"/>
    <n v="84027000"/>
    <n v="8709000"/>
    <n v="-140413000"/>
    <n v="-125198000"/>
    <n v="-767351000"/>
    <n v="-239250000"/>
    <n v="-77068000"/>
  </r>
  <r>
    <x v="221"/>
    <n v="8"/>
    <x v="114"/>
    <n v="12749000"/>
    <n v="11923000"/>
    <m/>
    <m/>
    <m/>
    <n v="14761000"/>
    <n v="13417000"/>
    <m/>
    <m/>
    <m/>
    <n v="23114000"/>
    <n v="6294000"/>
    <m/>
    <m/>
    <m/>
    <n v="30000"/>
    <m/>
    <n v="10000"/>
    <n v="10000"/>
    <m/>
    <m/>
    <m/>
    <n v="10000"/>
    <n v="10000"/>
    <m/>
    <m/>
    <m/>
    <m/>
    <m/>
    <m/>
    <n v="9254000"/>
    <n v="8762000"/>
    <m/>
    <m/>
    <m/>
    <n v="26775000"/>
    <n v="13351000"/>
    <m/>
    <m/>
    <m/>
    <n v="27648000"/>
    <n v="2507000"/>
    <m/>
    <m/>
    <m/>
    <n v="30313000"/>
    <n v="7401000"/>
    <m/>
    <m/>
    <m/>
    <m/>
    <m/>
    <m/>
    <m/>
    <m/>
    <m/>
    <m/>
    <m/>
    <m/>
    <m/>
    <n v="9311000"/>
    <m/>
    <m/>
    <m/>
    <m/>
    <n v="4777000"/>
    <m/>
    <m/>
    <m/>
    <m/>
    <n v="454000"/>
    <n v="-5104000"/>
    <m/>
    <m/>
    <m/>
  </r>
  <r>
    <x v="222"/>
    <n v="16"/>
    <x v="1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23"/>
    <n v="32"/>
    <x v="116"/>
    <n v="198330000"/>
    <n v="156999000"/>
    <n v="138579000"/>
    <m/>
    <m/>
    <n v="3388562000"/>
    <n v="846489000"/>
    <n v="600421000"/>
    <m/>
    <m/>
    <n v="14857882000"/>
    <n v="16923024000"/>
    <n v="3602373000"/>
    <m/>
    <m/>
    <n v="44224000"/>
    <n v="23066000"/>
    <n v="103185000"/>
    <m/>
    <m/>
    <n v="7000"/>
    <n v="7000"/>
    <n v="7000"/>
    <m/>
    <m/>
    <n v="1218163000"/>
    <n v="1207582000"/>
    <n v="1204812000"/>
    <m/>
    <m/>
    <n v="2330775000"/>
    <n v="1684073000"/>
    <n v="1690935000"/>
    <m/>
    <m/>
    <n v="15602742000"/>
    <n v="15231757000"/>
    <n v="1732302000"/>
    <m/>
    <m/>
    <n v="5527706000"/>
    <n v="4548439000"/>
    <n v="1204798000"/>
    <m/>
    <m/>
    <n v="5116159000"/>
    <n v="4149345000"/>
    <n v="1092947000"/>
    <m/>
    <m/>
    <n v="109560000"/>
    <n v="52959000"/>
    <n v="14745000"/>
    <m/>
    <m/>
    <m/>
    <n v="34824000"/>
    <n v="31360000"/>
    <m/>
    <m/>
    <n v="1385171000"/>
    <n v="678637000"/>
    <n v="372324000"/>
    <m/>
    <m/>
    <n v="1460256000"/>
    <n v="883210000"/>
    <n v="419023000"/>
    <m/>
    <m/>
    <n v="27133000"/>
    <n v="-10450000"/>
    <n v="628000"/>
    <m/>
    <m/>
  </r>
  <r>
    <x v="224"/>
    <n v="19"/>
    <x v="117"/>
    <n v="57106000"/>
    <n v="49702000"/>
    <n v="43020000"/>
    <n v="34898000"/>
    <m/>
    <n v="96881000"/>
    <n v="96881000"/>
    <n v="96881000"/>
    <n v="96881000"/>
    <n v="96881000"/>
    <n v="462593000"/>
    <n v="461313000"/>
    <n v="461313000"/>
    <n v="461296000"/>
    <n v="460933000"/>
    <n v="4031000"/>
    <n v="3281000"/>
    <n v="16056000"/>
    <n v="8330000"/>
    <n v="11927000"/>
    <n v="69185000"/>
    <n v="69185000"/>
    <n v="69185000"/>
    <m/>
    <m/>
    <n v="-1419948000"/>
    <n v="-1454852000"/>
    <n v="-1470310000"/>
    <m/>
    <m/>
    <n v="697878000"/>
    <n v="697878000"/>
    <n v="697878000"/>
    <n v="697878000"/>
    <n v="697510000"/>
    <n v="1200355000"/>
    <n v="1203997000"/>
    <n v="1201071000"/>
    <n v="1195085000"/>
    <n v="1194331000"/>
    <m/>
    <m/>
    <m/>
    <m/>
    <m/>
    <m/>
    <m/>
    <m/>
    <m/>
    <n v="1456000"/>
    <m/>
    <m/>
    <m/>
    <m/>
    <m/>
    <n v="4651000"/>
    <m/>
    <m/>
    <m/>
    <m/>
    <n v="87900000"/>
    <m/>
    <n v="25394000"/>
    <n v="7338000"/>
    <n v="5849000"/>
    <n v="1659425000"/>
    <n v="34904000"/>
    <n v="40852000"/>
    <n v="43271000"/>
    <n v="34935000"/>
    <n v="-1576176000"/>
    <n v="-34904000"/>
    <n v="-15458000"/>
    <n v="-35933000"/>
    <n v="-30542000"/>
  </r>
  <r>
    <x v="225"/>
    <n v="13"/>
    <x v="118"/>
    <m/>
    <m/>
    <n v="72524000"/>
    <n v="72524000"/>
    <n v="72524000"/>
    <m/>
    <m/>
    <m/>
    <m/>
    <m/>
    <n v="10013000"/>
    <m/>
    <m/>
    <m/>
    <m/>
    <n v="220000"/>
    <m/>
    <n v="15000"/>
    <m/>
    <n v="628000"/>
    <n v="20000"/>
    <n v="20000"/>
    <n v="20000"/>
    <n v="20000"/>
    <n v="20000"/>
    <n v="-74194000"/>
    <n v="-84916000"/>
    <n v="-85006000"/>
    <n v="-309596000"/>
    <n v="-308390000"/>
    <n v="6608000"/>
    <m/>
    <m/>
    <m/>
    <m/>
    <n v="306496000"/>
    <n v="306985000"/>
    <n v="307004000"/>
    <n v="305492000"/>
    <n v="304914000"/>
    <m/>
    <m/>
    <m/>
    <m/>
    <m/>
    <m/>
    <m/>
    <m/>
    <m/>
    <m/>
    <m/>
    <m/>
    <m/>
    <m/>
    <m/>
    <n v="3167000"/>
    <m/>
    <m/>
    <m/>
    <m/>
    <n v="8333000"/>
    <m/>
    <n v="2944000"/>
    <n v="5795000"/>
    <n v="6061000"/>
    <n v="80695000"/>
    <n v="10722000"/>
    <n v="3016000"/>
    <n v="230010000"/>
    <n v="4533000"/>
    <n v="-75529000"/>
    <n v="-10722000"/>
    <n v="-90000"/>
    <n v="-224590000"/>
    <n v="1206000"/>
  </r>
  <r>
    <x v="226"/>
    <n v="23"/>
    <x v="119"/>
    <n v="78000"/>
    <n v="234000"/>
    <m/>
    <m/>
    <m/>
    <m/>
    <m/>
    <m/>
    <n v="35000"/>
    <n v="57000"/>
    <n v="2578000"/>
    <n v="4056000"/>
    <n v="5285000"/>
    <n v="17383000"/>
    <n v="15154000"/>
    <n v="150000"/>
    <n v="223000"/>
    <n v="150000"/>
    <n v="345000"/>
    <n v="599000"/>
    <m/>
    <m/>
    <m/>
    <m/>
    <m/>
    <m/>
    <m/>
    <m/>
    <m/>
    <m/>
    <m/>
    <m/>
    <m/>
    <m/>
    <m/>
    <n v="204000"/>
    <n v="232000"/>
    <n v="375000"/>
    <n v="2871000"/>
    <n v="1870000"/>
    <n v="5371000"/>
    <n v="6510000"/>
    <n v="7103000"/>
    <n v="5567000"/>
    <n v="289000"/>
    <n v="2944000"/>
    <n v="2063000"/>
    <n v="3395000"/>
    <n v="11888000"/>
    <m/>
    <m/>
    <m/>
    <m/>
    <m/>
    <m/>
    <m/>
    <m/>
    <m/>
    <m/>
    <m/>
    <m/>
    <m/>
    <m/>
    <n v="304000"/>
    <m/>
    <n v="41000"/>
    <n v="81000"/>
    <n v="1003000"/>
    <n v="490000"/>
    <m/>
    <n v="2229000"/>
    <n v="4171000"/>
    <n v="2487000"/>
    <n v="-6784000"/>
    <n v="-22454000"/>
  </r>
  <r>
    <x v="227"/>
    <n v="29"/>
    <x v="120"/>
    <n v="22272000"/>
    <m/>
    <m/>
    <m/>
    <m/>
    <n v="417794000"/>
    <m/>
    <m/>
    <m/>
    <m/>
    <n v="95009000"/>
    <n v="125140000"/>
    <n v="83551000"/>
    <n v="83551000"/>
    <n v="39051000"/>
    <n v="15538000"/>
    <n v="14552000"/>
    <n v="9969000"/>
    <n v="8556000"/>
    <n v="6402000"/>
    <n v="244000"/>
    <n v="244000"/>
    <n v="244000"/>
    <n v="244000"/>
    <n v="244000"/>
    <n v="-179987000"/>
    <n v="-137724000"/>
    <n v="-139396000"/>
    <n v="-139396000"/>
    <n v="-139396000"/>
    <n v="3188000"/>
    <m/>
    <m/>
    <m/>
    <m/>
    <n v="743965000"/>
    <n v="271750000"/>
    <n v="227250000"/>
    <n v="225837000"/>
    <n v="179183000"/>
    <n v="498000"/>
    <m/>
    <m/>
    <m/>
    <m/>
    <n v="2091000"/>
    <m/>
    <m/>
    <m/>
    <m/>
    <m/>
    <m/>
    <m/>
    <m/>
    <m/>
    <n v="2395000"/>
    <m/>
    <m/>
    <m/>
    <m/>
    <n v="12224000"/>
    <m/>
    <m/>
    <m/>
    <m/>
    <n v="1980000"/>
    <n v="1621000"/>
    <n v="1672000"/>
    <m/>
    <m/>
    <n v="4490000"/>
    <n v="-1621000"/>
    <n v="-1672000"/>
    <m/>
    <m/>
  </r>
  <r>
    <x v="228"/>
    <n v="20"/>
    <x v="121"/>
    <m/>
    <m/>
    <m/>
    <m/>
    <m/>
    <m/>
    <m/>
    <m/>
    <m/>
    <m/>
    <n v="1030190000"/>
    <n v="2403716000"/>
    <n v="2536844000"/>
    <n v="1557753000"/>
    <n v="1557972000"/>
    <n v="11692000"/>
    <n v="2784000"/>
    <n v="44000"/>
    <n v="4000"/>
    <n v="334000"/>
    <n v="1105000000"/>
    <n v="1105000000"/>
    <n v="1105000000"/>
    <n v="1105000000"/>
    <n v="1105000000"/>
    <n v="-493911000"/>
    <n v="-504832000"/>
    <n v="-507192000"/>
    <n v="-3564012000"/>
    <n v="-1094041000"/>
    <m/>
    <m/>
    <m/>
    <n v="7278000"/>
    <n v="205940000"/>
    <n v="590676000"/>
    <n v="1962193000"/>
    <n v="2092975000"/>
    <n v="4004532000"/>
    <n v="1337982000"/>
    <n v="4149000"/>
    <n v="3297000"/>
    <n v="2731000"/>
    <n v="2804000"/>
    <n v="2042000"/>
    <n v="16493000"/>
    <n v="14374000"/>
    <n v="10429000"/>
    <n v="16013000"/>
    <m/>
    <m/>
    <m/>
    <m/>
    <m/>
    <m/>
    <m/>
    <m/>
    <m/>
    <m/>
    <n v="640000"/>
    <n v="1068000"/>
    <n v="70000"/>
    <n v="5914000"/>
    <n v="1007000"/>
    <n v="2520937000"/>
    <n v="433000"/>
    <n v="341000"/>
    <n v="1368000"/>
    <n v="3046386000"/>
    <n v="43826000"/>
    <n v="-10623000"/>
    <n v="-10921000"/>
    <n v="-2360000"/>
    <n v="-3056820000"/>
    <n v="2469183000"/>
  </r>
  <r>
    <x v="229"/>
    <n v="19"/>
    <x v="122"/>
    <n v="36586000"/>
    <n v="26832000"/>
    <n v="13839000"/>
    <m/>
    <n v="2289000"/>
    <n v="45345000"/>
    <n v="20570000"/>
    <n v="14530000"/>
    <m/>
    <m/>
    <n v="10785000"/>
    <n v="16717000"/>
    <n v="21295000"/>
    <m/>
    <n v="4985000"/>
    <n v="1756000"/>
    <n v="18000"/>
    <n v="8442000"/>
    <m/>
    <n v="1087000"/>
    <n v="30000"/>
    <n v="30000"/>
    <m/>
    <m/>
    <m/>
    <n v="-58083000"/>
    <n v="-88220000"/>
    <m/>
    <m/>
    <m/>
    <m/>
    <m/>
    <m/>
    <m/>
    <m/>
    <n v="110131000"/>
    <n v="130529000"/>
    <n v="127340000"/>
    <m/>
    <n v="46659000"/>
    <n v="168861000"/>
    <n v="33835000"/>
    <m/>
    <m/>
    <m/>
    <n v="148441000"/>
    <n v="75038000"/>
    <n v="13220000"/>
    <m/>
    <m/>
    <m/>
    <m/>
    <m/>
    <m/>
    <m/>
    <n v="23836000"/>
    <n v="4945000"/>
    <m/>
    <m/>
    <m/>
    <n v="15422000"/>
    <n v="17152000"/>
    <n v="13276000"/>
    <m/>
    <n v="3212000"/>
    <n v="11611000"/>
    <n v="13857000"/>
    <n v="7025000"/>
    <m/>
    <n v="3204000"/>
    <n v="-79374000"/>
    <n v="-34991000"/>
    <n v="-5578000"/>
    <m/>
    <n v="6000"/>
  </r>
  <r>
    <x v="230"/>
    <n v="10"/>
    <x v="122"/>
    <n v="48074000"/>
    <n v="37243000"/>
    <m/>
    <m/>
    <n v="10000"/>
    <m/>
    <m/>
    <m/>
    <m/>
    <m/>
    <n v="50868000"/>
    <n v="18456000"/>
    <m/>
    <m/>
    <m/>
    <n v="4199000"/>
    <n v="5485000"/>
    <n v="10000"/>
    <m/>
    <m/>
    <m/>
    <m/>
    <m/>
    <m/>
    <m/>
    <m/>
    <m/>
    <m/>
    <m/>
    <m/>
    <m/>
    <m/>
    <m/>
    <m/>
    <m/>
    <n v="57009000"/>
    <n v="8536000"/>
    <m/>
    <m/>
    <m/>
    <n v="94629000"/>
    <n v="103260000"/>
    <n v="8100000"/>
    <m/>
    <m/>
    <n v="60082000"/>
    <n v="64236000"/>
    <n v="8100000"/>
    <m/>
    <m/>
    <m/>
    <m/>
    <m/>
    <m/>
    <m/>
    <m/>
    <m/>
    <m/>
    <m/>
    <m/>
    <n v="1200000"/>
    <n v="166000"/>
    <m/>
    <m/>
    <m/>
    <n v="31010000"/>
    <n v="33560000"/>
    <m/>
    <m/>
    <m/>
    <n v="3790000"/>
    <n v="4504000"/>
    <m/>
    <m/>
    <m/>
  </r>
  <r>
    <x v="231"/>
    <n v="10"/>
    <x v="122"/>
    <n v="2732000"/>
    <n v="8982000"/>
    <m/>
    <n v="8982000"/>
    <m/>
    <n v="2852000"/>
    <n v="3718000"/>
    <m/>
    <n v="3718000"/>
    <m/>
    <n v="91767000"/>
    <n v="49637000"/>
    <m/>
    <n v="49637000"/>
    <m/>
    <n v="4788000"/>
    <n v="4000"/>
    <m/>
    <n v="4000"/>
    <m/>
    <n v="10000"/>
    <m/>
    <m/>
    <m/>
    <m/>
    <n v="12186000"/>
    <m/>
    <m/>
    <m/>
    <m/>
    <m/>
    <m/>
    <m/>
    <m/>
    <m/>
    <n v="82137000"/>
    <n v="105820000"/>
    <m/>
    <n v="105820000"/>
    <m/>
    <n v="109081000"/>
    <n v="80239000"/>
    <m/>
    <m/>
    <m/>
    <n v="64148000"/>
    <n v="108540000"/>
    <m/>
    <m/>
    <m/>
    <n v="4338000"/>
    <m/>
    <m/>
    <m/>
    <m/>
    <n v="3266000"/>
    <m/>
    <m/>
    <m/>
    <m/>
    <m/>
    <n v="41502000"/>
    <m/>
    <m/>
    <m/>
    <n v="25143000"/>
    <n v="65621000"/>
    <m/>
    <m/>
    <m/>
    <n v="12186000"/>
    <n v="-42486000"/>
    <m/>
    <m/>
    <m/>
  </r>
  <r>
    <x v="232"/>
    <n v="9"/>
    <x v="123"/>
    <n v="110033000"/>
    <n v="315157000"/>
    <n v="64743000"/>
    <n v="63145000"/>
    <n v="54865000"/>
    <n v="205057000"/>
    <n v="32604000"/>
    <n v="3255000"/>
    <n v="3255000"/>
    <m/>
    <n v="410508000"/>
    <n v="373851000"/>
    <n v="193984000"/>
    <n v="193984000"/>
    <n v="117568000"/>
    <n v="304000"/>
    <n v="5221000"/>
    <n v="335000"/>
    <m/>
    <n v="8323000"/>
    <n v="10000"/>
    <n v="10000"/>
    <m/>
    <n v="10000"/>
    <n v="10000"/>
    <n v="14685000"/>
    <n v="-294746000"/>
    <m/>
    <n v="-415994000"/>
    <n v="-236254000"/>
    <n v="14333000"/>
    <n v="39163000"/>
    <n v="49617000"/>
    <n v="49617000"/>
    <m/>
    <n v="643501000"/>
    <n v="763023000"/>
    <n v="607726000"/>
    <n v="605783000"/>
    <n v="417000000"/>
    <n v="758301000"/>
    <n v="826626000"/>
    <n v="404004000"/>
    <m/>
    <n v="611000"/>
    <n v="379057000"/>
    <n v="765723000"/>
    <n v="573429000"/>
    <m/>
    <m/>
    <m/>
    <m/>
    <m/>
    <m/>
    <m/>
    <n v="319958000"/>
    <n v="180551000"/>
    <m/>
    <m/>
    <m/>
    <n v="8503000"/>
    <n v="68639000"/>
    <n v="276856000"/>
    <m/>
    <m/>
    <n v="57667000"/>
    <n v="76760000"/>
    <n v="209871000"/>
    <m/>
    <n v="611000"/>
    <n v="5490000"/>
    <n v="-154365000"/>
    <n v="-105160000"/>
    <m/>
    <m/>
  </r>
  <r>
    <x v="233"/>
    <n v="9"/>
    <x v="123"/>
    <n v="11583000"/>
    <n v="11521000"/>
    <m/>
    <m/>
    <m/>
    <n v="2763000"/>
    <n v="2952000"/>
    <m/>
    <m/>
    <m/>
    <n v="15405000"/>
    <n v="12237000"/>
    <m/>
    <m/>
    <m/>
    <m/>
    <n v="82000"/>
    <m/>
    <m/>
    <m/>
    <n v="10000"/>
    <n v="10000"/>
    <m/>
    <m/>
    <m/>
    <n v="3315000"/>
    <n v="1843000"/>
    <m/>
    <m/>
    <m/>
    <n v="6725000"/>
    <n v="4066000"/>
    <m/>
    <m/>
    <m/>
    <n v="18404000"/>
    <n v="18328000"/>
    <m/>
    <m/>
    <m/>
    <n v="30429000"/>
    <n v="6094000"/>
    <m/>
    <m/>
    <m/>
    <n v="16138000"/>
    <n v="5660000"/>
    <m/>
    <m/>
    <m/>
    <m/>
    <m/>
    <m/>
    <m/>
    <m/>
    <n v="13476000"/>
    <n v="4856000"/>
    <m/>
    <m/>
    <m/>
    <n v="802000"/>
    <n v="5789000"/>
    <m/>
    <m/>
    <m/>
    <n v="1359000"/>
    <n v="1355000"/>
    <m/>
    <m/>
    <m/>
    <n v="161000"/>
    <n v="6000"/>
    <m/>
    <m/>
    <m/>
  </r>
  <r>
    <x v="234"/>
    <n v="31"/>
    <x v="12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5"/>
    <n v="19"/>
    <x v="12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6"/>
    <n v="30"/>
    <x v="12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7"/>
    <n v="23"/>
    <x v="12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8"/>
    <n v="6"/>
    <x v="124"/>
    <m/>
    <n v="85000"/>
    <n v="44000"/>
    <n v="3000"/>
    <m/>
    <n v="2512000"/>
    <n v="5499000"/>
    <n v="5263000"/>
    <n v="5263000"/>
    <m/>
    <n v="11857000"/>
    <n v="20645000"/>
    <n v="24005000"/>
    <n v="23681000"/>
    <m/>
    <n v="4031000"/>
    <n v="67000"/>
    <n v="3000"/>
    <n v="1000"/>
    <m/>
    <n v="1000000"/>
    <m/>
    <m/>
    <m/>
    <m/>
    <n v="-829000"/>
    <m/>
    <m/>
    <m/>
    <m/>
    <m/>
    <m/>
    <n v="511000"/>
    <n v="511000"/>
    <m/>
    <n v="22627000"/>
    <n v="33010000"/>
    <n v="38494000"/>
    <n v="38262000"/>
    <m/>
    <n v="19387000"/>
    <n v="14206000"/>
    <n v="1469000"/>
    <m/>
    <m/>
    <n v="15259000"/>
    <n v="22188000"/>
    <n v="4121000"/>
    <n v="142000"/>
    <m/>
    <m/>
    <m/>
    <m/>
    <m/>
    <m/>
    <n v="3606000"/>
    <m/>
    <m/>
    <m/>
    <m/>
    <n v="7193000"/>
    <n v="7099000"/>
    <n v="1182000"/>
    <n v="625000"/>
    <m/>
    <n v="7648000"/>
    <n v="7501000"/>
    <n v="1215000"/>
    <n v="618000"/>
    <m/>
    <n v="67000"/>
    <n v="-8644000"/>
    <n v="-2975000"/>
    <n v="-135000"/>
    <m/>
  </r>
  <r>
    <x v="239"/>
    <n v="34"/>
    <x v="12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0"/>
    <n v="30"/>
    <x v="12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1"/>
    <n v="32"/>
    <x v="12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2"/>
    <n v="31"/>
    <x v="12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3"/>
    <n v="35"/>
    <x v="12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4"/>
    <n v="31"/>
    <x v="12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5"/>
    <n v="34"/>
    <x v="12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6"/>
    <n v="33"/>
    <x v="12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7"/>
    <n v="31"/>
    <x v="125"/>
    <n v="3863000"/>
    <n v="3543000"/>
    <n v="3455000"/>
    <n v="3368000"/>
    <n v="512000"/>
    <m/>
    <m/>
    <m/>
    <m/>
    <m/>
    <n v="22919000"/>
    <n v="22561000"/>
    <n v="30578000"/>
    <n v="26833000"/>
    <n v="8492000"/>
    <n v="1000"/>
    <n v="774000"/>
    <n v="1671000"/>
    <n v="685000"/>
    <n v="168494000"/>
    <n v="21038000"/>
    <n v="21038000"/>
    <n v="21038000"/>
    <n v="21038000"/>
    <n v="21038000"/>
    <n v="21604000"/>
    <n v="18855000"/>
    <n v="30122000"/>
    <n v="25961000"/>
    <n v="46231000"/>
    <m/>
    <m/>
    <m/>
    <m/>
    <m/>
    <n v="16173000"/>
    <n v="18735000"/>
    <n v="16265000"/>
    <n v="16340000"/>
    <n v="107694000"/>
    <n v="23174000"/>
    <n v="26805000"/>
    <n v="34855000"/>
    <n v="41095000"/>
    <n v="39460000"/>
    <n v="15487000"/>
    <n v="17346000"/>
    <n v="13745000"/>
    <n v="27753000"/>
    <n v="20664000"/>
    <m/>
    <m/>
    <m/>
    <m/>
    <m/>
    <n v="7023000"/>
    <n v="7552000"/>
    <n v="6374000"/>
    <n v="6428000"/>
    <n v="5529000"/>
    <n v="14338000"/>
    <n v="15266000"/>
    <n v="14916000"/>
    <n v="19351000"/>
    <n v="112363000"/>
    <n v="15615000"/>
    <n v="18942000"/>
    <n v="17660000"/>
    <n v="29399000"/>
    <n v="94383000"/>
    <n v="-1359000"/>
    <n v="-2525000"/>
    <n v="11267000"/>
    <n v="-4161000"/>
    <n v="20270000"/>
  </r>
  <r>
    <x v="248"/>
    <n v="24"/>
    <x v="126"/>
    <n v="2930000"/>
    <n v="2323000"/>
    <n v="1620000"/>
    <n v="773000"/>
    <n v="32000"/>
    <n v="288000"/>
    <n v="288000"/>
    <n v="288000"/>
    <n v="288000"/>
    <n v="288000"/>
    <n v="20183000"/>
    <n v="18683000"/>
    <n v="19403000"/>
    <n v="19480000"/>
    <n v="19052000"/>
    <m/>
    <m/>
    <m/>
    <m/>
    <n v="422000"/>
    <m/>
    <m/>
    <m/>
    <m/>
    <m/>
    <m/>
    <m/>
    <m/>
    <m/>
    <m/>
    <m/>
    <m/>
    <m/>
    <m/>
    <m/>
    <n v="14984000"/>
    <n v="13470000"/>
    <n v="16164000"/>
    <n v="16582000"/>
    <n v="17444000"/>
    <m/>
    <m/>
    <m/>
    <m/>
    <m/>
    <m/>
    <n v="593000"/>
    <n v="2007000"/>
    <n v="1074000"/>
    <n v="988000"/>
    <m/>
    <m/>
    <m/>
    <m/>
    <m/>
    <m/>
    <m/>
    <m/>
    <m/>
    <m/>
    <m/>
    <m/>
    <m/>
    <n v="1063000"/>
    <n v="28000"/>
    <m/>
    <m/>
    <n v="670000"/>
    <n v="583000"/>
    <n v="650000"/>
    <m/>
    <n v="-593000"/>
    <n v="-2677000"/>
    <n v="-594000"/>
    <n v="-1610000"/>
  </r>
  <r>
    <x v="249"/>
    <n v="17"/>
    <x v="126"/>
    <n v="85108000"/>
    <n v="81850000"/>
    <n v="74144000"/>
    <n v="94984000"/>
    <n v="73871000"/>
    <n v="13000"/>
    <n v="66000"/>
    <n v="28000"/>
    <n v="28000"/>
    <n v="120000"/>
    <n v="17051000"/>
    <n v="13342000"/>
    <n v="23104000"/>
    <n v="28649000"/>
    <n v="31101000"/>
    <n v="60000"/>
    <n v="36000"/>
    <n v="2000"/>
    <n v="58000"/>
    <n v="24000"/>
    <n v="1000000"/>
    <n v="1000000"/>
    <n v="1000000"/>
    <n v="1000000"/>
    <n v="1000000"/>
    <n v="60122000"/>
    <n v="64105000"/>
    <n v="74105000"/>
    <n v="70593000"/>
    <n v="68846000"/>
    <n v="3383000"/>
    <n v="3786000"/>
    <n v="1650000"/>
    <n v="130000"/>
    <n v="617000"/>
    <n v="27403000"/>
    <n v="18004000"/>
    <n v="11875000"/>
    <n v="26386000"/>
    <n v="21799000"/>
    <n v="13355000"/>
    <n v="13400000"/>
    <n v="23411000"/>
    <n v="42191000"/>
    <n v="18982000"/>
    <m/>
    <m/>
    <n v="58000"/>
    <n v="4836000"/>
    <n v="17000"/>
    <m/>
    <m/>
    <m/>
    <m/>
    <n v="60000"/>
    <n v="7760000"/>
    <n v="8970000"/>
    <n v="12046000"/>
    <n v="16668000"/>
    <n v="20852000"/>
    <n v="22998000"/>
    <n v="9052000"/>
    <n v="8300000"/>
    <n v="11108000"/>
    <n v="9330000"/>
    <n v="25059000"/>
    <n v="7018000"/>
    <n v="7319000"/>
    <n v="13468000"/>
    <n v="4056000"/>
    <n v="3019000"/>
    <n v="3983000"/>
    <n v="10000000"/>
    <n v="6855000"/>
    <n v="-1589000"/>
  </r>
  <r>
    <x v="250"/>
    <n v="13"/>
    <x v="127"/>
    <n v="9324000"/>
    <m/>
    <n v="9324000"/>
    <n v="51025000"/>
    <n v="51024000"/>
    <n v="632000"/>
    <m/>
    <n v="632000"/>
    <n v="632000"/>
    <m/>
    <n v="42683000"/>
    <m/>
    <n v="42683000"/>
    <n v="42683000"/>
    <n v="42683000"/>
    <n v="17000"/>
    <m/>
    <n v="17000"/>
    <n v="3530000"/>
    <n v="1017000"/>
    <n v="10000"/>
    <m/>
    <n v="10000"/>
    <n v="10000"/>
    <n v="10000"/>
    <n v="-21513000"/>
    <m/>
    <n v="-21513000"/>
    <n v="-223653000"/>
    <n v="-226798000"/>
    <n v="68751000"/>
    <m/>
    <n v="68751000"/>
    <m/>
    <m/>
    <n v="5508000"/>
    <m/>
    <n v="5508000"/>
    <m/>
    <m/>
    <m/>
    <m/>
    <m/>
    <m/>
    <m/>
    <n v="16000"/>
    <m/>
    <m/>
    <m/>
    <m/>
    <m/>
    <m/>
    <m/>
    <m/>
    <m/>
    <n v="1770000"/>
    <m/>
    <m/>
    <m/>
    <m/>
    <m/>
    <m/>
    <m/>
    <m/>
    <m/>
    <n v="7000"/>
    <m/>
    <m/>
    <m/>
    <m/>
    <n v="-1793000"/>
    <m/>
    <m/>
    <m/>
    <m/>
  </r>
  <r>
    <x v="251"/>
    <n v="21"/>
    <x v="128"/>
    <n v="9246000"/>
    <n v="36965000"/>
    <n v="29695000"/>
    <n v="6380000"/>
    <n v="1647000"/>
    <n v="40570000"/>
    <n v="12874000"/>
    <n v="4533000"/>
    <n v="2193000"/>
    <m/>
    <n v="376156000"/>
    <n v="152092000"/>
    <n v="76896000"/>
    <n v="73786000"/>
    <n v="9456000"/>
    <n v="497000"/>
    <n v="11086000"/>
    <n v="1000000"/>
    <n v="19921000"/>
    <n v="33922000"/>
    <n v="100000"/>
    <n v="100000"/>
    <n v="100000"/>
    <m/>
    <m/>
    <n v="26123000"/>
    <n v="-294063000"/>
    <n v="-395966000"/>
    <m/>
    <m/>
    <n v="472000"/>
    <n v="18951000"/>
    <n v="18951000"/>
    <n v="18951000"/>
    <n v="270971000"/>
    <n v="158268000"/>
    <n v="232783000"/>
    <n v="232125000"/>
    <n v="212323000"/>
    <n v="249741000"/>
    <n v="699616000"/>
    <n v="358333000"/>
    <n v="103289000"/>
    <n v="2540000"/>
    <n v="1674000"/>
    <n v="566887000"/>
    <n v="340317000"/>
    <n v="143262000"/>
    <n v="21455000"/>
    <n v="9370000"/>
    <m/>
    <m/>
    <m/>
    <m/>
    <m/>
    <n v="86936000"/>
    <n v="74103000"/>
    <n v="51332000"/>
    <m/>
    <m/>
    <n v="10113000"/>
    <n v="15417000"/>
    <n v="959000"/>
    <n v="37944000"/>
    <n v="24429000"/>
    <n v="17868000"/>
    <n v="256313000"/>
    <n v="5134000"/>
    <n v="9330000"/>
    <n v="31000"/>
    <n v="5265000"/>
    <n v="-320186000"/>
    <n v="-101903000"/>
    <n v="9056000"/>
    <n v="12188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СводнаяТаблица1" cacheId="0" applyNumberFormats="0" applyBorderFormats="0" applyFontFormats="0" applyPatternFormats="0" applyAlignmentFormats="0" applyWidthHeightFormats="1" dataCaption="Значения" updatedVersion="3" minRefreshableVersion="3" showCalcMbrs="0" useAutoFormatting="1" itemPrintTitles="1" createdVersion="3" indent="0" outline="1" outlineData="1" multipleFieldFilters="0">
  <location ref="A3:B133" firstHeaderRow="1" firstDataRow="1" firstDataCol="1"/>
  <pivotFields count="78">
    <pivotField numFmtId="3" showAll="0">
      <items count="253">
        <item x="227"/>
        <item x="78"/>
        <item x="79"/>
        <item x="125"/>
        <item x="234"/>
        <item x="71"/>
        <item x="1"/>
        <item x="196"/>
        <item x="207"/>
        <item x="215"/>
        <item x="250"/>
        <item x="167"/>
        <item x="200"/>
        <item x="154"/>
        <item x="173"/>
        <item x="80"/>
        <item x="193"/>
        <item x="36"/>
        <item x="112"/>
        <item x="199"/>
        <item x="235"/>
        <item x="236"/>
        <item x="40"/>
        <item x="189"/>
        <item x="73"/>
        <item x="121"/>
        <item x="81"/>
        <item x="67"/>
        <item x="43"/>
        <item x="191"/>
        <item x="194"/>
        <item x="218"/>
        <item x="228"/>
        <item x="143"/>
        <item x="166"/>
        <item x="28"/>
        <item x="198"/>
        <item x="237"/>
        <item x="2"/>
        <item x="3"/>
        <item x="82"/>
        <item x="220"/>
        <item x="229"/>
        <item x="216"/>
        <item x="188"/>
        <item x="128"/>
        <item x="178"/>
        <item x="160"/>
        <item x="83"/>
        <item x="161"/>
        <item x="17"/>
        <item x="145"/>
        <item x="18"/>
        <item x="4"/>
        <item x="19"/>
        <item x="208"/>
        <item x="224"/>
        <item x="59"/>
        <item x="113"/>
        <item x="84"/>
        <item x="85"/>
        <item x="170"/>
        <item x="86"/>
        <item x="247"/>
        <item x="69"/>
        <item x="136"/>
        <item x="238"/>
        <item x="168"/>
        <item x="5"/>
        <item x="114"/>
        <item x="248"/>
        <item x="209"/>
        <item x="152"/>
        <item x="202"/>
        <item x="87"/>
        <item x="162"/>
        <item x="6"/>
        <item x="206"/>
        <item x="179"/>
        <item x="177"/>
        <item x="230"/>
        <item x="48"/>
        <item x="7"/>
        <item x="149"/>
        <item x="33"/>
        <item x="45"/>
        <item x="163"/>
        <item x="34"/>
        <item x="31"/>
        <item x="137"/>
        <item x="126"/>
        <item x="223"/>
        <item x="155"/>
        <item x="148"/>
        <item x="72"/>
        <item x="225"/>
        <item x="239"/>
        <item x="187"/>
        <item x="164"/>
        <item x="38"/>
        <item x="174"/>
        <item x="88"/>
        <item x="190"/>
        <item x="89"/>
        <item x="37"/>
        <item x="90"/>
        <item x="204"/>
        <item x="60"/>
        <item x="195"/>
        <item x="55"/>
        <item x="157"/>
        <item x="64"/>
        <item x="115"/>
        <item x="41"/>
        <item x="211"/>
        <item x="169"/>
        <item x="141"/>
        <item x="54"/>
        <item x="57"/>
        <item x="205"/>
        <item x="56"/>
        <item x="221"/>
        <item x="110"/>
        <item x="50"/>
        <item x="175"/>
        <item x="42"/>
        <item x="91"/>
        <item x="32"/>
        <item x="203"/>
        <item x="142"/>
        <item x="240"/>
        <item x="46"/>
        <item x="44"/>
        <item x="92"/>
        <item x="93"/>
        <item x="171"/>
        <item x="241"/>
        <item x="242"/>
        <item x="74"/>
        <item x="151"/>
        <item x="181"/>
        <item x="30"/>
        <item x="116"/>
        <item x="150"/>
        <item x="140"/>
        <item x="94"/>
        <item x="197"/>
        <item x="95"/>
        <item x="96"/>
        <item x="62"/>
        <item x="243"/>
        <item x="158"/>
        <item x="97"/>
        <item x="214"/>
        <item x="146"/>
        <item x="70"/>
        <item x="172"/>
        <item x="98"/>
        <item x="117"/>
        <item x="58"/>
        <item x="99"/>
        <item x="8"/>
        <item x="100"/>
        <item x="101"/>
        <item x="131"/>
        <item x="9"/>
        <item x="231"/>
        <item x="120"/>
        <item x="244"/>
        <item x="119"/>
        <item x="153"/>
        <item x="232"/>
        <item x="102"/>
        <item x="133"/>
        <item x="39"/>
        <item x="75"/>
        <item x="130"/>
        <item x="61"/>
        <item x="159"/>
        <item x="134"/>
        <item x="10"/>
        <item x="122"/>
        <item x="68"/>
        <item x="103"/>
        <item x="118"/>
        <item x="124"/>
        <item x="104"/>
        <item x="35"/>
        <item x="144"/>
        <item x="111"/>
        <item x="123"/>
        <item x="210"/>
        <item x="11"/>
        <item x="185"/>
        <item x="65"/>
        <item x="165"/>
        <item x="66"/>
        <item x="12"/>
        <item x="20"/>
        <item x="13"/>
        <item x="21"/>
        <item x="22"/>
        <item x="14"/>
        <item x="15"/>
        <item x="29"/>
        <item x="217"/>
        <item x="23"/>
        <item x="24"/>
        <item x="16"/>
        <item x="76"/>
        <item x="0"/>
        <item x="25"/>
        <item x="219"/>
        <item x="26"/>
        <item x="63"/>
        <item x="251"/>
        <item x="51"/>
        <item x="249"/>
        <item x="132"/>
        <item x="105"/>
        <item x="186"/>
        <item x="245"/>
        <item x="138"/>
        <item x="106"/>
        <item x="233"/>
        <item x="222"/>
        <item x="176"/>
        <item x="182"/>
        <item x="213"/>
        <item x="226"/>
        <item x="127"/>
        <item x="156"/>
        <item x="107"/>
        <item x="201"/>
        <item x="246"/>
        <item x="108"/>
        <item x="109"/>
        <item x="49"/>
        <item x="147"/>
        <item x="52"/>
        <item x="47"/>
        <item x="139"/>
        <item x="135"/>
        <item x="129"/>
        <item x="77"/>
        <item x="183"/>
        <item x="180"/>
        <item x="212"/>
        <item x="27"/>
        <item x="53"/>
        <item x="184"/>
        <item x="192"/>
        <item t="default"/>
      </items>
    </pivotField>
    <pivotField numFmtId="3" showAll="0"/>
    <pivotField axis="axisRow" dataField="1" showAll="0">
      <items count="130"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1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 t="grand">
      <x/>
    </i>
  </rowItems>
  <colItems count="1">
    <i/>
  </colItems>
  <dataFields count="1">
    <dataField name="Количество по полю Вид деятельности/отрасль" fld="2" subtotal="count" baseField="0" baseItem="0"/>
  </dataFields>
  <formats count="5">
    <format dxfId="12">
      <pivotArea field="2" type="button" dataOnly="0" labelOnly="1" outline="0" axis="axisRow" fieldPosition="0"/>
    </format>
    <format dxfId="11">
      <pivotArea dataOnly="0" labelOnly="1" fieldPosition="0">
        <references count="1">
          <reference field="2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0">
      <pivotArea dataOnly="0" labelOnly="1" fieldPosition="0">
        <references count="1">
          <reference field="2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9">
      <pivotArea dataOnly="0" labelOnly="1" fieldPosition="0">
        <references count="1">
          <reference field="2" count="29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</reference>
        </references>
      </pivotArea>
    </format>
    <format dxfId="8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spark-interfax.ru/system/home/card" TargetMode="External"/><Relationship Id="rId21" Type="http://schemas.openxmlformats.org/officeDocument/2006/relationships/hyperlink" Target="https://spark-interfax.ru/system/home/card" TargetMode="External"/><Relationship Id="rId42" Type="http://schemas.openxmlformats.org/officeDocument/2006/relationships/hyperlink" Target="https://spark-interfax.ru/system/home/card" TargetMode="External"/><Relationship Id="rId63" Type="http://schemas.openxmlformats.org/officeDocument/2006/relationships/hyperlink" Target="https://spark-interfax.ru/system/home/card" TargetMode="External"/><Relationship Id="rId84" Type="http://schemas.openxmlformats.org/officeDocument/2006/relationships/hyperlink" Target="https://spark-interfax.ru/system/home/card" TargetMode="External"/><Relationship Id="rId138" Type="http://schemas.openxmlformats.org/officeDocument/2006/relationships/hyperlink" Target="https://spark-interfax.ru/system/home/card" TargetMode="External"/><Relationship Id="rId159" Type="http://schemas.openxmlformats.org/officeDocument/2006/relationships/hyperlink" Target="https://spark-interfax.ru/system/home/card" TargetMode="External"/><Relationship Id="rId170" Type="http://schemas.openxmlformats.org/officeDocument/2006/relationships/hyperlink" Target="https://spark-interfax.ru/system/home/card" TargetMode="External"/><Relationship Id="rId191" Type="http://schemas.openxmlformats.org/officeDocument/2006/relationships/hyperlink" Target="https://spark-interfax.ru/system/home/card" TargetMode="External"/><Relationship Id="rId205" Type="http://schemas.openxmlformats.org/officeDocument/2006/relationships/hyperlink" Target="https://spark-interfax.ru/system/home/card" TargetMode="External"/><Relationship Id="rId226" Type="http://schemas.openxmlformats.org/officeDocument/2006/relationships/hyperlink" Target="https://spark-interfax.ru/system/home/card" TargetMode="External"/><Relationship Id="rId247" Type="http://schemas.openxmlformats.org/officeDocument/2006/relationships/hyperlink" Target="https://spark-interfax.ru/system/home/card" TargetMode="External"/><Relationship Id="rId107" Type="http://schemas.openxmlformats.org/officeDocument/2006/relationships/hyperlink" Target="https://spark-interfax.ru/system/home/card" TargetMode="External"/><Relationship Id="rId11" Type="http://schemas.openxmlformats.org/officeDocument/2006/relationships/hyperlink" Target="https://spark-interfax.ru/system/home/card" TargetMode="External"/><Relationship Id="rId32" Type="http://schemas.openxmlformats.org/officeDocument/2006/relationships/hyperlink" Target="https://spark-interfax.ru/system/home/card" TargetMode="External"/><Relationship Id="rId53" Type="http://schemas.openxmlformats.org/officeDocument/2006/relationships/hyperlink" Target="https://spark-interfax.ru/system/home/card" TargetMode="External"/><Relationship Id="rId74" Type="http://schemas.openxmlformats.org/officeDocument/2006/relationships/hyperlink" Target="https://spark-interfax.ru/system/home/card" TargetMode="External"/><Relationship Id="rId128" Type="http://schemas.openxmlformats.org/officeDocument/2006/relationships/hyperlink" Target="https://spark-interfax.ru/system/home/card" TargetMode="External"/><Relationship Id="rId149" Type="http://schemas.openxmlformats.org/officeDocument/2006/relationships/hyperlink" Target="https://spark-interfax.ru/system/home/card" TargetMode="External"/><Relationship Id="rId5" Type="http://schemas.openxmlformats.org/officeDocument/2006/relationships/hyperlink" Target="https://spark-interfax.ru/system/home/card" TargetMode="External"/><Relationship Id="rId95" Type="http://schemas.openxmlformats.org/officeDocument/2006/relationships/hyperlink" Target="https://spark-interfax.ru/system/home/card" TargetMode="External"/><Relationship Id="rId160" Type="http://schemas.openxmlformats.org/officeDocument/2006/relationships/hyperlink" Target="https://spark-interfax.ru/system/home/card" TargetMode="External"/><Relationship Id="rId181" Type="http://schemas.openxmlformats.org/officeDocument/2006/relationships/hyperlink" Target="https://spark-interfax.ru/system/home/card" TargetMode="External"/><Relationship Id="rId216" Type="http://schemas.openxmlformats.org/officeDocument/2006/relationships/hyperlink" Target="https://spark-interfax.ru/system/home/card" TargetMode="External"/><Relationship Id="rId237" Type="http://schemas.openxmlformats.org/officeDocument/2006/relationships/hyperlink" Target="https://spark-interfax.ru/system/home/card" TargetMode="External"/><Relationship Id="rId22" Type="http://schemas.openxmlformats.org/officeDocument/2006/relationships/hyperlink" Target="https://spark-interfax.ru/system/home/card" TargetMode="External"/><Relationship Id="rId43" Type="http://schemas.openxmlformats.org/officeDocument/2006/relationships/hyperlink" Target="https://spark-interfax.ru/system/home/card" TargetMode="External"/><Relationship Id="rId64" Type="http://schemas.openxmlformats.org/officeDocument/2006/relationships/hyperlink" Target="https://spark-interfax.ru/system/home/card" TargetMode="External"/><Relationship Id="rId118" Type="http://schemas.openxmlformats.org/officeDocument/2006/relationships/hyperlink" Target="https://spark-interfax.ru/system/home/card" TargetMode="External"/><Relationship Id="rId139" Type="http://schemas.openxmlformats.org/officeDocument/2006/relationships/hyperlink" Target="https://spark-interfax.ru/system/home/card" TargetMode="External"/><Relationship Id="rId85" Type="http://schemas.openxmlformats.org/officeDocument/2006/relationships/hyperlink" Target="https://spark-interfax.ru/system/home/card" TargetMode="External"/><Relationship Id="rId150" Type="http://schemas.openxmlformats.org/officeDocument/2006/relationships/hyperlink" Target="https://spark-interfax.ru/system/home/card" TargetMode="External"/><Relationship Id="rId171" Type="http://schemas.openxmlformats.org/officeDocument/2006/relationships/hyperlink" Target="https://spark-interfax.ru/system/home/card" TargetMode="External"/><Relationship Id="rId192" Type="http://schemas.openxmlformats.org/officeDocument/2006/relationships/hyperlink" Target="https://spark-interfax.ru/system/home/card" TargetMode="External"/><Relationship Id="rId206" Type="http://schemas.openxmlformats.org/officeDocument/2006/relationships/hyperlink" Target="https://spark-interfax.ru/system/home/card" TargetMode="External"/><Relationship Id="rId227" Type="http://schemas.openxmlformats.org/officeDocument/2006/relationships/hyperlink" Target="https://spark-interfax.ru/system/home/card" TargetMode="External"/><Relationship Id="rId248" Type="http://schemas.openxmlformats.org/officeDocument/2006/relationships/hyperlink" Target="https://spark-interfax.ru/system/home/card" TargetMode="External"/><Relationship Id="rId12" Type="http://schemas.openxmlformats.org/officeDocument/2006/relationships/hyperlink" Target="https://spark-interfax.ru/system/home/card" TargetMode="External"/><Relationship Id="rId33" Type="http://schemas.openxmlformats.org/officeDocument/2006/relationships/hyperlink" Target="https://spark-interfax.ru/system/home/card" TargetMode="External"/><Relationship Id="rId108" Type="http://schemas.openxmlformats.org/officeDocument/2006/relationships/hyperlink" Target="https://spark-interfax.ru/system/home/card" TargetMode="External"/><Relationship Id="rId129" Type="http://schemas.openxmlformats.org/officeDocument/2006/relationships/hyperlink" Target="https://spark-interfax.ru/system/home/card" TargetMode="External"/><Relationship Id="rId54" Type="http://schemas.openxmlformats.org/officeDocument/2006/relationships/hyperlink" Target="https://spark-interfax.ru/system/home/card" TargetMode="External"/><Relationship Id="rId75" Type="http://schemas.openxmlformats.org/officeDocument/2006/relationships/hyperlink" Target="https://spark-interfax.ru/system/home/card" TargetMode="External"/><Relationship Id="rId96" Type="http://schemas.openxmlformats.org/officeDocument/2006/relationships/hyperlink" Target="https://spark-interfax.ru/system/home/card" TargetMode="External"/><Relationship Id="rId140" Type="http://schemas.openxmlformats.org/officeDocument/2006/relationships/hyperlink" Target="https://spark-interfax.ru/system/home/card" TargetMode="External"/><Relationship Id="rId161" Type="http://schemas.openxmlformats.org/officeDocument/2006/relationships/hyperlink" Target="https://spark-interfax.ru/system/home/card" TargetMode="External"/><Relationship Id="rId182" Type="http://schemas.openxmlformats.org/officeDocument/2006/relationships/hyperlink" Target="https://spark-interfax.ru/system/home/card" TargetMode="External"/><Relationship Id="rId217" Type="http://schemas.openxmlformats.org/officeDocument/2006/relationships/hyperlink" Target="https://spark-interfax.ru/system/home/card" TargetMode="External"/><Relationship Id="rId6" Type="http://schemas.openxmlformats.org/officeDocument/2006/relationships/hyperlink" Target="https://spark-interfax.ru/system/home/card" TargetMode="External"/><Relationship Id="rId238" Type="http://schemas.openxmlformats.org/officeDocument/2006/relationships/hyperlink" Target="https://spark-interfax.ru/system/home/card" TargetMode="External"/><Relationship Id="rId23" Type="http://schemas.openxmlformats.org/officeDocument/2006/relationships/hyperlink" Target="https://spark-interfax.ru/system/home/card" TargetMode="External"/><Relationship Id="rId119" Type="http://schemas.openxmlformats.org/officeDocument/2006/relationships/hyperlink" Target="https://spark-interfax.ru/system/home/card" TargetMode="External"/><Relationship Id="rId44" Type="http://schemas.openxmlformats.org/officeDocument/2006/relationships/hyperlink" Target="https://spark-interfax.ru/system/home/card" TargetMode="External"/><Relationship Id="rId65" Type="http://schemas.openxmlformats.org/officeDocument/2006/relationships/hyperlink" Target="https://spark-interfax.ru/system/home/card" TargetMode="External"/><Relationship Id="rId86" Type="http://schemas.openxmlformats.org/officeDocument/2006/relationships/hyperlink" Target="https://spark-interfax.ru/system/home/card" TargetMode="External"/><Relationship Id="rId130" Type="http://schemas.openxmlformats.org/officeDocument/2006/relationships/hyperlink" Target="https://spark-interfax.ru/system/home/card" TargetMode="External"/><Relationship Id="rId151" Type="http://schemas.openxmlformats.org/officeDocument/2006/relationships/hyperlink" Target="https://spark-interfax.ru/system/home/card" TargetMode="External"/><Relationship Id="rId172" Type="http://schemas.openxmlformats.org/officeDocument/2006/relationships/hyperlink" Target="https://spark-interfax.ru/system/home/card" TargetMode="External"/><Relationship Id="rId193" Type="http://schemas.openxmlformats.org/officeDocument/2006/relationships/hyperlink" Target="https://spark-interfax.ru/system/home/card" TargetMode="External"/><Relationship Id="rId207" Type="http://schemas.openxmlformats.org/officeDocument/2006/relationships/hyperlink" Target="https://spark-interfax.ru/system/home/card" TargetMode="External"/><Relationship Id="rId228" Type="http://schemas.openxmlformats.org/officeDocument/2006/relationships/hyperlink" Target="https://spark-interfax.ru/system/home/card" TargetMode="External"/><Relationship Id="rId249" Type="http://schemas.openxmlformats.org/officeDocument/2006/relationships/hyperlink" Target="https://spark-interfax.ru/system/home/card" TargetMode="External"/><Relationship Id="rId13" Type="http://schemas.openxmlformats.org/officeDocument/2006/relationships/hyperlink" Target="https://spark-interfax.ru/system/home/card" TargetMode="External"/><Relationship Id="rId109" Type="http://schemas.openxmlformats.org/officeDocument/2006/relationships/hyperlink" Target="https://spark-interfax.ru/system/home/card" TargetMode="External"/><Relationship Id="rId34" Type="http://schemas.openxmlformats.org/officeDocument/2006/relationships/hyperlink" Target="https://spark-interfax.ru/system/home/card" TargetMode="External"/><Relationship Id="rId55" Type="http://schemas.openxmlformats.org/officeDocument/2006/relationships/hyperlink" Target="https://spark-interfax.ru/system/home/card" TargetMode="External"/><Relationship Id="rId76" Type="http://schemas.openxmlformats.org/officeDocument/2006/relationships/hyperlink" Target="https://spark-interfax.ru/system/home/card" TargetMode="External"/><Relationship Id="rId97" Type="http://schemas.openxmlformats.org/officeDocument/2006/relationships/hyperlink" Target="https://spark-interfax.ru/system/home/card" TargetMode="External"/><Relationship Id="rId120" Type="http://schemas.openxmlformats.org/officeDocument/2006/relationships/hyperlink" Target="https://spark-interfax.ru/system/home/card" TargetMode="External"/><Relationship Id="rId141" Type="http://schemas.openxmlformats.org/officeDocument/2006/relationships/hyperlink" Target="https://spark-interfax.ru/system/home/card" TargetMode="External"/><Relationship Id="rId7" Type="http://schemas.openxmlformats.org/officeDocument/2006/relationships/hyperlink" Target="https://spark-interfax.ru/system/home/card" TargetMode="External"/><Relationship Id="rId162" Type="http://schemas.openxmlformats.org/officeDocument/2006/relationships/hyperlink" Target="https://spark-interfax.ru/system/home/card" TargetMode="External"/><Relationship Id="rId183" Type="http://schemas.openxmlformats.org/officeDocument/2006/relationships/hyperlink" Target="https://spark-interfax.ru/system/home/card" TargetMode="External"/><Relationship Id="rId218" Type="http://schemas.openxmlformats.org/officeDocument/2006/relationships/hyperlink" Target="https://spark-interfax.ru/system/home/card" TargetMode="External"/><Relationship Id="rId239" Type="http://schemas.openxmlformats.org/officeDocument/2006/relationships/hyperlink" Target="https://spark-interfax.ru/system/home/card" TargetMode="External"/><Relationship Id="rId250" Type="http://schemas.openxmlformats.org/officeDocument/2006/relationships/hyperlink" Target="https://spark-interfax.ru/system/home/card" TargetMode="External"/><Relationship Id="rId24" Type="http://schemas.openxmlformats.org/officeDocument/2006/relationships/hyperlink" Target="https://spark-interfax.ru/system/home/card" TargetMode="External"/><Relationship Id="rId45" Type="http://schemas.openxmlformats.org/officeDocument/2006/relationships/hyperlink" Target="https://spark-interfax.ru/system/home/card" TargetMode="External"/><Relationship Id="rId66" Type="http://schemas.openxmlformats.org/officeDocument/2006/relationships/hyperlink" Target="https://spark-interfax.ru/system/home/card" TargetMode="External"/><Relationship Id="rId87" Type="http://schemas.openxmlformats.org/officeDocument/2006/relationships/hyperlink" Target="https://spark-interfax.ru/system/home/card" TargetMode="External"/><Relationship Id="rId110" Type="http://schemas.openxmlformats.org/officeDocument/2006/relationships/hyperlink" Target="https://spark-interfax.ru/system/home/card" TargetMode="External"/><Relationship Id="rId131" Type="http://schemas.openxmlformats.org/officeDocument/2006/relationships/hyperlink" Target="https://spark-interfax.ru/system/home/card" TargetMode="External"/><Relationship Id="rId152" Type="http://schemas.openxmlformats.org/officeDocument/2006/relationships/hyperlink" Target="https://spark-interfax.ru/system/home/card" TargetMode="External"/><Relationship Id="rId173" Type="http://schemas.openxmlformats.org/officeDocument/2006/relationships/hyperlink" Target="https://spark-interfax.ru/system/home/card" TargetMode="External"/><Relationship Id="rId194" Type="http://schemas.openxmlformats.org/officeDocument/2006/relationships/hyperlink" Target="https://spark-interfax.ru/system/home/card" TargetMode="External"/><Relationship Id="rId208" Type="http://schemas.openxmlformats.org/officeDocument/2006/relationships/hyperlink" Target="https://spark-interfax.ru/system/home/card" TargetMode="External"/><Relationship Id="rId229" Type="http://schemas.openxmlformats.org/officeDocument/2006/relationships/hyperlink" Target="https://spark-interfax.ru/system/home/card" TargetMode="External"/><Relationship Id="rId240" Type="http://schemas.openxmlformats.org/officeDocument/2006/relationships/hyperlink" Target="https://spark-interfax.ru/system/home/card" TargetMode="External"/><Relationship Id="rId14" Type="http://schemas.openxmlformats.org/officeDocument/2006/relationships/hyperlink" Target="https://spark-interfax.ru/system/home/card" TargetMode="External"/><Relationship Id="rId35" Type="http://schemas.openxmlformats.org/officeDocument/2006/relationships/hyperlink" Target="https://spark-interfax.ru/system/home/card" TargetMode="External"/><Relationship Id="rId56" Type="http://schemas.openxmlformats.org/officeDocument/2006/relationships/hyperlink" Target="https://spark-interfax.ru/system/home/card" TargetMode="External"/><Relationship Id="rId77" Type="http://schemas.openxmlformats.org/officeDocument/2006/relationships/hyperlink" Target="https://spark-interfax.ru/system/home/card" TargetMode="External"/><Relationship Id="rId100" Type="http://schemas.openxmlformats.org/officeDocument/2006/relationships/hyperlink" Target="https://spark-interfax.ru/system/home/card" TargetMode="External"/><Relationship Id="rId8" Type="http://schemas.openxmlformats.org/officeDocument/2006/relationships/hyperlink" Target="https://spark-interfax.ru/system/home/card" TargetMode="External"/><Relationship Id="rId98" Type="http://schemas.openxmlformats.org/officeDocument/2006/relationships/hyperlink" Target="https://spark-interfax.ru/system/home/card" TargetMode="External"/><Relationship Id="rId121" Type="http://schemas.openxmlformats.org/officeDocument/2006/relationships/hyperlink" Target="https://spark-interfax.ru/system/home/card" TargetMode="External"/><Relationship Id="rId142" Type="http://schemas.openxmlformats.org/officeDocument/2006/relationships/hyperlink" Target="https://spark-interfax.ru/system/home/card" TargetMode="External"/><Relationship Id="rId163" Type="http://schemas.openxmlformats.org/officeDocument/2006/relationships/hyperlink" Target="https://spark-interfax.ru/system/home/card" TargetMode="External"/><Relationship Id="rId184" Type="http://schemas.openxmlformats.org/officeDocument/2006/relationships/hyperlink" Target="https://spark-interfax.ru/system/home/card" TargetMode="External"/><Relationship Id="rId219" Type="http://schemas.openxmlformats.org/officeDocument/2006/relationships/hyperlink" Target="https://spark-interfax.ru/system/home/card" TargetMode="External"/><Relationship Id="rId230" Type="http://schemas.openxmlformats.org/officeDocument/2006/relationships/hyperlink" Target="https://spark-interfax.ru/system/home/card" TargetMode="External"/><Relationship Id="rId251" Type="http://schemas.openxmlformats.org/officeDocument/2006/relationships/hyperlink" Target="https://spark-interfax.ru/system/home/card" TargetMode="External"/><Relationship Id="rId25" Type="http://schemas.openxmlformats.org/officeDocument/2006/relationships/hyperlink" Target="https://spark-interfax.ru/system/home/card" TargetMode="External"/><Relationship Id="rId46" Type="http://schemas.openxmlformats.org/officeDocument/2006/relationships/hyperlink" Target="https://spark-interfax.ru/system/home/card" TargetMode="External"/><Relationship Id="rId67" Type="http://schemas.openxmlformats.org/officeDocument/2006/relationships/hyperlink" Target="https://spark-interfax.ru/system/home/card" TargetMode="External"/><Relationship Id="rId88" Type="http://schemas.openxmlformats.org/officeDocument/2006/relationships/hyperlink" Target="https://spark-interfax.ru/system/home/card" TargetMode="External"/><Relationship Id="rId111" Type="http://schemas.openxmlformats.org/officeDocument/2006/relationships/hyperlink" Target="https://spark-interfax.ru/system/home/card" TargetMode="External"/><Relationship Id="rId132" Type="http://schemas.openxmlformats.org/officeDocument/2006/relationships/hyperlink" Target="https://spark-interfax.ru/system/home/card" TargetMode="External"/><Relationship Id="rId153" Type="http://schemas.openxmlformats.org/officeDocument/2006/relationships/hyperlink" Target="https://spark-interfax.ru/system/home/card" TargetMode="External"/><Relationship Id="rId174" Type="http://schemas.openxmlformats.org/officeDocument/2006/relationships/hyperlink" Target="https://spark-interfax.ru/system/home/card" TargetMode="External"/><Relationship Id="rId195" Type="http://schemas.openxmlformats.org/officeDocument/2006/relationships/hyperlink" Target="https://spark-interfax.ru/system/home/card" TargetMode="External"/><Relationship Id="rId209" Type="http://schemas.openxmlformats.org/officeDocument/2006/relationships/hyperlink" Target="https://spark-interfax.ru/system/home/card" TargetMode="External"/><Relationship Id="rId220" Type="http://schemas.openxmlformats.org/officeDocument/2006/relationships/hyperlink" Target="https://spark-interfax.ru/system/home/card" TargetMode="External"/><Relationship Id="rId241" Type="http://schemas.openxmlformats.org/officeDocument/2006/relationships/hyperlink" Target="https://spark-interfax.ru/system/home/card" TargetMode="External"/><Relationship Id="rId15" Type="http://schemas.openxmlformats.org/officeDocument/2006/relationships/hyperlink" Target="https://spark-interfax.ru/system/home/card" TargetMode="External"/><Relationship Id="rId36" Type="http://schemas.openxmlformats.org/officeDocument/2006/relationships/hyperlink" Target="https://spark-interfax.ru/system/home/card" TargetMode="External"/><Relationship Id="rId57" Type="http://schemas.openxmlformats.org/officeDocument/2006/relationships/hyperlink" Target="https://spark-interfax.ru/system/home/card" TargetMode="External"/><Relationship Id="rId78" Type="http://schemas.openxmlformats.org/officeDocument/2006/relationships/hyperlink" Target="https://spark-interfax.ru/system/home/card" TargetMode="External"/><Relationship Id="rId99" Type="http://schemas.openxmlformats.org/officeDocument/2006/relationships/hyperlink" Target="https://spark-interfax.ru/system/home/card" TargetMode="External"/><Relationship Id="rId101" Type="http://schemas.openxmlformats.org/officeDocument/2006/relationships/hyperlink" Target="https://spark-interfax.ru/system/home/card" TargetMode="External"/><Relationship Id="rId122" Type="http://schemas.openxmlformats.org/officeDocument/2006/relationships/hyperlink" Target="https://spark-interfax.ru/system/home/card" TargetMode="External"/><Relationship Id="rId143" Type="http://schemas.openxmlformats.org/officeDocument/2006/relationships/hyperlink" Target="https://spark-interfax.ru/system/home/card" TargetMode="External"/><Relationship Id="rId164" Type="http://schemas.openxmlformats.org/officeDocument/2006/relationships/hyperlink" Target="https://spark-interfax.ru/system/home/card" TargetMode="External"/><Relationship Id="rId185" Type="http://schemas.openxmlformats.org/officeDocument/2006/relationships/hyperlink" Target="https://spark-interfax.ru/system/home/card" TargetMode="External"/><Relationship Id="rId4" Type="http://schemas.openxmlformats.org/officeDocument/2006/relationships/hyperlink" Target="https://spark-interfax.ru/system/home/card" TargetMode="External"/><Relationship Id="rId9" Type="http://schemas.openxmlformats.org/officeDocument/2006/relationships/hyperlink" Target="https://spark-interfax.ru/system/home/card" TargetMode="External"/><Relationship Id="rId180" Type="http://schemas.openxmlformats.org/officeDocument/2006/relationships/hyperlink" Target="https://spark-interfax.ru/system/home/card" TargetMode="External"/><Relationship Id="rId210" Type="http://schemas.openxmlformats.org/officeDocument/2006/relationships/hyperlink" Target="https://spark-interfax.ru/system/home/card" TargetMode="External"/><Relationship Id="rId215" Type="http://schemas.openxmlformats.org/officeDocument/2006/relationships/hyperlink" Target="https://spark-interfax.ru/system/home/card" TargetMode="External"/><Relationship Id="rId236" Type="http://schemas.openxmlformats.org/officeDocument/2006/relationships/hyperlink" Target="https://spark-interfax.ru/system/home/card" TargetMode="External"/><Relationship Id="rId26" Type="http://schemas.openxmlformats.org/officeDocument/2006/relationships/hyperlink" Target="https://spark-interfax.ru/system/home/card" TargetMode="External"/><Relationship Id="rId231" Type="http://schemas.openxmlformats.org/officeDocument/2006/relationships/hyperlink" Target="https://spark-interfax.ru/system/home/card" TargetMode="External"/><Relationship Id="rId252" Type="http://schemas.openxmlformats.org/officeDocument/2006/relationships/hyperlink" Target="https://spark-interfax.ru/system/home/card" TargetMode="External"/><Relationship Id="rId47" Type="http://schemas.openxmlformats.org/officeDocument/2006/relationships/hyperlink" Target="https://spark-interfax.ru/system/home/card" TargetMode="External"/><Relationship Id="rId68" Type="http://schemas.openxmlformats.org/officeDocument/2006/relationships/hyperlink" Target="https://spark-interfax.ru/system/home/card" TargetMode="External"/><Relationship Id="rId89" Type="http://schemas.openxmlformats.org/officeDocument/2006/relationships/hyperlink" Target="https://spark-interfax.ru/system/home/card" TargetMode="External"/><Relationship Id="rId112" Type="http://schemas.openxmlformats.org/officeDocument/2006/relationships/hyperlink" Target="https://spark-interfax.ru/system/home/card" TargetMode="External"/><Relationship Id="rId133" Type="http://schemas.openxmlformats.org/officeDocument/2006/relationships/hyperlink" Target="https://spark-interfax.ru/system/home/card" TargetMode="External"/><Relationship Id="rId154" Type="http://schemas.openxmlformats.org/officeDocument/2006/relationships/hyperlink" Target="https://spark-interfax.ru/system/home/card" TargetMode="External"/><Relationship Id="rId175" Type="http://schemas.openxmlformats.org/officeDocument/2006/relationships/hyperlink" Target="https://spark-interfax.ru/system/home/card" TargetMode="External"/><Relationship Id="rId196" Type="http://schemas.openxmlformats.org/officeDocument/2006/relationships/hyperlink" Target="https://spark-interfax.ru/system/home/card" TargetMode="External"/><Relationship Id="rId200" Type="http://schemas.openxmlformats.org/officeDocument/2006/relationships/hyperlink" Target="https://spark-interfax.ru/system/home/card" TargetMode="External"/><Relationship Id="rId16" Type="http://schemas.openxmlformats.org/officeDocument/2006/relationships/hyperlink" Target="https://spark-interfax.ru/system/home/card" TargetMode="External"/><Relationship Id="rId221" Type="http://schemas.openxmlformats.org/officeDocument/2006/relationships/hyperlink" Target="https://spark-interfax.ru/system/home/card" TargetMode="External"/><Relationship Id="rId242" Type="http://schemas.openxmlformats.org/officeDocument/2006/relationships/hyperlink" Target="https://spark-interfax.ru/system/home/card" TargetMode="External"/><Relationship Id="rId37" Type="http://schemas.openxmlformats.org/officeDocument/2006/relationships/hyperlink" Target="https://spark-interfax.ru/system/home/card" TargetMode="External"/><Relationship Id="rId58" Type="http://schemas.openxmlformats.org/officeDocument/2006/relationships/hyperlink" Target="https://spark-interfax.ru/system/home/card" TargetMode="External"/><Relationship Id="rId79" Type="http://schemas.openxmlformats.org/officeDocument/2006/relationships/hyperlink" Target="https://spark-interfax.ru/system/home/card" TargetMode="External"/><Relationship Id="rId102" Type="http://schemas.openxmlformats.org/officeDocument/2006/relationships/hyperlink" Target="https://spark-interfax.ru/system/home/card" TargetMode="External"/><Relationship Id="rId123" Type="http://schemas.openxmlformats.org/officeDocument/2006/relationships/hyperlink" Target="https://spark-interfax.ru/system/home/card" TargetMode="External"/><Relationship Id="rId144" Type="http://schemas.openxmlformats.org/officeDocument/2006/relationships/hyperlink" Target="https://spark-interfax.ru/system/home/card" TargetMode="External"/><Relationship Id="rId90" Type="http://schemas.openxmlformats.org/officeDocument/2006/relationships/hyperlink" Target="https://spark-interfax.ru/system/home/card" TargetMode="External"/><Relationship Id="rId165" Type="http://schemas.openxmlformats.org/officeDocument/2006/relationships/hyperlink" Target="https://spark-interfax.ru/system/home/card" TargetMode="External"/><Relationship Id="rId186" Type="http://schemas.openxmlformats.org/officeDocument/2006/relationships/hyperlink" Target="https://spark-interfax.ru/system/home/card" TargetMode="External"/><Relationship Id="rId211" Type="http://schemas.openxmlformats.org/officeDocument/2006/relationships/hyperlink" Target="https://spark-interfax.ru/system/home/card" TargetMode="External"/><Relationship Id="rId232" Type="http://schemas.openxmlformats.org/officeDocument/2006/relationships/hyperlink" Target="https://spark-interfax.ru/system/home/card" TargetMode="External"/><Relationship Id="rId27" Type="http://schemas.openxmlformats.org/officeDocument/2006/relationships/hyperlink" Target="https://spark-interfax.ru/system/home/card" TargetMode="External"/><Relationship Id="rId48" Type="http://schemas.openxmlformats.org/officeDocument/2006/relationships/hyperlink" Target="https://spark-interfax.ru/system/home/card" TargetMode="External"/><Relationship Id="rId69" Type="http://schemas.openxmlformats.org/officeDocument/2006/relationships/hyperlink" Target="https://spark-interfax.ru/system/home/card" TargetMode="External"/><Relationship Id="rId113" Type="http://schemas.openxmlformats.org/officeDocument/2006/relationships/hyperlink" Target="https://spark-interfax.ru/system/home/card" TargetMode="External"/><Relationship Id="rId134" Type="http://schemas.openxmlformats.org/officeDocument/2006/relationships/hyperlink" Target="https://spark-interfax.ru/system/home/card" TargetMode="External"/><Relationship Id="rId80" Type="http://schemas.openxmlformats.org/officeDocument/2006/relationships/hyperlink" Target="https://spark-interfax.ru/system/home/card" TargetMode="External"/><Relationship Id="rId155" Type="http://schemas.openxmlformats.org/officeDocument/2006/relationships/hyperlink" Target="https://spark-interfax.ru/system/home/card" TargetMode="External"/><Relationship Id="rId176" Type="http://schemas.openxmlformats.org/officeDocument/2006/relationships/hyperlink" Target="https://spark-interfax.ru/system/home/card" TargetMode="External"/><Relationship Id="rId197" Type="http://schemas.openxmlformats.org/officeDocument/2006/relationships/hyperlink" Target="https://spark-interfax.ru/system/home/card" TargetMode="External"/><Relationship Id="rId201" Type="http://schemas.openxmlformats.org/officeDocument/2006/relationships/hyperlink" Target="https://spark-interfax.ru/system/home/card" TargetMode="External"/><Relationship Id="rId222" Type="http://schemas.openxmlformats.org/officeDocument/2006/relationships/hyperlink" Target="https://spark-interfax.ru/system/home/card" TargetMode="External"/><Relationship Id="rId243" Type="http://schemas.openxmlformats.org/officeDocument/2006/relationships/hyperlink" Target="https://spark-interfax.ru/system/home/card" TargetMode="External"/><Relationship Id="rId17" Type="http://schemas.openxmlformats.org/officeDocument/2006/relationships/hyperlink" Target="https://spark-interfax.ru/system/home/card" TargetMode="External"/><Relationship Id="rId38" Type="http://schemas.openxmlformats.org/officeDocument/2006/relationships/hyperlink" Target="https://spark-interfax.ru/system/home/card" TargetMode="External"/><Relationship Id="rId59" Type="http://schemas.openxmlformats.org/officeDocument/2006/relationships/hyperlink" Target="https://spark-interfax.ru/system/home/card" TargetMode="External"/><Relationship Id="rId103" Type="http://schemas.openxmlformats.org/officeDocument/2006/relationships/hyperlink" Target="https://spark-interfax.ru/system/home/card" TargetMode="External"/><Relationship Id="rId124" Type="http://schemas.openxmlformats.org/officeDocument/2006/relationships/hyperlink" Target="https://spark-interfax.ru/system/home/card" TargetMode="External"/><Relationship Id="rId70" Type="http://schemas.openxmlformats.org/officeDocument/2006/relationships/hyperlink" Target="https://spark-interfax.ru/system/home/card" TargetMode="External"/><Relationship Id="rId91" Type="http://schemas.openxmlformats.org/officeDocument/2006/relationships/hyperlink" Target="https://spark-interfax.ru/system/home/card" TargetMode="External"/><Relationship Id="rId145" Type="http://schemas.openxmlformats.org/officeDocument/2006/relationships/hyperlink" Target="https://spark-interfax.ru/system/home/card" TargetMode="External"/><Relationship Id="rId166" Type="http://schemas.openxmlformats.org/officeDocument/2006/relationships/hyperlink" Target="https://spark-interfax.ru/system/home/card" TargetMode="External"/><Relationship Id="rId187" Type="http://schemas.openxmlformats.org/officeDocument/2006/relationships/hyperlink" Target="https://spark-interfax.ru/system/home/card" TargetMode="External"/><Relationship Id="rId1" Type="http://schemas.openxmlformats.org/officeDocument/2006/relationships/hyperlink" Target="https://spark-interfax.ru/system/home/card" TargetMode="External"/><Relationship Id="rId212" Type="http://schemas.openxmlformats.org/officeDocument/2006/relationships/hyperlink" Target="https://spark-interfax.ru/system/home/card" TargetMode="External"/><Relationship Id="rId233" Type="http://schemas.openxmlformats.org/officeDocument/2006/relationships/hyperlink" Target="https://spark-interfax.ru/system/home/card" TargetMode="External"/><Relationship Id="rId28" Type="http://schemas.openxmlformats.org/officeDocument/2006/relationships/hyperlink" Target="https://spark-interfax.ru/system/home/card" TargetMode="External"/><Relationship Id="rId49" Type="http://schemas.openxmlformats.org/officeDocument/2006/relationships/hyperlink" Target="https://spark-interfax.ru/system/home/card" TargetMode="External"/><Relationship Id="rId114" Type="http://schemas.openxmlformats.org/officeDocument/2006/relationships/hyperlink" Target="https://spark-interfax.ru/system/home/card" TargetMode="External"/><Relationship Id="rId60" Type="http://schemas.openxmlformats.org/officeDocument/2006/relationships/hyperlink" Target="https://spark-interfax.ru/system/home/card" TargetMode="External"/><Relationship Id="rId81" Type="http://schemas.openxmlformats.org/officeDocument/2006/relationships/hyperlink" Target="https://spark-interfax.ru/system/home/card" TargetMode="External"/><Relationship Id="rId135" Type="http://schemas.openxmlformats.org/officeDocument/2006/relationships/hyperlink" Target="https://spark-interfax.ru/system/home/card" TargetMode="External"/><Relationship Id="rId156" Type="http://schemas.openxmlformats.org/officeDocument/2006/relationships/hyperlink" Target="https://spark-interfax.ru/system/home/card" TargetMode="External"/><Relationship Id="rId177" Type="http://schemas.openxmlformats.org/officeDocument/2006/relationships/hyperlink" Target="https://spark-interfax.ru/system/home/card" TargetMode="External"/><Relationship Id="rId198" Type="http://schemas.openxmlformats.org/officeDocument/2006/relationships/hyperlink" Target="https://spark-interfax.ru/system/home/card" TargetMode="External"/><Relationship Id="rId202" Type="http://schemas.openxmlformats.org/officeDocument/2006/relationships/hyperlink" Target="https://spark-interfax.ru/system/home/card" TargetMode="External"/><Relationship Id="rId223" Type="http://schemas.openxmlformats.org/officeDocument/2006/relationships/hyperlink" Target="https://spark-interfax.ru/system/home/card" TargetMode="External"/><Relationship Id="rId244" Type="http://schemas.openxmlformats.org/officeDocument/2006/relationships/hyperlink" Target="https://spark-interfax.ru/system/home/card" TargetMode="External"/><Relationship Id="rId18" Type="http://schemas.openxmlformats.org/officeDocument/2006/relationships/hyperlink" Target="https://spark-interfax.ru/system/home/card" TargetMode="External"/><Relationship Id="rId39" Type="http://schemas.openxmlformats.org/officeDocument/2006/relationships/hyperlink" Target="https://spark-interfax.ru/system/home/card" TargetMode="External"/><Relationship Id="rId50" Type="http://schemas.openxmlformats.org/officeDocument/2006/relationships/hyperlink" Target="https://spark-interfax.ru/system/home/card" TargetMode="External"/><Relationship Id="rId104" Type="http://schemas.openxmlformats.org/officeDocument/2006/relationships/hyperlink" Target="https://spark-interfax.ru/system/home/card" TargetMode="External"/><Relationship Id="rId125" Type="http://schemas.openxmlformats.org/officeDocument/2006/relationships/hyperlink" Target="https://spark-interfax.ru/system/home/card" TargetMode="External"/><Relationship Id="rId146" Type="http://schemas.openxmlformats.org/officeDocument/2006/relationships/hyperlink" Target="https://spark-interfax.ru/system/home/card" TargetMode="External"/><Relationship Id="rId167" Type="http://schemas.openxmlformats.org/officeDocument/2006/relationships/hyperlink" Target="https://spark-interfax.ru/system/home/card" TargetMode="External"/><Relationship Id="rId188" Type="http://schemas.openxmlformats.org/officeDocument/2006/relationships/hyperlink" Target="https://spark-interfax.ru/system/home/card" TargetMode="External"/><Relationship Id="rId71" Type="http://schemas.openxmlformats.org/officeDocument/2006/relationships/hyperlink" Target="https://spark-interfax.ru/system/home/card" TargetMode="External"/><Relationship Id="rId92" Type="http://schemas.openxmlformats.org/officeDocument/2006/relationships/hyperlink" Target="https://spark-interfax.ru/system/home/card" TargetMode="External"/><Relationship Id="rId213" Type="http://schemas.openxmlformats.org/officeDocument/2006/relationships/hyperlink" Target="https://spark-interfax.ru/system/home/card" TargetMode="External"/><Relationship Id="rId234" Type="http://schemas.openxmlformats.org/officeDocument/2006/relationships/hyperlink" Target="https://spark-interfax.ru/system/home/card" TargetMode="External"/><Relationship Id="rId2" Type="http://schemas.openxmlformats.org/officeDocument/2006/relationships/hyperlink" Target="https://spark-interfax.ru/system/home/card" TargetMode="External"/><Relationship Id="rId29" Type="http://schemas.openxmlformats.org/officeDocument/2006/relationships/hyperlink" Target="https://spark-interfax.ru/system/home/card" TargetMode="External"/><Relationship Id="rId40" Type="http://schemas.openxmlformats.org/officeDocument/2006/relationships/hyperlink" Target="https://spark-interfax.ru/system/home/card" TargetMode="External"/><Relationship Id="rId115" Type="http://schemas.openxmlformats.org/officeDocument/2006/relationships/hyperlink" Target="https://spark-interfax.ru/system/home/card" TargetMode="External"/><Relationship Id="rId136" Type="http://schemas.openxmlformats.org/officeDocument/2006/relationships/hyperlink" Target="https://spark-interfax.ru/system/home/card" TargetMode="External"/><Relationship Id="rId157" Type="http://schemas.openxmlformats.org/officeDocument/2006/relationships/hyperlink" Target="https://spark-interfax.ru/system/home/card" TargetMode="External"/><Relationship Id="rId178" Type="http://schemas.openxmlformats.org/officeDocument/2006/relationships/hyperlink" Target="https://spark-interfax.ru/system/home/card" TargetMode="External"/><Relationship Id="rId61" Type="http://schemas.openxmlformats.org/officeDocument/2006/relationships/hyperlink" Target="https://spark-interfax.ru/system/home/card" TargetMode="External"/><Relationship Id="rId82" Type="http://schemas.openxmlformats.org/officeDocument/2006/relationships/hyperlink" Target="https://spark-interfax.ru/system/home/card" TargetMode="External"/><Relationship Id="rId199" Type="http://schemas.openxmlformats.org/officeDocument/2006/relationships/hyperlink" Target="https://spark-interfax.ru/system/home/card" TargetMode="External"/><Relationship Id="rId203" Type="http://schemas.openxmlformats.org/officeDocument/2006/relationships/hyperlink" Target="https://spark-interfax.ru/system/home/card" TargetMode="External"/><Relationship Id="rId19" Type="http://schemas.openxmlformats.org/officeDocument/2006/relationships/hyperlink" Target="https://spark-interfax.ru/system/home/card" TargetMode="External"/><Relationship Id="rId224" Type="http://schemas.openxmlformats.org/officeDocument/2006/relationships/hyperlink" Target="https://spark-interfax.ru/system/home/card" TargetMode="External"/><Relationship Id="rId245" Type="http://schemas.openxmlformats.org/officeDocument/2006/relationships/hyperlink" Target="https://spark-interfax.ru/system/home/card" TargetMode="External"/><Relationship Id="rId30" Type="http://schemas.openxmlformats.org/officeDocument/2006/relationships/hyperlink" Target="https://spark-interfax.ru/system/home/card" TargetMode="External"/><Relationship Id="rId105" Type="http://schemas.openxmlformats.org/officeDocument/2006/relationships/hyperlink" Target="https://spark-interfax.ru/system/home/card" TargetMode="External"/><Relationship Id="rId126" Type="http://schemas.openxmlformats.org/officeDocument/2006/relationships/hyperlink" Target="https://spark-interfax.ru/system/home/card" TargetMode="External"/><Relationship Id="rId147" Type="http://schemas.openxmlformats.org/officeDocument/2006/relationships/hyperlink" Target="https://spark-interfax.ru/system/home/card" TargetMode="External"/><Relationship Id="rId168" Type="http://schemas.openxmlformats.org/officeDocument/2006/relationships/hyperlink" Target="https://spark-interfax.ru/system/home/card" TargetMode="External"/><Relationship Id="rId51" Type="http://schemas.openxmlformats.org/officeDocument/2006/relationships/hyperlink" Target="https://spark-interfax.ru/system/home/card" TargetMode="External"/><Relationship Id="rId72" Type="http://schemas.openxmlformats.org/officeDocument/2006/relationships/hyperlink" Target="https://spark-interfax.ru/system/home/card" TargetMode="External"/><Relationship Id="rId93" Type="http://schemas.openxmlformats.org/officeDocument/2006/relationships/hyperlink" Target="https://spark-interfax.ru/system/home/card" TargetMode="External"/><Relationship Id="rId189" Type="http://schemas.openxmlformats.org/officeDocument/2006/relationships/hyperlink" Target="https://spark-interfax.ru/system/home/card" TargetMode="External"/><Relationship Id="rId3" Type="http://schemas.openxmlformats.org/officeDocument/2006/relationships/hyperlink" Target="https://spark-interfax.ru/system/home/card" TargetMode="External"/><Relationship Id="rId214" Type="http://schemas.openxmlformats.org/officeDocument/2006/relationships/hyperlink" Target="https://spark-interfax.ru/system/home/card" TargetMode="External"/><Relationship Id="rId235" Type="http://schemas.openxmlformats.org/officeDocument/2006/relationships/hyperlink" Target="https://spark-interfax.ru/system/home/card" TargetMode="External"/><Relationship Id="rId116" Type="http://schemas.openxmlformats.org/officeDocument/2006/relationships/hyperlink" Target="https://spark-interfax.ru/system/home/card" TargetMode="External"/><Relationship Id="rId137" Type="http://schemas.openxmlformats.org/officeDocument/2006/relationships/hyperlink" Target="https://spark-interfax.ru/system/home/card" TargetMode="External"/><Relationship Id="rId158" Type="http://schemas.openxmlformats.org/officeDocument/2006/relationships/hyperlink" Target="https://spark-interfax.ru/system/home/card" TargetMode="External"/><Relationship Id="rId20" Type="http://schemas.openxmlformats.org/officeDocument/2006/relationships/hyperlink" Target="https://spark-interfax.ru/system/home/card" TargetMode="External"/><Relationship Id="rId41" Type="http://schemas.openxmlformats.org/officeDocument/2006/relationships/hyperlink" Target="https://spark-interfax.ru/system/home/card" TargetMode="External"/><Relationship Id="rId62" Type="http://schemas.openxmlformats.org/officeDocument/2006/relationships/hyperlink" Target="https://spark-interfax.ru/system/home/card" TargetMode="External"/><Relationship Id="rId83" Type="http://schemas.openxmlformats.org/officeDocument/2006/relationships/hyperlink" Target="https://spark-interfax.ru/system/home/card" TargetMode="External"/><Relationship Id="rId179" Type="http://schemas.openxmlformats.org/officeDocument/2006/relationships/hyperlink" Target="https://spark-interfax.ru/system/home/card" TargetMode="External"/><Relationship Id="rId190" Type="http://schemas.openxmlformats.org/officeDocument/2006/relationships/hyperlink" Target="https://spark-interfax.ru/system/home/card" TargetMode="External"/><Relationship Id="rId204" Type="http://schemas.openxmlformats.org/officeDocument/2006/relationships/hyperlink" Target="https://spark-interfax.ru/system/home/card" TargetMode="External"/><Relationship Id="rId225" Type="http://schemas.openxmlformats.org/officeDocument/2006/relationships/hyperlink" Target="https://spark-interfax.ru/system/home/card" TargetMode="External"/><Relationship Id="rId246" Type="http://schemas.openxmlformats.org/officeDocument/2006/relationships/hyperlink" Target="https://spark-interfax.ru/system/home/card" TargetMode="External"/><Relationship Id="rId106" Type="http://schemas.openxmlformats.org/officeDocument/2006/relationships/hyperlink" Target="https://spark-interfax.ru/system/home/card" TargetMode="External"/><Relationship Id="rId127" Type="http://schemas.openxmlformats.org/officeDocument/2006/relationships/hyperlink" Target="https://spark-interfax.ru/system/home/card" TargetMode="External"/><Relationship Id="rId10" Type="http://schemas.openxmlformats.org/officeDocument/2006/relationships/hyperlink" Target="https://spark-interfax.ru/system/home/card" TargetMode="External"/><Relationship Id="rId31" Type="http://schemas.openxmlformats.org/officeDocument/2006/relationships/hyperlink" Target="https://spark-interfax.ru/system/home/card" TargetMode="External"/><Relationship Id="rId52" Type="http://schemas.openxmlformats.org/officeDocument/2006/relationships/hyperlink" Target="https://spark-interfax.ru/system/home/card" TargetMode="External"/><Relationship Id="rId73" Type="http://schemas.openxmlformats.org/officeDocument/2006/relationships/hyperlink" Target="https://spark-interfax.ru/system/home/card" TargetMode="External"/><Relationship Id="rId94" Type="http://schemas.openxmlformats.org/officeDocument/2006/relationships/hyperlink" Target="https://spark-interfax.ru/system/home/card" TargetMode="External"/><Relationship Id="rId148" Type="http://schemas.openxmlformats.org/officeDocument/2006/relationships/hyperlink" Target="https://spark-interfax.ru/system/home/card" TargetMode="External"/><Relationship Id="rId169" Type="http://schemas.openxmlformats.org/officeDocument/2006/relationships/hyperlink" Target="https://spark-interfax.ru/system/home/card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H253"/>
  <sheetViews>
    <sheetView zoomScale="70" zoomScaleNormal="70" workbookViewId="0">
      <selection activeCell="GD25" sqref="GD25"/>
    </sheetView>
  </sheetViews>
  <sheetFormatPr defaultRowHeight="15" x14ac:dyDescent="0.25"/>
  <cols>
    <col min="1" max="1" width="3.85546875" customWidth="1"/>
    <col min="2" max="2" width="32.7109375" style="1" customWidth="1"/>
    <col min="3" max="3" width="22" style="10" customWidth="1"/>
    <col min="4" max="4" width="13.140625" style="1" customWidth="1"/>
    <col min="5" max="5" width="62.140625" style="1" customWidth="1"/>
    <col min="6" max="10" width="25.7109375" style="10" customWidth="1"/>
    <col min="11" max="15" width="14" style="10" customWidth="1"/>
    <col min="16" max="20" width="27.7109375" style="1" customWidth="1"/>
    <col min="21" max="35" width="32.7109375" style="10" customWidth="1"/>
    <col min="36" max="40" width="29.42578125" style="10" customWidth="1"/>
    <col min="41" max="45" width="16.28515625" style="1" customWidth="1"/>
    <col min="46" max="50" width="32.7109375" style="1" customWidth="1"/>
    <col min="51" max="55" width="32.7109375" style="10" customWidth="1"/>
    <col min="56" max="60" width="32.7109375" style="1" customWidth="1"/>
    <col min="61" max="65" width="32.7109375" style="10" customWidth="1"/>
    <col min="66" max="70" width="26.42578125" style="10" customWidth="1"/>
    <col min="71" max="75" width="22" style="10" customWidth="1"/>
    <col min="76" max="80" width="25.85546875" style="1" customWidth="1"/>
    <col min="81" max="85" width="32.7109375" style="10" customWidth="1"/>
    <col min="86" max="90" width="32.7109375" style="1" customWidth="1"/>
    <col min="91" max="95" width="26.42578125" style="10" customWidth="1"/>
    <col min="96" max="110" width="32.7109375" style="10" customWidth="1"/>
    <col min="111" max="120" width="32.7109375" style="1" customWidth="1"/>
    <col min="121" max="135" width="32.7109375" style="10" customWidth="1"/>
    <col min="136" max="140" width="17.5703125" style="1" customWidth="1"/>
    <col min="141" max="145" width="30.28515625" style="1" customWidth="1"/>
    <col min="146" max="150" width="30.85546875" style="1" customWidth="1"/>
    <col min="151" max="155" width="32" style="1" customWidth="1"/>
    <col min="156" max="160" width="32.7109375" style="10" customWidth="1"/>
    <col min="161" max="165" width="30.42578125" style="10" customWidth="1"/>
    <col min="166" max="170" width="26.42578125" style="10" customWidth="1"/>
    <col min="171" max="175" width="23.7109375" style="1" customWidth="1"/>
    <col min="176" max="180" width="24.42578125" style="1" customWidth="1"/>
    <col min="181" max="185" width="25.7109375" style="10" customWidth="1"/>
    <col min="186" max="190" width="31.5703125" style="1" customWidth="1"/>
  </cols>
  <sheetData>
    <row r="1" spans="1:190" ht="25.5" x14ac:dyDescent="0.25">
      <c r="A1" s="2" t="s">
        <v>0</v>
      </c>
      <c r="B1" s="3" t="s">
        <v>1</v>
      </c>
      <c r="C1" s="8" t="s">
        <v>2</v>
      </c>
      <c r="D1" s="3" t="s">
        <v>3</v>
      </c>
      <c r="E1" s="3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8" t="s">
        <v>50</v>
      </c>
      <c r="AZ1" s="8" t="s">
        <v>51</v>
      </c>
      <c r="BA1" s="8" t="s">
        <v>52</v>
      </c>
      <c r="BB1" s="8" t="s">
        <v>53</v>
      </c>
      <c r="BC1" s="8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8" t="s">
        <v>60</v>
      </c>
      <c r="BJ1" s="8" t="s">
        <v>61</v>
      </c>
      <c r="BK1" s="8" t="s">
        <v>62</v>
      </c>
      <c r="BL1" s="8" t="s">
        <v>63</v>
      </c>
      <c r="BM1" s="8" t="s">
        <v>64</v>
      </c>
      <c r="BN1" s="8" t="s">
        <v>65</v>
      </c>
      <c r="BO1" s="8" t="s">
        <v>66</v>
      </c>
      <c r="BP1" s="8" t="s">
        <v>67</v>
      </c>
      <c r="BQ1" s="8" t="s">
        <v>68</v>
      </c>
      <c r="BR1" s="8" t="s">
        <v>69</v>
      </c>
      <c r="BS1" s="8" t="s">
        <v>70</v>
      </c>
      <c r="BT1" s="8" t="s">
        <v>71</v>
      </c>
      <c r="BU1" s="8" t="s">
        <v>72</v>
      </c>
      <c r="BV1" s="8" t="s">
        <v>73</v>
      </c>
      <c r="BW1" s="8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8" t="s">
        <v>80</v>
      </c>
      <c r="CD1" s="8" t="s">
        <v>81</v>
      </c>
      <c r="CE1" s="8" t="s">
        <v>82</v>
      </c>
      <c r="CF1" s="8" t="s">
        <v>83</v>
      </c>
      <c r="CG1" s="8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8" t="s">
        <v>90</v>
      </c>
      <c r="CN1" s="8" t="s">
        <v>91</v>
      </c>
      <c r="CO1" s="8" t="s">
        <v>92</v>
      </c>
      <c r="CP1" s="8" t="s">
        <v>93</v>
      </c>
      <c r="CQ1" s="8" t="s">
        <v>94</v>
      </c>
      <c r="CR1" s="8" t="s">
        <v>95</v>
      </c>
      <c r="CS1" s="8" t="s">
        <v>96</v>
      </c>
      <c r="CT1" s="8" t="s">
        <v>97</v>
      </c>
      <c r="CU1" s="8" t="s">
        <v>98</v>
      </c>
      <c r="CV1" s="8" t="s">
        <v>99</v>
      </c>
      <c r="CW1" s="8" t="s">
        <v>100</v>
      </c>
      <c r="CX1" s="8" t="s">
        <v>101</v>
      </c>
      <c r="CY1" s="8" t="s">
        <v>102</v>
      </c>
      <c r="CZ1" s="8" t="s">
        <v>103</v>
      </c>
      <c r="DA1" s="8" t="s">
        <v>104</v>
      </c>
      <c r="DB1" s="8" t="s">
        <v>105</v>
      </c>
      <c r="DC1" s="8" t="s">
        <v>106</v>
      </c>
      <c r="DD1" s="8" t="s">
        <v>107</v>
      </c>
      <c r="DE1" s="8" t="s">
        <v>108</v>
      </c>
      <c r="DF1" s="8" t="s">
        <v>109</v>
      </c>
      <c r="DG1" s="3" t="s">
        <v>110</v>
      </c>
      <c r="DH1" s="3" t="s">
        <v>111</v>
      </c>
      <c r="DI1" s="3" t="s">
        <v>112</v>
      </c>
      <c r="DJ1" s="3" t="s">
        <v>113</v>
      </c>
      <c r="DK1" s="3" t="s">
        <v>114</v>
      </c>
      <c r="DL1" s="3" t="s">
        <v>115</v>
      </c>
      <c r="DM1" s="3" t="s">
        <v>116</v>
      </c>
      <c r="DN1" s="3" t="s">
        <v>117</v>
      </c>
      <c r="DO1" s="3" t="s">
        <v>118</v>
      </c>
      <c r="DP1" s="3" t="s">
        <v>119</v>
      </c>
      <c r="DQ1" s="8" t="s">
        <v>120</v>
      </c>
      <c r="DR1" s="8" t="s">
        <v>121</v>
      </c>
      <c r="DS1" s="8" t="s">
        <v>122</v>
      </c>
      <c r="DT1" s="8" t="s">
        <v>123</v>
      </c>
      <c r="DU1" s="8" t="s">
        <v>124</v>
      </c>
      <c r="DV1" s="8" t="s">
        <v>125</v>
      </c>
      <c r="DW1" s="8" t="s">
        <v>126</v>
      </c>
      <c r="DX1" s="8" t="s">
        <v>127</v>
      </c>
      <c r="DY1" s="8" t="s">
        <v>128</v>
      </c>
      <c r="DZ1" s="8" t="s">
        <v>129</v>
      </c>
      <c r="EA1" s="8" t="s">
        <v>130</v>
      </c>
      <c r="EB1" s="8" t="s">
        <v>131</v>
      </c>
      <c r="EC1" s="8" t="s">
        <v>132</v>
      </c>
      <c r="ED1" s="8" t="s">
        <v>133</v>
      </c>
      <c r="EE1" s="8" t="s">
        <v>134</v>
      </c>
      <c r="EF1" s="3" t="s">
        <v>135</v>
      </c>
      <c r="EG1" s="3" t="s">
        <v>136</v>
      </c>
      <c r="EH1" s="3" t="s">
        <v>137</v>
      </c>
      <c r="EI1" s="3" t="s">
        <v>138</v>
      </c>
      <c r="EJ1" s="3" t="s">
        <v>139</v>
      </c>
      <c r="EK1" s="3" t="s">
        <v>140</v>
      </c>
      <c r="EL1" s="3" t="s">
        <v>141</v>
      </c>
      <c r="EM1" s="3" t="s">
        <v>142</v>
      </c>
      <c r="EN1" s="3" t="s">
        <v>143</v>
      </c>
      <c r="EO1" s="3" t="s">
        <v>144</v>
      </c>
      <c r="EP1" s="3" t="s">
        <v>145</v>
      </c>
      <c r="EQ1" s="3" t="s">
        <v>146</v>
      </c>
      <c r="ER1" s="3" t="s">
        <v>147</v>
      </c>
      <c r="ES1" s="3" t="s">
        <v>148</v>
      </c>
      <c r="ET1" s="3" t="s">
        <v>149</v>
      </c>
      <c r="EU1" s="3" t="s">
        <v>150</v>
      </c>
      <c r="EV1" s="3" t="s">
        <v>151</v>
      </c>
      <c r="EW1" s="3" t="s">
        <v>152</v>
      </c>
      <c r="EX1" s="3" t="s">
        <v>153</v>
      </c>
      <c r="EY1" s="3" t="s">
        <v>154</v>
      </c>
      <c r="EZ1" s="8" t="s">
        <v>155</v>
      </c>
      <c r="FA1" s="8" t="s">
        <v>156</v>
      </c>
      <c r="FB1" s="8" t="s">
        <v>157</v>
      </c>
      <c r="FC1" s="8" t="s">
        <v>158</v>
      </c>
      <c r="FD1" s="8" t="s">
        <v>159</v>
      </c>
      <c r="FE1" s="8" t="s">
        <v>160</v>
      </c>
      <c r="FF1" s="8" t="s">
        <v>161</v>
      </c>
      <c r="FG1" s="8" t="s">
        <v>162</v>
      </c>
      <c r="FH1" s="8" t="s">
        <v>163</v>
      </c>
      <c r="FI1" s="8" t="s">
        <v>164</v>
      </c>
      <c r="FJ1" s="8" t="s">
        <v>165</v>
      </c>
      <c r="FK1" s="8" t="s">
        <v>166</v>
      </c>
      <c r="FL1" s="8" t="s">
        <v>167</v>
      </c>
      <c r="FM1" s="8" t="s">
        <v>168</v>
      </c>
      <c r="FN1" s="8" t="s">
        <v>169</v>
      </c>
      <c r="FO1" s="3" t="s">
        <v>170</v>
      </c>
      <c r="FP1" s="3" t="s">
        <v>171</v>
      </c>
      <c r="FQ1" s="3" t="s">
        <v>172</v>
      </c>
      <c r="FR1" s="3" t="s">
        <v>173</v>
      </c>
      <c r="FS1" s="3" t="s">
        <v>174</v>
      </c>
      <c r="FT1" s="3" t="s">
        <v>175</v>
      </c>
      <c r="FU1" s="3" t="s">
        <v>176</v>
      </c>
      <c r="FV1" s="3" t="s">
        <v>177</v>
      </c>
      <c r="FW1" s="3" t="s">
        <v>178</v>
      </c>
      <c r="FX1" s="3" t="s">
        <v>179</v>
      </c>
      <c r="FY1" s="8" t="s">
        <v>5</v>
      </c>
      <c r="FZ1" s="8" t="s">
        <v>6</v>
      </c>
      <c r="GA1" s="8" t="s">
        <v>7</v>
      </c>
      <c r="GB1" s="8" t="s">
        <v>8</v>
      </c>
      <c r="GC1" s="8" t="s">
        <v>9</v>
      </c>
      <c r="GD1" s="3" t="s">
        <v>180</v>
      </c>
      <c r="GE1" s="3" t="s">
        <v>181</v>
      </c>
      <c r="GF1" s="3" t="s">
        <v>182</v>
      </c>
      <c r="GG1" s="3" t="s">
        <v>183</v>
      </c>
      <c r="GH1" s="3" t="s">
        <v>184</v>
      </c>
    </row>
    <row r="2" spans="1:190" ht="26.25" x14ac:dyDescent="0.25">
      <c r="A2" s="4">
        <v>1</v>
      </c>
      <c r="B2" s="5" t="s">
        <v>185</v>
      </c>
      <c r="C2" s="9" t="s">
        <v>186</v>
      </c>
      <c r="D2" s="7">
        <v>29</v>
      </c>
      <c r="E2" s="6" t="s">
        <v>187</v>
      </c>
      <c r="F2" s="11"/>
      <c r="G2" s="11">
        <v>4031193</v>
      </c>
      <c r="H2" s="11"/>
      <c r="I2" s="11"/>
      <c r="J2" s="11"/>
      <c r="K2" s="11">
        <v>4881</v>
      </c>
      <c r="L2" s="11">
        <v>4166663</v>
      </c>
      <c r="M2" s="11"/>
      <c r="N2" s="11"/>
      <c r="O2" s="11"/>
      <c r="P2" s="7">
        <v>22272000</v>
      </c>
      <c r="Q2" s="7"/>
      <c r="R2" s="7"/>
      <c r="S2" s="7"/>
      <c r="T2" s="7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>
        <v>44886000</v>
      </c>
      <c r="AK2" s="11"/>
      <c r="AL2" s="11"/>
      <c r="AM2" s="11"/>
      <c r="AN2" s="11"/>
      <c r="AO2" s="7">
        <v>417794000</v>
      </c>
      <c r="AP2" s="7"/>
      <c r="AQ2" s="7"/>
      <c r="AR2" s="7"/>
      <c r="AS2" s="7"/>
      <c r="AT2" s="7">
        <v>95009000</v>
      </c>
      <c r="AU2" s="7">
        <v>125140000</v>
      </c>
      <c r="AV2" s="7">
        <v>83551000</v>
      </c>
      <c r="AW2" s="7">
        <v>83551000</v>
      </c>
      <c r="AX2" s="7">
        <v>39051000</v>
      </c>
      <c r="AY2" s="11"/>
      <c r="AZ2" s="11"/>
      <c r="BA2" s="11"/>
      <c r="BB2" s="11"/>
      <c r="BC2" s="11"/>
      <c r="BD2" s="7">
        <v>15538000</v>
      </c>
      <c r="BE2" s="7">
        <v>14552000</v>
      </c>
      <c r="BF2" s="7">
        <v>9969000</v>
      </c>
      <c r="BG2" s="7">
        <v>8556000</v>
      </c>
      <c r="BH2" s="7">
        <v>6402000</v>
      </c>
      <c r="BI2" s="11"/>
      <c r="BJ2" s="11"/>
      <c r="BK2" s="11"/>
      <c r="BL2" s="11"/>
      <c r="BM2" s="11"/>
      <c r="BN2" s="11">
        <v>528365000</v>
      </c>
      <c r="BO2" s="11">
        <v>139692000</v>
      </c>
      <c r="BP2" s="11">
        <v>93520000</v>
      </c>
      <c r="BQ2" s="11">
        <v>92107000</v>
      </c>
      <c r="BR2" s="11">
        <v>45453000</v>
      </c>
      <c r="BS2" s="11">
        <v>573251000</v>
      </c>
      <c r="BT2" s="11">
        <v>139692000</v>
      </c>
      <c r="BU2" s="11">
        <v>93520000</v>
      </c>
      <c r="BV2" s="11">
        <v>92107000</v>
      </c>
      <c r="BW2" s="11">
        <v>45453000</v>
      </c>
      <c r="BX2" s="7">
        <v>244000</v>
      </c>
      <c r="BY2" s="7">
        <v>244000</v>
      </c>
      <c r="BZ2" s="7">
        <v>244000</v>
      </c>
      <c r="CA2" s="7">
        <v>244000</v>
      </c>
      <c r="CB2" s="7">
        <v>244000</v>
      </c>
      <c r="CC2" s="11">
        <v>3011000</v>
      </c>
      <c r="CD2" s="11">
        <v>3011000</v>
      </c>
      <c r="CE2" s="11">
        <v>3011000</v>
      </c>
      <c r="CF2" s="11">
        <v>3011000</v>
      </c>
      <c r="CG2" s="11">
        <v>3011000</v>
      </c>
      <c r="CH2" s="7">
        <v>-179987000</v>
      </c>
      <c r="CI2" s="7">
        <v>-137724000</v>
      </c>
      <c r="CJ2" s="7">
        <v>-139396000</v>
      </c>
      <c r="CK2" s="7">
        <v>-139396000</v>
      </c>
      <c r="CL2" s="7">
        <v>-139396000</v>
      </c>
      <c r="CM2" s="11">
        <v>-176720000</v>
      </c>
      <c r="CN2" s="11">
        <v>-134457000</v>
      </c>
      <c r="CO2" s="11">
        <v>-136129000</v>
      </c>
      <c r="CP2" s="11">
        <v>-136129000</v>
      </c>
      <c r="CQ2" s="11">
        <v>-136129000</v>
      </c>
      <c r="CR2" s="11"/>
      <c r="CS2" s="11"/>
      <c r="CT2" s="11"/>
      <c r="CU2" s="11"/>
      <c r="CV2" s="11"/>
      <c r="CW2" s="11"/>
      <c r="CX2" s="11"/>
      <c r="CY2" s="11"/>
      <c r="CZ2" s="11"/>
      <c r="DA2" s="11"/>
      <c r="DB2" s="11">
        <v>419000</v>
      </c>
      <c r="DC2" s="11"/>
      <c r="DD2" s="11"/>
      <c r="DE2" s="11"/>
      <c r="DF2" s="11"/>
      <c r="DG2" s="7">
        <v>3188000</v>
      </c>
      <c r="DH2" s="7"/>
      <c r="DI2" s="7"/>
      <c r="DJ2" s="7"/>
      <c r="DK2" s="7"/>
      <c r="DL2" s="7">
        <v>743965000</v>
      </c>
      <c r="DM2" s="7">
        <v>271750000</v>
      </c>
      <c r="DN2" s="7">
        <v>227250000</v>
      </c>
      <c r="DO2" s="7">
        <v>225837000</v>
      </c>
      <c r="DP2" s="7">
        <v>179183000</v>
      </c>
      <c r="DQ2" s="11"/>
      <c r="DR2" s="11"/>
      <c r="DS2" s="11"/>
      <c r="DT2" s="11"/>
      <c r="DU2" s="11"/>
      <c r="DV2" s="11"/>
      <c r="DW2" s="11"/>
      <c r="DX2" s="11"/>
      <c r="DY2" s="11"/>
      <c r="DZ2" s="11"/>
      <c r="EA2" s="11">
        <v>749552000</v>
      </c>
      <c r="EB2" s="11">
        <v>274149000</v>
      </c>
      <c r="EC2" s="11">
        <v>229649000</v>
      </c>
      <c r="ED2" s="11">
        <v>228236000</v>
      </c>
      <c r="EE2" s="11">
        <v>181582000</v>
      </c>
      <c r="EF2" s="7">
        <v>498000</v>
      </c>
      <c r="EG2" s="7"/>
      <c r="EH2" s="7"/>
      <c r="EI2" s="7"/>
      <c r="EJ2" s="7"/>
      <c r="EK2" s="7">
        <v>2091000</v>
      </c>
      <c r="EL2" s="7"/>
      <c r="EM2" s="7"/>
      <c r="EN2" s="7"/>
      <c r="EO2" s="7"/>
      <c r="EP2" s="7"/>
      <c r="EQ2" s="7"/>
      <c r="ER2" s="7"/>
      <c r="ES2" s="7"/>
      <c r="ET2" s="7"/>
      <c r="EU2" s="7">
        <v>2395000</v>
      </c>
      <c r="EV2" s="7"/>
      <c r="EW2" s="7"/>
      <c r="EX2" s="7"/>
      <c r="EY2" s="7"/>
      <c r="EZ2" s="11"/>
      <c r="FA2" s="11"/>
      <c r="FB2" s="11"/>
      <c r="FC2" s="11"/>
      <c r="FD2" s="11"/>
      <c r="FE2" s="11"/>
      <c r="FF2" s="11"/>
      <c r="FG2" s="11"/>
      <c r="FH2" s="11"/>
      <c r="FI2" s="11"/>
      <c r="FJ2" s="11"/>
      <c r="FK2" s="11"/>
      <c r="FL2" s="11"/>
      <c r="FM2" s="11"/>
      <c r="FN2" s="11"/>
      <c r="FO2" s="7">
        <v>12224000</v>
      </c>
      <c r="FP2" s="7"/>
      <c r="FQ2" s="7"/>
      <c r="FR2" s="7"/>
      <c r="FS2" s="7"/>
      <c r="FT2" s="7">
        <v>1980000</v>
      </c>
      <c r="FU2" s="7">
        <v>1621000</v>
      </c>
      <c r="FV2" s="7">
        <v>1672000</v>
      </c>
      <c r="FW2" s="7"/>
      <c r="FX2" s="7"/>
      <c r="FY2" s="11">
        <v>-1722000</v>
      </c>
      <c r="FZ2" s="11"/>
      <c r="GA2" s="11"/>
      <c r="GB2" s="11"/>
      <c r="GC2" s="11"/>
      <c r="GD2" s="7">
        <v>4490000</v>
      </c>
      <c r="GE2" s="7">
        <v>-1621000</v>
      </c>
      <c r="GF2" s="7">
        <v>-1672000</v>
      </c>
      <c r="GG2" s="7"/>
      <c r="GH2" s="7"/>
    </row>
    <row r="3" spans="1:190" x14ac:dyDescent="0.25">
      <c r="A3" s="4">
        <v>2</v>
      </c>
      <c r="B3" s="5" t="s">
        <v>188</v>
      </c>
      <c r="C3" s="9" t="s">
        <v>189</v>
      </c>
      <c r="D3" s="7">
        <v>31</v>
      </c>
      <c r="E3" s="6" t="s">
        <v>190</v>
      </c>
      <c r="F3" s="11"/>
      <c r="G3" s="11"/>
      <c r="H3" s="11"/>
      <c r="I3" s="11"/>
      <c r="J3" s="11"/>
      <c r="K3" s="11"/>
      <c r="L3" s="11"/>
      <c r="M3" s="11"/>
      <c r="N3" s="11"/>
      <c r="O3" s="11"/>
      <c r="P3" s="7"/>
      <c r="Q3" s="7"/>
      <c r="R3" s="7"/>
      <c r="S3" s="7"/>
      <c r="T3" s="7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7"/>
      <c r="AP3" s="7"/>
      <c r="AQ3" s="7"/>
      <c r="AR3" s="7"/>
      <c r="AS3" s="7"/>
      <c r="AT3" s="7"/>
      <c r="AU3" s="7"/>
      <c r="AV3" s="7"/>
      <c r="AW3" s="7"/>
      <c r="AX3" s="7"/>
      <c r="AY3" s="11"/>
      <c r="AZ3" s="11"/>
      <c r="BA3" s="11"/>
      <c r="BB3" s="11"/>
      <c r="BC3" s="11"/>
      <c r="BD3" s="7"/>
      <c r="BE3" s="7"/>
      <c r="BF3" s="7"/>
      <c r="BG3" s="7"/>
      <c r="BH3" s="7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7"/>
      <c r="BY3" s="7"/>
      <c r="BZ3" s="7"/>
      <c r="CA3" s="7"/>
      <c r="CB3" s="7"/>
      <c r="CC3" s="11"/>
      <c r="CD3" s="11"/>
      <c r="CE3" s="11"/>
      <c r="CF3" s="11"/>
      <c r="CG3" s="11"/>
      <c r="CH3" s="7"/>
      <c r="CI3" s="7"/>
      <c r="CJ3" s="7"/>
      <c r="CK3" s="7"/>
      <c r="CL3" s="7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7"/>
      <c r="DH3" s="7"/>
      <c r="DI3" s="7"/>
      <c r="DJ3" s="7"/>
      <c r="DK3" s="7"/>
      <c r="DL3" s="7"/>
      <c r="DM3" s="7"/>
      <c r="DN3" s="7"/>
      <c r="DO3" s="7"/>
      <c r="DP3" s="7"/>
      <c r="DQ3" s="11"/>
      <c r="DR3" s="11"/>
      <c r="DS3" s="11"/>
      <c r="DT3" s="11"/>
      <c r="DU3" s="11"/>
      <c r="DV3" s="11"/>
      <c r="DW3" s="11"/>
      <c r="DX3" s="11"/>
      <c r="DY3" s="11"/>
      <c r="DZ3" s="11"/>
      <c r="EA3" s="11"/>
      <c r="EB3" s="11"/>
      <c r="EC3" s="11"/>
      <c r="ED3" s="11"/>
      <c r="EE3" s="11"/>
      <c r="EF3" s="7"/>
      <c r="EG3" s="7"/>
      <c r="EH3" s="7"/>
      <c r="EI3" s="7"/>
      <c r="EJ3" s="7"/>
      <c r="EK3" s="7"/>
      <c r="EL3" s="7"/>
      <c r="EM3" s="7"/>
      <c r="EN3" s="7"/>
      <c r="EO3" s="7"/>
      <c r="EP3" s="7"/>
      <c r="EQ3" s="7"/>
      <c r="ER3" s="7"/>
      <c r="ES3" s="7"/>
      <c r="ET3" s="7"/>
      <c r="EU3" s="7"/>
      <c r="EV3" s="7"/>
      <c r="EW3" s="7"/>
      <c r="EX3" s="7"/>
      <c r="EY3" s="7"/>
      <c r="EZ3" s="11"/>
      <c r="FA3" s="11"/>
      <c r="FB3" s="11"/>
      <c r="FC3" s="11"/>
      <c r="FD3" s="11"/>
      <c r="FE3" s="11"/>
      <c r="FF3" s="11"/>
      <c r="FG3" s="11"/>
      <c r="FH3" s="11"/>
      <c r="FI3" s="11"/>
      <c r="FJ3" s="11"/>
      <c r="FK3" s="11"/>
      <c r="FL3" s="11"/>
      <c r="FM3" s="11"/>
      <c r="FN3" s="11"/>
      <c r="FO3" s="7"/>
      <c r="FP3" s="7"/>
      <c r="FQ3" s="7"/>
      <c r="FR3" s="7"/>
      <c r="FS3" s="7"/>
      <c r="FT3" s="7"/>
      <c r="FU3" s="7"/>
      <c r="FV3" s="7"/>
      <c r="FW3" s="7"/>
      <c r="FX3" s="7"/>
      <c r="FY3" s="11"/>
      <c r="FZ3" s="11"/>
      <c r="GA3" s="11"/>
      <c r="GB3" s="11"/>
      <c r="GC3" s="11"/>
      <c r="GD3" s="7"/>
      <c r="GE3" s="7"/>
      <c r="GF3" s="7"/>
      <c r="GG3" s="7"/>
      <c r="GH3" s="7"/>
    </row>
    <row r="4" spans="1:190" x14ac:dyDescent="0.25">
      <c r="A4" s="4">
        <v>3</v>
      </c>
      <c r="B4" s="5" t="s">
        <v>191</v>
      </c>
      <c r="C4" s="9" t="s">
        <v>192</v>
      </c>
      <c r="D4" s="7">
        <v>14</v>
      </c>
      <c r="E4" s="6" t="s">
        <v>190</v>
      </c>
      <c r="F4" s="11">
        <v>6366</v>
      </c>
      <c r="G4" s="11">
        <v>2953</v>
      </c>
      <c r="H4" s="11"/>
      <c r="I4" s="11"/>
      <c r="J4" s="11"/>
      <c r="K4" s="11">
        <v>509957</v>
      </c>
      <c r="L4" s="11">
        <v>275016</v>
      </c>
      <c r="M4" s="11"/>
      <c r="N4" s="11"/>
      <c r="O4" s="11"/>
      <c r="P4" s="7"/>
      <c r="Q4" s="7"/>
      <c r="R4" s="7"/>
      <c r="S4" s="7"/>
      <c r="T4" s="7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7"/>
      <c r="AP4" s="7"/>
      <c r="AQ4" s="7"/>
      <c r="AR4" s="7"/>
      <c r="AS4" s="7"/>
      <c r="AT4" s="7">
        <v>13129000</v>
      </c>
      <c r="AU4" s="7"/>
      <c r="AV4" s="7"/>
      <c r="AW4" s="7"/>
      <c r="AX4" s="7"/>
      <c r="AY4" s="11"/>
      <c r="AZ4" s="11"/>
      <c r="BA4" s="11"/>
      <c r="BB4" s="11"/>
      <c r="BC4" s="11"/>
      <c r="BD4" s="7">
        <v>214000</v>
      </c>
      <c r="BE4" s="7"/>
      <c r="BF4" s="7"/>
      <c r="BG4" s="7"/>
      <c r="BH4" s="7"/>
      <c r="BI4" s="11"/>
      <c r="BJ4" s="11"/>
      <c r="BK4" s="11"/>
      <c r="BL4" s="11"/>
      <c r="BM4" s="11"/>
      <c r="BN4" s="11">
        <v>13343000</v>
      </c>
      <c r="BO4" s="11"/>
      <c r="BP4" s="11"/>
      <c r="BQ4" s="11"/>
      <c r="BR4" s="11"/>
      <c r="BS4" s="11">
        <v>13343000</v>
      </c>
      <c r="BT4" s="11"/>
      <c r="BU4" s="11"/>
      <c r="BV4" s="11"/>
      <c r="BW4" s="11"/>
      <c r="BX4" s="7">
        <v>10000</v>
      </c>
      <c r="BY4" s="7"/>
      <c r="BZ4" s="7"/>
      <c r="CA4" s="7"/>
      <c r="CB4" s="7"/>
      <c r="CC4" s="11"/>
      <c r="CD4" s="11"/>
      <c r="CE4" s="11"/>
      <c r="CF4" s="11"/>
      <c r="CG4" s="11"/>
      <c r="CH4" s="7">
        <v>10654000</v>
      </c>
      <c r="CI4" s="7"/>
      <c r="CJ4" s="7"/>
      <c r="CK4" s="7"/>
      <c r="CL4" s="7"/>
      <c r="CM4" s="11">
        <v>10664000</v>
      </c>
      <c r="CN4" s="11"/>
      <c r="CO4" s="11"/>
      <c r="CP4" s="11"/>
      <c r="CQ4" s="11"/>
      <c r="CR4" s="11"/>
      <c r="CS4" s="11"/>
      <c r="CT4" s="11"/>
      <c r="CU4" s="11"/>
      <c r="CV4" s="11"/>
      <c r="CW4" s="11"/>
      <c r="CX4" s="11"/>
      <c r="CY4" s="11"/>
      <c r="CZ4" s="11"/>
      <c r="DA4" s="11"/>
      <c r="DB4" s="11"/>
      <c r="DC4" s="11"/>
      <c r="DD4" s="11"/>
      <c r="DE4" s="11"/>
      <c r="DF4" s="11"/>
      <c r="DG4" s="7"/>
      <c r="DH4" s="7"/>
      <c r="DI4" s="7"/>
      <c r="DJ4" s="7"/>
      <c r="DK4" s="7"/>
      <c r="DL4" s="7">
        <v>2679000</v>
      </c>
      <c r="DM4" s="7"/>
      <c r="DN4" s="7"/>
      <c r="DO4" s="7"/>
      <c r="DP4" s="7"/>
      <c r="DQ4" s="11"/>
      <c r="DR4" s="11"/>
      <c r="DS4" s="11"/>
      <c r="DT4" s="11"/>
      <c r="DU4" s="11"/>
      <c r="DV4" s="11"/>
      <c r="DW4" s="11"/>
      <c r="DX4" s="11"/>
      <c r="DY4" s="11"/>
      <c r="DZ4" s="11"/>
      <c r="EA4" s="11">
        <v>2679000</v>
      </c>
      <c r="EB4" s="11"/>
      <c r="EC4" s="11"/>
      <c r="ED4" s="11"/>
      <c r="EE4" s="11"/>
      <c r="EF4" s="7">
        <v>12939000</v>
      </c>
      <c r="EG4" s="7"/>
      <c r="EH4" s="7"/>
      <c r="EI4" s="7"/>
      <c r="EJ4" s="7"/>
      <c r="EK4" s="7">
        <v>7399000</v>
      </c>
      <c r="EL4" s="7"/>
      <c r="EM4" s="7"/>
      <c r="EN4" s="7"/>
      <c r="EO4" s="7"/>
      <c r="EP4" s="7"/>
      <c r="EQ4" s="7"/>
      <c r="ER4" s="7"/>
      <c r="ES4" s="7"/>
      <c r="ET4" s="7"/>
      <c r="EU4" s="7"/>
      <c r="EV4" s="7"/>
      <c r="EW4" s="7"/>
      <c r="EX4" s="7"/>
      <c r="EY4" s="7"/>
      <c r="EZ4" s="11"/>
      <c r="FA4" s="11"/>
      <c r="FB4" s="11"/>
      <c r="FC4" s="11"/>
      <c r="FD4" s="11"/>
      <c r="FE4" s="11"/>
      <c r="FF4" s="11"/>
      <c r="FG4" s="11"/>
      <c r="FH4" s="11"/>
      <c r="FI4" s="11"/>
      <c r="FJ4" s="11"/>
      <c r="FK4" s="11"/>
      <c r="FL4" s="11"/>
      <c r="FM4" s="11"/>
      <c r="FN4" s="11"/>
      <c r="FO4" s="7"/>
      <c r="FP4" s="7"/>
      <c r="FQ4" s="7"/>
      <c r="FR4" s="7"/>
      <c r="FS4" s="7"/>
      <c r="FT4" s="7"/>
      <c r="FU4" s="7"/>
      <c r="FV4" s="7"/>
      <c r="FW4" s="7"/>
      <c r="FX4" s="7"/>
      <c r="FY4" s="11">
        <v>-1108000</v>
      </c>
      <c r="FZ4" s="11"/>
      <c r="GA4" s="11"/>
      <c r="GB4" s="11"/>
      <c r="GC4" s="11"/>
      <c r="GD4" s="7">
        <v>4432000</v>
      </c>
      <c r="GE4" s="7"/>
      <c r="GF4" s="7"/>
      <c r="GG4" s="7"/>
      <c r="GH4" s="7"/>
    </row>
    <row r="5" spans="1:190" ht="26.25" x14ac:dyDescent="0.25">
      <c r="A5" s="4">
        <v>4</v>
      </c>
      <c r="B5" s="5" t="s">
        <v>193</v>
      </c>
      <c r="C5" s="9" t="s">
        <v>194</v>
      </c>
      <c r="D5" s="7">
        <v>16</v>
      </c>
      <c r="E5" s="6" t="s">
        <v>195</v>
      </c>
      <c r="F5" s="11"/>
      <c r="G5" s="11"/>
      <c r="H5" s="11"/>
      <c r="I5" s="11"/>
      <c r="J5" s="11"/>
      <c r="K5" s="11">
        <v>1871915</v>
      </c>
      <c r="L5" s="11">
        <v>837696</v>
      </c>
      <c r="M5" s="11">
        <v>474043</v>
      </c>
      <c r="N5" s="11">
        <v>557558</v>
      </c>
      <c r="O5" s="11"/>
      <c r="P5" s="7">
        <v>145248000</v>
      </c>
      <c r="Q5" s="7">
        <v>139450000</v>
      </c>
      <c r="R5" s="7">
        <v>39450000</v>
      </c>
      <c r="S5" s="7">
        <v>37369000</v>
      </c>
      <c r="T5" s="7">
        <v>1729000</v>
      </c>
      <c r="U5" s="11"/>
      <c r="V5" s="11"/>
      <c r="W5" s="11"/>
      <c r="X5" s="11"/>
      <c r="Y5" s="11"/>
      <c r="Z5" s="11"/>
      <c r="AA5" s="11"/>
      <c r="AB5" s="11"/>
      <c r="AC5" s="11"/>
      <c r="AD5" s="11"/>
      <c r="AE5" s="11">
        <v>395000</v>
      </c>
      <c r="AF5" s="11"/>
      <c r="AG5" s="11"/>
      <c r="AH5" s="11"/>
      <c r="AI5" s="11"/>
      <c r="AJ5" s="11">
        <v>145643000</v>
      </c>
      <c r="AK5" s="11">
        <v>139450000</v>
      </c>
      <c r="AL5" s="11">
        <v>39450000</v>
      </c>
      <c r="AM5" s="11">
        <v>37369000</v>
      </c>
      <c r="AN5" s="11">
        <v>1729000</v>
      </c>
      <c r="AO5" s="7">
        <v>97044000</v>
      </c>
      <c r="AP5" s="7">
        <v>86265000</v>
      </c>
      <c r="AQ5" s="7">
        <v>37090000</v>
      </c>
      <c r="AR5" s="7">
        <v>20135000</v>
      </c>
      <c r="AS5" s="7"/>
      <c r="AT5" s="7">
        <v>52891000</v>
      </c>
      <c r="AU5" s="7">
        <v>6886000</v>
      </c>
      <c r="AV5" s="7">
        <v>4250000</v>
      </c>
      <c r="AW5" s="7">
        <v>4058000</v>
      </c>
      <c r="AX5" s="7"/>
      <c r="AY5" s="11"/>
      <c r="AZ5" s="11">
        <v>90000</v>
      </c>
      <c r="BA5" s="11"/>
      <c r="BB5" s="11"/>
      <c r="BC5" s="11"/>
      <c r="BD5" s="7">
        <v>129000</v>
      </c>
      <c r="BE5" s="7">
        <v>4897000</v>
      </c>
      <c r="BF5" s="7">
        <v>39000</v>
      </c>
      <c r="BG5" s="7"/>
      <c r="BH5" s="7"/>
      <c r="BI5" s="11">
        <v>23000</v>
      </c>
      <c r="BJ5" s="11"/>
      <c r="BK5" s="11"/>
      <c r="BL5" s="11"/>
      <c r="BM5" s="11"/>
      <c r="BN5" s="11">
        <v>150207000</v>
      </c>
      <c r="BO5" s="11">
        <v>98138000</v>
      </c>
      <c r="BP5" s="11">
        <v>41379000</v>
      </c>
      <c r="BQ5" s="11">
        <v>24193000</v>
      </c>
      <c r="BR5" s="11"/>
      <c r="BS5" s="11">
        <v>295850000</v>
      </c>
      <c r="BT5" s="11">
        <v>237588000</v>
      </c>
      <c r="BU5" s="11">
        <v>80829000</v>
      </c>
      <c r="BV5" s="11">
        <v>61562000</v>
      </c>
      <c r="BW5" s="11">
        <v>1729000</v>
      </c>
      <c r="BX5" s="7">
        <v>1730000</v>
      </c>
      <c r="BY5" s="7">
        <v>1730000</v>
      </c>
      <c r="BZ5" s="7">
        <v>1730000</v>
      </c>
      <c r="CA5" s="7">
        <v>1730000</v>
      </c>
      <c r="CB5" s="7">
        <v>1729000</v>
      </c>
      <c r="CC5" s="11">
        <v>10000</v>
      </c>
      <c r="CD5" s="11">
        <v>10000</v>
      </c>
      <c r="CE5" s="11">
        <v>10000</v>
      </c>
      <c r="CF5" s="11">
        <v>10000</v>
      </c>
      <c r="CG5" s="11"/>
      <c r="CH5" s="7">
        <v>40964000</v>
      </c>
      <c r="CI5" s="7">
        <v>38451000</v>
      </c>
      <c r="CJ5" s="7">
        <v>35389000</v>
      </c>
      <c r="CK5" s="7">
        <v>33294000</v>
      </c>
      <c r="CL5" s="7"/>
      <c r="CM5" s="11">
        <v>88692000</v>
      </c>
      <c r="CN5" s="11">
        <v>86179000</v>
      </c>
      <c r="CO5" s="11">
        <v>63117000</v>
      </c>
      <c r="CP5" s="11">
        <v>61022000</v>
      </c>
      <c r="CQ5" s="11">
        <v>1729000</v>
      </c>
      <c r="CR5" s="11">
        <v>2409000</v>
      </c>
      <c r="CS5" s="11">
        <v>1509000</v>
      </c>
      <c r="CT5" s="11">
        <v>1509000</v>
      </c>
      <c r="CU5" s="11"/>
      <c r="CV5" s="11"/>
      <c r="CW5" s="11"/>
      <c r="CX5" s="11"/>
      <c r="CY5" s="11"/>
      <c r="CZ5" s="11"/>
      <c r="DA5" s="11"/>
      <c r="DB5" s="11">
        <v>2409000</v>
      </c>
      <c r="DC5" s="11">
        <v>1509000</v>
      </c>
      <c r="DD5" s="11">
        <v>1509000</v>
      </c>
      <c r="DE5" s="11"/>
      <c r="DF5" s="11"/>
      <c r="DG5" s="7">
        <v>63168000</v>
      </c>
      <c r="DH5" s="7">
        <v>63934000</v>
      </c>
      <c r="DI5" s="7">
        <v>13934000</v>
      </c>
      <c r="DJ5" s="7"/>
      <c r="DK5" s="7"/>
      <c r="DL5" s="7">
        <v>115901000</v>
      </c>
      <c r="DM5" s="7">
        <v>63954000</v>
      </c>
      <c r="DN5" s="7">
        <v>257000</v>
      </c>
      <c r="DO5" s="7">
        <v>540000</v>
      </c>
      <c r="DP5" s="7"/>
      <c r="DQ5" s="11">
        <v>25680000</v>
      </c>
      <c r="DR5" s="11">
        <v>22012000</v>
      </c>
      <c r="DS5" s="11">
        <v>2012000</v>
      </c>
      <c r="DT5" s="11"/>
      <c r="DU5" s="11"/>
      <c r="DV5" s="11"/>
      <c r="DW5" s="11"/>
      <c r="DX5" s="11"/>
      <c r="DY5" s="11"/>
      <c r="DZ5" s="11"/>
      <c r="EA5" s="11">
        <v>204749000</v>
      </c>
      <c r="EB5" s="11">
        <v>149900000</v>
      </c>
      <c r="EC5" s="11">
        <v>16203000</v>
      </c>
      <c r="ED5" s="11">
        <v>540000</v>
      </c>
      <c r="EE5" s="11"/>
      <c r="EF5" s="7">
        <v>142462000</v>
      </c>
      <c r="EG5" s="7">
        <v>127106000</v>
      </c>
      <c r="EH5" s="7">
        <v>73187000</v>
      </c>
      <c r="EI5" s="7">
        <v>27932000</v>
      </c>
      <c r="EJ5" s="7"/>
      <c r="EK5" s="7">
        <v>153041000</v>
      </c>
      <c r="EL5" s="7">
        <v>143906000</v>
      </c>
      <c r="EM5" s="7">
        <v>76047000</v>
      </c>
      <c r="EN5" s="7">
        <v>29663000</v>
      </c>
      <c r="EO5" s="7"/>
      <c r="EP5" s="7"/>
      <c r="EQ5" s="7"/>
      <c r="ER5" s="7"/>
      <c r="ES5" s="7"/>
      <c r="ET5" s="7"/>
      <c r="EU5" s="7"/>
      <c r="EV5" s="7"/>
      <c r="EW5" s="7"/>
      <c r="EX5" s="7"/>
      <c r="EY5" s="7"/>
      <c r="EZ5" s="11"/>
      <c r="FA5" s="11"/>
      <c r="FB5" s="11"/>
      <c r="FC5" s="11"/>
      <c r="FD5" s="11"/>
      <c r="FE5" s="11"/>
      <c r="FF5" s="11"/>
      <c r="FG5" s="11"/>
      <c r="FH5" s="11"/>
      <c r="FI5" s="11"/>
      <c r="FJ5" s="11">
        <v>8432000</v>
      </c>
      <c r="FK5" s="11">
        <v>2090000</v>
      </c>
      <c r="FL5" s="11"/>
      <c r="FM5" s="11"/>
      <c r="FN5" s="11"/>
      <c r="FO5" s="7">
        <v>22842000</v>
      </c>
      <c r="FP5" s="7">
        <v>21920000</v>
      </c>
      <c r="FQ5" s="7"/>
      <c r="FR5" s="7"/>
      <c r="FS5" s="7"/>
      <c r="FT5" s="7">
        <v>16961000</v>
      </c>
      <c r="FU5" s="7">
        <v>5543000</v>
      </c>
      <c r="FV5" s="7">
        <v>202000</v>
      </c>
      <c r="FW5" s="7">
        <v>364000</v>
      </c>
      <c r="FX5" s="7"/>
      <c r="FY5" s="11"/>
      <c r="FZ5" s="11"/>
      <c r="GA5" s="11"/>
      <c r="GB5" s="11"/>
      <c r="GC5" s="11"/>
      <c r="GD5" s="7">
        <v>-13130000</v>
      </c>
      <c r="GE5" s="7">
        <v>-2513000</v>
      </c>
      <c r="GF5" s="7">
        <v>-3062000</v>
      </c>
      <c r="GG5" s="7">
        <v>-2095000</v>
      </c>
      <c r="GH5" s="7"/>
    </row>
    <row r="6" spans="1:190" x14ac:dyDescent="0.25">
      <c r="A6" s="4">
        <v>5</v>
      </c>
      <c r="B6" s="5" t="s">
        <v>196</v>
      </c>
      <c r="C6" s="9" t="s">
        <v>197</v>
      </c>
      <c r="D6" s="7">
        <v>31</v>
      </c>
      <c r="E6" s="6" t="s">
        <v>198</v>
      </c>
      <c r="F6" s="11"/>
      <c r="G6" s="11"/>
      <c r="H6" s="11"/>
      <c r="I6" s="11"/>
      <c r="J6" s="11"/>
      <c r="K6" s="11"/>
      <c r="L6" s="11"/>
      <c r="M6" s="11"/>
      <c r="N6" s="11"/>
      <c r="O6" s="11"/>
      <c r="P6" s="7"/>
      <c r="Q6" s="7"/>
      <c r="R6" s="7"/>
      <c r="S6" s="7"/>
      <c r="T6" s="7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7"/>
      <c r="AP6" s="7"/>
      <c r="AQ6" s="7"/>
      <c r="AR6" s="7"/>
      <c r="AS6" s="7"/>
      <c r="AT6" s="7"/>
      <c r="AU6" s="7"/>
      <c r="AV6" s="7"/>
      <c r="AW6" s="7"/>
      <c r="AX6" s="7"/>
      <c r="AY6" s="11"/>
      <c r="AZ6" s="11"/>
      <c r="BA6" s="11"/>
      <c r="BB6" s="11"/>
      <c r="BC6" s="11"/>
      <c r="BD6" s="7"/>
      <c r="BE6" s="7"/>
      <c r="BF6" s="7"/>
      <c r="BG6" s="7"/>
      <c r="BH6" s="7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7"/>
      <c r="BY6" s="7"/>
      <c r="BZ6" s="7"/>
      <c r="CA6" s="7"/>
      <c r="CB6" s="7"/>
      <c r="CC6" s="11"/>
      <c r="CD6" s="11"/>
      <c r="CE6" s="11"/>
      <c r="CF6" s="11"/>
      <c r="CG6" s="11"/>
      <c r="CH6" s="7"/>
      <c r="CI6" s="7"/>
      <c r="CJ6" s="7"/>
      <c r="CK6" s="7"/>
      <c r="CL6" s="7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1"/>
      <c r="CZ6" s="11"/>
      <c r="DA6" s="11"/>
      <c r="DB6" s="11"/>
      <c r="DC6" s="11"/>
      <c r="DD6" s="11"/>
      <c r="DE6" s="11"/>
      <c r="DF6" s="11"/>
      <c r="DG6" s="7"/>
      <c r="DH6" s="7"/>
      <c r="DI6" s="7"/>
      <c r="DJ6" s="7"/>
      <c r="DK6" s="7"/>
      <c r="DL6" s="7"/>
      <c r="DM6" s="7"/>
      <c r="DN6" s="7"/>
      <c r="DO6" s="7"/>
      <c r="DP6" s="7"/>
      <c r="DQ6" s="11"/>
      <c r="DR6" s="11"/>
      <c r="DS6" s="11"/>
      <c r="DT6" s="11"/>
      <c r="DU6" s="11"/>
      <c r="DV6" s="11"/>
      <c r="DW6" s="11"/>
      <c r="DX6" s="11"/>
      <c r="DY6" s="11"/>
      <c r="DZ6" s="11"/>
      <c r="EA6" s="11"/>
      <c r="EB6" s="11"/>
      <c r="EC6" s="11"/>
      <c r="ED6" s="11"/>
      <c r="EE6" s="11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11"/>
      <c r="FA6" s="11"/>
      <c r="FB6" s="11"/>
      <c r="FC6" s="11"/>
      <c r="FD6" s="11"/>
      <c r="FE6" s="11"/>
      <c r="FF6" s="11"/>
      <c r="FG6" s="11"/>
      <c r="FH6" s="11"/>
      <c r="FI6" s="11"/>
      <c r="FJ6" s="11"/>
      <c r="FK6" s="11"/>
      <c r="FL6" s="11"/>
      <c r="FM6" s="11"/>
      <c r="FN6" s="11"/>
      <c r="FO6" s="7"/>
      <c r="FP6" s="7"/>
      <c r="FQ6" s="7"/>
      <c r="FR6" s="7"/>
      <c r="FS6" s="7"/>
      <c r="FT6" s="7"/>
      <c r="FU6" s="7"/>
      <c r="FV6" s="7"/>
      <c r="FW6" s="7"/>
      <c r="FX6" s="7"/>
      <c r="FY6" s="11"/>
      <c r="FZ6" s="11"/>
      <c r="GA6" s="11"/>
      <c r="GB6" s="11"/>
      <c r="GC6" s="11"/>
      <c r="GD6" s="7"/>
      <c r="GE6" s="7"/>
      <c r="GF6" s="7"/>
      <c r="GG6" s="7"/>
      <c r="GH6" s="7"/>
    </row>
    <row r="7" spans="1:190" ht="26.25" x14ac:dyDescent="0.25">
      <c r="A7" s="4">
        <v>6</v>
      </c>
      <c r="B7" s="5" t="s">
        <v>199</v>
      </c>
      <c r="C7" s="9" t="s">
        <v>200</v>
      </c>
      <c r="D7" s="7">
        <v>14</v>
      </c>
      <c r="E7" s="6" t="s">
        <v>201</v>
      </c>
      <c r="F7" s="11"/>
      <c r="G7" s="11"/>
      <c r="H7" s="11">
        <v>2938453</v>
      </c>
      <c r="I7" s="11">
        <v>3277318</v>
      </c>
      <c r="J7" s="11"/>
      <c r="K7" s="11">
        <v>2746725</v>
      </c>
      <c r="L7" s="11">
        <v>2685779</v>
      </c>
      <c r="M7" s="11">
        <v>4360900</v>
      </c>
      <c r="N7" s="11"/>
      <c r="O7" s="11"/>
      <c r="P7" s="7">
        <v>77566000</v>
      </c>
      <c r="Q7" s="7">
        <v>67792000</v>
      </c>
      <c r="R7" s="7">
        <v>60290000</v>
      </c>
      <c r="S7" s="7">
        <v>57862000</v>
      </c>
      <c r="T7" s="7">
        <v>289000</v>
      </c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>
        <v>99174000</v>
      </c>
      <c r="AK7" s="11">
        <v>89795000</v>
      </c>
      <c r="AL7" s="11">
        <v>82270000</v>
      </c>
      <c r="AM7" s="11">
        <v>79819000</v>
      </c>
      <c r="AN7" s="11">
        <v>22244000</v>
      </c>
      <c r="AO7" s="7">
        <v>212209000</v>
      </c>
      <c r="AP7" s="7">
        <v>226034000</v>
      </c>
      <c r="AQ7" s="7">
        <v>226034000</v>
      </c>
      <c r="AR7" s="7">
        <v>223949000</v>
      </c>
      <c r="AS7" s="7">
        <v>223949000</v>
      </c>
      <c r="AT7" s="7">
        <v>91702000</v>
      </c>
      <c r="AU7" s="7">
        <v>89118000</v>
      </c>
      <c r="AV7" s="7">
        <v>107194000</v>
      </c>
      <c r="AW7" s="7">
        <v>72035000</v>
      </c>
      <c r="AX7" s="7">
        <v>13317000</v>
      </c>
      <c r="AY7" s="11"/>
      <c r="AZ7" s="11"/>
      <c r="BA7" s="11"/>
      <c r="BB7" s="11"/>
      <c r="BC7" s="11"/>
      <c r="BD7" s="7"/>
      <c r="BE7" s="7"/>
      <c r="BF7" s="7">
        <v>286000</v>
      </c>
      <c r="BG7" s="7">
        <v>23093000</v>
      </c>
      <c r="BH7" s="7">
        <v>27251000</v>
      </c>
      <c r="BI7" s="11">
        <v>2105000</v>
      </c>
      <c r="BJ7" s="11">
        <v>1476000</v>
      </c>
      <c r="BK7" s="11">
        <v>1476000</v>
      </c>
      <c r="BL7" s="11">
        <v>1476000</v>
      </c>
      <c r="BM7" s="11">
        <v>1476000</v>
      </c>
      <c r="BN7" s="11">
        <v>307197000</v>
      </c>
      <c r="BO7" s="11">
        <v>317899000</v>
      </c>
      <c r="BP7" s="11">
        <v>336261000</v>
      </c>
      <c r="BQ7" s="11">
        <v>321824000</v>
      </c>
      <c r="BR7" s="11">
        <v>267264000</v>
      </c>
      <c r="BS7" s="11">
        <v>406371000</v>
      </c>
      <c r="BT7" s="11">
        <v>407694000</v>
      </c>
      <c r="BU7" s="11">
        <v>418531000</v>
      </c>
      <c r="BV7" s="11">
        <v>401643000</v>
      </c>
      <c r="BW7" s="11">
        <v>289508000</v>
      </c>
      <c r="BX7" s="7">
        <v>10000000</v>
      </c>
      <c r="BY7" s="7">
        <v>10000000</v>
      </c>
      <c r="BZ7" s="7">
        <v>10000000</v>
      </c>
      <c r="CA7" s="7">
        <v>10000000</v>
      </c>
      <c r="CB7" s="7">
        <v>10000000</v>
      </c>
      <c r="CC7" s="11"/>
      <c r="CD7" s="11"/>
      <c r="CE7" s="11"/>
      <c r="CF7" s="11"/>
      <c r="CG7" s="11"/>
      <c r="CH7" s="7">
        <v>-64752000</v>
      </c>
      <c r="CI7" s="7">
        <v>-86226000</v>
      </c>
      <c r="CJ7" s="7">
        <v>-64035000</v>
      </c>
      <c r="CK7" s="7">
        <v>-77096000</v>
      </c>
      <c r="CL7" s="7">
        <v>-129701000</v>
      </c>
      <c r="CM7" s="11">
        <v>-54252000</v>
      </c>
      <c r="CN7" s="11">
        <v>-75726000</v>
      </c>
      <c r="CO7" s="11">
        <v>-53535000</v>
      </c>
      <c r="CP7" s="11">
        <v>-66596000</v>
      </c>
      <c r="CQ7" s="11">
        <v>-119201000</v>
      </c>
      <c r="CR7" s="11"/>
      <c r="CS7" s="11"/>
      <c r="CT7" s="11"/>
      <c r="CU7" s="11"/>
      <c r="CV7" s="11"/>
      <c r="CW7" s="11">
        <v>1123000</v>
      </c>
      <c r="CX7" s="11">
        <v>1123000</v>
      </c>
      <c r="CY7" s="11"/>
      <c r="CZ7" s="11"/>
      <c r="DA7" s="11"/>
      <c r="DB7" s="11">
        <v>3673000</v>
      </c>
      <c r="DC7" s="11">
        <v>3686000</v>
      </c>
      <c r="DD7" s="11">
        <v>2563000</v>
      </c>
      <c r="DE7" s="11">
        <v>2563000</v>
      </c>
      <c r="DF7" s="11">
        <v>2563000</v>
      </c>
      <c r="DG7" s="7">
        <v>12359000</v>
      </c>
      <c r="DH7" s="7">
        <v>12353000</v>
      </c>
      <c r="DI7" s="7">
        <v>12353000</v>
      </c>
      <c r="DJ7" s="7">
        <v>12353000</v>
      </c>
      <c r="DK7" s="7">
        <v>12353000</v>
      </c>
      <c r="DL7" s="7">
        <v>444591000</v>
      </c>
      <c r="DM7" s="7">
        <v>467381000</v>
      </c>
      <c r="DN7" s="7">
        <v>457150000</v>
      </c>
      <c r="DO7" s="7">
        <v>453323000</v>
      </c>
      <c r="DP7" s="7">
        <v>393793000</v>
      </c>
      <c r="DQ7" s="11"/>
      <c r="DR7" s="11"/>
      <c r="DS7" s="11"/>
      <c r="DT7" s="11"/>
      <c r="DU7" s="11"/>
      <c r="DV7" s="11"/>
      <c r="DW7" s="11"/>
      <c r="DX7" s="11"/>
      <c r="DY7" s="11"/>
      <c r="DZ7" s="11"/>
      <c r="EA7" s="11">
        <v>456950000</v>
      </c>
      <c r="EB7" s="11">
        <v>479734000</v>
      </c>
      <c r="EC7" s="11">
        <v>469503000</v>
      </c>
      <c r="ED7" s="11">
        <v>465676000</v>
      </c>
      <c r="EE7" s="11">
        <v>406146000</v>
      </c>
      <c r="EF7" s="7">
        <v>71835000</v>
      </c>
      <c r="EG7" s="7">
        <v>1145000</v>
      </c>
      <c r="EH7" s="7"/>
      <c r="EI7" s="7"/>
      <c r="EJ7" s="7"/>
      <c r="EK7" s="7">
        <v>85733000</v>
      </c>
      <c r="EL7" s="7"/>
      <c r="EM7" s="7"/>
      <c r="EN7" s="7"/>
      <c r="EO7" s="7"/>
      <c r="EP7" s="7"/>
      <c r="EQ7" s="7"/>
      <c r="ER7" s="7"/>
      <c r="ES7" s="7"/>
      <c r="ET7" s="7"/>
      <c r="EU7" s="7">
        <v>51679000</v>
      </c>
      <c r="EV7" s="7">
        <v>23897000</v>
      </c>
      <c r="EW7" s="7">
        <v>10117000</v>
      </c>
      <c r="EX7" s="7">
        <v>6140000</v>
      </c>
      <c r="EY7" s="7">
        <v>4098000</v>
      </c>
      <c r="EZ7" s="11"/>
      <c r="FA7" s="11"/>
      <c r="FB7" s="11"/>
      <c r="FC7" s="11"/>
      <c r="FD7" s="11"/>
      <c r="FE7" s="11">
        <v>378000</v>
      </c>
      <c r="FF7" s="11"/>
      <c r="FG7" s="11"/>
      <c r="FH7" s="11"/>
      <c r="FI7" s="11"/>
      <c r="FJ7" s="11">
        <v>897000</v>
      </c>
      <c r="FK7" s="11"/>
      <c r="FL7" s="11"/>
      <c r="FM7" s="11"/>
      <c r="FN7" s="11"/>
      <c r="FO7" s="7">
        <v>22490000</v>
      </c>
      <c r="FP7" s="7">
        <v>7031000</v>
      </c>
      <c r="FQ7" s="7">
        <v>44789000</v>
      </c>
      <c r="FR7" s="7">
        <v>3000000</v>
      </c>
      <c r="FS7" s="7">
        <v>9268000</v>
      </c>
      <c r="FT7" s="7">
        <v>57894000</v>
      </c>
      <c r="FU7" s="7">
        <v>3927000</v>
      </c>
      <c r="FV7" s="7">
        <v>6840000</v>
      </c>
      <c r="FW7" s="7">
        <v>9921000</v>
      </c>
      <c r="FX7" s="7">
        <v>57775000</v>
      </c>
      <c r="FY7" s="11">
        <v>20176000</v>
      </c>
      <c r="FZ7" s="11"/>
      <c r="GA7" s="11">
        <v>-5642000</v>
      </c>
      <c r="GB7" s="11"/>
      <c r="GC7" s="11"/>
      <c r="GD7" s="7">
        <v>-84328000</v>
      </c>
      <c r="GE7" s="7">
        <v>-19648000</v>
      </c>
      <c r="GF7" s="7">
        <v>22190000</v>
      </c>
      <c r="GG7" s="7">
        <v>-13061000</v>
      </c>
      <c r="GH7" s="7">
        <v>-52605000</v>
      </c>
    </row>
    <row r="8" spans="1:190" ht="26.25" x14ac:dyDescent="0.25">
      <c r="A8" s="4">
        <v>7</v>
      </c>
      <c r="B8" s="5" t="s">
        <v>202</v>
      </c>
      <c r="C8" s="9" t="s">
        <v>203</v>
      </c>
      <c r="D8" s="7">
        <v>17</v>
      </c>
      <c r="E8" s="6" t="s">
        <v>204</v>
      </c>
      <c r="F8" s="11"/>
      <c r="G8" s="11"/>
      <c r="H8" s="11"/>
      <c r="I8" s="11"/>
      <c r="J8" s="11"/>
      <c r="K8" s="11"/>
      <c r="L8" s="11"/>
      <c r="M8" s="11"/>
      <c r="N8" s="11"/>
      <c r="O8" s="11"/>
      <c r="P8" s="7">
        <v>1496000</v>
      </c>
      <c r="Q8" s="7">
        <v>7205000</v>
      </c>
      <c r="R8" s="7">
        <v>6909000</v>
      </c>
      <c r="S8" s="7"/>
      <c r="T8" s="7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>
        <v>1496000</v>
      </c>
      <c r="AK8" s="11">
        <v>7205000</v>
      </c>
      <c r="AL8" s="11">
        <v>6909000</v>
      </c>
      <c r="AM8" s="11"/>
      <c r="AN8" s="11"/>
      <c r="AO8" s="7">
        <v>2205000</v>
      </c>
      <c r="AP8" s="7">
        <v>608000</v>
      </c>
      <c r="AQ8" s="7">
        <v>500000</v>
      </c>
      <c r="AR8" s="7">
        <v>233000</v>
      </c>
      <c r="AS8" s="7">
        <v>233000</v>
      </c>
      <c r="AT8" s="7">
        <v>38472000</v>
      </c>
      <c r="AU8" s="7">
        <v>14456000</v>
      </c>
      <c r="AV8" s="7">
        <v>7610000</v>
      </c>
      <c r="AW8" s="7">
        <v>17806000</v>
      </c>
      <c r="AX8" s="7">
        <v>14298000</v>
      </c>
      <c r="AY8" s="11"/>
      <c r="AZ8" s="11"/>
      <c r="BA8" s="11"/>
      <c r="BB8" s="11"/>
      <c r="BC8" s="11"/>
      <c r="BD8" s="7">
        <v>17451000</v>
      </c>
      <c r="BE8" s="7">
        <v>12106000</v>
      </c>
      <c r="BF8" s="7">
        <v>1009000</v>
      </c>
      <c r="BG8" s="7">
        <v>307000</v>
      </c>
      <c r="BH8" s="7">
        <v>1062000</v>
      </c>
      <c r="BI8" s="11"/>
      <c r="BJ8" s="11"/>
      <c r="BK8" s="11"/>
      <c r="BL8" s="11"/>
      <c r="BM8" s="11"/>
      <c r="BN8" s="11">
        <v>58128000</v>
      </c>
      <c r="BO8" s="11">
        <v>27170000</v>
      </c>
      <c r="BP8" s="11">
        <v>9119000</v>
      </c>
      <c r="BQ8" s="11">
        <v>18346000</v>
      </c>
      <c r="BR8" s="11">
        <v>15593000</v>
      </c>
      <c r="BS8" s="11">
        <v>59624000</v>
      </c>
      <c r="BT8" s="11">
        <v>34375000</v>
      </c>
      <c r="BU8" s="11">
        <v>16028000</v>
      </c>
      <c r="BV8" s="11">
        <v>18346000</v>
      </c>
      <c r="BW8" s="11">
        <v>15593000</v>
      </c>
      <c r="BX8" s="7">
        <v>15000</v>
      </c>
      <c r="BY8" s="7">
        <v>15000</v>
      </c>
      <c r="BZ8" s="7">
        <v>15000</v>
      </c>
      <c r="CA8" s="7">
        <v>15000</v>
      </c>
      <c r="CB8" s="7">
        <v>15000</v>
      </c>
      <c r="CC8" s="11"/>
      <c r="CD8" s="11"/>
      <c r="CE8" s="11"/>
      <c r="CF8" s="11"/>
      <c r="CG8" s="11"/>
      <c r="CH8" s="7">
        <v>25831000</v>
      </c>
      <c r="CI8" s="7">
        <v>-2719000</v>
      </c>
      <c r="CJ8" s="7">
        <v>-9356000</v>
      </c>
      <c r="CK8" s="7">
        <v>6816000</v>
      </c>
      <c r="CL8" s="7">
        <v>-722000</v>
      </c>
      <c r="CM8" s="11">
        <v>25846000</v>
      </c>
      <c r="CN8" s="11">
        <v>-2704000</v>
      </c>
      <c r="CO8" s="11">
        <v>-9341000</v>
      </c>
      <c r="CP8" s="11">
        <v>6831000</v>
      </c>
      <c r="CQ8" s="11">
        <v>-707000</v>
      </c>
      <c r="CR8" s="11"/>
      <c r="CS8" s="11"/>
      <c r="CT8" s="11"/>
      <c r="CU8" s="11"/>
      <c r="CV8" s="11"/>
      <c r="CW8" s="11">
        <v>20550000</v>
      </c>
      <c r="CX8" s="11"/>
      <c r="CY8" s="11"/>
      <c r="CZ8" s="11"/>
      <c r="DA8" s="11"/>
      <c r="DB8" s="11">
        <v>20550000</v>
      </c>
      <c r="DC8" s="11"/>
      <c r="DD8" s="11"/>
      <c r="DE8" s="11"/>
      <c r="DF8" s="11"/>
      <c r="DG8" s="7"/>
      <c r="DH8" s="7"/>
      <c r="DI8" s="7"/>
      <c r="DJ8" s="7"/>
      <c r="DK8" s="7"/>
      <c r="DL8" s="7">
        <v>13228000</v>
      </c>
      <c r="DM8" s="7">
        <v>25791000</v>
      </c>
      <c r="DN8" s="7">
        <v>24330000</v>
      </c>
      <c r="DO8" s="7">
        <v>11515000</v>
      </c>
      <c r="DP8" s="7">
        <v>16300000</v>
      </c>
      <c r="DQ8" s="11"/>
      <c r="DR8" s="11"/>
      <c r="DS8" s="11"/>
      <c r="DT8" s="11"/>
      <c r="DU8" s="11"/>
      <c r="DV8" s="11"/>
      <c r="DW8" s="11">
        <v>11288000</v>
      </c>
      <c r="DX8" s="11">
        <v>1039000</v>
      </c>
      <c r="DY8" s="11"/>
      <c r="DZ8" s="11"/>
      <c r="EA8" s="11">
        <v>13228000</v>
      </c>
      <c r="EB8" s="11">
        <v>37079000</v>
      </c>
      <c r="EC8" s="11">
        <v>25369000</v>
      </c>
      <c r="ED8" s="11">
        <v>11515000</v>
      </c>
      <c r="EE8" s="11">
        <v>16300000</v>
      </c>
      <c r="EF8" s="7">
        <v>111609000</v>
      </c>
      <c r="EG8" s="7">
        <v>32742000</v>
      </c>
      <c r="EH8" s="7">
        <v>7778000</v>
      </c>
      <c r="EI8" s="7">
        <v>3700000</v>
      </c>
      <c r="EJ8" s="7"/>
      <c r="EK8" s="7">
        <v>94923000</v>
      </c>
      <c r="EL8" s="7">
        <v>28040000</v>
      </c>
      <c r="EM8" s="7">
        <v>15221000</v>
      </c>
      <c r="EN8" s="7">
        <v>11887000</v>
      </c>
      <c r="EO8" s="7">
        <v>688000</v>
      </c>
      <c r="EP8" s="7"/>
      <c r="EQ8" s="7"/>
      <c r="ER8" s="7"/>
      <c r="ES8" s="7"/>
      <c r="ET8" s="7"/>
      <c r="EU8" s="7"/>
      <c r="EV8" s="7"/>
      <c r="EW8" s="7"/>
      <c r="EX8" s="7"/>
      <c r="EY8" s="7"/>
      <c r="EZ8" s="11"/>
      <c r="FA8" s="11"/>
      <c r="FB8" s="11"/>
      <c r="FC8" s="11"/>
      <c r="FD8" s="11"/>
      <c r="FE8" s="11"/>
      <c r="FF8" s="11"/>
      <c r="FG8" s="11"/>
      <c r="FH8" s="11"/>
      <c r="FI8" s="11"/>
      <c r="FJ8" s="11"/>
      <c r="FK8" s="11"/>
      <c r="FL8" s="11"/>
      <c r="FM8" s="11"/>
      <c r="FN8" s="11"/>
      <c r="FO8" s="7">
        <v>168000</v>
      </c>
      <c r="FP8" s="7">
        <v>1626000</v>
      </c>
      <c r="FQ8" s="7">
        <v>2486000</v>
      </c>
      <c r="FR8" s="7">
        <v>19356000</v>
      </c>
      <c r="FS8" s="7">
        <v>11000</v>
      </c>
      <c r="FT8" s="7">
        <v>596000</v>
      </c>
      <c r="FU8" s="7">
        <v>26201000</v>
      </c>
      <c r="FV8" s="7">
        <v>545000</v>
      </c>
      <c r="FW8" s="7">
        <v>8256000</v>
      </c>
      <c r="FX8" s="7">
        <v>6749000</v>
      </c>
      <c r="FY8" s="11">
        <v>-1413000</v>
      </c>
      <c r="FZ8" s="11">
        <v>-1087000</v>
      </c>
      <c r="GA8" s="11">
        <v>-123000</v>
      </c>
      <c r="GB8" s="11">
        <v>-123000</v>
      </c>
      <c r="GC8" s="11">
        <v>-113000</v>
      </c>
      <c r="GD8" s="7">
        <v>14845000</v>
      </c>
      <c r="GE8" s="7">
        <v>-20960000</v>
      </c>
      <c r="GF8" s="7">
        <v>-5625000</v>
      </c>
      <c r="GG8" s="7">
        <v>2790000</v>
      </c>
      <c r="GH8" s="7">
        <v>-7539000</v>
      </c>
    </row>
    <row r="9" spans="1:190" x14ac:dyDescent="0.25">
      <c r="A9" s="4">
        <v>8</v>
      </c>
      <c r="B9" s="5" t="s">
        <v>205</v>
      </c>
      <c r="C9" s="9" t="s">
        <v>206</v>
      </c>
      <c r="D9" s="7">
        <v>15</v>
      </c>
      <c r="E9" s="6" t="s">
        <v>207</v>
      </c>
      <c r="F9" s="11">
        <v>1486860</v>
      </c>
      <c r="G9" s="11">
        <v>476</v>
      </c>
      <c r="H9" s="11"/>
      <c r="I9" s="11"/>
      <c r="J9" s="11">
        <v>167992</v>
      </c>
      <c r="K9" s="11"/>
      <c r="L9" s="11"/>
      <c r="M9" s="11"/>
      <c r="N9" s="11"/>
      <c r="O9" s="11"/>
      <c r="P9" s="7"/>
      <c r="Q9" s="7"/>
      <c r="R9" s="7"/>
      <c r="S9" s="7"/>
      <c r="T9" s="7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7"/>
      <c r="AP9" s="7"/>
      <c r="AQ9" s="7"/>
      <c r="AR9" s="7"/>
      <c r="AS9" s="7"/>
      <c r="AT9" s="7"/>
      <c r="AU9" s="7">
        <v>50000</v>
      </c>
      <c r="AV9" s="7">
        <v>3000</v>
      </c>
      <c r="AW9" s="7">
        <v>199000</v>
      </c>
      <c r="AX9" s="7">
        <v>232000</v>
      </c>
      <c r="AY9" s="11"/>
      <c r="AZ9" s="11"/>
      <c r="BA9" s="11"/>
      <c r="BB9" s="11"/>
      <c r="BC9" s="11"/>
      <c r="BD9" s="7">
        <v>1535000</v>
      </c>
      <c r="BE9" s="7">
        <v>784000</v>
      </c>
      <c r="BF9" s="7">
        <v>414000</v>
      </c>
      <c r="BG9" s="7">
        <v>1306000</v>
      </c>
      <c r="BH9" s="7"/>
      <c r="BI9" s="11"/>
      <c r="BJ9" s="11"/>
      <c r="BK9" s="11"/>
      <c r="BL9" s="11"/>
      <c r="BM9" s="11"/>
      <c r="BN9" s="11">
        <v>1535000</v>
      </c>
      <c r="BO9" s="11">
        <v>834000</v>
      </c>
      <c r="BP9" s="11">
        <v>417000</v>
      </c>
      <c r="BQ9" s="11">
        <v>1505000</v>
      </c>
      <c r="BR9" s="11">
        <v>232000</v>
      </c>
      <c r="BS9" s="11">
        <v>1535000</v>
      </c>
      <c r="BT9" s="11">
        <v>834000</v>
      </c>
      <c r="BU9" s="11">
        <v>417000</v>
      </c>
      <c r="BV9" s="11">
        <v>1505000</v>
      </c>
      <c r="BW9" s="11">
        <v>232000</v>
      </c>
      <c r="BX9" s="7">
        <v>1018000</v>
      </c>
      <c r="BY9" s="7">
        <v>1018000</v>
      </c>
      <c r="BZ9" s="7">
        <v>1018000</v>
      </c>
      <c r="CA9" s="7">
        <v>1018000</v>
      </c>
      <c r="CB9" s="7">
        <v>1018000</v>
      </c>
      <c r="CC9" s="11"/>
      <c r="CD9" s="11"/>
      <c r="CE9" s="11"/>
      <c r="CF9" s="11"/>
      <c r="CG9" s="11"/>
      <c r="CH9" s="7">
        <v>-386000</v>
      </c>
      <c r="CI9" s="7">
        <v>-1094000</v>
      </c>
      <c r="CJ9" s="7">
        <v>-1523000</v>
      </c>
      <c r="CK9" s="7">
        <v>-6651000</v>
      </c>
      <c r="CL9" s="7">
        <v>-7054000</v>
      </c>
      <c r="CM9" s="11">
        <v>632000</v>
      </c>
      <c r="CN9" s="11">
        <v>-76000</v>
      </c>
      <c r="CO9" s="11">
        <v>-505000</v>
      </c>
      <c r="CP9" s="11">
        <v>-5633000</v>
      </c>
      <c r="CQ9" s="11">
        <v>-6036000</v>
      </c>
      <c r="CR9" s="11"/>
      <c r="CS9" s="11"/>
      <c r="CT9" s="11"/>
      <c r="CU9" s="11"/>
      <c r="CV9" s="11"/>
      <c r="CW9" s="11"/>
      <c r="CX9" s="11"/>
      <c r="CY9" s="11"/>
      <c r="CZ9" s="11"/>
      <c r="DA9" s="11"/>
      <c r="DB9" s="11"/>
      <c r="DC9" s="11"/>
      <c r="DD9" s="11"/>
      <c r="DE9" s="11"/>
      <c r="DF9" s="11"/>
      <c r="DG9" s="7"/>
      <c r="DH9" s="7"/>
      <c r="DI9" s="7"/>
      <c r="DJ9" s="7"/>
      <c r="DK9" s="7"/>
      <c r="DL9" s="7">
        <v>903000</v>
      </c>
      <c r="DM9" s="7">
        <v>910000</v>
      </c>
      <c r="DN9" s="7">
        <v>922000</v>
      </c>
      <c r="DO9" s="7">
        <v>7138000</v>
      </c>
      <c r="DP9" s="7">
        <v>6268000</v>
      </c>
      <c r="DQ9" s="11"/>
      <c r="DR9" s="11"/>
      <c r="DS9" s="11"/>
      <c r="DT9" s="11"/>
      <c r="DU9" s="11"/>
      <c r="DV9" s="11"/>
      <c r="DW9" s="11"/>
      <c r="DX9" s="11"/>
      <c r="DY9" s="11"/>
      <c r="DZ9" s="11"/>
      <c r="EA9" s="11">
        <v>903000</v>
      </c>
      <c r="EB9" s="11">
        <v>910000</v>
      </c>
      <c r="EC9" s="11">
        <v>922000</v>
      </c>
      <c r="ED9" s="11">
        <v>7138000</v>
      </c>
      <c r="EE9" s="11">
        <v>6268000</v>
      </c>
      <c r="EF9" s="7"/>
      <c r="EG9" s="7"/>
      <c r="EH9" s="7"/>
      <c r="EI9" s="7"/>
      <c r="EJ9" s="7"/>
      <c r="EK9" s="7"/>
      <c r="EL9" s="7"/>
      <c r="EM9" s="7"/>
      <c r="EN9" s="7"/>
      <c r="EO9" s="7"/>
      <c r="EP9" s="7"/>
      <c r="EQ9" s="7"/>
      <c r="ER9" s="7"/>
      <c r="ES9" s="7"/>
      <c r="ET9" s="7"/>
      <c r="EU9" s="7">
        <v>306000</v>
      </c>
      <c r="EV9" s="7">
        <v>315000</v>
      </c>
      <c r="EW9" s="7">
        <v>42000</v>
      </c>
      <c r="EX9" s="7">
        <v>73000</v>
      </c>
      <c r="EY9" s="7">
        <v>182000</v>
      </c>
      <c r="EZ9" s="11"/>
      <c r="FA9" s="11"/>
      <c r="FB9" s="11"/>
      <c r="FC9" s="11"/>
      <c r="FD9" s="11"/>
      <c r="FE9" s="11"/>
      <c r="FF9" s="11"/>
      <c r="FG9" s="11"/>
      <c r="FH9" s="11"/>
      <c r="FI9" s="11"/>
      <c r="FJ9" s="11"/>
      <c r="FK9" s="11"/>
      <c r="FL9" s="11"/>
      <c r="FM9" s="11">
        <v>6641000</v>
      </c>
      <c r="FN9" s="11"/>
      <c r="FO9" s="7">
        <v>3720000</v>
      </c>
      <c r="FP9" s="7"/>
      <c r="FQ9" s="7"/>
      <c r="FR9" s="7">
        <v>3229000</v>
      </c>
      <c r="FS9" s="7">
        <v>196000</v>
      </c>
      <c r="FT9" s="7">
        <v>460000</v>
      </c>
      <c r="FU9" s="7">
        <v>393000</v>
      </c>
      <c r="FV9" s="7">
        <v>383000</v>
      </c>
      <c r="FW9" s="7">
        <v>1447000</v>
      </c>
      <c r="FX9" s="7">
        <v>402000</v>
      </c>
      <c r="FY9" s="11">
        <v>-465000</v>
      </c>
      <c r="FZ9" s="11"/>
      <c r="GA9" s="11"/>
      <c r="GB9" s="11">
        <v>-168000</v>
      </c>
      <c r="GC9" s="11"/>
      <c r="GD9" s="7">
        <v>2475000</v>
      </c>
      <c r="GE9" s="7">
        <v>-708000</v>
      </c>
      <c r="GF9" s="7">
        <v>-429000</v>
      </c>
      <c r="GG9" s="7">
        <v>-5128000</v>
      </c>
      <c r="GH9" s="7">
        <v>-403000</v>
      </c>
    </row>
    <row r="10" spans="1:190" x14ac:dyDescent="0.25">
      <c r="A10" s="4">
        <v>9</v>
      </c>
      <c r="B10" s="5" t="s">
        <v>208</v>
      </c>
      <c r="C10" s="9" t="s">
        <v>209</v>
      </c>
      <c r="D10" s="7">
        <v>12</v>
      </c>
      <c r="E10" s="6" t="s">
        <v>210</v>
      </c>
      <c r="F10" s="11"/>
      <c r="G10" s="11"/>
      <c r="H10" s="11"/>
      <c r="I10" s="11"/>
      <c r="J10" s="11"/>
      <c r="K10" s="11">
        <v>1603164</v>
      </c>
      <c r="L10" s="11">
        <v>1246348</v>
      </c>
      <c r="M10" s="11">
        <v>918660</v>
      </c>
      <c r="N10" s="11"/>
      <c r="O10" s="11"/>
      <c r="P10" s="7"/>
      <c r="Q10" s="7"/>
      <c r="R10" s="7"/>
      <c r="S10" s="7"/>
      <c r="T10" s="7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11"/>
      <c r="AZ10" s="11"/>
      <c r="BA10" s="11"/>
      <c r="BB10" s="11"/>
      <c r="BC10" s="11"/>
      <c r="BD10" s="7"/>
      <c r="BE10" s="7"/>
      <c r="BF10" s="7"/>
      <c r="BG10" s="7"/>
      <c r="BH10" s="7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7"/>
      <c r="BY10" s="7"/>
      <c r="BZ10" s="7"/>
      <c r="CA10" s="7"/>
      <c r="CB10" s="7"/>
      <c r="CC10" s="11"/>
      <c r="CD10" s="11"/>
      <c r="CE10" s="11"/>
      <c r="CF10" s="11"/>
      <c r="CG10" s="11"/>
      <c r="CH10" s="7"/>
      <c r="CI10" s="7"/>
      <c r="CJ10" s="7"/>
      <c r="CK10" s="7"/>
      <c r="CL10" s="7"/>
      <c r="CM10" s="11"/>
      <c r="CN10" s="11"/>
      <c r="CO10" s="11"/>
      <c r="CP10" s="11"/>
      <c r="CQ10" s="11"/>
      <c r="CR10" s="11"/>
      <c r="CS10" s="11"/>
      <c r="CT10" s="11"/>
      <c r="CU10" s="11"/>
      <c r="CV10" s="11"/>
      <c r="CW10" s="11"/>
      <c r="CX10" s="11"/>
      <c r="CY10" s="11"/>
      <c r="CZ10" s="11"/>
      <c r="DA10" s="11"/>
      <c r="DB10" s="11"/>
      <c r="DC10" s="11"/>
      <c r="DD10" s="11"/>
      <c r="DE10" s="11"/>
      <c r="DF10" s="11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11"/>
      <c r="DR10" s="11"/>
      <c r="DS10" s="11"/>
      <c r="DT10" s="11"/>
      <c r="DU10" s="11"/>
      <c r="DV10" s="11"/>
      <c r="DW10" s="11"/>
      <c r="DX10" s="11"/>
      <c r="DY10" s="11"/>
      <c r="DZ10" s="11"/>
      <c r="EA10" s="11"/>
      <c r="EB10" s="11"/>
      <c r="EC10" s="11"/>
      <c r="ED10" s="11"/>
      <c r="EE10" s="11"/>
      <c r="EF10" s="7"/>
      <c r="EG10" s="7"/>
      <c r="EH10" s="7"/>
      <c r="EI10" s="7"/>
      <c r="EJ10" s="7"/>
      <c r="EK10" s="7"/>
      <c r="EL10" s="7"/>
      <c r="EM10" s="7"/>
      <c r="EN10" s="7"/>
      <c r="EO10" s="7"/>
      <c r="EP10" s="7"/>
      <c r="EQ10" s="7"/>
      <c r="ER10" s="7"/>
      <c r="ES10" s="7"/>
      <c r="ET10" s="7"/>
      <c r="EU10" s="7"/>
      <c r="EV10" s="7"/>
      <c r="EW10" s="7"/>
      <c r="EX10" s="7"/>
      <c r="EY10" s="7"/>
      <c r="EZ10" s="11"/>
      <c r="FA10" s="11"/>
      <c r="FB10" s="11"/>
      <c r="FC10" s="11"/>
      <c r="FD10" s="11"/>
      <c r="FE10" s="11"/>
      <c r="FF10" s="11"/>
      <c r="FG10" s="11"/>
      <c r="FH10" s="11"/>
      <c r="FI10" s="11"/>
      <c r="FJ10" s="11"/>
      <c r="FK10" s="11"/>
      <c r="FL10" s="11"/>
      <c r="FM10" s="11"/>
      <c r="FN10" s="11"/>
      <c r="FO10" s="7"/>
      <c r="FP10" s="7"/>
      <c r="FQ10" s="7"/>
      <c r="FR10" s="7"/>
      <c r="FS10" s="7"/>
      <c r="FT10" s="7"/>
      <c r="FU10" s="7"/>
      <c r="FV10" s="7"/>
      <c r="FW10" s="7"/>
      <c r="FX10" s="7"/>
      <c r="FY10" s="11"/>
      <c r="FZ10" s="11"/>
      <c r="GA10" s="11"/>
      <c r="GB10" s="11"/>
      <c r="GC10" s="11"/>
      <c r="GD10" s="7"/>
      <c r="GE10" s="7"/>
      <c r="GF10" s="7"/>
      <c r="GG10" s="7"/>
      <c r="GH10" s="7"/>
    </row>
    <row r="11" spans="1:190" ht="26.25" x14ac:dyDescent="0.25">
      <c r="A11" s="4">
        <v>10</v>
      </c>
      <c r="B11" s="5" t="s">
        <v>211</v>
      </c>
      <c r="C11" s="9" t="s">
        <v>212</v>
      </c>
      <c r="D11" s="7">
        <v>8</v>
      </c>
      <c r="E11" s="6" t="s">
        <v>213</v>
      </c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7"/>
      <c r="Q11" s="7"/>
      <c r="R11" s="7"/>
      <c r="S11" s="7"/>
      <c r="T11" s="7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7"/>
      <c r="AP11" s="7"/>
      <c r="AQ11" s="7"/>
      <c r="AR11" s="7"/>
      <c r="AS11" s="7"/>
      <c r="AT11" s="7"/>
      <c r="AU11" s="7"/>
      <c r="AV11" s="7"/>
      <c r="AW11" s="7"/>
      <c r="AX11" s="7">
        <v>10000000</v>
      </c>
      <c r="AY11" s="11"/>
      <c r="AZ11" s="11"/>
      <c r="BA11" s="11"/>
      <c r="BB11" s="11"/>
      <c r="BC11" s="11"/>
      <c r="BD11" s="7"/>
      <c r="BE11" s="7"/>
      <c r="BF11" s="7"/>
      <c r="BG11" s="7"/>
      <c r="BH11" s="7"/>
      <c r="BI11" s="11"/>
      <c r="BJ11" s="11"/>
      <c r="BK11" s="11"/>
      <c r="BL11" s="11"/>
      <c r="BM11" s="11"/>
      <c r="BN11" s="11"/>
      <c r="BO11" s="11"/>
      <c r="BP11" s="11"/>
      <c r="BQ11" s="11"/>
      <c r="BR11" s="11">
        <v>10000000</v>
      </c>
      <c r="BS11" s="11"/>
      <c r="BT11" s="11"/>
      <c r="BU11" s="11"/>
      <c r="BV11" s="11"/>
      <c r="BW11" s="11">
        <v>10000000</v>
      </c>
      <c r="BX11" s="7"/>
      <c r="BY11" s="7"/>
      <c r="BZ11" s="7"/>
      <c r="CA11" s="7"/>
      <c r="CB11" s="7"/>
      <c r="CC11" s="11"/>
      <c r="CD11" s="11"/>
      <c r="CE11" s="11"/>
      <c r="CF11" s="11"/>
      <c r="CG11" s="11"/>
      <c r="CH11" s="7"/>
      <c r="CI11" s="7"/>
      <c r="CJ11" s="7"/>
      <c r="CK11" s="7"/>
      <c r="CL11" s="7"/>
      <c r="CM11" s="11"/>
      <c r="CN11" s="11"/>
      <c r="CO11" s="11"/>
      <c r="CP11" s="11"/>
      <c r="CQ11" s="11">
        <v>10000000</v>
      </c>
      <c r="CR11" s="11"/>
      <c r="CS11" s="11"/>
      <c r="CT11" s="11"/>
      <c r="CU11" s="11"/>
      <c r="CV11" s="11"/>
      <c r="CW11" s="11"/>
      <c r="CX11" s="11"/>
      <c r="CY11" s="11"/>
      <c r="CZ11" s="11"/>
      <c r="DA11" s="11"/>
      <c r="DB11" s="11"/>
      <c r="DC11" s="11"/>
      <c r="DD11" s="11"/>
      <c r="DE11" s="11"/>
      <c r="DF11" s="11"/>
      <c r="DG11" s="7"/>
      <c r="DH11" s="7"/>
      <c r="DI11" s="7"/>
      <c r="DJ11" s="7"/>
      <c r="DK11" s="7"/>
      <c r="DL11" s="7"/>
      <c r="DM11" s="7"/>
      <c r="DN11" s="7"/>
      <c r="DO11" s="7"/>
      <c r="DP11" s="7"/>
      <c r="DQ11" s="11"/>
      <c r="DR11" s="11"/>
      <c r="DS11" s="11"/>
      <c r="DT11" s="11"/>
      <c r="DU11" s="11"/>
      <c r="DV11" s="11"/>
      <c r="DW11" s="11"/>
      <c r="DX11" s="11"/>
      <c r="DY11" s="11"/>
      <c r="DZ11" s="11"/>
      <c r="EA11" s="11"/>
      <c r="EB11" s="11"/>
      <c r="EC11" s="11"/>
      <c r="ED11" s="11"/>
      <c r="EE11" s="11"/>
      <c r="EF11" s="7"/>
      <c r="EG11" s="7"/>
      <c r="EH11" s="7"/>
      <c r="EI11" s="7"/>
      <c r="EJ11" s="7"/>
      <c r="EK11" s="7"/>
      <c r="EL11" s="7"/>
      <c r="EM11" s="7"/>
      <c r="EN11" s="7"/>
      <c r="EO11" s="7"/>
      <c r="EP11" s="7"/>
      <c r="EQ11" s="7"/>
      <c r="ER11" s="7"/>
      <c r="ES11" s="7"/>
      <c r="ET11" s="7"/>
      <c r="EU11" s="7"/>
      <c r="EV11" s="7"/>
      <c r="EW11" s="7"/>
      <c r="EX11" s="7"/>
      <c r="EY11" s="7"/>
      <c r="EZ11" s="11"/>
      <c r="FA11" s="11"/>
      <c r="FB11" s="11"/>
      <c r="FC11" s="11"/>
      <c r="FD11" s="11"/>
      <c r="FE11" s="11"/>
      <c r="FF11" s="11"/>
      <c r="FG11" s="11"/>
      <c r="FH11" s="11"/>
      <c r="FI11" s="11"/>
      <c r="FJ11" s="11"/>
      <c r="FK11" s="11"/>
      <c r="FL11" s="11"/>
      <c r="FM11" s="11"/>
      <c r="FN11" s="11"/>
      <c r="FO11" s="7"/>
      <c r="FP11" s="7"/>
      <c r="FQ11" s="7"/>
      <c r="FR11" s="7"/>
      <c r="FS11" s="7"/>
      <c r="FT11" s="7"/>
      <c r="FU11" s="7"/>
      <c r="FV11" s="7"/>
      <c r="FW11" s="7"/>
      <c r="FX11" s="7"/>
      <c r="FY11" s="11"/>
      <c r="FZ11" s="11"/>
      <c r="GA11" s="11"/>
      <c r="GB11" s="11"/>
      <c r="GC11" s="11"/>
      <c r="GD11" s="7"/>
      <c r="GE11" s="7"/>
      <c r="GF11" s="7"/>
      <c r="GG11" s="7"/>
      <c r="GH11" s="7"/>
    </row>
    <row r="12" spans="1:190" x14ac:dyDescent="0.25">
      <c r="A12" s="4">
        <v>11</v>
      </c>
      <c r="B12" s="5" t="s">
        <v>214</v>
      </c>
      <c r="C12" s="9" t="s">
        <v>215</v>
      </c>
      <c r="D12" s="7">
        <v>13</v>
      </c>
      <c r="E12" s="6" t="s">
        <v>216</v>
      </c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7">
        <v>9324000</v>
      </c>
      <c r="Q12" s="7"/>
      <c r="R12" s="7">
        <v>9324000</v>
      </c>
      <c r="S12" s="7">
        <v>51025000</v>
      </c>
      <c r="T12" s="7">
        <v>51024000</v>
      </c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>
        <v>9324000</v>
      </c>
      <c r="AK12" s="11"/>
      <c r="AL12" s="11">
        <v>9324000</v>
      </c>
      <c r="AM12" s="11">
        <v>51025000</v>
      </c>
      <c r="AN12" s="11">
        <v>51024000</v>
      </c>
      <c r="AO12" s="7">
        <v>632000</v>
      </c>
      <c r="AP12" s="7"/>
      <c r="AQ12" s="7">
        <v>632000</v>
      </c>
      <c r="AR12" s="7">
        <v>632000</v>
      </c>
      <c r="AS12" s="7"/>
      <c r="AT12" s="7">
        <v>42683000</v>
      </c>
      <c r="AU12" s="7"/>
      <c r="AV12" s="7">
        <v>42683000</v>
      </c>
      <c r="AW12" s="7">
        <v>42683000</v>
      </c>
      <c r="AX12" s="7">
        <v>42683000</v>
      </c>
      <c r="AY12" s="11"/>
      <c r="AZ12" s="11"/>
      <c r="BA12" s="11"/>
      <c r="BB12" s="11"/>
      <c r="BC12" s="11"/>
      <c r="BD12" s="7">
        <v>17000</v>
      </c>
      <c r="BE12" s="7"/>
      <c r="BF12" s="7">
        <v>17000</v>
      </c>
      <c r="BG12" s="7">
        <v>3530000</v>
      </c>
      <c r="BH12" s="7">
        <v>1017000</v>
      </c>
      <c r="BI12" s="11">
        <v>100000</v>
      </c>
      <c r="BJ12" s="11"/>
      <c r="BK12" s="11">
        <v>100000</v>
      </c>
      <c r="BL12" s="11">
        <v>100000</v>
      </c>
      <c r="BM12" s="11">
        <v>100000</v>
      </c>
      <c r="BN12" s="11">
        <v>43432000</v>
      </c>
      <c r="BO12" s="11"/>
      <c r="BP12" s="11">
        <v>43432000</v>
      </c>
      <c r="BQ12" s="11">
        <v>46945000</v>
      </c>
      <c r="BR12" s="11">
        <v>43800000</v>
      </c>
      <c r="BS12" s="11">
        <v>52756000</v>
      </c>
      <c r="BT12" s="11"/>
      <c r="BU12" s="11">
        <v>52756000</v>
      </c>
      <c r="BV12" s="11">
        <v>97970000</v>
      </c>
      <c r="BW12" s="11">
        <v>94824000</v>
      </c>
      <c r="BX12" s="7">
        <v>10000</v>
      </c>
      <c r="BY12" s="7"/>
      <c r="BZ12" s="7">
        <v>10000</v>
      </c>
      <c r="CA12" s="7">
        <v>10000</v>
      </c>
      <c r="CB12" s="7">
        <v>10000</v>
      </c>
      <c r="CC12" s="11"/>
      <c r="CD12" s="11"/>
      <c r="CE12" s="11"/>
      <c r="CF12" s="11"/>
      <c r="CG12" s="11"/>
      <c r="CH12" s="7">
        <v>-21513000</v>
      </c>
      <c r="CI12" s="7"/>
      <c r="CJ12" s="7">
        <v>-21513000</v>
      </c>
      <c r="CK12" s="7">
        <v>-223653000</v>
      </c>
      <c r="CL12" s="7">
        <v>-226798000</v>
      </c>
      <c r="CM12" s="11">
        <v>-21503000</v>
      </c>
      <c r="CN12" s="11"/>
      <c r="CO12" s="11">
        <v>-21503000</v>
      </c>
      <c r="CP12" s="11">
        <v>-176942000</v>
      </c>
      <c r="CQ12" s="11">
        <v>-180087000</v>
      </c>
      <c r="CR12" s="11"/>
      <c r="CS12" s="11"/>
      <c r="CT12" s="11"/>
      <c r="CU12" s="11">
        <v>274794000</v>
      </c>
      <c r="CV12" s="11">
        <v>274793000</v>
      </c>
      <c r="CW12" s="11"/>
      <c r="CX12" s="11"/>
      <c r="CY12" s="11"/>
      <c r="CZ12" s="11"/>
      <c r="DA12" s="11"/>
      <c r="DB12" s="11"/>
      <c r="DC12" s="11"/>
      <c r="DD12" s="11"/>
      <c r="DE12" s="11">
        <v>274912000</v>
      </c>
      <c r="DF12" s="11">
        <v>274911000</v>
      </c>
      <c r="DG12" s="7">
        <v>68751000</v>
      </c>
      <c r="DH12" s="7"/>
      <c r="DI12" s="7">
        <v>68751000</v>
      </c>
      <c r="DJ12" s="7"/>
      <c r="DK12" s="7"/>
      <c r="DL12" s="7">
        <v>5508000</v>
      </c>
      <c r="DM12" s="7"/>
      <c r="DN12" s="7">
        <v>5508000</v>
      </c>
      <c r="DO12" s="7"/>
      <c r="DP12" s="7"/>
      <c r="DQ12" s="11"/>
      <c r="DR12" s="11"/>
      <c r="DS12" s="11"/>
      <c r="DT12" s="11"/>
      <c r="DU12" s="11"/>
      <c r="DV12" s="11"/>
      <c r="DW12" s="11"/>
      <c r="DX12" s="11"/>
      <c r="DY12" s="11"/>
      <c r="DZ12" s="11"/>
      <c r="EA12" s="11">
        <v>74259000</v>
      </c>
      <c r="EB12" s="11"/>
      <c r="EC12" s="11">
        <v>74259000</v>
      </c>
      <c r="ED12" s="11"/>
      <c r="EE12" s="11"/>
      <c r="EF12" s="7"/>
      <c r="EG12" s="7"/>
      <c r="EH12" s="7"/>
      <c r="EI12" s="7"/>
      <c r="EJ12" s="7"/>
      <c r="EK12" s="7">
        <v>16000</v>
      </c>
      <c r="EL12" s="7"/>
      <c r="EM12" s="7"/>
      <c r="EN12" s="7"/>
      <c r="EO12" s="7"/>
      <c r="EP12" s="7"/>
      <c r="EQ12" s="7"/>
      <c r="ER12" s="7"/>
      <c r="ES12" s="7"/>
      <c r="ET12" s="7"/>
      <c r="EU12" s="7">
        <v>1770000</v>
      </c>
      <c r="EV12" s="7"/>
      <c r="EW12" s="7"/>
      <c r="EX12" s="7"/>
      <c r="EY12" s="7"/>
      <c r="EZ12" s="11"/>
      <c r="FA12" s="11"/>
      <c r="FB12" s="11"/>
      <c r="FC12" s="11"/>
      <c r="FD12" s="11"/>
      <c r="FE12" s="11"/>
      <c r="FF12" s="11"/>
      <c r="FG12" s="11"/>
      <c r="FH12" s="11"/>
      <c r="FI12" s="11"/>
      <c r="FJ12" s="11"/>
      <c r="FK12" s="11"/>
      <c r="FL12" s="11"/>
      <c r="FM12" s="11"/>
      <c r="FN12" s="11"/>
      <c r="FO12" s="7"/>
      <c r="FP12" s="7"/>
      <c r="FQ12" s="7"/>
      <c r="FR12" s="7"/>
      <c r="FS12" s="7"/>
      <c r="FT12" s="7">
        <v>7000</v>
      </c>
      <c r="FU12" s="7"/>
      <c r="FV12" s="7"/>
      <c r="FW12" s="7"/>
      <c r="FX12" s="7"/>
      <c r="FY12" s="11"/>
      <c r="FZ12" s="11"/>
      <c r="GA12" s="11"/>
      <c r="GB12" s="11"/>
      <c r="GC12" s="11"/>
      <c r="GD12" s="7">
        <v>-1793000</v>
      </c>
      <c r="GE12" s="7"/>
      <c r="GF12" s="7"/>
      <c r="GG12" s="7"/>
      <c r="GH12" s="7"/>
    </row>
    <row r="13" spans="1:190" x14ac:dyDescent="0.25">
      <c r="A13" s="4">
        <v>12</v>
      </c>
      <c r="B13" s="5" t="s">
        <v>217</v>
      </c>
      <c r="C13" s="9" t="s">
        <v>218</v>
      </c>
      <c r="D13" s="7">
        <v>14</v>
      </c>
      <c r="E13" s="6" t="s">
        <v>219</v>
      </c>
      <c r="F13" s="11">
        <v>180000</v>
      </c>
      <c r="G13" s="11"/>
      <c r="H13" s="11">
        <v>418</v>
      </c>
      <c r="I13" s="11"/>
      <c r="J13" s="11"/>
      <c r="K13" s="11">
        <v>1318023</v>
      </c>
      <c r="L13" s="11">
        <v>3140000</v>
      </c>
      <c r="M13" s="11"/>
      <c r="N13" s="11">
        <v>8772</v>
      </c>
      <c r="O13" s="11">
        <v>324840</v>
      </c>
      <c r="P13" s="7">
        <v>5370000</v>
      </c>
      <c r="Q13" s="7">
        <v>5211000</v>
      </c>
      <c r="R13" s="7">
        <v>5211000</v>
      </c>
      <c r="S13" s="7"/>
      <c r="T13" s="7"/>
      <c r="U13" s="11">
        <v>1000</v>
      </c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>
        <v>5630000</v>
      </c>
      <c r="AK13" s="11">
        <v>5211000</v>
      </c>
      <c r="AL13" s="11">
        <v>5211000</v>
      </c>
      <c r="AM13" s="11"/>
      <c r="AN13" s="11"/>
      <c r="AO13" s="7">
        <v>117299000</v>
      </c>
      <c r="AP13" s="7">
        <v>9222000</v>
      </c>
      <c r="AQ13" s="7">
        <v>9222000</v>
      </c>
      <c r="AR13" s="7"/>
      <c r="AS13" s="7"/>
      <c r="AT13" s="7">
        <v>221006000</v>
      </c>
      <c r="AU13" s="7">
        <v>9993000</v>
      </c>
      <c r="AV13" s="7">
        <v>9993000</v>
      </c>
      <c r="AW13" s="7">
        <v>558775000</v>
      </c>
      <c r="AX13" s="7">
        <v>558552000</v>
      </c>
      <c r="AY13" s="11"/>
      <c r="AZ13" s="11"/>
      <c r="BA13" s="11"/>
      <c r="BB13" s="11"/>
      <c r="BC13" s="11"/>
      <c r="BD13" s="7">
        <v>5000</v>
      </c>
      <c r="BE13" s="7"/>
      <c r="BF13" s="7"/>
      <c r="BG13" s="7">
        <v>64000</v>
      </c>
      <c r="BH13" s="7"/>
      <c r="BI13" s="11">
        <v>1723000</v>
      </c>
      <c r="BJ13" s="11"/>
      <c r="BK13" s="11"/>
      <c r="BL13" s="11"/>
      <c r="BM13" s="11"/>
      <c r="BN13" s="11">
        <v>342206000</v>
      </c>
      <c r="BO13" s="11">
        <v>19811000</v>
      </c>
      <c r="BP13" s="11">
        <v>19811000</v>
      </c>
      <c r="BQ13" s="11">
        <v>558839000</v>
      </c>
      <c r="BR13" s="11">
        <v>558552000</v>
      </c>
      <c r="BS13" s="11">
        <v>347836000</v>
      </c>
      <c r="BT13" s="11">
        <v>25022000</v>
      </c>
      <c r="BU13" s="11">
        <v>25022000</v>
      </c>
      <c r="BV13" s="11">
        <v>558839000</v>
      </c>
      <c r="BW13" s="11">
        <v>558552000</v>
      </c>
      <c r="BX13" s="7">
        <v>10000</v>
      </c>
      <c r="BY13" s="7">
        <v>10000</v>
      </c>
      <c r="BZ13" s="7">
        <v>10000</v>
      </c>
      <c r="CA13" s="7">
        <v>10000</v>
      </c>
      <c r="CB13" s="7"/>
      <c r="CC13" s="11"/>
      <c r="CD13" s="11"/>
      <c r="CE13" s="11"/>
      <c r="CF13" s="11"/>
      <c r="CG13" s="11"/>
      <c r="CH13" s="7">
        <v>48872000</v>
      </c>
      <c r="CI13" s="7">
        <v>11310000</v>
      </c>
      <c r="CJ13" s="7">
        <v>11310000</v>
      </c>
      <c r="CK13" s="7">
        <v>21353000</v>
      </c>
      <c r="CL13" s="7"/>
      <c r="CM13" s="11">
        <v>48882000</v>
      </c>
      <c r="CN13" s="11">
        <v>11320000</v>
      </c>
      <c r="CO13" s="11">
        <v>11320000</v>
      </c>
      <c r="CP13" s="11">
        <v>21363000</v>
      </c>
      <c r="CQ13" s="11">
        <v>-254641000</v>
      </c>
      <c r="CR13" s="11"/>
      <c r="CS13" s="11"/>
      <c r="CT13" s="11"/>
      <c r="CU13" s="11"/>
      <c r="CV13" s="11"/>
      <c r="CW13" s="11"/>
      <c r="CX13" s="11"/>
      <c r="CY13" s="11"/>
      <c r="CZ13" s="11"/>
      <c r="DA13" s="11"/>
      <c r="DB13" s="11">
        <v>106000</v>
      </c>
      <c r="DC13" s="11"/>
      <c r="DD13" s="11"/>
      <c r="DE13" s="11"/>
      <c r="DF13" s="11"/>
      <c r="DG13" s="7">
        <v>312000</v>
      </c>
      <c r="DH13" s="7"/>
      <c r="DI13" s="7"/>
      <c r="DJ13" s="7"/>
      <c r="DK13" s="7"/>
      <c r="DL13" s="7">
        <v>298536000</v>
      </c>
      <c r="DM13" s="7">
        <v>13702000</v>
      </c>
      <c r="DN13" s="7">
        <v>13702000</v>
      </c>
      <c r="DO13" s="7">
        <v>537476000</v>
      </c>
      <c r="DP13" s="7">
        <v>813193000</v>
      </c>
      <c r="DQ13" s="11"/>
      <c r="DR13" s="11"/>
      <c r="DS13" s="11"/>
      <c r="DT13" s="11"/>
      <c r="DU13" s="11"/>
      <c r="DV13" s="11"/>
      <c r="DW13" s="11"/>
      <c r="DX13" s="11"/>
      <c r="DY13" s="11"/>
      <c r="DZ13" s="11"/>
      <c r="EA13" s="11">
        <v>298848000</v>
      </c>
      <c r="EB13" s="11">
        <v>13702000</v>
      </c>
      <c r="EC13" s="11">
        <v>13702000</v>
      </c>
      <c r="ED13" s="11">
        <v>537476000</v>
      </c>
      <c r="EE13" s="11">
        <v>813193000</v>
      </c>
      <c r="EF13" s="7">
        <v>410640000</v>
      </c>
      <c r="EG13" s="7">
        <v>373997000</v>
      </c>
      <c r="EH13" s="7"/>
      <c r="EI13" s="7"/>
      <c r="EJ13" s="7"/>
      <c r="EK13" s="7">
        <v>373837000</v>
      </c>
      <c r="EL13" s="7">
        <v>401691000</v>
      </c>
      <c r="EM13" s="7"/>
      <c r="EN13" s="7"/>
      <c r="EO13" s="7"/>
      <c r="EP13" s="7">
        <v>416000</v>
      </c>
      <c r="EQ13" s="7">
        <v>410000</v>
      </c>
      <c r="ER13" s="7"/>
      <c r="ES13" s="7"/>
      <c r="ET13" s="7"/>
      <c r="EU13" s="7">
        <v>27391000</v>
      </c>
      <c r="EV13" s="7">
        <v>1608000</v>
      </c>
      <c r="EW13" s="7"/>
      <c r="EX13" s="7"/>
      <c r="EY13" s="7"/>
      <c r="EZ13" s="11"/>
      <c r="FA13" s="11"/>
      <c r="FB13" s="11"/>
      <c r="FC13" s="11"/>
      <c r="FD13" s="11"/>
      <c r="FE13" s="11"/>
      <c r="FF13" s="11"/>
      <c r="FG13" s="11"/>
      <c r="FH13" s="11"/>
      <c r="FI13" s="11"/>
      <c r="FJ13" s="11"/>
      <c r="FK13" s="11"/>
      <c r="FL13" s="11"/>
      <c r="FM13" s="11"/>
      <c r="FN13" s="11"/>
      <c r="FO13" s="7">
        <v>182000</v>
      </c>
      <c r="FP13" s="7">
        <v>72000</v>
      </c>
      <c r="FQ13" s="7"/>
      <c r="FR13" s="7"/>
      <c r="FS13" s="7"/>
      <c r="FT13" s="7">
        <v>2164000</v>
      </c>
      <c r="FU13" s="7">
        <v>7922000</v>
      </c>
      <c r="FV13" s="7"/>
      <c r="FW13" s="7"/>
      <c r="FX13" s="7">
        <v>335000</v>
      </c>
      <c r="FY13" s="11">
        <v>-106000</v>
      </c>
      <c r="FZ13" s="11"/>
      <c r="GA13" s="11"/>
      <c r="GB13" s="11"/>
      <c r="GC13" s="11"/>
      <c r="GD13" s="7">
        <v>6908000</v>
      </c>
      <c r="GE13" s="7">
        <v>-37562000</v>
      </c>
      <c r="GF13" s="7"/>
      <c r="GG13" s="7"/>
      <c r="GH13" s="7">
        <v>-335000</v>
      </c>
    </row>
    <row r="14" spans="1:190" ht="39" x14ac:dyDescent="0.25">
      <c r="A14" s="4">
        <v>13</v>
      </c>
      <c r="B14" s="5" t="s">
        <v>220</v>
      </c>
      <c r="C14" s="9" t="s">
        <v>221</v>
      </c>
      <c r="D14" s="7">
        <v>19</v>
      </c>
      <c r="E14" s="6" t="s">
        <v>222</v>
      </c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7"/>
      <c r="Q14" s="7"/>
      <c r="R14" s="7"/>
      <c r="S14" s="7"/>
      <c r="T14" s="7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11"/>
      <c r="AZ14" s="11"/>
      <c r="BA14" s="11"/>
      <c r="BB14" s="11"/>
      <c r="BC14" s="11"/>
      <c r="BD14" s="7">
        <v>1000</v>
      </c>
      <c r="BE14" s="7"/>
      <c r="BF14" s="7"/>
      <c r="BG14" s="7"/>
      <c r="BH14" s="7"/>
      <c r="BI14" s="11"/>
      <c r="BJ14" s="11"/>
      <c r="BK14" s="11"/>
      <c r="BL14" s="11"/>
      <c r="BM14" s="11"/>
      <c r="BN14" s="11">
        <v>1000</v>
      </c>
      <c r="BO14" s="11"/>
      <c r="BP14" s="11"/>
      <c r="BQ14" s="11"/>
      <c r="BR14" s="11"/>
      <c r="BS14" s="11">
        <v>1000</v>
      </c>
      <c r="BT14" s="11"/>
      <c r="BU14" s="11"/>
      <c r="BV14" s="11"/>
      <c r="BW14" s="11"/>
      <c r="BX14" s="7">
        <v>10000</v>
      </c>
      <c r="BY14" s="7"/>
      <c r="BZ14" s="7"/>
      <c r="CA14" s="7"/>
      <c r="CB14" s="7"/>
      <c r="CC14" s="11"/>
      <c r="CD14" s="11"/>
      <c r="CE14" s="11"/>
      <c r="CF14" s="11"/>
      <c r="CG14" s="11"/>
      <c r="CH14" s="7">
        <v>-803000</v>
      </c>
      <c r="CI14" s="7"/>
      <c r="CJ14" s="7"/>
      <c r="CK14" s="7"/>
      <c r="CL14" s="7"/>
      <c r="CM14" s="11">
        <v>-793000</v>
      </c>
      <c r="CN14" s="11"/>
      <c r="CO14" s="11"/>
      <c r="CP14" s="11"/>
      <c r="CQ14" s="11"/>
      <c r="CR14" s="11"/>
      <c r="CS14" s="11"/>
      <c r="CT14" s="11"/>
      <c r="CU14" s="11"/>
      <c r="CV14" s="11"/>
      <c r="CW14" s="11"/>
      <c r="CX14" s="11"/>
      <c r="CY14" s="11"/>
      <c r="CZ14" s="11"/>
      <c r="DA14" s="11"/>
      <c r="DB14" s="11"/>
      <c r="DC14" s="11"/>
      <c r="DD14" s="11"/>
      <c r="DE14" s="11"/>
      <c r="DF14" s="11"/>
      <c r="DG14" s="7"/>
      <c r="DH14" s="7"/>
      <c r="DI14" s="7"/>
      <c r="DJ14" s="7"/>
      <c r="DK14" s="7"/>
      <c r="DL14" s="7">
        <v>794000</v>
      </c>
      <c r="DM14" s="7"/>
      <c r="DN14" s="7"/>
      <c r="DO14" s="7"/>
      <c r="DP14" s="7"/>
      <c r="DQ14" s="11"/>
      <c r="DR14" s="11"/>
      <c r="DS14" s="11"/>
      <c r="DT14" s="11"/>
      <c r="DU14" s="11"/>
      <c r="DV14" s="11"/>
      <c r="DW14" s="11"/>
      <c r="DX14" s="11"/>
      <c r="DY14" s="11"/>
      <c r="DZ14" s="11"/>
      <c r="EA14" s="11">
        <v>794000</v>
      </c>
      <c r="EB14" s="11"/>
      <c r="EC14" s="11"/>
      <c r="ED14" s="11"/>
      <c r="EE14" s="11"/>
      <c r="EF14" s="7"/>
      <c r="EG14" s="7"/>
      <c r="EH14" s="7"/>
      <c r="EI14" s="7"/>
      <c r="EJ14" s="7"/>
      <c r="EK14" s="7"/>
      <c r="EL14" s="7"/>
      <c r="EM14" s="7"/>
      <c r="EN14" s="7"/>
      <c r="EO14" s="7"/>
      <c r="EP14" s="7"/>
      <c r="EQ14" s="7"/>
      <c r="ER14" s="7"/>
      <c r="ES14" s="7"/>
      <c r="ET14" s="7"/>
      <c r="EU14" s="7"/>
      <c r="EV14" s="7"/>
      <c r="EW14" s="7"/>
      <c r="EX14" s="7"/>
      <c r="EY14" s="7"/>
      <c r="EZ14" s="11"/>
      <c r="FA14" s="11"/>
      <c r="FB14" s="11"/>
      <c r="FC14" s="11"/>
      <c r="FD14" s="11"/>
      <c r="FE14" s="11"/>
      <c r="FF14" s="11"/>
      <c r="FG14" s="11"/>
      <c r="FH14" s="11"/>
      <c r="FI14" s="11"/>
      <c r="FJ14" s="11"/>
      <c r="FK14" s="11"/>
      <c r="FL14" s="11"/>
      <c r="FM14" s="11"/>
      <c r="FN14" s="11"/>
      <c r="FO14" s="7"/>
      <c r="FP14" s="7"/>
      <c r="FQ14" s="7"/>
      <c r="FR14" s="7"/>
      <c r="FS14" s="7"/>
      <c r="FT14" s="7"/>
      <c r="FU14" s="7"/>
      <c r="FV14" s="7"/>
      <c r="FW14" s="7"/>
      <c r="FX14" s="7"/>
      <c r="FY14" s="11"/>
      <c r="FZ14" s="11"/>
      <c r="GA14" s="11"/>
      <c r="GB14" s="11"/>
      <c r="GC14" s="11"/>
      <c r="GD14" s="7"/>
      <c r="GE14" s="7"/>
      <c r="GF14" s="7"/>
      <c r="GG14" s="7"/>
      <c r="GH14" s="7"/>
    </row>
    <row r="15" spans="1:190" x14ac:dyDescent="0.25">
      <c r="A15" s="4">
        <v>14</v>
      </c>
      <c r="B15" s="5" t="s">
        <v>223</v>
      </c>
      <c r="C15" s="9" t="s">
        <v>224</v>
      </c>
      <c r="D15" s="7">
        <v>23</v>
      </c>
      <c r="E15" s="6" t="s">
        <v>225</v>
      </c>
      <c r="F15" s="11">
        <v>71334</v>
      </c>
      <c r="G15" s="11">
        <v>235352</v>
      </c>
      <c r="H15" s="11"/>
      <c r="I15" s="11"/>
      <c r="J15" s="11"/>
      <c r="K15" s="11">
        <v>1612770</v>
      </c>
      <c r="L15" s="11">
        <v>1883051</v>
      </c>
      <c r="M15" s="11"/>
      <c r="N15" s="11">
        <v>80621</v>
      </c>
      <c r="O15" s="11"/>
      <c r="P15" s="7">
        <v>194000</v>
      </c>
      <c r="Q15" s="7"/>
      <c r="R15" s="7"/>
      <c r="S15" s="7"/>
      <c r="T15" s="7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>
        <v>194000</v>
      </c>
      <c r="AK15" s="11"/>
      <c r="AL15" s="11"/>
      <c r="AM15" s="11"/>
      <c r="AN15" s="11"/>
      <c r="AO15" s="7">
        <v>123000</v>
      </c>
      <c r="AP15" s="7">
        <v>46000</v>
      </c>
      <c r="AQ15" s="7"/>
      <c r="AR15" s="7"/>
      <c r="AS15" s="7"/>
      <c r="AT15" s="7">
        <v>10358000</v>
      </c>
      <c r="AU15" s="7">
        <v>845000</v>
      </c>
      <c r="AV15" s="7">
        <v>2699000</v>
      </c>
      <c r="AW15" s="7">
        <v>1754000</v>
      </c>
      <c r="AX15" s="7">
        <v>2815000</v>
      </c>
      <c r="AY15" s="11"/>
      <c r="AZ15" s="11"/>
      <c r="BA15" s="11"/>
      <c r="BB15" s="11"/>
      <c r="BC15" s="11"/>
      <c r="BD15" s="7">
        <v>169000</v>
      </c>
      <c r="BE15" s="7">
        <v>20000</v>
      </c>
      <c r="BF15" s="7">
        <v>1161000</v>
      </c>
      <c r="BG15" s="7">
        <v>159000</v>
      </c>
      <c r="BH15" s="7">
        <v>776000</v>
      </c>
      <c r="BI15" s="11"/>
      <c r="BJ15" s="11"/>
      <c r="BK15" s="11"/>
      <c r="BL15" s="11"/>
      <c r="BM15" s="11"/>
      <c r="BN15" s="11">
        <v>10650000</v>
      </c>
      <c r="BO15" s="11">
        <v>911000</v>
      </c>
      <c r="BP15" s="11">
        <v>3860000</v>
      </c>
      <c r="BQ15" s="11">
        <v>1913000</v>
      </c>
      <c r="BR15" s="11">
        <v>3591000</v>
      </c>
      <c r="BS15" s="11">
        <v>10844000</v>
      </c>
      <c r="BT15" s="11">
        <v>911000</v>
      </c>
      <c r="BU15" s="11">
        <v>3860000</v>
      </c>
      <c r="BV15" s="11">
        <v>1913000</v>
      </c>
      <c r="BW15" s="11">
        <v>3591000</v>
      </c>
      <c r="BX15" s="7"/>
      <c r="BY15" s="7"/>
      <c r="BZ15" s="7"/>
      <c r="CA15" s="7"/>
      <c r="CB15" s="7"/>
      <c r="CC15" s="11"/>
      <c r="CD15" s="11"/>
      <c r="CE15" s="11"/>
      <c r="CF15" s="11"/>
      <c r="CG15" s="11"/>
      <c r="CH15" s="7"/>
      <c r="CI15" s="7"/>
      <c r="CJ15" s="7"/>
      <c r="CK15" s="7"/>
      <c r="CL15" s="7"/>
      <c r="CM15" s="11">
        <v>3811000</v>
      </c>
      <c r="CN15" s="11">
        <v>610000</v>
      </c>
      <c r="CO15" s="11">
        <v>-3000000</v>
      </c>
      <c r="CP15" s="11">
        <v>-8973000</v>
      </c>
      <c r="CQ15" s="11">
        <v>-3528000</v>
      </c>
      <c r="CR15" s="11"/>
      <c r="CS15" s="11"/>
      <c r="CT15" s="11"/>
      <c r="CU15" s="11"/>
      <c r="CV15" s="11"/>
      <c r="CW15" s="11"/>
      <c r="CX15" s="11"/>
      <c r="CY15" s="11"/>
      <c r="CZ15" s="11"/>
      <c r="DA15" s="11"/>
      <c r="DB15" s="11"/>
      <c r="DC15" s="11"/>
      <c r="DD15" s="11"/>
      <c r="DE15" s="11"/>
      <c r="DF15" s="11"/>
      <c r="DG15" s="7"/>
      <c r="DH15" s="7"/>
      <c r="DI15" s="7"/>
      <c r="DJ15" s="7"/>
      <c r="DK15" s="7"/>
      <c r="DL15" s="7">
        <v>7033000</v>
      </c>
      <c r="DM15" s="7">
        <v>301000</v>
      </c>
      <c r="DN15" s="7">
        <v>6860000</v>
      </c>
      <c r="DO15" s="7">
        <v>10886000</v>
      </c>
      <c r="DP15" s="7">
        <v>7119000</v>
      </c>
      <c r="DQ15" s="11"/>
      <c r="DR15" s="11"/>
      <c r="DS15" s="11"/>
      <c r="DT15" s="11"/>
      <c r="DU15" s="11"/>
      <c r="DV15" s="11"/>
      <c r="DW15" s="11"/>
      <c r="DX15" s="11"/>
      <c r="DY15" s="11"/>
      <c r="DZ15" s="11"/>
      <c r="EA15" s="11">
        <v>7033000</v>
      </c>
      <c r="EB15" s="11">
        <v>301000</v>
      </c>
      <c r="EC15" s="11">
        <v>6860000</v>
      </c>
      <c r="ED15" s="11">
        <v>10886000</v>
      </c>
      <c r="EE15" s="11">
        <v>7119000</v>
      </c>
      <c r="EF15" s="7">
        <v>13019000</v>
      </c>
      <c r="EG15" s="7">
        <v>8442000</v>
      </c>
      <c r="EH15" s="7">
        <v>2278000</v>
      </c>
      <c r="EI15" s="7">
        <v>419000</v>
      </c>
      <c r="EJ15" s="7"/>
      <c r="EK15" s="7">
        <v>11699000</v>
      </c>
      <c r="EL15" s="7">
        <v>8123000</v>
      </c>
      <c r="EM15" s="7">
        <v>2121000</v>
      </c>
      <c r="EN15" s="7">
        <v>652000</v>
      </c>
      <c r="EO15" s="7">
        <v>523000</v>
      </c>
      <c r="EP15" s="7"/>
      <c r="EQ15" s="7"/>
      <c r="ER15" s="7"/>
      <c r="ES15" s="7"/>
      <c r="ET15" s="7"/>
      <c r="EU15" s="7"/>
      <c r="EV15" s="7"/>
      <c r="EW15" s="7"/>
      <c r="EX15" s="7"/>
      <c r="EY15" s="7"/>
      <c r="EZ15" s="11"/>
      <c r="FA15" s="11"/>
      <c r="FB15" s="11"/>
      <c r="FC15" s="11"/>
      <c r="FD15" s="11"/>
      <c r="FE15" s="11"/>
      <c r="FF15" s="11"/>
      <c r="FG15" s="11"/>
      <c r="FH15" s="11"/>
      <c r="FI15" s="11"/>
      <c r="FJ15" s="11"/>
      <c r="FK15" s="11"/>
      <c r="FL15" s="11"/>
      <c r="FM15" s="11"/>
      <c r="FN15" s="11"/>
      <c r="FO15" s="7">
        <v>94000</v>
      </c>
      <c r="FP15" s="7"/>
      <c r="FQ15" s="7"/>
      <c r="FR15" s="7"/>
      <c r="FS15" s="7">
        <v>6203000</v>
      </c>
      <c r="FT15" s="7">
        <v>214000</v>
      </c>
      <c r="FU15" s="7">
        <v>3493000</v>
      </c>
      <c r="FV15" s="7">
        <v>3767000</v>
      </c>
      <c r="FW15" s="7">
        <v>5740000</v>
      </c>
      <c r="FX15" s="7">
        <v>5680000</v>
      </c>
      <c r="FY15" s="11">
        <v>240000</v>
      </c>
      <c r="FZ15" s="11">
        <v>47000</v>
      </c>
      <c r="GA15" s="11"/>
      <c r="GB15" s="11"/>
      <c r="GC15" s="11"/>
      <c r="GD15" s="7">
        <v>960000</v>
      </c>
      <c r="GE15" s="7">
        <v>-3221000</v>
      </c>
      <c r="GF15" s="7">
        <v>-3610000</v>
      </c>
      <c r="GG15" s="7">
        <v>-5973000</v>
      </c>
      <c r="GH15" s="7"/>
    </row>
    <row r="16" spans="1:190" ht="26.25" x14ac:dyDescent="0.25">
      <c r="A16" s="4">
        <v>15</v>
      </c>
      <c r="B16" s="5" t="s">
        <v>226</v>
      </c>
      <c r="C16" s="9" t="s">
        <v>227</v>
      </c>
      <c r="D16" s="7">
        <v>16</v>
      </c>
      <c r="E16" s="6" t="s">
        <v>228</v>
      </c>
      <c r="F16" s="11"/>
      <c r="G16" s="11"/>
      <c r="H16" s="11"/>
      <c r="I16" s="11"/>
      <c r="J16" s="11"/>
      <c r="K16" s="11"/>
      <c r="L16" s="11"/>
      <c r="M16" s="11"/>
      <c r="N16" s="11"/>
      <c r="O16" s="11">
        <v>943343</v>
      </c>
      <c r="P16" s="7"/>
      <c r="Q16" s="7"/>
      <c r="R16" s="7"/>
      <c r="S16" s="7">
        <v>10892000</v>
      </c>
      <c r="T16" s="7">
        <v>1035000</v>
      </c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>
        <v>10892000</v>
      </c>
      <c r="AN16" s="11">
        <v>1035000</v>
      </c>
      <c r="AO16" s="7"/>
      <c r="AP16" s="7"/>
      <c r="AQ16" s="7"/>
      <c r="AR16" s="7"/>
      <c r="AS16" s="7"/>
      <c r="AT16" s="7"/>
      <c r="AU16" s="7"/>
      <c r="AV16" s="7"/>
      <c r="AW16" s="7">
        <v>888701000</v>
      </c>
      <c r="AX16" s="7">
        <v>9500000</v>
      </c>
      <c r="AY16" s="11"/>
      <c r="AZ16" s="11"/>
      <c r="BA16" s="11"/>
      <c r="BB16" s="11"/>
      <c r="BC16" s="11"/>
      <c r="BD16" s="7"/>
      <c r="BE16" s="7"/>
      <c r="BF16" s="7"/>
      <c r="BG16" s="7"/>
      <c r="BH16" s="7">
        <v>7195000</v>
      </c>
      <c r="BI16" s="11"/>
      <c r="BJ16" s="11"/>
      <c r="BK16" s="11"/>
      <c r="BL16" s="11"/>
      <c r="BM16" s="11"/>
      <c r="BN16" s="11"/>
      <c r="BO16" s="11"/>
      <c r="BP16" s="11"/>
      <c r="BQ16" s="11">
        <v>888701000</v>
      </c>
      <c r="BR16" s="11">
        <v>16695000</v>
      </c>
      <c r="BS16" s="11"/>
      <c r="BT16" s="11"/>
      <c r="BU16" s="11"/>
      <c r="BV16" s="11">
        <v>899593000</v>
      </c>
      <c r="BW16" s="11">
        <v>17730000</v>
      </c>
      <c r="BX16" s="7"/>
      <c r="BY16" s="7"/>
      <c r="BZ16" s="7"/>
      <c r="CA16" s="7"/>
      <c r="CB16" s="7"/>
      <c r="CC16" s="11"/>
      <c r="CD16" s="11"/>
      <c r="CE16" s="11"/>
      <c r="CF16" s="11"/>
      <c r="CG16" s="11"/>
      <c r="CH16" s="7"/>
      <c r="CI16" s="7"/>
      <c r="CJ16" s="7"/>
      <c r="CK16" s="7"/>
      <c r="CL16" s="7"/>
      <c r="CM16" s="11"/>
      <c r="CN16" s="11"/>
      <c r="CO16" s="11"/>
      <c r="CP16" s="11">
        <v>624167000</v>
      </c>
      <c r="CQ16" s="11">
        <v>-318466000</v>
      </c>
      <c r="CR16" s="11"/>
      <c r="CS16" s="11"/>
      <c r="CT16" s="11"/>
      <c r="CU16" s="11"/>
      <c r="CV16" s="11"/>
      <c r="CW16" s="11"/>
      <c r="CX16" s="11"/>
      <c r="CY16" s="11"/>
      <c r="CZ16" s="11"/>
      <c r="DA16" s="11"/>
      <c r="DB16" s="11"/>
      <c r="DC16" s="11"/>
      <c r="DD16" s="11"/>
      <c r="DE16" s="11"/>
      <c r="DF16" s="11"/>
      <c r="DG16" s="7"/>
      <c r="DH16" s="7"/>
      <c r="DI16" s="7"/>
      <c r="DJ16" s="7"/>
      <c r="DK16" s="7"/>
      <c r="DL16" s="7"/>
      <c r="DM16" s="7"/>
      <c r="DN16" s="7"/>
      <c r="DO16" s="7">
        <v>275426000</v>
      </c>
      <c r="DP16" s="7">
        <v>335830000</v>
      </c>
      <c r="DQ16" s="11"/>
      <c r="DR16" s="11"/>
      <c r="DS16" s="11"/>
      <c r="DT16" s="11"/>
      <c r="DU16" s="11"/>
      <c r="DV16" s="11"/>
      <c r="DW16" s="11"/>
      <c r="DX16" s="11"/>
      <c r="DY16" s="11"/>
      <c r="DZ16" s="11">
        <v>366000</v>
      </c>
      <c r="EA16" s="11"/>
      <c r="EB16" s="11"/>
      <c r="EC16" s="11"/>
      <c r="ED16" s="11">
        <v>275426000</v>
      </c>
      <c r="EE16" s="11">
        <v>336196000</v>
      </c>
      <c r="EF16" s="7"/>
      <c r="EG16" s="7"/>
      <c r="EH16" s="7"/>
      <c r="EI16" s="7">
        <v>12856000</v>
      </c>
      <c r="EJ16" s="7">
        <v>2197000</v>
      </c>
      <c r="EK16" s="7"/>
      <c r="EL16" s="7"/>
      <c r="EM16" s="7"/>
      <c r="EN16" s="7">
        <v>15128000</v>
      </c>
      <c r="EO16" s="7">
        <v>16468000</v>
      </c>
      <c r="EP16" s="7"/>
      <c r="EQ16" s="7"/>
      <c r="ER16" s="7"/>
      <c r="ES16" s="7"/>
      <c r="ET16" s="7"/>
      <c r="EU16" s="7"/>
      <c r="EV16" s="7"/>
      <c r="EW16" s="7"/>
      <c r="EX16" s="7"/>
      <c r="EY16" s="7"/>
      <c r="EZ16" s="11"/>
      <c r="FA16" s="11"/>
      <c r="FB16" s="11"/>
      <c r="FC16" s="11"/>
      <c r="FD16" s="11"/>
      <c r="FE16" s="11"/>
      <c r="FF16" s="11"/>
      <c r="FG16" s="11"/>
      <c r="FH16" s="11"/>
      <c r="FI16" s="11"/>
      <c r="FJ16" s="11"/>
      <c r="FK16" s="11"/>
      <c r="FL16" s="11"/>
      <c r="FM16" s="11"/>
      <c r="FN16" s="11"/>
      <c r="FO16" s="7"/>
      <c r="FP16" s="7"/>
      <c r="FQ16" s="7"/>
      <c r="FR16" s="7"/>
      <c r="FS16" s="7">
        <v>10015000</v>
      </c>
      <c r="FT16" s="7"/>
      <c r="FU16" s="7"/>
      <c r="FV16" s="7"/>
      <c r="FW16" s="7">
        <v>2479000</v>
      </c>
      <c r="FX16" s="7">
        <v>938377000</v>
      </c>
      <c r="FY16" s="11"/>
      <c r="FZ16" s="11"/>
      <c r="GA16" s="11"/>
      <c r="GB16" s="11"/>
      <c r="GC16" s="11"/>
      <c r="GD16" s="7"/>
      <c r="GE16" s="7"/>
      <c r="GF16" s="7"/>
      <c r="GG16" s="7">
        <v>-4751000</v>
      </c>
      <c r="GH16" s="7">
        <v>-942633000</v>
      </c>
    </row>
    <row r="17" spans="1:190" x14ac:dyDescent="0.25">
      <c r="A17" s="4">
        <v>16</v>
      </c>
      <c r="B17" s="5" t="s">
        <v>229</v>
      </c>
      <c r="C17" s="9" t="s">
        <v>230</v>
      </c>
      <c r="D17" s="7">
        <v>22</v>
      </c>
      <c r="E17" s="6" t="s">
        <v>190</v>
      </c>
      <c r="F17" s="11">
        <v>4703</v>
      </c>
      <c r="G17" s="11">
        <v>92273</v>
      </c>
      <c r="H17" s="11"/>
      <c r="I17" s="11"/>
      <c r="J17" s="11"/>
      <c r="K17" s="11">
        <v>3521622</v>
      </c>
      <c r="L17" s="11">
        <v>97020</v>
      </c>
      <c r="M17" s="11"/>
      <c r="N17" s="11">
        <v>31099</v>
      </c>
      <c r="O17" s="11">
        <v>45774</v>
      </c>
      <c r="P17" s="7">
        <v>152000</v>
      </c>
      <c r="Q17" s="7">
        <v>201000</v>
      </c>
      <c r="R17" s="7"/>
      <c r="S17" s="7"/>
      <c r="T17" s="7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>
        <v>152000</v>
      </c>
      <c r="AK17" s="11">
        <v>201000</v>
      </c>
      <c r="AL17" s="11"/>
      <c r="AM17" s="11"/>
      <c r="AN17" s="11"/>
      <c r="AO17" s="7">
        <v>17768000</v>
      </c>
      <c r="AP17" s="7">
        <v>86870000</v>
      </c>
      <c r="AQ17" s="7"/>
      <c r="AR17" s="7"/>
      <c r="AS17" s="7"/>
      <c r="AT17" s="7">
        <v>16542000</v>
      </c>
      <c r="AU17" s="7">
        <v>20531000</v>
      </c>
      <c r="AV17" s="7"/>
      <c r="AW17" s="7"/>
      <c r="AX17" s="7"/>
      <c r="AY17" s="11"/>
      <c r="AZ17" s="11"/>
      <c r="BA17" s="11"/>
      <c r="BB17" s="11"/>
      <c r="BC17" s="11"/>
      <c r="BD17" s="7">
        <v>12879000</v>
      </c>
      <c r="BE17" s="7"/>
      <c r="BF17" s="7"/>
      <c r="BG17" s="7"/>
      <c r="BH17" s="7"/>
      <c r="BI17" s="11">
        <v>2503000</v>
      </c>
      <c r="BJ17" s="11">
        <v>3972000</v>
      </c>
      <c r="BK17" s="11"/>
      <c r="BL17" s="11"/>
      <c r="BM17" s="11"/>
      <c r="BN17" s="11">
        <v>49692000</v>
      </c>
      <c r="BO17" s="11">
        <v>111712000</v>
      </c>
      <c r="BP17" s="11"/>
      <c r="BQ17" s="11"/>
      <c r="BR17" s="11"/>
      <c r="BS17" s="11">
        <v>49844000</v>
      </c>
      <c r="BT17" s="11">
        <v>111914000</v>
      </c>
      <c r="BU17" s="11"/>
      <c r="BV17" s="11"/>
      <c r="BW17" s="11"/>
      <c r="BX17" s="7">
        <v>10000</v>
      </c>
      <c r="BY17" s="7">
        <v>10000</v>
      </c>
      <c r="BZ17" s="7"/>
      <c r="CA17" s="7"/>
      <c r="CB17" s="7"/>
      <c r="CC17" s="11"/>
      <c r="CD17" s="11"/>
      <c r="CE17" s="11"/>
      <c r="CF17" s="11"/>
      <c r="CG17" s="11"/>
      <c r="CH17" s="7">
        <v>1993000</v>
      </c>
      <c r="CI17" s="7">
        <v>2586000</v>
      </c>
      <c r="CJ17" s="7"/>
      <c r="CK17" s="7"/>
      <c r="CL17" s="7"/>
      <c r="CM17" s="11">
        <v>2003000</v>
      </c>
      <c r="CN17" s="11">
        <v>2596000</v>
      </c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7">
        <v>2700000</v>
      </c>
      <c r="DH17" s="7">
        <v>16199000</v>
      </c>
      <c r="DI17" s="7"/>
      <c r="DJ17" s="7"/>
      <c r="DK17" s="7"/>
      <c r="DL17" s="7">
        <v>45141000</v>
      </c>
      <c r="DM17" s="7">
        <v>93118000</v>
      </c>
      <c r="DN17" s="7"/>
      <c r="DO17" s="7"/>
      <c r="DP17" s="7"/>
      <c r="DQ17" s="11"/>
      <c r="DR17" s="11"/>
      <c r="DS17" s="11"/>
      <c r="DT17" s="11"/>
      <c r="DU17" s="11"/>
      <c r="DV17" s="11"/>
      <c r="DW17" s="11"/>
      <c r="DX17" s="11"/>
      <c r="DY17" s="11"/>
      <c r="DZ17" s="11"/>
      <c r="EA17" s="11">
        <v>47841000</v>
      </c>
      <c r="EB17" s="11">
        <v>109317000</v>
      </c>
      <c r="EC17" s="11"/>
      <c r="ED17" s="11"/>
      <c r="EE17" s="11"/>
      <c r="EF17" s="7">
        <v>5397000</v>
      </c>
      <c r="EG17" s="7">
        <v>31348000</v>
      </c>
      <c r="EH17" s="7"/>
      <c r="EI17" s="7"/>
      <c r="EJ17" s="7"/>
      <c r="EK17" s="7">
        <v>5536000</v>
      </c>
      <c r="EL17" s="7">
        <v>29384000</v>
      </c>
      <c r="EM17" s="7"/>
      <c r="EN17" s="7"/>
      <c r="EO17" s="7"/>
      <c r="EP17" s="7"/>
      <c r="EQ17" s="7"/>
      <c r="ER17" s="7"/>
      <c r="ES17" s="7"/>
      <c r="ET17" s="7"/>
      <c r="EU17" s="7">
        <v>3018000</v>
      </c>
      <c r="EV17" s="7"/>
      <c r="EW17" s="7"/>
      <c r="EX17" s="7"/>
      <c r="EY17" s="7"/>
      <c r="EZ17" s="11"/>
      <c r="FA17" s="11"/>
      <c r="FB17" s="11"/>
      <c r="FC17" s="11"/>
      <c r="FD17" s="11"/>
      <c r="FE17" s="11"/>
      <c r="FF17" s="11"/>
      <c r="FG17" s="11"/>
      <c r="FH17" s="11"/>
      <c r="FI17" s="11"/>
      <c r="FJ17" s="11">
        <v>1000</v>
      </c>
      <c r="FK17" s="11">
        <v>1399000</v>
      </c>
      <c r="FL17" s="11"/>
      <c r="FM17" s="11"/>
      <c r="FN17" s="11"/>
      <c r="FO17" s="7">
        <v>8643000</v>
      </c>
      <c r="FP17" s="7"/>
      <c r="FQ17" s="7"/>
      <c r="FR17" s="7"/>
      <c r="FS17" s="7"/>
      <c r="FT17" s="7">
        <v>5051000</v>
      </c>
      <c r="FU17" s="7">
        <v>918000</v>
      </c>
      <c r="FV17" s="7"/>
      <c r="FW17" s="7"/>
      <c r="FX17" s="7"/>
      <c r="FY17" s="11">
        <v>-89000</v>
      </c>
      <c r="FZ17" s="11">
        <v>16000</v>
      </c>
      <c r="GA17" s="11"/>
      <c r="GB17" s="11"/>
      <c r="GC17" s="11"/>
      <c r="GD17" s="7">
        <v>345000</v>
      </c>
      <c r="GE17" s="7">
        <v>-759000</v>
      </c>
      <c r="GF17" s="7"/>
      <c r="GG17" s="7"/>
      <c r="GH17" s="7"/>
    </row>
    <row r="18" spans="1:190" x14ac:dyDescent="0.25">
      <c r="A18" s="4">
        <v>17</v>
      </c>
      <c r="B18" s="5" t="s">
        <v>231</v>
      </c>
      <c r="C18" s="9" t="s">
        <v>232</v>
      </c>
      <c r="D18" s="7">
        <v>30</v>
      </c>
      <c r="E18" s="6" t="s">
        <v>233</v>
      </c>
      <c r="F18" s="11"/>
      <c r="G18" s="11"/>
      <c r="H18" s="11"/>
      <c r="I18" s="11"/>
      <c r="J18" s="11"/>
      <c r="K18" s="11">
        <v>1053761</v>
      </c>
      <c r="L18" s="11"/>
      <c r="M18" s="11">
        <v>1695299</v>
      </c>
      <c r="N18" s="11"/>
      <c r="O18" s="11"/>
      <c r="P18" s="7">
        <v>104525000</v>
      </c>
      <c r="Q18" s="7">
        <v>77248000</v>
      </c>
      <c r="R18" s="7">
        <v>67425000</v>
      </c>
      <c r="S18" s="7">
        <v>67813000</v>
      </c>
      <c r="T18" s="7">
        <v>60278000</v>
      </c>
      <c r="U18" s="11"/>
      <c r="V18" s="11"/>
      <c r="W18" s="11"/>
      <c r="X18" s="11"/>
      <c r="Y18" s="11"/>
      <c r="Z18" s="11">
        <v>60000</v>
      </c>
      <c r="AA18" s="11">
        <v>60000</v>
      </c>
      <c r="AB18" s="11">
        <v>60000</v>
      </c>
      <c r="AC18" s="11">
        <v>60000</v>
      </c>
      <c r="AD18" s="11">
        <v>60000</v>
      </c>
      <c r="AE18" s="11">
        <v>4076000</v>
      </c>
      <c r="AF18" s="11">
        <v>4076000</v>
      </c>
      <c r="AG18" s="11">
        <v>3869000</v>
      </c>
      <c r="AH18" s="11">
        <v>3869000</v>
      </c>
      <c r="AI18" s="11">
        <v>3869000</v>
      </c>
      <c r="AJ18" s="11">
        <v>108661000</v>
      </c>
      <c r="AK18" s="11">
        <v>81384000</v>
      </c>
      <c r="AL18" s="11">
        <v>71354000</v>
      </c>
      <c r="AM18" s="11">
        <v>71742000</v>
      </c>
      <c r="AN18" s="11">
        <v>64207000</v>
      </c>
      <c r="AO18" s="7">
        <v>116271000</v>
      </c>
      <c r="AP18" s="7">
        <v>77831000</v>
      </c>
      <c r="AQ18" s="7">
        <v>64182000</v>
      </c>
      <c r="AR18" s="7">
        <v>50545000</v>
      </c>
      <c r="AS18" s="7">
        <v>32418000</v>
      </c>
      <c r="AT18" s="7">
        <v>5849000</v>
      </c>
      <c r="AU18" s="7">
        <v>6299000</v>
      </c>
      <c r="AV18" s="7">
        <v>9547000</v>
      </c>
      <c r="AW18" s="7">
        <v>7711000</v>
      </c>
      <c r="AX18" s="7">
        <v>7820000</v>
      </c>
      <c r="AY18" s="11"/>
      <c r="AZ18" s="11"/>
      <c r="BA18" s="11"/>
      <c r="BB18" s="11"/>
      <c r="BC18" s="11"/>
      <c r="BD18" s="7">
        <v>10000</v>
      </c>
      <c r="BE18" s="7">
        <v>2980000</v>
      </c>
      <c r="BF18" s="7">
        <v>135000</v>
      </c>
      <c r="BG18" s="7">
        <v>163000</v>
      </c>
      <c r="BH18" s="7">
        <v>66000</v>
      </c>
      <c r="BI18" s="11">
        <v>957000</v>
      </c>
      <c r="BJ18" s="11">
        <v>1387000</v>
      </c>
      <c r="BK18" s="11">
        <v>957000</v>
      </c>
      <c r="BL18" s="11">
        <v>957000</v>
      </c>
      <c r="BM18" s="11">
        <v>957000</v>
      </c>
      <c r="BN18" s="11">
        <v>123087000</v>
      </c>
      <c r="BO18" s="11">
        <v>88497000</v>
      </c>
      <c r="BP18" s="11">
        <v>74821000</v>
      </c>
      <c r="BQ18" s="11">
        <v>59376000</v>
      </c>
      <c r="BR18" s="11">
        <v>41261000</v>
      </c>
      <c r="BS18" s="11">
        <v>231748000</v>
      </c>
      <c r="BT18" s="11">
        <v>169881000</v>
      </c>
      <c r="BU18" s="11">
        <v>146175000</v>
      </c>
      <c r="BV18" s="11">
        <v>131118000</v>
      </c>
      <c r="BW18" s="11">
        <v>105468000</v>
      </c>
      <c r="BX18" s="7">
        <v>10000</v>
      </c>
      <c r="BY18" s="7">
        <v>10000</v>
      </c>
      <c r="BZ18" s="7">
        <v>10000</v>
      </c>
      <c r="CA18" s="7">
        <v>10000</v>
      </c>
      <c r="CB18" s="7">
        <v>10000</v>
      </c>
      <c r="CC18" s="11">
        <v>5522000</v>
      </c>
      <c r="CD18" s="11">
        <v>5522000</v>
      </c>
      <c r="CE18" s="11">
        <v>5522000</v>
      </c>
      <c r="CF18" s="11">
        <v>5522000</v>
      </c>
      <c r="CG18" s="11">
        <v>5522000</v>
      </c>
      <c r="CH18" s="7">
        <v>84551000</v>
      </c>
      <c r="CI18" s="7">
        <v>32797000</v>
      </c>
      <c r="CJ18" s="7">
        <v>10823000</v>
      </c>
      <c r="CK18" s="7">
        <v>-8903000</v>
      </c>
      <c r="CL18" s="7">
        <v>-54390000</v>
      </c>
      <c r="CM18" s="11">
        <v>138217000</v>
      </c>
      <c r="CN18" s="11">
        <v>86463000</v>
      </c>
      <c r="CO18" s="11">
        <v>64489000</v>
      </c>
      <c r="CP18" s="11">
        <v>44763000</v>
      </c>
      <c r="CQ18" s="11">
        <v>-724000</v>
      </c>
      <c r="CR18" s="11"/>
      <c r="CS18" s="11"/>
      <c r="CT18" s="11"/>
      <c r="CU18" s="11"/>
      <c r="CV18" s="11"/>
      <c r="CW18" s="11"/>
      <c r="CX18" s="11"/>
      <c r="CY18" s="11"/>
      <c r="CZ18" s="11"/>
      <c r="DA18" s="11"/>
      <c r="DB18" s="11"/>
      <c r="DC18" s="11"/>
      <c r="DD18" s="11"/>
      <c r="DE18" s="11"/>
      <c r="DF18" s="11"/>
      <c r="DG18" s="7">
        <v>2048000</v>
      </c>
      <c r="DH18" s="7">
        <v>2075000</v>
      </c>
      <c r="DI18" s="7">
        <v>2075000</v>
      </c>
      <c r="DJ18" s="7">
        <v>2075000</v>
      </c>
      <c r="DK18" s="7">
        <v>2075000</v>
      </c>
      <c r="DL18" s="7">
        <v>91483000</v>
      </c>
      <c r="DM18" s="7">
        <v>81343000</v>
      </c>
      <c r="DN18" s="7">
        <v>79611000</v>
      </c>
      <c r="DO18" s="7">
        <v>84280000</v>
      </c>
      <c r="DP18" s="7">
        <v>104117000</v>
      </c>
      <c r="DQ18" s="11"/>
      <c r="DR18" s="11"/>
      <c r="DS18" s="11"/>
      <c r="DT18" s="11"/>
      <c r="DU18" s="11"/>
      <c r="DV18" s="11"/>
      <c r="DW18" s="11"/>
      <c r="DX18" s="11"/>
      <c r="DY18" s="11"/>
      <c r="DZ18" s="11"/>
      <c r="EA18" s="11">
        <v>93531000</v>
      </c>
      <c r="EB18" s="11">
        <v>83418000</v>
      </c>
      <c r="EC18" s="11">
        <v>81686000</v>
      </c>
      <c r="ED18" s="11">
        <v>86355000</v>
      </c>
      <c r="EE18" s="11">
        <v>106192000</v>
      </c>
      <c r="EF18" s="7">
        <v>79364000</v>
      </c>
      <c r="EG18" s="7">
        <v>57568000</v>
      </c>
      <c r="EH18" s="7">
        <v>48791000</v>
      </c>
      <c r="EI18" s="7">
        <v>60449000</v>
      </c>
      <c r="EJ18" s="7">
        <v>53594000</v>
      </c>
      <c r="EK18" s="7">
        <v>134823000</v>
      </c>
      <c r="EL18" s="7">
        <v>105382000</v>
      </c>
      <c r="EM18" s="7">
        <v>76646000</v>
      </c>
      <c r="EN18" s="7">
        <v>72171000</v>
      </c>
      <c r="EO18" s="7">
        <v>91580000</v>
      </c>
      <c r="EP18" s="7"/>
      <c r="EQ18" s="7"/>
      <c r="ER18" s="7"/>
      <c r="ES18" s="7"/>
      <c r="ET18" s="7"/>
      <c r="EU18" s="7"/>
      <c r="EV18" s="7"/>
      <c r="EW18" s="7"/>
      <c r="EX18" s="7"/>
      <c r="EY18" s="7"/>
      <c r="EZ18" s="11"/>
      <c r="FA18" s="11"/>
      <c r="FB18" s="11"/>
      <c r="FC18" s="11"/>
      <c r="FD18" s="11"/>
      <c r="FE18" s="11"/>
      <c r="FF18" s="11"/>
      <c r="FG18" s="11"/>
      <c r="FH18" s="11"/>
      <c r="FI18" s="11"/>
      <c r="FJ18" s="11">
        <v>95000</v>
      </c>
      <c r="FK18" s="11">
        <v>27000</v>
      </c>
      <c r="FL18" s="11"/>
      <c r="FM18" s="11"/>
      <c r="FN18" s="11"/>
      <c r="FO18" s="7">
        <v>12010000</v>
      </c>
      <c r="FP18" s="7">
        <v>26833000</v>
      </c>
      <c r="FQ18" s="7">
        <v>22473000</v>
      </c>
      <c r="FR18" s="7">
        <v>3167000</v>
      </c>
      <c r="FS18" s="7">
        <v>4420000</v>
      </c>
      <c r="FT18" s="7">
        <v>11227000</v>
      </c>
      <c r="FU18" s="7">
        <v>30746000</v>
      </c>
      <c r="FV18" s="7">
        <v>15893000</v>
      </c>
      <c r="FW18" s="7">
        <v>11171000</v>
      </c>
      <c r="FX18" s="7">
        <v>11921000</v>
      </c>
      <c r="FY18" s="11"/>
      <c r="FZ18" s="11"/>
      <c r="GA18" s="11"/>
      <c r="GB18" s="11"/>
      <c r="GC18" s="11"/>
      <c r="GD18" s="7">
        <v>-54771000</v>
      </c>
      <c r="GE18" s="7">
        <v>-51754000</v>
      </c>
      <c r="GF18" s="7">
        <v>-21275000</v>
      </c>
      <c r="GG18" s="7">
        <v>-19726000</v>
      </c>
      <c r="GH18" s="7">
        <v>-45487000</v>
      </c>
    </row>
    <row r="19" spans="1:190" x14ac:dyDescent="0.25">
      <c r="A19" s="4">
        <v>18</v>
      </c>
      <c r="B19" s="5" t="s">
        <v>234</v>
      </c>
      <c r="C19" s="9" t="s">
        <v>235</v>
      </c>
      <c r="D19" s="7">
        <v>10</v>
      </c>
      <c r="E19" s="6" t="s">
        <v>236</v>
      </c>
      <c r="F19" s="11">
        <v>137359</v>
      </c>
      <c r="G19" s="11">
        <v>109900</v>
      </c>
      <c r="H19" s="11">
        <v>41221</v>
      </c>
      <c r="I19" s="11">
        <v>549539</v>
      </c>
      <c r="J19" s="11">
        <v>30863</v>
      </c>
      <c r="K19" s="11">
        <v>24443877</v>
      </c>
      <c r="L19" s="11">
        <v>43222813</v>
      </c>
      <c r="M19" s="11">
        <v>37342870</v>
      </c>
      <c r="N19" s="11">
        <v>18968706</v>
      </c>
      <c r="O19" s="11">
        <v>6590111</v>
      </c>
      <c r="P19" s="7">
        <v>496000</v>
      </c>
      <c r="Q19" s="7">
        <v>432000</v>
      </c>
      <c r="R19" s="7"/>
      <c r="S19" s="7"/>
      <c r="T19" s="7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>
        <v>652000</v>
      </c>
      <c r="AK19" s="11">
        <v>2923000</v>
      </c>
      <c r="AL19" s="11">
        <v>3953000</v>
      </c>
      <c r="AM19" s="11">
        <v>2938000</v>
      </c>
      <c r="AN19" s="11">
        <v>3064000</v>
      </c>
      <c r="AO19" s="7">
        <v>634520000</v>
      </c>
      <c r="AP19" s="7">
        <v>443883000</v>
      </c>
      <c r="AQ19" s="7">
        <v>71992000</v>
      </c>
      <c r="AR19" s="7">
        <v>37221000</v>
      </c>
      <c r="AS19" s="7">
        <v>29783000</v>
      </c>
      <c r="AT19" s="7">
        <v>65258000</v>
      </c>
      <c r="AU19" s="7">
        <v>209011000</v>
      </c>
      <c r="AV19" s="7">
        <v>263000000</v>
      </c>
      <c r="AW19" s="7">
        <v>257268000</v>
      </c>
      <c r="AX19" s="7">
        <v>193444000</v>
      </c>
      <c r="AY19" s="11">
        <v>2983000</v>
      </c>
      <c r="AZ19" s="11">
        <v>6130000</v>
      </c>
      <c r="BA19" s="11">
        <v>8762000</v>
      </c>
      <c r="BB19" s="11">
        <v>8661000</v>
      </c>
      <c r="BC19" s="11">
        <v>8802000</v>
      </c>
      <c r="BD19" s="7">
        <v>9170000</v>
      </c>
      <c r="BE19" s="7">
        <v>2858000</v>
      </c>
      <c r="BF19" s="7">
        <v>3558000</v>
      </c>
      <c r="BG19" s="7">
        <v>5195000</v>
      </c>
      <c r="BH19" s="7">
        <v>458000</v>
      </c>
      <c r="BI19" s="11">
        <v>39000</v>
      </c>
      <c r="BJ19" s="11">
        <v>14000</v>
      </c>
      <c r="BK19" s="11"/>
      <c r="BL19" s="11"/>
      <c r="BM19" s="11">
        <v>1045000</v>
      </c>
      <c r="BN19" s="11">
        <v>711970000</v>
      </c>
      <c r="BO19" s="11">
        <v>661896000</v>
      </c>
      <c r="BP19" s="11">
        <v>347312000</v>
      </c>
      <c r="BQ19" s="11">
        <v>308345000</v>
      </c>
      <c r="BR19" s="11">
        <v>233532000</v>
      </c>
      <c r="BS19" s="11">
        <v>712622000</v>
      </c>
      <c r="BT19" s="11">
        <v>664819000</v>
      </c>
      <c r="BU19" s="11">
        <v>351265000</v>
      </c>
      <c r="BV19" s="11">
        <v>311282000</v>
      </c>
      <c r="BW19" s="11">
        <v>236595000</v>
      </c>
      <c r="BX19" s="7">
        <v>30000</v>
      </c>
      <c r="BY19" s="7">
        <v>30000</v>
      </c>
      <c r="BZ19" s="7">
        <v>30000</v>
      </c>
      <c r="CA19" s="7">
        <v>30000</v>
      </c>
      <c r="CB19" s="7">
        <v>30000</v>
      </c>
      <c r="CC19" s="11"/>
      <c r="CD19" s="11"/>
      <c r="CE19" s="11"/>
      <c r="CF19" s="11"/>
      <c r="CG19" s="11"/>
      <c r="CH19" s="7">
        <v>40071000</v>
      </c>
      <c r="CI19" s="7">
        <v>35145000</v>
      </c>
      <c r="CJ19" s="7">
        <v>1113000</v>
      </c>
      <c r="CK19" s="7">
        <v>2763000</v>
      </c>
      <c r="CL19" s="7">
        <v>3496000</v>
      </c>
      <c r="CM19" s="11">
        <v>40101000</v>
      </c>
      <c r="CN19" s="11">
        <v>35175000</v>
      </c>
      <c r="CO19" s="11">
        <v>1143000</v>
      </c>
      <c r="CP19" s="11">
        <v>2793000</v>
      </c>
      <c r="CQ19" s="11">
        <v>3526000</v>
      </c>
      <c r="CR19" s="11"/>
      <c r="CS19" s="11"/>
      <c r="CT19" s="11"/>
      <c r="CU19" s="11"/>
      <c r="CV19" s="11"/>
      <c r="CW19" s="11"/>
      <c r="CX19" s="11"/>
      <c r="CY19" s="11"/>
      <c r="CZ19" s="11"/>
      <c r="DA19" s="11"/>
      <c r="DB19" s="11">
        <v>21000</v>
      </c>
      <c r="DC19" s="11">
        <v>142000</v>
      </c>
      <c r="DD19" s="11"/>
      <c r="DE19" s="11"/>
      <c r="DF19" s="11">
        <v>15000</v>
      </c>
      <c r="DG19" s="7">
        <v>5074000</v>
      </c>
      <c r="DH19" s="7">
        <v>3427000</v>
      </c>
      <c r="DI19" s="7">
        <v>7410000</v>
      </c>
      <c r="DJ19" s="7">
        <v>33587000</v>
      </c>
      <c r="DK19" s="7">
        <v>5864000</v>
      </c>
      <c r="DL19" s="7">
        <v>667219000</v>
      </c>
      <c r="DM19" s="7">
        <v>625868000</v>
      </c>
      <c r="DN19" s="7">
        <v>342506000</v>
      </c>
      <c r="DO19" s="7">
        <v>274902000</v>
      </c>
      <c r="DP19" s="7">
        <v>227191000</v>
      </c>
      <c r="DQ19" s="11">
        <v>207000</v>
      </c>
      <c r="DR19" s="11">
        <v>207000</v>
      </c>
      <c r="DS19" s="11">
        <v>207000</v>
      </c>
      <c r="DT19" s="11"/>
      <c r="DU19" s="11"/>
      <c r="DV19" s="11"/>
      <c r="DW19" s="11"/>
      <c r="DX19" s="11"/>
      <c r="DY19" s="11"/>
      <c r="DZ19" s="11"/>
      <c r="EA19" s="11">
        <v>672500000</v>
      </c>
      <c r="EB19" s="11">
        <v>629502000</v>
      </c>
      <c r="EC19" s="11">
        <v>350123000</v>
      </c>
      <c r="ED19" s="11">
        <v>308489000</v>
      </c>
      <c r="EE19" s="11">
        <v>233055000</v>
      </c>
      <c r="EF19" s="7">
        <v>314616000</v>
      </c>
      <c r="EG19" s="7">
        <v>370254000</v>
      </c>
      <c r="EH19" s="7">
        <v>185892000</v>
      </c>
      <c r="EI19" s="7">
        <v>46513000</v>
      </c>
      <c r="EJ19" s="7">
        <v>26263000</v>
      </c>
      <c r="EK19" s="7">
        <v>205525000</v>
      </c>
      <c r="EL19" s="7">
        <v>322434000</v>
      </c>
      <c r="EM19" s="7">
        <v>160555000</v>
      </c>
      <c r="EN19" s="7">
        <v>43639000</v>
      </c>
      <c r="EO19" s="7">
        <v>10704000</v>
      </c>
      <c r="EP19" s="7">
        <v>136706000</v>
      </c>
      <c r="EQ19" s="7">
        <v>154549000</v>
      </c>
      <c r="ER19" s="7">
        <v>84362000</v>
      </c>
      <c r="ES19" s="7">
        <v>38783000</v>
      </c>
      <c r="ET19" s="7">
        <v>24548000</v>
      </c>
      <c r="EU19" s="7"/>
      <c r="EV19" s="7"/>
      <c r="EW19" s="7"/>
      <c r="EX19" s="7"/>
      <c r="EY19" s="7"/>
      <c r="EZ19" s="11"/>
      <c r="FA19" s="11"/>
      <c r="FB19" s="11"/>
      <c r="FC19" s="11"/>
      <c r="FD19" s="11"/>
      <c r="FE19" s="11"/>
      <c r="FF19" s="11"/>
      <c r="FG19" s="11"/>
      <c r="FH19" s="11"/>
      <c r="FI19" s="11"/>
      <c r="FJ19" s="11">
        <v>105000</v>
      </c>
      <c r="FK19" s="11">
        <v>41000</v>
      </c>
      <c r="FL19" s="11"/>
      <c r="FM19" s="11"/>
      <c r="FN19" s="11"/>
      <c r="FO19" s="7">
        <v>45294000</v>
      </c>
      <c r="FP19" s="7">
        <v>114977000</v>
      </c>
      <c r="FQ19" s="7">
        <v>273160000</v>
      </c>
      <c r="FR19" s="7">
        <v>61753000</v>
      </c>
      <c r="FS19" s="7">
        <v>23463000</v>
      </c>
      <c r="FT19" s="7">
        <v>17324000</v>
      </c>
      <c r="FU19" s="7">
        <v>14308000</v>
      </c>
      <c r="FV19" s="7">
        <v>244919000</v>
      </c>
      <c r="FW19" s="7">
        <v>21498000</v>
      </c>
      <c r="FX19" s="7">
        <v>13666000</v>
      </c>
      <c r="FY19" s="11">
        <v>-29000</v>
      </c>
      <c r="FZ19" s="11">
        <v>2214000</v>
      </c>
      <c r="GA19" s="11">
        <v>1707000</v>
      </c>
      <c r="GB19" s="11">
        <v>-1191000</v>
      </c>
      <c r="GC19" s="11">
        <v>-91000</v>
      </c>
      <c r="GD19" s="7">
        <v>-250000</v>
      </c>
      <c r="GE19" s="7">
        <v>-4925000</v>
      </c>
      <c r="GF19" s="7">
        <v>-33136000</v>
      </c>
      <c r="GG19" s="7">
        <v>2172000</v>
      </c>
      <c r="GH19" s="7">
        <v>731000</v>
      </c>
    </row>
    <row r="20" spans="1:190" x14ac:dyDescent="0.25">
      <c r="A20" s="4">
        <v>19</v>
      </c>
      <c r="B20" s="5" t="s">
        <v>237</v>
      </c>
      <c r="C20" s="9" t="s">
        <v>238</v>
      </c>
      <c r="D20" s="7">
        <v>10</v>
      </c>
      <c r="E20" s="6" t="s">
        <v>239</v>
      </c>
      <c r="F20" s="11"/>
      <c r="G20" s="11">
        <v>425990</v>
      </c>
      <c r="H20" s="11"/>
      <c r="I20" s="11"/>
      <c r="J20" s="11"/>
      <c r="K20" s="11"/>
      <c r="L20" s="11">
        <v>999989</v>
      </c>
      <c r="M20" s="11">
        <v>13694</v>
      </c>
      <c r="N20" s="11"/>
      <c r="O20" s="11"/>
      <c r="P20" s="7">
        <v>3482000</v>
      </c>
      <c r="Q20" s="7">
        <v>2370000</v>
      </c>
      <c r="R20" s="7"/>
      <c r="S20" s="7"/>
      <c r="T20" s="7"/>
      <c r="U20" s="11"/>
      <c r="V20" s="11"/>
      <c r="W20" s="11"/>
      <c r="X20" s="11"/>
      <c r="Y20" s="11"/>
      <c r="Z20" s="11">
        <v>19000</v>
      </c>
      <c r="AA20" s="11">
        <v>19000</v>
      </c>
      <c r="AB20" s="11"/>
      <c r="AC20" s="11"/>
      <c r="AD20" s="11"/>
      <c r="AE20" s="11"/>
      <c r="AF20" s="11"/>
      <c r="AG20" s="11"/>
      <c r="AH20" s="11"/>
      <c r="AI20" s="11"/>
      <c r="AJ20" s="11">
        <v>3501000</v>
      </c>
      <c r="AK20" s="11">
        <v>2389000</v>
      </c>
      <c r="AL20" s="11"/>
      <c r="AM20" s="11"/>
      <c r="AN20" s="11"/>
      <c r="AO20" s="7">
        <v>30835000</v>
      </c>
      <c r="AP20" s="7"/>
      <c r="AQ20" s="7"/>
      <c r="AR20" s="7"/>
      <c r="AS20" s="7"/>
      <c r="AT20" s="7">
        <v>44545000</v>
      </c>
      <c r="AU20" s="7">
        <v>28830000</v>
      </c>
      <c r="AV20" s="7"/>
      <c r="AW20" s="7">
        <v>87109000</v>
      </c>
      <c r="AX20" s="7">
        <v>87109000</v>
      </c>
      <c r="AY20" s="11"/>
      <c r="AZ20" s="11"/>
      <c r="BA20" s="11"/>
      <c r="BB20" s="11"/>
      <c r="BC20" s="11"/>
      <c r="BD20" s="7">
        <v>49000</v>
      </c>
      <c r="BE20" s="7">
        <v>1393000</v>
      </c>
      <c r="BF20" s="7"/>
      <c r="BG20" s="7">
        <v>71000</v>
      </c>
      <c r="BH20" s="7"/>
      <c r="BI20" s="11"/>
      <c r="BJ20" s="11"/>
      <c r="BK20" s="11"/>
      <c r="BL20" s="11"/>
      <c r="BM20" s="11"/>
      <c r="BN20" s="11">
        <v>75429000</v>
      </c>
      <c r="BO20" s="11">
        <v>30223000</v>
      </c>
      <c r="BP20" s="11"/>
      <c r="BQ20" s="11">
        <v>87180000</v>
      </c>
      <c r="BR20" s="11">
        <v>87109000</v>
      </c>
      <c r="BS20" s="11">
        <v>78929000</v>
      </c>
      <c r="BT20" s="11">
        <v>32611000</v>
      </c>
      <c r="BU20" s="11"/>
      <c r="BV20" s="11">
        <v>87180000</v>
      </c>
      <c r="BW20" s="11">
        <v>87109000</v>
      </c>
      <c r="BX20" s="7"/>
      <c r="BY20" s="7"/>
      <c r="BZ20" s="7"/>
      <c r="CA20" s="7"/>
      <c r="CB20" s="7"/>
      <c r="CC20" s="11"/>
      <c r="CD20" s="11"/>
      <c r="CE20" s="11"/>
      <c r="CF20" s="11"/>
      <c r="CG20" s="11"/>
      <c r="CH20" s="7"/>
      <c r="CI20" s="7"/>
      <c r="CJ20" s="7"/>
      <c r="CK20" s="7"/>
      <c r="CL20" s="7"/>
      <c r="CM20" s="11">
        <v>7969000</v>
      </c>
      <c r="CN20" s="11">
        <v>-18724000</v>
      </c>
      <c r="CO20" s="11"/>
      <c r="CP20" s="11">
        <v>-132191000</v>
      </c>
      <c r="CQ20" s="11">
        <v>-132262000</v>
      </c>
      <c r="CR20" s="11"/>
      <c r="CS20" s="11"/>
      <c r="CT20" s="11"/>
      <c r="CU20" s="11"/>
      <c r="CV20" s="11"/>
      <c r="CW20" s="11">
        <v>411000</v>
      </c>
      <c r="CX20" s="11">
        <v>411000</v>
      </c>
      <c r="CY20" s="11"/>
      <c r="CZ20" s="11"/>
      <c r="DA20" s="11"/>
      <c r="DB20" s="11">
        <v>411000</v>
      </c>
      <c r="DC20" s="11">
        <v>411000</v>
      </c>
      <c r="DD20" s="11"/>
      <c r="DE20" s="11"/>
      <c r="DF20" s="11"/>
      <c r="DG20" s="7">
        <v>7666000</v>
      </c>
      <c r="DH20" s="7">
        <v>12737000</v>
      </c>
      <c r="DI20" s="7"/>
      <c r="DJ20" s="7"/>
      <c r="DK20" s="7"/>
      <c r="DL20" s="7">
        <v>62883000</v>
      </c>
      <c r="DM20" s="7">
        <v>38187000</v>
      </c>
      <c r="DN20" s="7"/>
      <c r="DO20" s="7">
        <v>219371000</v>
      </c>
      <c r="DP20" s="7">
        <v>219371000</v>
      </c>
      <c r="DQ20" s="11"/>
      <c r="DR20" s="11"/>
      <c r="DS20" s="11"/>
      <c r="DT20" s="11"/>
      <c r="DU20" s="11"/>
      <c r="DV20" s="11"/>
      <c r="DW20" s="11"/>
      <c r="DX20" s="11"/>
      <c r="DY20" s="11"/>
      <c r="DZ20" s="11"/>
      <c r="EA20" s="11">
        <v>70549000</v>
      </c>
      <c r="EB20" s="11">
        <v>50924000</v>
      </c>
      <c r="EC20" s="11"/>
      <c r="ED20" s="11">
        <v>219371000</v>
      </c>
      <c r="EE20" s="11">
        <v>219371000</v>
      </c>
      <c r="EF20" s="7">
        <v>179332000</v>
      </c>
      <c r="EG20" s="7">
        <v>35387000</v>
      </c>
      <c r="EH20" s="7"/>
      <c r="EI20" s="7"/>
      <c r="EJ20" s="7"/>
      <c r="EK20" s="7">
        <v>156342000</v>
      </c>
      <c r="EL20" s="7">
        <v>80269000</v>
      </c>
      <c r="EM20" s="7"/>
      <c r="EN20" s="7"/>
      <c r="EO20" s="7"/>
      <c r="EP20" s="7"/>
      <c r="EQ20" s="7"/>
      <c r="ER20" s="7"/>
      <c r="ES20" s="7"/>
      <c r="ET20" s="7"/>
      <c r="EU20" s="7"/>
      <c r="EV20" s="7"/>
      <c r="EW20" s="7"/>
      <c r="EX20" s="7"/>
      <c r="EY20" s="7"/>
      <c r="EZ20" s="11"/>
      <c r="FA20" s="11"/>
      <c r="FB20" s="11"/>
      <c r="FC20" s="11"/>
      <c r="FD20" s="11"/>
      <c r="FE20" s="11"/>
      <c r="FF20" s="11"/>
      <c r="FG20" s="11"/>
      <c r="FH20" s="11"/>
      <c r="FI20" s="11"/>
      <c r="FJ20" s="11">
        <v>13604000</v>
      </c>
      <c r="FK20" s="11">
        <v>1684000</v>
      </c>
      <c r="FL20" s="11"/>
      <c r="FM20" s="11"/>
      <c r="FN20" s="11"/>
      <c r="FO20" s="7">
        <v>2785000</v>
      </c>
      <c r="FP20" s="7">
        <v>56949000</v>
      </c>
      <c r="FQ20" s="7"/>
      <c r="FR20" s="7"/>
      <c r="FS20" s="7"/>
      <c r="FT20" s="7">
        <v>2754000</v>
      </c>
      <c r="FU20" s="7">
        <v>36917000</v>
      </c>
      <c r="FV20" s="7"/>
      <c r="FW20" s="7">
        <v>203000</v>
      </c>
      <c r="FX20" s="7"/>
      <c r="FY20" s="11">
        <v>7032000</v>
      </c>
      <c r="FZ20" s="11">
        <v>158000</v>
      </c>
      <c r="GA20" s="11"/>
      <c r="GB20" s="11"/>
      <c r="GC20" s="11"/>
      <c r="GD20" s="7">
        <v>2385000</v>
      </c>
      <c r="GE20" s="7">
        <v>-26692000</v>
      </c>
      <c r="GF20" s="7"/>
      <c r="GG20" s="7">
        <v>-203000</v>
      </c>
      <c r="GH20" s="7"/>
    </row>
    <row r="21" spans="1:190" x14ac:dyDescent="0.25">
      <c r="A21" s="4">
        <v>20</v>
      </c>
      <c r="B21" s="5" t="s">
        <v>240</v>
      </c>
      <c r="C21" s="9" t="s">
        <v>241</v>
      </c>
      <c r="D21" s="7">
        <v>19</v>
      </c>
      <c r="E21" s="6" t="s">
        <v>242</v>
      </c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7"/>
      <c r="Q21" s="7">
        <v>9121000</v>
      </c>
      <c r="R21" s="7">
        <v>8401000</v>
      </c>
      <c r="S21" s="7"/>
      <c r="T21" s="7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>
        <v>9121000</v>
      </c>
      <c r="AL21" s="11">
        <v>8401000</v>
      </c>
      <c r="AM21" s="11"/>
      <c r="AN21" s="11"/>
      <c r="AO21" s="7">
        <v>1949000</v>
      </c>
      <c r="AP21" s="7">
        <v>1854000</v>
      </c>
      <c r="AQ21" s="7">
        <v>2006000</v>
      </c>
      <c r="AR21" s="7"/>
      <c r="AS21" s="7"/>
      <c r="AT21" s="7"/>
      <c r="AU21" s="7">
        <v>1051000</v>
      </c>
      <c r="AV21" s="7">
        <v>126000</v>
      </c>
      <c r="AW21" s="7"/>
      <c r="AX21" s="7"/>
      <c r="AY21" s="11"/>
      <c r="AZ21" s="11"/>
      <c r="BA21" s="11"/>
      <c r="BB21" s="11"/>
      <c r="BC21" s="11"/>
      <c r="BD21" s="7">
        <v>115000</v>
      </c>
      <c r="BE21" s="7">
        <v>57000</v>
      </c>
      <c r="BF21" s="7">
        <v>15000</v>
      </c>
      <c r="BG21" s="7"/>
      <c r="BH21" s="7"/>
      <c r="BI21" s="11">
        <v>9852000</v>
      </c>
      <c r="BJ21" s="11">
        <v>1278000</v>
      </c>
      <c r="BK21" s="11">
        <v>3852000</v>
      </c>
      <c r="BL21" s="11"/>
      <c r="BM21" s="11"/>
      <c r="BN21" s="11">
        <v>11916000</v>
      </c>
      <c r="BO21" s="11">
        <v>4240000</v>
      </c>
      <c r="BP21" s="11">
        <v>5999000</v>
      </c>
      <c r="BQ21" s="11"/>
      <c r="BR21" s="11"/>
      <c r="BS21" s="11">
        <v>11916000</v>
      </c>
      <c r="BT21" s="11">
        <v>13361000</v>
      </c>
      <c r="BU21" s="11">
        <v>14400000</v>
      </c>
      <c r="BV21" s="11"/>
      <c r="BW21" s="11"/>
      <c r="BX21" s="7">
        <v>10000</v>
      </c>
      <c r="BY21" s="7">
        <v>10000</v>
      </c>
      <c r="BZ21" s="7">
        <v>10000</v>
      </c>
      <c r="CA21" s="7"/>
      <c r="CB21" s="7"/>
      <c r="CC21" s="11"/>
      <c r="CD21" s="11"/>
      <c r="CE21" s="11"/>
      <c r="CF21" s="11"/>
      <c r="CG21" s="11"/>
      <c r="CH21" s="7">
        <v>10138000</v>
      </c>
      <c r="CI21" s="7">
        <v>11314000</v>
      </c>
      <c r="CJ21" s="7">
        <v>11388000</v>
      </c>
      <c r="CK21" s="7"/>
      <c r="CL21" s="7"/>
      <c r="CM21" s="11">
        <v>10148000</v>
      </c>
      <c r="CN21" s="11">
        <v>11324000</v>
      </c>
      <c r="CO21" s="11">
        <v>11398000</v>
      </c>
      <c r="CP21" s="11"/>
      <c r="CQ21" s="11">
        <v>-3715000</v>
      </c>
      <c r="CR21" s="11"/>
      <c r="CS21" s="11"/>
      <c r="CT21" s="11"/>
      <c r="CU21" s="11"/>
      <c r="CV21" s="11"/>
      <c r="CW21" s="11"/>
      <c r="CX21" s="11"/>
      <c r="CY21" s="11"/>
      <c r="CZ21" s="11"/>
      <c r="DA21" s="11"/>
      <c r="DB21" s="11"/>
      <c r="DC21" s="11"/>
      <c r="DD21" s="11"/>
      <c r="DE21" s="11"/>
      <c r="DF21" s="11"/>
      <c r="DG21" s="7">
        <v>1000000</v>
      </c>
      <c r="DH21" s="7">
        <v>1911000</v>
      </c>
      <c r="DI21" s="7">
        <v>3002000</v>
      </c>
      <c r="DJ21" s="7"/>
      <c r="DK21" s="7"/>
      <c r="DL21" s="7">
        <v>768000</v>
      </c>
      <c r="DM21" s="7">
        <v>126000</v>
      </c>
      <c r="DN21" s="7"/>
      <c r="DO21" s="7"/>
      <c r="DP21" s="7">
        <v>3715000</v>
      </c>
      <c r="DQ21" s="11"/>
      <c r="DR21" s="11"/>
      <c r="DS21" s="11"/>
      <c r="DT21" s="11"/>
      <c r="DU21" s="11"/>
      <c r="DV21" s="11"/>
      <c r="DW21" s="11"/>
      <c r="DX21" s="11"/>
      <c r="DY21" s="11"/>
      <c r="DZ21" s="11"/>
      <c r="EA21" s="11">
        <v>1768000</v>
      </c>
      <c r="EB21" s="11">
        <v>2037000</v>
      </c>
      <c r="EC21" s="11">
        <v>3002000</v>
      </c>
      <c r="ED21" s="11"/>
      <c r="EE21" s="11">
        <v>3715000</v>
      </c>
      <c r="EF21" s="7">
        <v>7229000</v>
      </c>
      <c r="EG21" s="7">
        <v>10884000</v>
      </c>
      <c r="EH21" s="7">
        <v>7652000</v>
      </c>
      <c r="EI21" s="7"/>
      <c r="EJ21" s="7"/>
      <c r="EK21" s="7">
        <v>8630000</v>
      </c>
      <c r="EL21" s="7">
        <v>10599000</v>
      </c>
      <c r="EM21" s="7">
        <v>7327000</v>
      </c>
      <c r="EN21" s="7"/>
      <c r="EO21" s="7"/>
      <c r="EP21" s="7"/>
      <c r="EQ21" s="7"/>
      <c r="ER21" s="7"/>
      <c r="ES21" s="7"/>
      <c r="ET21" s="7"/>
      <c r="EU21" s="7"/>
      <c r="EV21" s="7"/>
      <c r="EW21" s="7"/>
      <c r="EX21" s="7"/>
      <c r="EY21" s="7"/>
      <c r="EZ21" s="11"/>
      <c r="FA21" s="11"/>
      <c r="FB21" s="11"/>
      <c r="FC21" s="11"/>
      <c r="FD21" s="11"/>
      <c r="FE21" s="11"/>
      <c r="FF21" s="11"/>
      <c r="FG21" s="11"/>
      <c r="FH21" s="11"/>
      <c r="FI21" s="11"/>
      <c r="FJ21" s="11"/>
      <c r="FK21" s="11"/>
      <c r="FL21" s="11">
        <v>9000</v>
      </c>
      <c r="FM21" s="11"/>
      <c r="FN21" s="11"/>
      <c r="FO21" s="7">
        <v>428000</v>
      </c>
      <c r="FP21" s="7">
        <v>1103000</v>
      </c>
      <c r="FQ21" s="7">
        <v>288000</v>
      </c>
      <c r="FR21" s="7"/>
      <c r="FS21" s="7"/>
      <c r="FT21" s="7">
        <v>64000</v>
      </c>
      <c r="FU21" s="7">
        <v>95000</v>
      </c>
      <c r="FV21" s="7">
        <v>452000</v>
      </c>
      <c r="FW21" s="7"/>
      <c r="FX21" s="7">
        <v>96000</v>
      </c>
      <c r="FY21" s="11">
        <v>-72000</v>
      </c>
      <c r="FZ21" s="11">
        <v>-117000</v>
      </c>
      <c r="GA21" s="11">
        <v>-78000</v>
      </c>
      <c r="GB21" s="11"/>
      <c r="GC21" s="11"/>
      <c r="GD21" s="7">
        <v>-1109000</v>
      </c>
      <c r="GE21" s="7">
        <v>1176000</v>
      </c>
      <c r="GF21" s="7">
        <v>74000</v>
      </c>
      <c r="GG21" s="7"/>
      <c r="GH21" s="7">
        <v>-96000</v>
      </c>
    </row>
    <row r="22" spans="1:190" x14ac:dyDescent="0.25">
      <c r="A22" s="4">
        <v>21</v>
      </c>
      <c r="B22" s="5" t="s">
        <v>243</v>
      </c>
      <c r="C22" s="9" t="s">
        <v>244</v>
      </c>
      <c r="D22" s="7">
        <v>19</v>
      </c>
      <c r="E22" s="6" t="s">
        <v>198</v>
      </c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7"/>
      <c r="Q22" s="7"/>
      <c r="R22" s="7"/>
      <c r="S22" s="7"/>
      <c r="T22" s="7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11"/>
      <c r="AZ22" s="11"/>
      <c r="BA22" s="11"/>
      <c r="BB22" s="11"/>
      <c r="BC22" s="11"/>
      <c r="BD22" s="7"/>
      <c r="BE22" s="7"/>
      <c r="BF22" s="7"/>
      <c r="BG22" s="7"/>
      <c r="BH22" s="7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7"/>
      <c r="BY22" s="7"/>
      <c r="BZ22" s="7"/>
      <c r="CA22" s="7"/>
      <c r="CB22" s="7"/>
      <c r="CC22" s="11"/>
      <c r="CD22" s="11"/>
      <c r="CE22" s="11"/>
      <c r="CF22" s="11"/>
      <c r="CG22" s="11"/>
      <c r="CH22" s="7"/>
      <c r="CI22" s="7"/>
      <c r="CJ22" s="7"/>
      <c r="CK22" s="7"/>
      <c r="CL22" s="7"/>
      <c r="CM22" s="11"/>
      <c r="CN22" s="11"/>
      <c r="CO22" s="11"/>
      <c r="CP22" s="11"/>
      <c r="CQ22" s="11"/>
      <c r="CR22" s="11"/>
      <c r="CS22" s="11"/>
      <c r="CT22" s="11"/>
      <c r="CU22" s="11"/>
      <c r="CV22" s="11"/>
      <c r="CW22" s="11"/>
      <c r="CX22" s="11"/>
      <c r="CY22" s="11"/>
      <c r="CZ22" s="11"/>
      <c r="DA22" s="11"/>
      <c r="DB22" s="11"/>
      <c r="DC22" s="11"/>
      <c r="DD22" s="11"/>
      <c r="DE22" s="11"/>
      <c r="DF22" s="11"/>
      <c r="DG22" s="7"/>
      <c r="DH22" s="7"/>
      <c r="DI22" s="7"/>
      <c r="DJ22" s="7"/>
      <c r="DK22" s="7"/>
      <c r="DL22" s="7"/>
      <c r="DM22" s="7"/>
      <c r="DN22" s="7"/>
      <c r="DO22" s="7"/>
      <c r="DP22" s="7"/>
      <c r="DQ22" s="11"/>
      <c r="DR22" s="11"/>
      <c r="DS22" s="11"/>
      <c r="DT22" s="11"/>
      <c r="DU22" s="11"/>
      <c r="DV22" s="11"/>
      <c r="DW22" s="11"/>
      <c r="DX22" s="11"/>
      <c r="DY22" s="11"/>
      <c r="DZ22" s="11"/>
      <c r="EA22" s="11"/>
      <c r="EB22" s="11"/>
      <c r="EC22" s="11"/>
      <c r="ED22" s="11"/>
      <c r="EE22" s="11"/>
      <c r="EF22" s="7"/>
      <c r="EG22" s="7"/>
      <c r="EH22" s="7"/>
      <c r="EI22" s="7"/>
      <c r="EJ22" s="7"/>
      <c r="EK22" s="7"/>
      <c r="EL22" s="7"/>
      <c r="EM22" s="7"/>
      <c r="EN22" s="7"/>
      <c r="EO22" s="7"/>
      <c r="EP22" s="7"/>
      <c r="EQ22" s="7"/>
      <c r="ER22" s="7"/>
      <c r="ES22" s="7"/>
      <c r="ET22" s="7"/>
      <c r="EU22" s="7"/>
      <c r="EV22" s="7"/>
      <c r="EW22" s="7"/>
      <c r="EX22" s="7"/>
      <c r="EY22" s="7"/>
      <c r="EZ22" s="11"/>
      <c r="FA22" s="11"/>
      <c r="FB22" s="11"/>
      <c r="FC22" s="11"/>
      <c r="FD22" s="11"/>
      <c r="FE22" s="11"/>
      <c r="FF22" s="11"/>
      <c r="FG22" s="11"/>
      <c r="FH22" s="11"/>
      <c r="FI22" s="11"/>
      <c r="FJ22" s="11"/>
      <c r="FK22" s="11"/>
      <c r="FL22" s="11"/>
      <c r="FM22" s="11"/>
      <c r="FN22" s="11"/>
      <c r="FO22" s="7"/>
      <c r="FP22" s="7"/>
      <c r="FQ22" s="7"/>
      <c r="FR22" s="7"/>
      <c r="FS22" s="7"/>
      <c r="FT22" s="7"/>
      <c r="FU22" s="7"/>
      <c r="FV22" s="7"/>
      <c r="FW22" s="7"/>
      <c r="FX22" s="7"/>
      <c r="FY22" s="11"/>
      <c r="FZ22" s="11"/>
      <c r="GA22" s="11"/>
      <c r="GB22" s="11"/>
      <c r="GC22" s="11"/>
      <c r="GD22" s="7"/>
      <c r="GE22" s="7"/>
      <c r="GF22" s="7"/>
      <c r="GG22" s="7"/>
      <c r="GH22" s="7"/>
    </row>
    <row r="23" spans="1:190" x14ac:dyDescent="0.25">
      <c r="A23" s="4">
        <v>22</v>
      </c>
      <c r="B23" s="5" t="s">
        <v>245</v>
      </c>
      <c r="C23" s="9" t="s">
        <v>246</v>
      </c>
      <c r="D23" s="7">
        <v>30</v>
      </c>
      <c r="E23" s="6" t="s">
        <v>198</v>
      </c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7"/>
      <c r="Q23" s="7"/>
      <c r="R23" s="7"/>
      <c r="S23" s="7"/>
      <c r="T23" s="7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11"/>
      <c r="AZ23" s="11"/>
      <c r="BA23" s="11"/>
      <c r="BB23" s="11"/>
      <c r="BC23" s="11"/>
      <c r="BD23" s="7"/>
      <c r="BE23" s="7"/>
      <c r="BF23" s="7"/>
      <c r="BG23" s="7"/>
      <c r="BH23" s="7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7"/>
      <c r="BY23" s="7"/>
      <c r="BZ23" s="7"/>
      <c r="CA23" s="7"/>
      <c r="CB23" s="7"/>
      <c r="CC23" s="11"/>
      <c r="CD23" s="11"/>
      <c r="CE23" s="11"/>
      <c r="CF23" s="11"/>
      <c r="CG23" s="11"/>
      <c r="CH23" s="7"/>
      <c r="CI23" s="7"/>
      <c r="CJ23" s="7"/>
      <c r="CK23" s="7"/>
      <c r="CL23" s="7"/>
      <c r="CM23" s="11"/>
      <c r="CN23" s="11"/>
      <c r="CO23" s="11"/>
      <c r="CP23" s="11"/>
      <c r="CQ23" s="11"/>
      <c r="CR23" s="11"/>
      <c r="CS23" s="11"/>
      <c r="CT23" s="11"/>
      <c r="CU23" s="11"/>
      <c r="CV23" s="11"/>
      <c r="CW23" s="11"/>
      <c r="CX23" s="11"/>
      <c r="CY23" s="11"/>
      <c r="CZ23" s="11"/>
      <c r="DA23" s="11"/>
      <c r="DB23" s="11"/>
      <c r="DC23" s="11"/>
      <c r="DD23" s="11"/>
      <c r="DE23" s="11"/>
      <c r="DF23" s="11"/>
      <c r="DG23" s="7"/>
      <c r="DH23" s="7"/>
      <c r="DI23" s="7"/>
      <c r="DJ23" s="7"/>
      <c r="DK23" s="7"/>
      <c r="DL23" s="7"/>
      <c r="DM23" s="7"/>
      <c r="DN23" s="7"/>
      <c r="DO23" s="7"/>
      <c r="DP23" s="7"/>
      <c r="DQ23" s="11"/>
      <c r="DR23" s="11"/>
      <c r="DS23" s="11"/>
      <c r="DT23" s="11"/>
      <c r="DU23" s="11"/>
      <c r="DV23" s="11"/>
      <c r="DW23" s="11"/>
      <c r="DX23" s="11"/>
      <c r="DY23" s="11"/>
      <c r="DZ23" s="11"/>
      <c r="EA23" s="11"/>
      <c r="EB23" s="11"/>
      <c r="EC23" s="11"/>
      <c r="ED23" s="11"/>
      <c r="EE23" s="11"/>
      <c r="EF23" s="7"/>
      <c r="EG23" s="7"/>
      <c r="EH23" s="7"/>
      <c r="EI23" s="7"/>
      <c r="EJ23" s="7"/>
      <c r="EK23" s="7"/>
      <c r="EL23" s="7"/>
      <c r="EM23" s="7"/>
      <c r="EN23" s="7"/>
      <c r="EO23" s="7"/>
      <c r="EP23" s="7"/>
      <c r="EQ23" s="7"/>
      <c r="ER23" s="7"/>
      <c r="ES23" s="7"/>
      <c r="ET23" s="7"/>
      <c r="EU23" s="7"/>
      <c r="EV23" s="7"/>
      <c r="EW23" s="7"/>
      <c r="EX23" s="7"/>
      <c r="EY23" s="7"/>
      <c r="EZ23" s="11"/>
      <c r="FA23" s="11"/>
      <c r="FB23" s="11"/>
      <c r="FC23" s="11"/>
      <c r="FD23" s="11"/>
      <c r="FE23" s="11"/>
      <c r="FF23" s="11"/>
      <c r="FG23" s="11"/>
      <c r="FH23" s="11"/>
      <c r="FI23" s="11"/>
      <c r="FJ23" s="11"/>
      <c r="FK23" s="11"/>
      <c r="FL23" s="11"/>
      <c r="FM23" s="11"/>
      <c r="FN23" s="11"/>
      <c r="FO23" s="7"/>
      <c r="FP23" s="7"/>
      <c r="FQ23" s="7"/>
      <c r="FR23" s="7"/>
      <c r="FS23" s="7"/>
      <c r="FT23" s="7"/>
      <c r="FU23" s="7"/>
      <c r="FV23" s="7"/>
      <c r="FW23" s="7"/>
      <c r="FX23" s="7"/>
      <c r="FY23" s="11"/>
      <c r="FZ23" s="11"/>
      <c r="GA23" s="11"/>
      <c r="GB23" s="11"/>
      <c r="GC23" s="11"/>
      <c r="GD23" s="7"/>
      <c r="GE23" s="7"/>
      <c r="GF23" s="7"/>
      <c r="GG23" s="7"/>
      <c r="GH23" s="7"/>
    </row>
    <row r="24" spans="1:190" ht="39" x14ac:dyDescent="0.25">
      <c r="A24" s="4">
        <v>23</v>
      </c>
      <c r="B24" s="5" t="s">
        <v>247</v>
      </c>
      <c r="C24" s="9" t="s">
        <v>248</v>
      </c>
      <c r="D24" s="7">
        <v>8</v>
      </c>
      <c r="E24" s="6" t="s">
        <v>249</v>
      </c>
      <c r="F24" s="11">
        <v>222000</v>
      </c>
      <c r="G24" s="11">
        <v>23305756</v>
      </c>
      <c r="H24" s="11"/>
      <c r="I24" s="11"/>
      <c r="J24" s="11"/>
      <c r="K24" s="11">
        <v>2031396</v>
      </c>
      <c r="L24" s="11">
        <v>11507825</v>
      </c>
      <c r="M24" s="11">
        <v>2027</v>
      </c>
      <c r="N24" s="11">
        <v>37</v>
      </c>
      <c r="O24" s="11"/>
      <c r="P24" s="7">
        <v>1291000</v>
      </c>
      <c r="Q24" s="7">
        <v>111000</v>
      </c>
      <c r="R24" s="7"/>
      <c r="S24" s="7"/>
      <c r="T24" s="7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>
        <v>17000</v>
      </c>
      <c r="AF24" s="11">
        <v>1197000</v>
      </c>
      <c r="AG24" s="11"/>
      <c r="AH24" s="11"/>
      <c r="AI24" s="11"/>
      <c r="AJ24" s="11">
        <v>3870000</v>
      </c>
      <c r="AK24" s="11">
        <v>115273000</v>
      </c>
      <c r="AL24" s="11"/>
      <c r="AM24" s="11">
        <v>1100000</v>
      </c>
      <c r="AN24" s="11"/>
      <c r="AO24" s="7">
        <v>664425000</v>
      </c>
      <c r="AP24" s="7">
        <v>423415000</v>
      </c>
      <c r="AQ24" s="7"/>
      <c r="AR24" s="7">
        <v>5000</v>
      </c>
      <c r="AS24" s="7">
        <v>5000</v>
      </c>
      <c r="AT24" s="7">
        <v>1922091000</v>
      </c>
      <c r="AU24" s="7">
        <v>1621127000</v>
      </c>
      <c r="AV24" s="7"/>
      <c r="AW24" s="7">
        <v>24000</v>
      </c>
      <c r="AX24" s="7"/>
      <c r="AY24" s="11">
        <v>2240000</v>
      </c>
      <c r="AZ24" s="11">
        <v>2486000</v>
      </c>
      <c r="BA24" s="11"/>
      <c r="BB24" s="11"/>
      <c r="BC24" s="11"/>
      <c r="BD24" s="7">
        <v>366000</v>
      </c>
      <c r="BE24" s="7">
        <v>5550000</v>
      </c>
      <c r="BF24" s="7"/>
      <c r="BG24" s="7">
        <v>101000</v>
      </c>
      <c r="BH24" s="7">
        <v>107000</v>
      </c>
      <c r="BI24" s="11"/>
      <c r="BJ24" s="11">
        <v>28602000</v>
      </c>
      <c r="BK24" s="11"/>
      <c r="BL24" s="11"/>
      <c r="BM24" s="11"/>
      <c r="BN24" s="11">
        <v>2625770000</v>
      </c>
      <c r="BO24" s="11">
        <v>2086572000</v>
      </c>
      <c r="BP24" s="11"/>
      <c r="BQ24" s="11">
        <v>130000</v>
      </c>
      <c r="BR24" s="11">
        <v>112000</v>
      </c>
      <c r="BS24" s="11">
        <v>2629640000</v>
      </c>
      <c r="BT24" s="11">
        <v>2201844000</v>
      </c>
      <c r="BU24" s="11"/>
      <c r="BV24" s="11">
        <v>1230000</v>
      </c>
      <c r="BW24" s="11">
        <v>112000</v>
      </c>
      <c r="BX24" s="7">
        <v>20000</v>
      </c>
      <c r="BY24" s="7">
        <v>20000</v>
      </c>
      <c r="BZ24" s="7"/>
      <c r="CA24" s="7">
        <v>20000</v>
      </c>
      <c r="CB24" s="7">
        <v>20000</v>
      </c>
      <c r="CC24" s="11"/>
      <c r="CD24" s="11"/>
      <c r="CE24" s="11"/>
      <c r="CF24" s="11"/>
      <c r="CG24" s="11"/>
      <c r="CH24" s="7">
        <v>37932000</v>
      </c>
      <c r="CI24" s="7">
        <v>-226930000</v>
      </c>
      <c r="CJ24" s="7"/>
      <c r="CK24" s="7">
        <v>-2826678000</v>
      </c>
      <c r="CL24" s="7">
        <v>-2836238000</v>
      </c>
      <c r="CM24" s="11">
        <v>37952000</v>
      </c>
      <c r="CN24" s="11">
        <v>-226910000</v>
      </c>
      <c r="CO24" s="11"/>
      <c r="CP24" s="11">
        <v>-2826658000</v>
      </c>
      <c r="CQ24" s="11">
        <v>-2836218000</v>
      </c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>
        <v>137000</v>
      </c>
      <c r="DC24" s="11">
        <v>22000</v>
      </c>
      <c r="DD24" s="11"/>
      <c r="DE24" s="11"/>
      <c r="DF24" s="11"/>
      <c r="DG24" s="7">
        <v>439829000</v>
      </c>
      <c r="DH24" s="7">
        <v>489646000</v>
      </c>
      <c r="DI24" s="7"/>
      <c r="DJ24" s="7"/>
      <c r="DK24" s="7"/>
      <c r="DL24" s="7">
        <v>2147151000</v>
      </c>
      <c r="DM24" s="7">
        <v>1928670000</v>
      </c>
      <c r="DN24" s="7"/>
      <c r="DO24" s="7">
        <v>2827888000</v>
      </c>
      <c r="DP24" s="7">
        <v>2836330000</v>
      </c>
      <c r="DQ24" s="11"/>
      <c r="DR24" s="11"/>
      <c r="DS24" s="11"/>
      <c r="DT24" s="11"/>
      <c r="DU24" s="11"/>
      <c r="DV24" s="11"/>
      <c r="DW24" s="11"/>
      <c r="DX24" s="11"/>
      <c r="DY24" s="11"/>
      <c r="DZ24" s="11"/>
      <c r="EA24" s="11">
        <v>2591552000</v>
      </c>
      <c r="EB24" s="11">
        <v>2428732000</v>
      </c>
      <c r="EC24" s="11"/>
      <c r="ED24" s="11">
        <v>2827888000</v>
      </c>
      <c r="EE24" s="11">
        <v>2836330000</v>
      </c>
      <c r="EF24" s="7">
        <v>1805986000</v>
      </c>
      <c r="EG24" s="7">
        <v>640098000</v>
      </c>
      <c r="EH24" s="7"/>
      <c r="EI24" s="7">
        <v>92000</v>
      </c>
      <c r="EJ24" s="7">
        <v>149000</v>
      </c>
      <c r="EK24" s="7">
        <v>1356738000</v>
      </c>
      <c r="EL24" s="7">
        <v>503785000</v>
      </c>
      <c r="EM24" s="7"/>
      <c r="EN24" s="7">
        <v>1420000</v>
      </c>
      <c r="EO24" s="7">
        <v>8518000</v>
      </c>
      <c r="EP24" s="7">
        <v>407832000</v>
      </c>
      <c r="EQ24" s="7">
        <v>281605000</v>
      </c>
      <c r="ER24" s="7"/>
      <c r="ES24" s="7"/>
      <c r="ET24" s="7"/>
      <c r="EU24" s="7"/>
      <c r="EV24" s="7"/>
      <c r="EW24" s="7"/>
      <c r="EX24" s="7"/>
      <c r="EY24" s="7"/>
      <c r="EZ24" s="11"/>
      <c r="FA24" s="11"/>
      <c r="FB24" s="11"/>
      <c r="FC24" s="11"/>
      <c r="FD24" s="11"/>
      <c r="FE24" s="11">
        <v>190000</v>
      </c>
      <c r="FF24" s="11">
        <v>246000</v>
      </c>
      <c r="FG24" s="11"/>
      <c r="FH24" s="11"/>
      <c r="FI24" s="11"/>
      <c r="FJ24" s="11">
        <v>24683000</v>
      </c>
      <c r="FK24" s="11">
        <v>49817000</v>
      </c>
      <c r="FL24" s="11"/>
      <c r="FM24" s="11"/>
      <c r="FN24" s="11"/>
      <c r="FO24" s="7">
        <v>204103000</v>
      </c>
      <c r="FP24" s="7">
        <v>40770000</v>
      </c>
      <c r="FQ24" s="7"/>
      <c r="FR24" s="7">
        <v>2000000</v>
      </c>
      <c r="FS24" s="7"/>
      <c r="FT24" s="7">
        <v>175431000</v>
      </c>
      <c r="FU24" s="7">
        <v>139440000</v>
      </c>
      <c r="FV24" s="7"/>
      <c r="FW24" s="7">
        <v>901000</v>
      </c>
      <c r="FX24" s="7">
        <v>1191000</v>
      </c>
      <c r="FY24" s="11">
        <v>-9583000</v>
      </c>
      <c r="FZ24" s="11">
        <v>52606000</v>
      </c>
      <c r="GA24" s="11"/>
      <c r="GB24" s="11"/>
      <c r="GC24" s="11"/>
      <c r="GD24" s="7">
        <v>36012000</v>
      </c>
      <c r="GE24" s="7">
        <v>-235060000</v>
      </c>
      <c r="GF24" s="7"/>
      <c r="GG24" s="7">
        <v>-229000</v>
      </c>
      <c r="GH24" s="7">
        <v>-9560000</v>
      </c>
    </row>
    <row r="25" spans="1:190" ht="26.25" x14ac:dyDescent="0.25">
      <c r="A25" s="4">
        <v>24</v>
      </c>
      <c r="B25" s="5" t="s">
        <v>250</v>
      </c>
      <c r="C25" s="9" t="s">
        <v>251</v>
      </c>
      <c r="D25" s="7">
        <v>14</v>
      </c>
      <c r="E25" s="6" t="s">
        <v>252</v>
      </c>
      <c r="F25" s="11"/>
      <c r="G25" s="11">
        <v>2092</v>
      </c>
      <c r="H25" s="11">
        <v>95094</v>
      </c>
      <c r="I25" s="11"/>
      <c r="J25" s="11"/>
      <c r="K25" s="11">
        <v>10920016</v>
      </c>
      <c r="L25" s="11"/>
      <c r="M25" s="11"/>
      <c r="N25" s="11"/>
      <c r="O25" s="11"/>
      <c r="P25" s="7">
        <v>769000</v>
      </c>
      <c r="Q25" s="7">
        <v>769000</v>
      </c>
      <c r="R25" s="7">
        <v>769000</v>
      </c>
      <c r="S25" s="7"/>
      <c r="T25" s="7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>
        <v>808000</v>
      </c>
      <c r="AK25" s="11">
        <v>808000</v>
      </c>
      <c r="AL25" s="11">
        <v>808000</v>
      </c>
      <c r="AM25" s="11"/>
      <c r="AN25" s="11"/>
      <c r="AO25" s="7"/>
      <c r="AP25" s="7"/>
      <c r="AQ25" s="7"/>
      <c r="AR25" s="7"/>
      <c r="AS25" s="7"/>
      <c r="AT25" s="7">
        <v>21377000</v>
      </c>
      <c r="AU25" s="7">
        <v>21377000</v>
      </c>
      <c r="AV25" s="7">
        <v>1489000</v>
      </c>
      <c r="AW25" s="7">
        <v>1489000</v>
      </c>
      <c r="AX25" s="7">
        <v>1489000</v>
      </c>
      <c r="AY25" s="11"/>
      <c r="AZ25" s="11"/>
      <c r="BA25" s="11"/>
      <c r="BB25" s="11"/>
      <c r="BC25" s="11"/>
      <c r="BD25" s="7"/>
      <c r="BE25" s="7"/>
      <c r="BF25" s="7"/>
      <c r="BG25" s="7"/>
      <c r="BH25" s="7"/>
      <c r="BI25" s="11">
        <v>27000</v>
      </c>
      <c r="BJ25" s="11">
        <v>27000</v>
      </c>
      <c r="BK25" s="11">
        <v>27000</v>
      </c>
      <c r="BL25" s="11"/>
      <c r="BM25" s="11"/>
      <c r="BN25" s="11">
        <v>21404000</v>
      </c>
      <c r="BO25" s="11">
        <v>21404000</v>
      </c>
      <c r="BP25" s="11">
        <v>1516000</v>
      </c>
      <c r="BQ25" s="11">
        <v>1489000</v>
      </c>
      <c r="BR25" s="11">
        <v>1489000</v>
      </c>
      <c r="BS25" s="11">
        <v>22212000</v>
      </c>
      <c r="BT25" s="11">
        <v>22212000</v>
      </c>
      <c r="BU25" s="11">
        <v>2324000</v>
      </c>
      <c r="BV25" s="11">
        <v>1489000</v>
      </c>
      <c r="BW25" s="11">
        <v>1489000</v>
      </c>
      <c r="BX25" s="7">
        <v>10000</v>
      </c>
      <c r="BY25" s="7">
        <v>10000</v>
      </c>
      <c r="BZ25" s="7">
        <v>10000</v>
      </c>
      <c r="CA25" s="7">
        <v>10000</v>
      </c>
      <c r="CB25" s="7">
        <v>10000</v>
      </c>
      <c r="CC25" s="11"/>
      <c r="CD25" s="11"/>
      <c r="CE25" s="11"/>
      <c r="CF25" s="11"/>
      <c r="CG25" s="11"/>
      <c r="CH25" s="7">
        <v>-30424000</v>
      </c>
      <c r="CI25" s="7">
        <v>-30424000</v>
      </c>
      <c r="CJ25" s="7">
        <v>-42835000</v>
      </c>
      <c r="CK25" s="7">
        <v>-42835000</v>
      </c>
      <c r="CL25" s="7">
        <v>-42835000</v>
      </c>
      <c r="CM25" s="11">
        <v>-30414000</v>
      </c>
      <c r="CN25" s="11">
        <v>-30414000</v>
      </c>
      <c r="CO25" s="11">
        <v>-42825000</v>
      </c>
      <c r="CP25" s="11">
        <v>-42825000</v>
      </c>
      <c r="CQ25" s="11">
        <v>-42825000</v>
      </c>
      <c r="CR25" s="11"/>
      <c r="CS25" s="11"/>
      <c r="CT25" s="11"/>
      <c r="CU25" s="11"/>
      <c r="CV25" s="11"/>
      <c r="CW25" s="11">
        <v>104000</v>
      </c>
      <c r="CX25" s="11">
        <v>104000</v>
      </c>
      <c r="CY25" s="11">
        <v>104000</v>
      </c>
      <c r="CZ25" s="11"/>
      <c r="DA25" s="11"/>
      <c r="DB25" s="11">
        <v>104000</v>
      </c>
      <c r="DC25" s="11">
        <v>104000</v>
      </c>
      <c r="DD25" s="11">
        <v>104000</v>
      </c>
      <c r="DE25" s="11"/>
      <c r="DF25" s="11"/>
      <c r="DG25" s="7">
        <v>346000</v>
      </c>
      <c r="DH25" s="7">
        <v>346000</v>
      </c>
      <c r="DI25" s="7"/>
      <c r="DJ25" s="7"/>
      <c r="DK25" s="7"/>
      <c r="DL25" s="7">
        <v>52029000</v>
      </c>
      <c r="DM25" s="7">
        <v>52029000</v>
      </c>
      <c r="DN25" s="7">
        <v>44898000</v>
      </c>
      <c r="DO25" s="7">
        <v>44314000</v>
      </c>
      <c r="DP25" s="7">
        <v>44314000</v>
      </c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>
        <v>52522000</v>
      </c>
      <c r="EB25" s="11">
        <v>52522000</v>
      </c>
      <c r="EC25" s="11">
        <v>45045000</v>
      </c>
      <c r="ED25" s="11">
        <v>44314000</v>
      </c>
      <c r="EE25" s="11">
        <v>44314000</v>
      </c>
      <c r="EF25" s="7">
        <v>86481000</v>
      </c>
      <c r="EG25" s="7"/>
      <c r="EH25" s="7"/>
      <c r="EI25" s="7"/>
      <c r="EJ25" s="7"/>
      <c r="EK25" s="7">
        <v>93453000</v>
      </c>
      <c r="EL25" s="7"/>
      <c r="EM25" s="7"/>
      <c r="EN25" s="7"/>
      <c r="EO25" s="7"/>
      <c r="EP25" s="7"/>
      <c r="EQ25" s="7"/>
      <c r="ER25" s="7"/>
      <c r="ES25" s="7"/>
      <c r="ET25" s="7"/>
      <c r="EU25" s="7">
        <v>12684000</v>
      </c>
      <c r="EV25" s="7"/>
      <c r="EW25" s="7"/>
      <c r="EX25" s="7"/>
      <c r="EY25" s="7"/>
      <c r="EZ25" s="11"/>
      <c r="FA25" s="11"/>
      <c r="FB25" s="11"/>
      <c r="FC25" s="11"/>
      <c r="FD25" s="11"/>
      <c r="FE25" s="11"/>
      <c r="FF25" s="11"/>
      <c r="FG25" s="11"/>
      <c r="FH25" s="11"/>
      <c r="FI25" s="11"/>
      <c r="FJ25" s="11"/>
      <c r="FK25" s="11"/>
      <c r="FL25" s="11"/>
      <c r="FM25" s="11"/>
      <c r="FN25" s="11"/>
      <c r="FO25" s="7">
        <v>7971000</v>
      </c>
      <c r="FP25" s="7"/>
      <c r="FQ25" s="7"/>
      <c r="FR25" s="7"/>
      <c r="FS25" s="7"/>
      <c r="FT25" s="7">
        <v>47483000</v>
      </c>
      <c r="FU25" s="7"/>
      <c r="FV25" s="7"/>
      <c r="FW25" s="7"/>
      <c r="FX25" s="7"/>
      <c r="FY25" s="11"/>
      <c r="FZ25" s="11"/>
      <c r="GA25" s="11"/>
      <c r="GB25" s="11"/>
      <c r="GC25" s="11"/>
      <c r="GD25" s="7">
        <v>-59240000</v>
      </c>
      <c r="GE25" s="7"/>
      <c r="GF25" s="7"/>
      <c r="GG25" s="7"/>
      <c r="GH25" s="7"/>
    </row>
    <row r="26" spans="1:190" ht="26.25" x14ac:dyDescent="0.25">
      <c r="A26" s="4">
        <v>25</v>
      </c>
      <c r="B26" s="5" t="s">
        <v>253</v>
      </c>
      <c r="C26" s="9" t="s">
        <v>254</v>
      </c>
      <c r="D26" s="7">
        <v>32</v>
      </c>
      <c r="E26" s="6" t="s">
        <v>255</v>
      </c>
      <c r="F26" s="11"/>
      <c r="G26" s="11"/>
      <c r="H26" s="11"/>
      <c r="I26" s="11"/>
      <c r="J26" s="11"/>
      <c r="K26" s="11"/>
      <c r="L26" s="11"/>
      <c r="M26" s="11"/>
      <c r="N26" s="11"/>
      <c r="O26" s="11">
        <v>546090</v>
      </c>
      <c r="P26" s="7">
        <v>367420000</v>
      </c>
      <c r="Q26" s="7">
        <v>353701000</v>
      </c>
      <c r="R26" s="7">
        <v>298856000</v>
      </c>
      <c r="S26" s="7">
        <v>224123000</v>
      </c>
      <c r="T26" s="7">
        <v>112842000</v>
      </c>
      <c r="U26" s="11"/>
      <c r="V26" s="11"/>
      <c r="W26" s="11"/>
      <c r="X26" s="11"/>
      <c r="Y26" s="11"/>
      <c r="Z26" s="11">
        <v>6125000</v>
      </c>
      <c r="AA26" s="11">
        <v>8858000</v>
      </c>
      <c r="AB26" s="11">
        <v>4736000</v>
      </c>
      <c r="AC26" s="11">
        <v>4673000</v>
      </c>
      <c r="AD26" s="11">
        <v>4119000</v>
      </c>
      <c r="AE26" s="11">
        <v>3000</v>
      </c>
      <c r="AF26" s="11"/>
      <c r="AG26" s="11"/>
      <c r="AH26" s="11"/>
      <c r="AI26" s="11"/>
      <c r="AJ26" s="11">
        <v>885015000</v>
      </c>
      <c r="AK26" s="11">
        <v>891352000</v>
      </c>
      <c r="AL26" s="11">
        <v>816537000</v>
      </c>
      <c r="AM26" s="11">
        <v>675994000</v>
      </c>
      <c r="AN26" s="11">
        <v>516609000</v>
      </c>
      <c r="AO26" s="7">
        <v>439645000</v>
      </c>
      <c r="AP26" s="7">
        <v>445688000</v>
      </c>
      <c r="AQ26" s="7">
        <v>443054000</v>
      </c>
      <c r="AR26" s="7">
        <v>435788000</v>
      </c>
      <c r="AS26" s="7">
        <v>412956000</v>
      </c>
      <c r="AT26" s="7">
        <v>1228777000</v>
      </c>
      <c r="AU26" s="7">
        <v>1265599000</v>
      </c>
      <c r="AV26" s="7">
        <v>1362357000</v>
      </c>
      <c r="AW26" s="7">
        <v>1798613000</v>
      </c>
      <c r="AX26" s="7">
        <v>1660245000</v>
      </c>
      <c r="AY26" s="11"/>
      <c r="AZ26" s="11"/>
      <c r="BA26" s="11"/>
      <c r="BB26" s="11"/>
      <c r="BC26" s="11"/>
      <c r="BD26" s="7">
        <v>55117000</v>
      </c>
      <c r="BE26" s="7">
        <v>283000</v>
      </c>
      <c r="BF26" s="7">
        <v>9733000</v>
      </c>
      <c r="BG26" s="7">
        <v>4162000</v>
      </c>
      <c r="BH26" s="7">
        <v>2579000</v>
      </c>
      <c r="BI26" s="11">
        <v>4979000</v>
      </c>
      <c r="BJ26" s="11">
        <v>4980000</v>
      </c>
      <c r="BK26" s="11">
        <v>4980000</v>
      </c>
      <c r="BL26" s="11">
        <v>4980000</v>
      </c>
      <c r="BM26" s="11">
        <v>4979000</v>
      </c>
      <c r="BN26" s="11">
        <v>1730283000</v>
      </c>
      <c r="BO26" s="11">
        <v>1718310000</v>
      </c>
      <c r="BP26" s="11">
        <v>1821877000</v>
      </c>
      <c r="BQ26" s="11">
        <v>2245295000</v>
      </c>
      <c r="BR26" s="11">
        <v>2080776000</v>
      </c>
      <c r="BS26" s="11">
        <v>2615298000</v>
      </c>
      <c r="BT26" s="11">
        <v>2609662000</v>
      </c>
      <c r="BU26" s="11">
        <v>2638414000</v>
      </c>
      <c r="BV26" s="11">
        <v>2921289000</v>
      </c>
      <c r="BW26" s="11">
        <v>2597385000</v>
      </c>
      <c r="BX26" s="7">
        <v>977000</v>
      </c>
      <c r="BY26" s="7">
        <v>977000</v>
      </c>
      <c r="BZ26" s="7">
        <v>977000</v>
      </c>
      <c r="CA26" s="7">
        <v>977000</v>
      </c>
      <c r="CB26" s="7">
        <v>977000</v>
      </c>
      <c r="CC26" s="11">
        <v>425740000</v>
      </c>
      <c r="CD26" s="11">
        <v>417614000</v>
      </c>
      <c r="CE26" s="11">
        <v>326775000</v>
      </c>
      <c r="CF26" s="11">
        <v>286040000</v>
      </c>
      <c r="CG26" s="11">
        <v>163399000</v>
      </c>
      <c r="CH26" s="7">
        <v>-2445078000</v>
      </c>
      <c r="CI26" s="7">
        <v>-2508018000</v>
      </c>
      <c r="CJ26" s="7">
        <v>-2800056000</v>
      </c>
      <c r="CK26" s="7">
        <v>-2344725000</v>
      </c>
      <c r="CL26" s="7">
        <v>-2000784000</v>
      </c>
      <c r="CM26" s="11">
        <v>-1472257000</v>
      </c>
      <c r="CN26" s="11">
        <v>-1543323000</v>
      </c>
      <c r="CO26" s="11">
        <v>-1926200000</v>
      </c>
      <c r="CP26" s="11">
        <v>-1511604000</v>
      </c>
      <c r="CQ26" s="11">
        <v>-1290304000</v>
      </c>
      <c r="CR26" s="11"/>
      <c r="CS26" s="11"/>
      <c r="CT26" s="11"/>
      <c r="CU26" s="11"/>
      <c r="CV26" s="11"/>
      <c r="CW26" s="11"/>
      <c r="CX26" s="11"/>
      <c r="CY26" s="11"/>
      <c r="CZ26" s="11"/>
      <c r="DA26" s="11"/>
      <c r="DB26" s="11">
        <v>36318000</v>
      </c>
      <c r="DC26" s="11">
        <v>36604000</v>
      </c>
      <c r="DD26" s="11">
        <v>28904000</v>
      </c>
      <c r="DE26" s="11">
        <v>23238000</v>
      </c>
      <c r="DF26" s="11">
        <v>16353000</v>
      </c>
      <c r="DG26" s="7">
        <v>297268000</v>
      </c>
      <c r="DH26" s="7">
        <v>307908000</v>
      </c>
      <c r="DI26" s="7">
        <v>318548000</v>
      </c>
      <c r="DJ26" s="7">
        <v>329188000</v>
      </c>
      <c r="DK26" s="7">
        <v>270624000</v>
      </c>
      <c r="DL26" s="7">
        <v>3734172000</v>
      </c>
      <c r="DM26" s="7">
        <v>3791148000</v>
      </c>
      <c r="DN26" s="7">
        <v>4201778000</v>
      </c>
      <c r="DO26" s="7">
        <v>4064303000</v>
      </c>
      <c r="DP26" s="7">
        <v>3585076000</v>
      </c>
      <c r="DQ26" s="11"/>
      <c r="DR26" s="11"/>
      <c r="DS26" s="11"/>
      <c r="DT26" s="11"/>
      <c r="DU26" s="11"/>
      <c r="DV26" s="11"/>
      <c r="DW26" s="11"/>
      <c r="DX26" s="11"/>
      <c r="DY26" s="11"/>
      <c r="DZ26" s="11"/>
      <c r="EA26" s="11">
        <v>4051237000</v>
      </c>
      <c r="EB26" s="11">
        <v>4116381000</v>
      </c>
      <c r="EC26" s="11">
        <v>4535710000</v>
      </c>
      <c r="ED26" s="11">
        <v>4409655000</v>
      </c>
      <c r="EE26" s="11">
        <v>3871336000</v>
      </c>
      <c r="EF26" s="7">
        <v>319294000</v>
      </c>
      <c r="EG26" s="7">
        <v>119395000</v>
      </c>
      <c r="EH26" s="7">
        <v>171801000</v>
      </c>
      <c r="EI26" s="7">
        <v>30107000</v>
      </c>
      <c r="EJ26" s="7">
        <v>6124000</v>
      </c>
      <c r="EK26" s="7">
        <v>421764000</v>
      </c>
      <c r="EL26" s="7">
        <v>158353000</v>
      </c>
      <c r="EM26" s="7">
        <v>95185000</v>
      </c>
      <c r="EN26" s="7">
        <v>75580000</v>
      </c>
      <c r="EO26" s="7"/>
      <c r="EP26" s="7"/>
      <c r="EQ26" s="7"/>
      <c r="ER26" s="7"/>
      <c r="ES26" s="7"/>
      <c r="ET26" s="7"/>
      <c r="EU26" s="7">
        <v>81594000</v>
      </c>
      <c r="EV26" s="7">
        <v>66180000</v>
      </c>
      <c r="EW26" s="7">
        <v>69427000</v>
      </c>
      <c r="EX26" s="7">
        <v>51367000</v>
      </c>
      <c r="EY26" s="7">
        <v>121350000</v>
      </c>
      <c r="EZ26" s="11">
        <v>279000</v>
      </c>
      <c r="FA26" s="11">
        <v>230000</v>
      </c>
      <c r="FB26" s="11">
        <v>934000</v>
      </c>
      <c r="FC26" s="11"/>
      <c r="FD26" s="11"/>
      <c r="FE26" s="11"/>
      <c r="FF26" s="11"/>
      <c r="FG26" s="11"/>
      <c r="FH26" s="11"/>
      <c r="FI26" s="11"/>
      <c r="FJ26" s="11">
        <v>10640000</v>
      </c>
      <c r="FK26" s="11">
        <v>10640000</v>
      </c>
      <c r="FL26" s="11">
        <v>10640000</v>
      </c>
      <c r="FM26" s="11">
        <v>10640000</v>
      </c>
      <c r="FN26" s="11"/>
      <c r="FO26" s="7">
        <v>50773000</v>
      </c>
      <c r="FP26" s="7">
        <v>39541000</v>
      </c>
      <c r="FQ26" s="7">
        <v>322160000</v>
      </c>
      <c r="FR26" s="7">
        <v>908756000</v>
      </c>
      <c r="FS26" s="7">
        <v>583635000</v>
      </c>
      <c r="FT26" s="7">
        <v>26081000</v>
      </c>
      <c r="FU26" s="7">
        <v>12102000</v>
      </c>
      <c r="FV26" s="7">
        <v>220469000</v>
      </c>
      <c r="FW26" s="7">
        <v>260369000</v>
      </c>
      <c r="FX26" s="7">
        <v>139882000</v>
      </c>
      <c r="FY26" s="11">
        <v>34254000</v>
      </c>
      <c r="FZ26" s="11">
        <v>17044000</v>
      </c>
      <c r="GA26" s="11">
        <v>-20071000</v>
      </c>
      <c r="GB26" s="11">
        <v>-126297000</v>
      </c>
      <c r="GC26" s="11">
        <v>-78886000</v>
      </c>
      <c r="GD26" s="7">
        <v>-307791000</v>
      </c>
      <c r="GE26" s="7">
        <v>-71066000</v>
      </c>
      <c r="GF26" s="7">
        <v>-382876000</v>
      </c>
      <c r="GG26" s="7">
        <v>414586000</v>
      </c>
      <c r="GH26" s="7">
        <v>226364000</v>
      </c>
    </row>
    <row r="27" spans="1:190" x14ac:dyDescent="0.25">
      <c r="A27" s="4">
        <v>26</v>
      </c>
      <c r="B27" s="5" t="s">
        <v>256</v>
      </c>
      <c r="C27" s="9" t="s">
        <v>257</v>
      </c>
      <c r="D27" s="7">
        <v>21</v>
      </c>
      <c r="E27" s="6" t="s">
        <v>258</v>
      </c>
      <c r="F27" s="11">
        <v>544</v>
      </c>
      <c r="G27" s="11">
        <v>258985</v>
      </c>
      <c r="H27" s="11">
        <v>181</v>
      </c>
      <c r="I27" s="11"/>
      <c r="J27" s="11"/>
      <c r="K27" s="11">
        <v>1659456</v>
      </c>
      <c r="L27" s="11">
        <v>17058842</v>
      </c>
      <c r="M27" s="11">
        <v>1101006</v>
      </c>
      <c r="N27" s="11"/>
      <c r="O27" s="11"/>
      <c r="P27" s="7"/>
      <c r="Q27" s="7">
        <v>31840000</v>
      </c>
      <c r="R27" s="7">
        <v>4113000</v>
      </c>
      <c r="S27" s="7">
        <v>2211000</v>
      </c>
      <c r="T27" s="7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>
        <v>31840000</v>
      </c>
      <c r="AL27" s="11">
        <v>4113000</v>
      </c>
      <c r="AM27" s="11">
        <v>2211000</v>
      </c>
      <c r="AN27" s="11"/>
      <c r="AO27" s="7"/>
      <c r="AP27" s="7"/>
      <c r="AQ27" s="7"/>
      <c r="AR27" s="7"/>
      <c r="AS27" s="7"/>
      <c r="AT27" s="7"/>
      <c r="AU27" s="7">
        <v>420000</v>
      </c>
      <c r="AV27" s="7">
        <v>33866000</v>
      </c>
      <c r="AW27" s="7">
        <v>6164000</v>
      </c>
      <c r="AX27" s="7">
        <v>79710000</v>
      </c>
      <c r="AY27" s="11"/>
      <c r="AZ27" s="11"/>
      <c r="BA27" s="11"/>
      <c r="BB27" s="11"/>
      <c r="BC27" s="11"/>
      <c r="BD27" s="7"/>
      <c r="BE27" s="7">
        <v>81000</v>
      </c>
      <c r="BF27" s="7">
        <v>4143000</v>
      </c>
      <c r="BG27" s="7">
        <v>5384000</v>
      </c>
      <c r="BH27" s="7">
        <v>6028000</v>
      </c>
      <c r="BI27" s="11"/>
      <c r="BJ27" s="11"/>
      <c r="BK27" s="11"/>
      <c r="BL27" s="11"/>
      <c r="BM27" s="11"/>
      <c r="BN27" s="11"/>
      <c r="BO27" s="11">
        <v>501000</v>
      </c>
      <c r="BP27" s="11">
        <v>38009000</v>
      </c>
      <c r="BQ27" s="11">
        <v>11548000</v>
      </c>
      <c r="BR27" s="11">
        <v>85738000</v>
      </c>
      <c r="BS27" s="11"/>
      <c r="BT27" s="11">
        <v>32341000</v>
      </c>
      <c r="BU27" s="11">
        <v>42121000</v>
      </c>
      <c r="BV27" s="11">
        <v>13758000</v>
      </c>
      <c r="BW27" s="11">
        <v>85738000</v>
      </c>
      <c r="BX27" s="7"/>
      <c r="BY27" s="7">
        <v>10000</v>
      </c>
      <c r="BZ27" s="7">
        <v>10000</v>
      </c>
      <c r="CA27" s="7">
        <v>10000</v>
      </c>
      <c r="CB27" s="7">
        <v>10000</v>
      </c>
      <c r="CC27" s="11"/>
      <c r="CD27" s="11"/>
      <c r="CE27" s="11"/>
      <c r="CF27" s="11"/>
      <c r="CG27" s="11"/>
      <c r="CH27" s="7"/>
      <c r="CI27" s="7">
        <v>-57662000</v>
      </c>
      <c r="CJ27" s="7">
        <v>-47274000</v>
      </c>
      <c r="CK27" s="7">
        <v>-54707000</v>
      </c>
      <c r="CL27" s="7">
        <v>13300000</v>
      </c>
      <c r="CM27" s="11"/>
      <c r="CN27" s="11">
        <v>-57652000</v>
      </c>
      <c r="CO27" s="11">
        <v>-47264000</v>
      </c>
      <c r="CP27" s="11">
        <v>-54697000</v>
      </c>
      <c r="CQ27" s="11">
        <v>13310000</v>
      </c>
      <c r="CR27" s="11"/>
      <c r="CS27" s="11"/>
      <c r="CT27" s="11"/>
      <c r="CU27" s="11"/>
      <c r="CV27" s="11"/>
      <c r="CW27" s="11"/>
      <c r="CX27" s="11"/>
      <c r="CY27" s="11"/>
      <c r="CZ27" s="11"/>
      <c r="DA27" s="11"/>
      <c r="DB27" s="11"/>
      <c r="DC27" s="11"/>
      <c r="DD27" s="11"/>
      <c r="DE27" s="11"/>
      <c r="DF27" s="11"/>
      <c r="DG27" s="7"/>
      <c r="DH27" s="7"/>
      <c r="DI27" s="7"/>
      <c r="DJ27" s="7"/>
      <c r="DK27" s="7"/>
      <c r="DL27" s="7"/>
      <c r="DM27" s="7">
        <v>89993000</v>
      </c>
      <c r="DN27" s="7">
        <v>89385000</v>
      </c>
      <c r="DO27" s="7">
        <v>68455000</v>
      </c>
      <c r="DP27" s="7">
        <v>72428000</v>
      </c>
      <c r="DQ27" s="11"/>
      <c r="DR27" s="11"/>
      <c r="DS27" s="11"/>
      <c r="DT27" s="11"/>
      <c r="DU27" s="11"/>
      <c r="DV27" s="11"/>
      <c r="DW27" s="11"/>
      <c r="DX27" s="11"/>
      <c r="DY27" s="11"/>
      <c r="DZ27" s="11"/>
      <c r="EA27" s="11"/>
      <c r="EB27" s="11">
        <v>89993000</v>
      </c>
      <c r="EC27" s="11">
        <v>89385000</v>
      </c>
      <c r="ED27" s="11">
        <v>68455000</v>
      </c>
      <c r="EE27" s="11">
        <v>72428000</v>
      </c>
      <c r="EF27" s="7"/>
      <c r="EG27" s="7"/>
      <c r="EH27" s="7"/>
      <c r="EI27" s="7"/>
      <c r="EJ27" s="7"/>
      <c r="EK27" s="7"/>
      <c r="EL27" s="7"/>
      <c r="EM27" s="7"/>
      <c r="EN27" s="7"/>
      <c r="EO27" s="7"/>
      <c r="EP27" s="7"/>
      <c r="EQ27" s="7"/>
      <c r="ER27" s="7"/>
      <c r="ES27" s="7"/>
      <c r="ET27" s="7"/>
      <c r="EU27" s="7"/>
      <c r="EV27" s="7"/>
      <c r="EW27" s="7"/>
      <c r="EX27" s="7"/>
      <c r="EY27" s="7"/>
      <c r="EZ27" s="11"/>
      <c r="FA27" s="11"/>
      <c r="FB27" s="11"/>
      <c r="FC27" s="11"/>
      <c r="FD27" s="11"/>
      <c r="FE27" s="11"/>
      <c r="FF27" s="11"/>
      <c r="FG27" s="11"/>
      <c r="FH27" s="11"/>
      <c r="FI27" s="11"/>
      <c r="FJ27" s="11"/>
      <c r="FK27" s="11"/>
      <c r="FL27" s="11"/>
      <c r="FM27" s="11"/>
      <c r="FN27" s="11"/>
      <c r="FO27" s="7"/>
      <c r="FP27" s="7"/>
      <c r="FQ27" s="7"/>
      <c r="FR27" s="7"/>
      <c r="FS27" s="7"/>
      <c r="FT27" s="7"/>
      <c r="FU27" s="7"/>
      <c r="FV27" s="7"/>
      <c r="FW27" s="7"/>
      <c r="FX27" s="7"/>
      <c r="FY27" s="11"/>
      <c r="FZ27" s="11"/>
      <c r="GA27" s="11"/>
      <c r="GB27" s="11"/>
      <c r="GC27" s="11"/>
      <c r="GD27" s="7"/>
      <c r="GE27" s="7"/>
      <c r="GF27" s="7"/>
      <c r="GG27" s="7"/>
      <c r="GH27" s="7"/>
    </row>
    <row r="28" spans="1:190" x14ac:dyDescent="0.25">
      <c r="A28" s="4">
        <v>27</v>
      </c>
      <c r="B28" s="5" t="s">
        <v>259</v>
      </c>
      <c r="C28" s="9" t="s">
        <v>260</v>
      </c>
      <c r="D28" s="7">
        <v>9</v>
      </c>
      <c r="E28" s="6" t="s">
        <v>190</v>
      </c>
      <c r="F28" s="11"/>
      <c r="G28" s="11"/>
      <c r="H28" s="11"/>
      <c r="I28" s="11">
        <v>273659</v>
      </c>
      <c r="J28" s="11">
        <v>27220</v>
      </c>
      <c r="K28" s="11">
        <v>5852</v>
      </c>
      <c r="L28" s="11">
        <v>6113</v>
      </c>
      <c r="M28" s="11"/>
      <c r="N28" s="11">
        <v>536</v>
      </c>
      <c r="O28" s="11">
        <v>72578</v>
      </c>
      <c r="P28" s="7">
        <v>3628000</v>
      </c>
      <c r="Q28" s="7">
        <v>2267000</v>
      </c>
      <c r="R28" s="7">
        <v>907000</v>
      </c>
      <c r="S28" s="7"/>
      <c r="T28" s="7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>
        <v>3670000</v>
      </c>
      <c r="AK28" s="11">
        <v>2303000</v>
      </c>
      <c r="AL28" s="11">
        <v>937000</v>
      </c>
      <c r="AM28" s="11"/>
      <c r="AN28" s="11"/>
      <c r="AO28" s="7">
        <v>2342000</v>
      </c>
      <c r="AP28" s="7">
        <v>5000</v>
      </c>
      <c r="AQ28" s="7"/>
      <c r="AR28" s="7"/>
      <c r="AS28" s="7"/>
      <c r="AT28" s="7">
        <v>2535000</v>
      </c>
      <c r="AU28" s="7">
        <v>3869000</v>
      </c>
      <c r="AV28" s="7">
        <v>3142000</v>
      </c>
      <c r="AW28" s="7"/>
      <c r="AX28" s="7"/>
      <c r="AY28" s="11"/>
      <c r="AZ28" s="11"/>
      <c r="BA28" s="11"/>
      <c r="BB28" s="11"/>
      <c r="BC28" s="11"/>
      <c r="BD28" s="7"/>
      <c r="BE28" s="7"/>
      <c r="BF28" s="7"/>
      <c r="BG28" s="7"/>
      <c r="BH28" s="7"/>
      <c r="BI28" s="11">
        <v>128000</v>
      </c>
      <c r="BJ28" s="11"/>
      <c r="BK28" s="11"/>
      <c r="BL28" s="11"/>
      <c r="BM28" s="11"/>
      <c r="BN28" s="11">
        <v>5303000</v>
      </c>
      <c r="BO28" s="11">
        <v>3937000</v>
      </c>
      <c r="BP28" s="11">
        <v>3205000</v>
      </c>
      <c r="BQ28" s="11"/>
      <c r="BR28" s="11"/>
      <c r="BS28" s="11">
        <v>8973000</v>
      </c>
      <c r="BT28" s="11">
        <v>6240000</v>
      </c>
      <c r="BU28" s="11">
        <v>4142000</v>
      </c>
      <c r="BV28" s="11"/>
      <c r="BW28" s="11"/>
      <c r="BX28" s="7">
        <v>10000</v>
      </c>
      <c r="BY28" s="7">
        <v>10000</v>
      </c>
      <c r="BZ28" s="7">
        <v>10000</v>
      </c>
      <c r="CA28" s="7"/>
      <c r="CB28" s="7"/>
      <c r="CC28" s="11"/>
      <c r="CD28" s="11"/>
      <c r="CE28" s="11"/>
      <c r="CF28" s="11"/>
      <c r="CG28" s="11"/>
      <c r="CH28" s="7">
        <v>-3837000</v>
      </c>
      <c r="CI28" s="7">
        <v>-5321000</v>
      </c>
      <c r="CJ28" s="7">
        <v>-7417000</v>
      </c>
      <c r="CK28" s="7"/>
      <c r="CL28" s="7"/>
      <c r="CM28" s="11">
        <v>-3827000</v>
      </c>
      <c r="CN28" s="11">
        <v>-5311000</v>
      </c>
      <c r="CO28" s="11">
        <v>-7407000</v>
      </c>
      <c r="CP28" s="11">
        <v>-7671000</v>
      </c>
      <c r="CQ28" s="11"/>
      <c r="CR28" s="11">
        <v>1747000</v>
      </c>
      <c r="CS28" s="11">
        <v>2312000</v>
      </c>
      <c r="CT28" s="11">
        <v>2312000</v>
      </c>
      <c r="CU28" s="11"/>
      <c r="CV28" s="11"/>
      <c r="CW28" s="11"/>
      <c r="CX28" s="11"/>
      <c r="CY28" s="11"/>
      <c r="CZ28" s="11"/>
      <c r="DA28" s="11"/>
      <c r="DB28" s="11">
        <v>1747000</v>
      </c>
      <c r="DC28" s="11">
        <v>2312000</v>
      </c>
      <c r="DD28" s="11">
        <v>2312000</v>
      </c>
      <c r="DE28" s="11"/>
      <c r="DF28" s="11"/>
      <c r="DG28" s="7"/>
      <c r="DH28" s="7"/>
      <c r="DI28" s="7"/>
      <c r="DJ28" s="7"/>
      <c r="DK28" s="7"/>
      <c r="DL28" s="7">
        <v>11053000</v>
      </c>
      <c r="DM28" s="7">
        <v>9239000</v>
      </c>
      <c r="DN28" s="7">
        <v>9237000</v>
      </c>
      <c r="DO28" s="7">
        <v>7671000</v>
      </c>
      <c r="DP28" s="7"/>
      <c r="DQ28" s="11"/>
      <c r="DR28" s="11"/>
      <c r="DS28" s="11"/>
      <c r="DT28" s="11"/>
      <c r="DU28" s="11"/>
      <c r="DV28" s="11"/>
      <c r="DW28" s="11"/>
      <c r="DX28" s="11"/>
      <c r="DY28" s="11"/>
      <c r="DZ28" s="11"/>
      <c r="EA28" s="11">
        <v>11053000</v>
      </c>
      <c r="EB28" s="11">
        <v>9239000</v>
      </c>
      <c r="EC28" s="11">
        <v>9237000</v>
      </c>
      <c r="ED28" s="11">
        <v>7671000</v>
      </c>
      <c r="EE28" s="11"/>
      <c r="EF28" s="7">
        <v>1461000</v>
      </c>
      <c r="EG28" s="7">
        <v>2327000</v>
      </c>
      <c r="EH28" s="7"/>
      <c r="EI28" s="7"/>
      <c r="EJ28" s="7"/>
      <c r="EK28" s="7">
        <v>1119000</v>
      </c>
      <c r="EL28" s="7">
        <v>2336000</v>
      </c>
      <c r="EM28" s="7">
        <v>1730000</v>
      </c>
      <c r="EN28" s="7"/>
      <c r="EO28" s="7"/>
      <c r="EP28" s="7">
        <v>2000</v>
      </c>
      <c r="EQ28" s="7"/>
      <c r="ER28" s="7"/>
      <c r="ES28" s="7"/>
      <c r="ET28" s="7"/>
      <c r="EU28" s="7">
        <v>2372000</v>
      </c>
      <c r="EV28" s="7">
        <v>1470000</v>
      </c>
      <c r="EW28" s="7"/>
      <c r="EX28" s="7"/>
      <c r="EY28" s="7"/>
      <c r="EZ28" s="11"/>
      <c r="FA28" s="11"/>
      <c r="FB28" s="11"/>
      <c r="FC28" s="11"/>
      <c r="FD28" s="11"/>
      <c r="FE28" s="11"/>
      <c r="FF28" s="11"/>
      <c r="FG28" s="11"/>
      <c r="FH28" s="11"/>
      <c r="FI28" s="11"/>
      <c r="FJ28" s="11"/>
      <c r="FK28" s="11"/>
      <c r="FL28" s="11"/>
      <c r="FM28" s="11"/>
      <c r="FN28" s="11"/>
      <c r="FO28" s="7">
        <v>2549000</v>
      </c>
      <c r="FP28" s="7"/>
      <c r="FQ28" s="7"/>
      <c r="FR28" s="7"/>
      <c r="FS28" s="7"/>
      <c r="FT28" s="7">
        <v>922000</v>
      </c>
      <c r="FU28" s="7"/>
      <c r="FV28" s="7">
        <v>366000</v>
      </c>
      <c r="FW28" s="7">
        <v>264000</v>
      </c>
      <c r="FX28" s="7"/>
      <c r="FY28" s="11">
        <v>-18000</v>
      </c>
      <c r="FZ28" s="11">
        <v>-5000</v>
      </c>
      <c r="GA28" s="11"/>
      <c r="GB28" s="11"/>
      <c r="GC28" s="11"/>
      <c r="GD28" s="7">
        <v>-423000</v>
      </c>
      <c r="GE28" s="7">
        <v>-1484000</v>
      </c>
      <c r="GF28" s="7">
        <v>-2096000</v>
      </c>
      <c r="GG28" s="7">
        <v>-264000</v>
      </c>
      <c r="GH28" s="7"/>
    </row>
    <row r="29" spans="1:190" x14ac:dyDescent="0.25">
      <c r="A29" s="4">
        <v>28</v>
      </c>
      <c r="B29" s="5" t="s">
        <v>261</v>
      </c>
      <c r="C29" s="9" t="s">
        <v>262</v>
      </c>
      <c r="D29" s="7">
        <v>17</v>
      </c>
      <c r="E29" s="6" t="s">
        <v>263</v>
      </c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7">
        <v>1098000</v>
      </c>
      <c r="Q29" s="7">
        <v>751000</v>
      </c>
      <c r="R29" s="7">
        <v>73000</v>
      </c>
      <c r="S29" s="7"/>
      <c r="T29" s="7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>
        <v>1098000</v>
      </c>
      <c r="AK29" s="11">
        <v>751000</v>
      </c>
      <c r="AL29" s="11">
        <v>73000</v>
      </c>
      <c r="AM29" s="11"/>
      <c r="AN29" s="11"/>
      <c r="AO29" s="7"/>
      <c r="AP29" s="7"/>
      <c r="AQ29" s="7">
        <v>150000</v>
      </c>
      <c r="AR29" s="7"/>
      <c r="AS29" s="7"/>
      <c r="AT29" s="7">
        <v>6911000</v>
      </c>
      <c r="AU29" s="7">
        <v>11908000</v>
      </c>
      <c r="AV29" s="7">
        <v>13847000</v>
      </c>
      <c r="AW29" s="7"/>
      <c r="AX29" s="7"/>
      <c r="AY29" s="11"/>
      <c r="AZ29" s="11"/>
      <c r="BA29" s="11"/>
      <c r="BB29" s="11"/>
      <c r="BC29" s="11"/>
      <c r="BD29" s="7">
        <v>138000</v>
      </c>
      <c r="BE29" s="7">
        <v>498000</v>
      </c>
      <c r="BF29" s="7">
        <v>365000</v>
      </c>
      <c r="BG29" s="7"/>
      <c r="BH29" s="7"/>
      <c r="BI29" s="11"/>
      <c r="BJ29" s="11"/>
      <c r="BK29" s="11"/>
      <c r="BL29" s="11"/>
      <c r="BM29" s="11"/>
      <c r="BN29" s="11">
        <v>7049000</v>
      </c>
      <c r="BO29" s="11">
        <v>12406000</v>
      </c>
      <c r="BP29" s="11">
        <v>14362000</v>
      </c>
      <c r="BQ29" s="11"/>
      <c r="BR29" s="11"/>
      <c r="BS29" s="11">
        <v>8147000</v>
      </c>
      <c r="BT29" s="11">
        <v>13157000</v>
      </c>
      <c r="BU29" s="11">
        <v>14435000</v>
      </c>
      <c r="BV29" s="11"/>
      <c r="BW29" s="11"/>
      <c r="BX29" s="7"/>
      <c r="BY29" s="7"/>
      <c r="BZ29" s="7"/>
      <c r="CA29" s="7"/>
      <c r="CB29" s="7"/>
      <c r="CC29" s="11"/>
      <c r="CD29" s="11"/>
      <c r="CE29" s="11"/>
      <c r="CF29" s="11"/>
      <c r="CG29" s="11"/>
      <c r="CH29" s="7"/>
      <c r="CI29" s="7"/>
      <c r="CJ29" s="7"/>
      <c r="CK29" s="7"/>
      <c r="CL29" s="7"/>
      <c r="CM29" s="11">
        <v>1795000</v>
      </c>
      <c r="CN29" s="11">
        <v>3503000</v>
      </c>
      <c r="CO29" s="11">
        <v>5482000</v>
      </c>
      <c r="CP29" s="11"/>
      <c r="CQ29" s="11"/>
      <c r="CR29" s="11">
        <v>98000</v>
      </c>
      <c r="CS29" s="11">
        <v>1500000</v>
      </c>
      <c r="CT29" s="11">
        <v>3349000</v>
      </c>
      <c r="CU29" s="11"/>
      <c r="CV29" s="11"/>
      <c r="CW29" s="11"/>
      <c r="CX29" s="11"/>
      <c r="CY29" s="11"/>
      <c r="CZ29" s="11"/>
      <c r="DA29" s="11"/>
      <c r="DB29" s="11">
        <v>98000</v>
      </c>
      <c r="DC29" s="11">
        <v>1500000</v>
      </c>
      <c r="DD29" s="11">
        <v>3349000</v>
      </c>
      <c r="DE29" s="11"/>
      <c r="DF29" s="11"/>
      <c r="DG29" s="7"/>
      <c r="DH29" s="7">
        <v>5061000</v>
      </c>
      <c r="DI29" s="7">
        <v>2889000</v>
      </c>
      <c r="DJ29" s="7"/>
      <c r="DK29" s="7"/>
      <c r="DL29" s="7">
        <v>6254000</v>
      </c>
      <c r="DM29" s="7">
        <v>3093000</v>
      </c>
      <c r="DN29" s="7">
        <v>2715000</v>
      </c>
      <c r="DO29" s="7"/>
      <c r="DP29" s="7"/>
      <c r="DQ29" s="11"/>
      <c r="DR29" s="11"/>
      <c r="DS29" s="11"/>
      <c r="DT29" s="11"/>
      <c r="DU29" s="11"/>
      <c r="DV29" s="11"/>
      <c r="DW29" s="11"/>
      <c r="DX29" s="11"/>
      <c r="DY29" s="11"/>
      <c r="DZ29" s="11"/>
      <c r="EA29" s="11">
        <v>6254000</v>
      </c>
      <c r="EB29" s="11">
        <v>8154000</v>
      </c>
      <c r="EC29" s="11">
        <v>5604000</v>
      </c>
      <c r="ED29" s="11"/>
      <c r="EE29" s="11"/>
      <c r="EF29" s="7">
        <v>8464000</v>
      </c>
      <c r="EG29" s="7">
        <v>13152000</v>
      </c>
      <c r="EH29" s="7">
        <v>7768000</v>
      </c>
      <c r="EI29" s="7"/>
      <c r="EJ29" s="7"/>
      <c r="EK29" s="7">
        <v>7205000</v>
      </c>
      <c r="EL29" s="7">
        <v>9149000</v>
      </c>
      <c r="EM29" s="7">
        <v>5604000</v>
      </c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7"/>
      <c r="EZ29" s="11"/>
      <c r="FA29" s="11"/>
      <c r="FB29" s="11"/>
      <c r="FC29" s="11"/>
      <c r="FD29" s="11"/>
      <c r="FE29" s="11"/>
      <c r="FF29" s="11"/>
      <c r="FG29" s="11"/>
      <c r="FH29" s="11"/>
      <c r="FI29" s="11"/>
      <c r="FJ29" s="11"/>
      <c r="FK29" s="11">
        <v>285000</v>
      </c>
      <c r="FL29" s="11">
        <v>175000</v>
      </c>
      <c r="FM29" s="11"/>
      <c r="FN29" s="11"/>
      <c r="FO29" s="7">
        <v>3044000</v>
      </c>
      <c r="FP29" s="7">
        <v>255000</v>
      </c>
      <c r="FQ29" s="7">
        <v>150000</v>
      </c>
      <c r="FR29" s="7"/>
      <c r="FS29" s="7"/>
      <c r="FT29" s="7">
        <v>2238000</v>
      </c>
      <c r="FU29" s="7">
        <v>1176000</v>
      </c>
      <c r="FV29" s="7">
        <v>675000</v>
      </c>
      <c r="FW29" s="7"/>
      <c r="FX29" s="7"/>
      <c r="FY29" s="11">
        <v>565000</v>
      </c>
      <c r="FZ29" s="11">
        <v>1089000</v>
      </c>
      <c r="GA29" s="11">
        <v>212000</v>
      </c>
      <c r="GB29" s="11"/>
      <c r="GC29" s="11"/>
      <c r="GD29" s="7">
        <v>1500000</v>
      </c>
      <c r="GE29" s="7">
        <v>1708000</v>
      </c>
      <c r="GF29" s="7">
        <v>1252000</v>
      </c>
      <c r="GG29" s="7"/>
      <c r="GH29" s="7"/>
    </row>
    <row r="30" spans="1:190" x14ac:dyDescent="0.25">
      <c r="A30" s="4">
        <v>29</v>
      </c>
      <c r="B30" s="5" t="s">
        <v>264</v>
      </c>
      <c r="C30" s="9" t="s">
        <v>265</v>
      </c>
      <c r="D30" s="7">
        <v>18</v>
      </c>
      <c r="E30" s="6" t="s">
        <v>266</v>
      </c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7">
        <v>72041000</v>
      </c>
      <c r="Q30" s="7">
        <v>52973000</v>
      </c>
      <c r="R30" s="7">
        <v>89410000</v>
      </c>
      <c r="S30" s="7">
        <v>12870000</v>
      </c>
      <c r="T30" s="7">
        <v>12870000</v>
      </c>
      <c r="U30" s="11"/>
      <c r="V30" s="11"/>
      <c r="W30" s="11"/>
      <c r="X30" s="11"/>
      <c r="Y30" s="11"/>
      <c r="Z30" s="11">
        <v>878761000</v>
      </c>
      <c r="AA30" s="11">
        <v>899286000</v>
      </c>
      <c r="AB30" s="11">
        <v>920895000</v>
      </c>
      <c r="AC30" s="11">
        <v>67938000</v>
      </c>
      <c r="AD30" s="11">
        <v>71677000</v>
      </c>
      <c r="AE30" s="11"/>
      <c r="AF30" s="11"/>
      <c r="AG30" s="11"/>
      <c r="AH30" s="11"/>
      <c r="AI30" s="11"/>
      <c r="AJ30" s="11">
        <v>950802000</v>
      </c>
      <c r="AK30" s="11">
        <v>952259000</v>
      </c>
      <c r="AL30" s="11">
        <v>1010305000</v>
      </c>
      <c r="AM30" s="11">
        <v>80808000</v>
      </c>
      <c r="AN30" s="11">
        <v>84547000</v>
      </c>
      <c r="AO30" s="7">
        <v>6148227000</v>
      </c>
      <c r="AP30" s="7">
        <v>5999859000</v>
      </c>
      <c r="AQ30" s="7">
        <v>6028868000</v>
      </c>
      <c r="AR30" s="7">
        <v>15816000</v>
      </c>
      <c r="AS30" s="7">
        <v>15816000</v>
      </c>
      <c r="AT30" s="7">
        <v>2673379000</v>
      </c>
      <c r="AU30" s="7">
        <v>3233937000</v>
      </c>
      <c r="AV30" s="7">
        <v>5335774000</v>
      </c>
      <c r="AW30" s="7">
        <v>5062119000</v>
      </c>
      <c r="AX30" s="7">
        <v>5038140000</v>
      </c>
      <c r="AY30" s="11"/>
      <c r="AZ30" s="11"/>
      <c r="BA30" s="11"/>
      <c r="BB30" s="11"/>
      <c r="BC30" s="11"/>
      <c r="BD30" s="7">
        <v>3402000</v>
      </c>
      <c r="BE30" s="7">
        <v>1892000</v>
      </c>
      <c r="BF30" s="7">
        <v>79059000</v>
      </c>
      <c r="BG30" s="7">
        <v>4015000</v>
      </c>
      <c r="BH30" s="7">
        <v>610000</v>
      </c>
      <c r="BI30" s="11"/>
      <c r="BJ30" s="11"/>
      <c r="BK30" s="11"/>
      <c r="BL30" s="11">
        <v>187000</v>
      </c>
      <c r="BM30" s="11">
        <v>143000</v>
      </c>
      <c r="BN30" s="11">
        <v>8834501000</v>
      </c>
      <c r="BO30" s="11">
        <v>9272043000</v>
      </c>
      <c r="BP30" s="11">
        <v>11529586000</v>
      </c>
      <c r="BQ30" s="11">
        <v>5090073000</v>
      </c>
      <c r="BR30" s="11">
        <v>5062645000</v>
      </c>
      <c r="BS30" s="11">
        <v>9785303000</v>
      </c>
      <c r="BT30" s="11">
        <v>10224302000</v>
      </c>
      <c r="BU30" s="11">
        <v>12539891000</v>
      </c>
      <c r="BV30" s="11">
        <v>5170881000</v>
      </c>
      <c r="BW30" s="11">
        <v>5147192000</v>
      </c>
      <c r="BX30" s="7">
        <v>200000</v>
      </c>
      <c r="BY30" s="7">
        <v>200000</v>
      </c>
      <c r="BZ30" s="7">
        <v>200000</v>
      </c>
      <c r="CA30" s="7">
        <v>200000</v>
      </c>
      <c r="CB30" s="7">
        <v>200000</v>
      </c>
      <c r="CC30" s="11"/>
      <c r="CD30" s="11"/>
      <c r="CE30" s="11"/>
      <c r="CF30" s="11"/>
      <c r="CG30" s="11"/>
      <c r="CH30" s="7">
        <v>1230753000</v>
      </c>
      <c r="CI30" s="7">
        <v>1428233000</v>
      </c>
      <c r="CJ30" s="7">
        <v>1636796000</v>
      </c>
      <c r="CK30" s="7">
        <v>-3501497000</v>
      </c>
      <c r="CL30" s="7">
        <v>-3518048000</v>
      </c>
      <c r="CM30" s="11">
        <v>1230953000</v>
      </c>
      <c r="CN30" s="11">
        <v>1428433000</v>
      </c>
      <c r="CO30" s="11">
        <v>1636996000</v>
      </c>
      <c r="CP30" s="11">
        <v>-3501297000</v>
      </c>
      <c r="CQ30" s="11">
        <v>-3517848000</v>
      </c>
      <c r="CR30" s="11">
        <v>3302000</v>
      </c>
      <c r="CS30" s="11">
        <v>1849000</v>
      </c>
      <c r="CT30" s="11">
        <v>1870000</v>
      </c>
      <c r="CU30" s="11">
        <v>4086864000</v>
      </c>
      <c r="CV30" s="11">
        <v>4086684000</v>
      </c>
      <c r="CW30" s="11"/>
      <c r="CX30" s="11"/>
      <c r="CY30" s="11"/>
      <c r="CZ30" s="11"/>
      <c r="DA30" s="11"/>
      <c r="DB30" s="11">
        <v>3302000</v>
      </c>
      <c r="DC30" s="11">
        <v>1849000</v>
      </c>
      <c r="DD30" s="11">
        <v>1870000</v>
      </c>
      <c r="DE30" s="11">
        <v>4086864000</v>
      </c>
      <c r="DF30" s="11">
        <v>4086684000</v>
      </c>
      <c r="DG30" s="7">
        <v>2774000000</v>
      </c>
      <c r="DH30" s="7">
        <v>3304063000</v>
      </c>
      <c r="DI30" s="7">
        <v>4452075000</v>
      </c>
      <c r="DJ30" s="7"/>
      <c r="DK30" s="7"/>
      <c r="DL30" s="7">
        <v>5777048000</v>
      </c>
      <c r="DM30" s="7">
        <v>5489957000</v>
      </c>
      <c r="DN30" s="7">
        <v>6448950000</v>
      </c>
      <c r="DO30" s="7">
        <v>4585314000</v>
      </c>
      <c r="DP30" s="7">
        <v>4578356000</v>
      </c>
      <c r="DQ30" s="11"/>
      <c r="DR30" s="11"/>
      <c r="DS30" s="11"/>
      <c r="DT30" s="11"/>
      <c r="DU30" s="11"/>
      <c r="DV30" s="11"/>
      <c r="DW30" s="11"/>
      <c r="DX30" s="11"/>
      <c r="DY30" s="11"/>
      <c r="DZ30" s="11"/>
      <c r="EA30" s="11">
        <v>8551048000</v>
      </c>
      <c r="EB30" s="11">
        <v>8794020000</v>
      </c>
      <c r="EC30" s="11">
        <v>10901025000</v>
      </c>
      <c r="ED30" s="11">
        <v>4585314000</v>
      </c>
      <c r="EE30" s="11">
        <v>4578356000</v>
      </c>
      <c r="EF30" s="7">
        <v>20322825000</v>
      </c>
      <c r="EG30" s="7">
        <v>17415422000</v>
      </c>
      <c r="EH30" s="7">
        <v>17414894000</v>
      </c>
      <c r="EI30" s="7">
        <v>7384425000</v>
      </c>
      <c r="EJ30" s="7">
        <v>242000</v>
      </c>
      <c r="EK30" s="7">
        <v>19891083000</v>
      </c>
      <c r="EL30" s="7">
        <v>16919131000</v>
      </c>
      <c r="EM30" s="7">
        <v>16655535000</v>
      </c>
      <c r="EN30" s="7">
        <v>7323049000</v>
      </c>
      <c r="EO30" s="7"/>
      <c r="EP30" s="7">
        <v>889453000</v>
      </c>
      <c r="EQ30" s="7">
        <v>794697000</v>
      </c>
      <c r="ER30" s="7">
        <v>776373000</v>
      </c>
      <c r="ES30" s="7">
        <v>558244000</v>
      </c>
      <c r="ET30" s="7">
        <v>20864000</v>
      </c>
      <c r="EU30" s="7"/>
      <c r="EV30" s="7"/>
      <c r="EW30" s="7"/>
      <c r="EX30" s="7"/>
      <c r="EY30" s="7"/>
      <c r="EZ30" s="11"/>
      <c r="FA30" s="11"/>
      <c r="FB30" s="11"/>
      <c r="FC30" s="11"/>
      <c r="FD30" s="11"/>
      <c r="FE30" s="11">
        <v>22173000</v>
      </c>
      <c r="FF30" s="11">
        <v>21191000</v>
      </c>
      <c r="FG30" s="11">
        <v>21936000</v>
      </c>
      <c r="FH30" s="11">
        <v>4791000</v>
      </c>
      <c r="FI30" s="11">
        <v>3739000</v>
      </c>
      <c r="FJ30" s="11">
        <v>237808000</v>
      </c>
      <c r="FK30" s="11">
        <v>277905000</v>
      </c>
      <c r="FL30" s="11">
        <v>539048000</v>
      </c>
      <c r="FM30" s="11">
        <v>269187000</v>
      </c>
      <c r="FN30" s="11"/>
      <c r="FO30" s="7">
        <v>1193766000</v>
      </c>
      <c r="FP30" s="7">
        <v>1166975000</v>
      </c>
      <c r="FQ30" s="7">
        <v>1028320000</v>
      </c>
      <c r="FR30" s="7">
        <v>507121000</v>
      </c>
      <c r="FS30" s="7">
        <v>1115000</v>
      </c>
      <c r="FT30" s="7">
        <v>268982000</v>
      </c>
      <c r="FU30" s="7">
        <v>360848000</v>
      </c>
      <c r="FV30" s="7">
        <v>245209000</v>
      </c>
      <c r="FW30" s="7">
        <v>729924000</v>
      </c>
      <c r="FX30" s="7">
        <v>781000</v>
      </c>
      <c r="FY30" s="11">
        <v>-65844000</v>
      </c>
      <c r="FZ30" s="11">
        <v>-53527000</v>
      </c>
      <c r="GA30" s="11">
        <v>-49999000</v>
      </c>
      <c r="GB30" s="11"/>
      <c r="GC30" s="11"/>
      <c r="GD30" s="7">
        <v>185594000</v>
      </c>
      <c r="GE30" s="7">
        <v>197480000</v>
      </c>
      <c r="GF30" s="7">
        <v>198986000</v>
      </c>
      <c r="GG30" s="7">
        <v>-5138293000</v>
      </c>
      <c r="GH30" s="7">
        <v>-16549000</v>
      </c>
    </row>
    <row r="31" spans="1:190" ht="26.25" x14ac:dyDescent="0.25">
      <c r="A31" s="4">
        <v>30</v>
      </c>
      <c r="B31" s="5" t="s">
        <v>267</v>
      </c>
      <c r="C31" s="9" t="s">
        <v>268</v>
      </c>
      <c r="D31" s="7">
        <v>6</v>
      </c>
      <c r="E31" s="6" t="s">
        <v>269</v>
      </c>
      <c r="F31" s="11">
        <v>72154</v>
      </c>
      <c r="G31" s="11"/>
      <c r="H31" s="11"/>
      <c r="I31" s="11"/>
      <c r="J31" s="11"/>
      <c r="K31" s="11">
        <v>2156725</v>
      </c>
      <c r="L31" s="11">
        <v>213320</v>
      </c>
      <c r="M31" s="11">
        <v>32994</v>
      </c>
      <c r="N31" s="11"/>
      <c r="O31" s="11"/>
      <c r="P31" s="7">
        <v>693000</v>
      </c>
      <c r="Q31" s="7">
        <v>296000</v>
      </c>
      <c r="R31" s="7"/>
      <c r="S31" s="7"/>
      <c r="T31" s="7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>
        <v>1433000</v>
      </c>
      <c r="AK31" s="11">
        <v>296000</v>
      </c>
      <c r="AL31" s="11"/>
      <c r="AM31" s="11"/>
      <c r="AN31" s="11"/>
      <c r="AO31" s="7">
        <v>327000</v>
      </c>
      <c r="AP31" s="7">
        <v>362000</v>
      </c>
      <c r="AQ31" s="7">
        <v>122000</v>
      </c>
      <c r="AR31" s="7">
        <v>122000</v>
      </c>
      <c r="AS31" s="7">
        <v>12000</v>
      </c>
      <c r="AT31" s="7">
        <v>7914000</v>
      </c>
      <c r="AU31" s="7">
        <v>10762000</v>
      </c>
      <c r="AV31" s="7">
        <v>7437000</v>
      </c>
      <c r="AW31" s="7">
        <v>7919000</v>
      </c>
      <c r="AX31" s="7">
        <v>4165000</v>
      </c>
      <c r="AY31" s="11"/>
      <c r="AZ31" s="11"/>
      <c r="BA31" s="11"/>
      <c r="BB31" s="11"/>
      <c r="BC31" s="11"/>
      <c r="BD31" s="7">
        <v>693000</v>
      </c>
      <c r="BE31" s="7">
        <v>315000</v>
      </c>
      <c r="BF31" s="7">
        <v>1649000</v>
      </c>
      <c r="BG31" s="7">
        <v>434000</v>
      </c>
      <c r="BH31" s="7">
        <v>48000</v>
      </c>
      <c r="BI31" s="11">
        <v>101000</v>
      </c>
      <c r="BJ31" s="11">
        <v>54000</v>
      </c>
      <c r="BK31" s="11"/>
      <c r="BL31" s="11"/>
      <c r="BM31" s="11"/>
      <c r="BN31" s="11">
        <v>9034000</v>
      </c>
      <c r="BO31" s="11">
        <v>11493000</v>
      </c>
      <c r="BP31" s="11">
        <v>9208000</v>
      </c>
      <c r="BQ31" s="11">
        <v>8475000</v>
      </c>
      <c r="BR31" s="11">
        <v>4225000</v>
      </c>
      <c r="BS31" s="11">
        <v>10467000</v>
      </c>
      <c r="BT31" s="11">
        <v>11789000</v>
      </c>
      <c r="BU31" s="11">
        <v>9208000</v>
      </c>
      <c r="BV31" s="11">
        <v>8475000</v>
      </c>
      <c r="BW31" s="11">
        <v>4225000</v>
      </c>
      <c r="BX31" s="7">
        <v>10000</v>
      </c>
      <c r="BY31" s="7">
        <v>10000</v>
      </c>
      <c r="BZ31" s="7">
        <v>10000</v>
      </c>
      <c r="CA31" s="7">
        <v>10000</v>
      </c>
      <c r="CB31" s="7">
        <v>10000</v>
      </c>
      <c r="CC31" s="11"/>
      <c r="CD31" s="11"/>
      <c r="CE31" s="11"/>
      <c r="CF31" s="11"/>
      <c r="CG31" s="11"/>
      <c r="CH31" s="7">
        <v>-2958000</v>
      </c>
      <c r="CI31" s="7">
        <v>-7802000</v>
      </c>
      <c r="CJ31" s="7">
        <v>-8074000</v>
      </c>
      <c r="CK31" s="7">
        <v>-10126000</v>
      </c>
      <c r="CL31" s="7">
        <v>-14376000</v>
      </c>
      <c r="CM31" s="11">
        <v>-2948000</v>
      </c>
      <c r="CN31" s="11">
        <v>-7792000</v>
      </c>
      <c r="CO31" s="11">
        <v>-8064000</v>
      </c>
      <c r="CP31" s="11">
        <v>-10116000</v>
      </c>
      <c r="CQ31" s="11">
        <v>-14366000</v>
      </c>
      <c r="CR31" s="11"/>
      <c r="CS31" s="11"/>
      <c r="CT31" s="11"/>
      <c r="CU31" s="11"/>
      <c r="CV31" s="11"/>
      <c r="CW31" s="11">
        <v>535000</v>
      </c>
      <c r="CX31" s="11">
        <v>258000</v>
      </c>
      <c r="CY31" s="11"/>
      <c r="CZ31" s="11"/>
      <c r="DA31" s="11"/>
      <c r="DB31" s="11">
        <v>535000</v>
      </c>
      <c r="DC31" s="11">
        <v>258000</v>
      </c>
      <c r="DD31" s="11"/>
      <c r="DE31" s="11"/>
      <c r="DF31" s="11"/>
      <c r="DG31" s="7"/>
      <c r="DH31" s="7"/>
      <c r="DI31" s="7"/>
      <c r="DJ31" s="7"/>
      <c r="DK31" s="7"/>
      <c r="DL31" s="7">
        <v>12467000</v>
      </c>
      <c r="DM31" s="7">
        <v>19187000</v>
      </c>
      <c r="DN31" s="7">
        <v>17272000</v>
      </c>
      <c r="DO31" s="7">
        <v>18591000</v>
      </c>
      <c r="DP31" s="7">
        <v>18591000</v>
      </c>
      <c r="DQ31" s="11"/>
      <c r="DR31" s="11"/>
      <c r="DS31" s="11"/>
      <c r="DT31" s="11"/>
      <c r="DU31" s="11"/>
      <c r="DV31" s="11"/>
      <c r="DW31" s="11">
        <v>136000</v>
      </c>
      <c r="DX31" s="11"/>
      <c r="DY31" s="11"/>
      <c r="DZ31" s="11"/>
      <c r="EA31" s="11">
        <v>12879000</v>
      </c>
      <c r="EB31" s="11">
        <v>19323000</v>
      </c>
      <c r="EC31" s="11">
        <v>17272000</v>
      </c>
      <c r="ED31" s="11">
        <v>18591000</v>
      </c>
      <c r="EE31" s="11">
        <v>18591000</v>
      </c>
      <c r="EF31" s="7">
        <v>41701000</v>
      </c>
      <c r="EG31" s="7">
        <v>21913000</v>
      </c>
      <c r="EH31" s="7">
        <v>6326000</v>
      </c>
      <c r="EI31" s="7"/>
      <c r="EJ31" s="7"/>
      <c r="EK31" s="7">
        <v>43102000</v>
      </c>
      <c r="EL31" s="7">
        <v>26708000</v>
      </c>
      <c r="EM31" s="7">
        <v>6481000</v>
      </c>
      <c r="EN31" s="7"/>
      <c r="EO31" s="7"/>
      <c r="EP31" s="7"/>
      <c r="EQ31" s="7"/>
      <c r="ER31" s="7"/>
      <c r="ES31" s="7"/>
      <c r="ET31" s="7"/>
      <c r="EU31" s="7"/>
      <c r="EV31" s="7">
        <v>438000</v>
      </c>
      <c r="EW31" s="7">
        <v>524000</v>
      </c>
      <c r="EX31" s="7">
        <v>533000</v>
      </c>
      <c r="EY31" s="7"/>
      <c r="EZ31" s="11"/>
      <c r="FA31" s="11"/>
      <c r="FB31" s="11"/>
      <c r="FC31" s="11"/>
      <c r="FD31" s="11"/>
      <c r="FE31" s="11"/>
      <c r="FF31" s="11"/>
      <c r="FG31" s="11"/>
      <c r="FH31" s="11"/>
      <c r="FI31" s="11"/>
      <c r="FJ31" s="11"/>
      <c r="FK31" s="11"/>
      <c r="FL31" s="11"/>
      <c r="FM31" s="11"/>
      <c r="FN31" s="11"/>
      <c r="FO31" s="7">
        <v>335000</v>
      </c>
      <c r="FP31" s="7">
        <v>369000</v>
      </c>
      <c r="FQ31" s="7">
        <v>482000</v>
      </c>
      <c r="FR31" s="7">
        <v>507000</v>
      </c>
      <c r="FS31" s="7">
        <v>2777000</v>
      </c>
      <c r="FT31" s="7">
        <v>137000</v>
      </c>
      <c r="FU31" s="7">
        <v>195000</v>
      </c>
      <c r="FV31" s="7">
        <v>75000</v>
      </c>
      <c r="FW31" s="7"/>
      <c r="FX31" s="7">
        <v>7027000</v>
      </c>
      <c r="FY31" s="11">
        <v>-258000</v>
      </c>
      <c r="FZ31" s="11"/>
      <c r="GA31" s="11"/>
      <c r="GB31" s="11"/>
      <c r="GC31" s="11"/>
      <c r="GD31" s="7">
        <v>-962000</v>
      </c>
      <c r="GE31" s="7">
        <v>-4844000</v>
      </c>
      <c r="GF31" s="7">
        <v>-272000</v>
      </c>
      <c r="GG31" s="7">
        <v>-26000</v>
      </c>
      <c r="GH31" s="7">
        <v>-4250000</v>
      </c>
    </row>
    <row r="32" spans="1:190" x14ac:dyDescent="0.25">
      <c r="A32" s="4">
        <v>31</v>
      </c>
      <c r="B32" s="5" t="s">
        <v>270</v>
      </c>
      <c r="C32" s="9" t="s">
        <v>271</v>
      </c>
      <c r="D32" s="7">
        <v>19</v>
      </c>
      <c r="E32" s="6" t="s">
        <v>233</v>
      </c>
      <c r="F32" s="11"/>
      <c r="G32" s="11"/>
      <c r="H32" s="11">
        <v>82829</v>
      </c>
      <c r="I32" s="11"/>
      <c r="J32" s="11">
        <v>29502</v>
      </c>
      <c r="K32" s="11">
        <v>1376647</v>
      </c>
      <c r="L32" s="11">
        <v>195199</v>
      </c>
      <c r="M32" s="11">
        <v>1072090</v>
      </c>
      <c r="N32" s="11">
        <v>196029</v>
      </c>
      <c r="O32" s="11"/>
      <c r="P32" s="7">
        <v>42270000</v>
      </c>
      <c r="Q32" s="7">
        <v>36546000</v>
      </c>
      <c r="R32" s="7">
        <v>81670000</v>
      </c>
      <c r="S32" s="7">
        <v>39714000</v>
      </c>
      <c r="T32" s="7">
        <v>38376000</v>
      </c>
      <c r="U32" s="11"/>
      <c r="V32" s="11"/>
      <c r="W32" s="11"/>
      <c r="X32" s="11"/>
      <c r="Y32" s="11"/>
      <c r="Z32" s="11">
        <v>33000</v>
      </c>
      <c r="AA32" s="11"/>
      <c r="AB32" s="11"/>
      <c r="AC32" s="11"/>
      <c r="AD32" s="11"/>
      <c r="AE32" s="11"/>
      <c r="AF32" s="11"/>
      <c r="AG32" s="11"/>
      <c r="AH32" s="11"/>
      <c r="AI32" s="11"/>
      <c r="AJ32" s="11">
        <v>42303000</v>
      </c>
      <c r="AK32" s="11">
        <v>36546000</v>
      </c>
      <c r="AL32" s="11">
        <v>81670000</v>
      </c>
      <c r="AM32" s="11">
        <v>39714000</v>
      </c>
      <c r="AN32" s="11">
        <v>38376000</v>
      </c>
      <c r="AO32" s="7">
        <v>47024000</v>
      </c>
      <c r="AP32" s="7">
        <v>22054000</v>
      </c>
      <c r="AQ32" s="7">
        <v>940000</v>
      </c>
      <c r="AR32" s="7">
        <v>3624000</v>
      </c>
      <c r="AS32" s="7">
        <v>3624000</v>
      </c>
      <c r="AT32" s="7">
        <v>138488000</v>
      </c>
      <c r="AU32" s="7">
        <v>142099000</v>
      </c>
      <c r="AV32" s="7"/>
      <c r="AW32" s="7">
        <v>115116000</v>
      </c>
      <c r="AX32" s="7">
        <v>115116000</v>
      </c>
      <c r="AY32" s="11">
        <v>23130000</v>
      </c>
      <c r="AZ32" s="11">
        <v>23257000</v>
      </c>
      <c r="BA32" s="11"/>
      <c r="BB32" s="11"/>
      <c r="BC32" s="11"/>
      <c r="BD32" s="7">
        <v>4000</v>
      </c>
      <c r="BE32" s="7">
        <v>517000</v>
      </c>
      <c r="BF32" s="7">
        <v>841000</v>
      </c>
      <c r="BG32" s="7">
        <v>87000</v>
      </c>
      <c r="BH32" s="7"/>
      <c r="BI32" s="11">
        <v>15000</v>
      </c>
      <c r="BJ32" s="11">
        <v>32000</v>
      </c>
      <c r="BK32" s="11"/>
      <c r="BL32" s="11"/>
      <c r="BM32" s="11"/>
      <c r="BN32" s="11">
        <v>208887000</v>
      </c>
      <c r="BO32" s="11">
        <v>187960000</v>
      </c>
      <c r="BP32" s="11">
        <v>1781000</v>
      </c>
      <c r="BQ32" s="11">
        <v>118827000</v>
      </c>
      <c r="BR32" s="11">
        <v>118740000</v>
      </c>
      <c r="BS32" s="11">
        <v>251190000</v>
      </c>
      <c r="BT32" s="11">
        <v>224505000</v>
      </c>
      <c r="BU32" s="11">
        <v>83451000</v>
      </c>
      <c r="BV32" s="11">
        <v>158541000</v>
      </c>
      <c r="BW32" s="11">
        <v>157116000</v>
      </c>
      <c r="BX32" s="7">
        <v>18460000</v>
      </c>
      <c r="BY32" s="7">
        <v>18460000</v>
      </c>
      <c r="BZ32" s="7">
        <v>18460000</v>
      </c>
      <c r="CA32" s="7"/>
      <c r="CB32" s="7"/>
      <c r="CC32" s="11"/>
      <c r="CD32" s="11"/>
      <c r="CE32" s="11"/>
      <c r="CF32" s="11"/>
      <c r="CG32" s="11"/>
      <c r="CH32" s="7">
        <v>87764000</v>
      </c>
      <c r="CI32" s="7">
        <v>65475000</v>
      </c>
      <c r="CJ32" s="7">
        <v>-251841000</v>
      </c>
      <c r="CK32" s="7"/>
      <c r="CL32" s="7"/>
      <c r="CM32" s="11">
        <v>106224000</v>
      </c>
      <c r="CN32" s="11">
        <v>83935000</v>
      </c>
      <c r="CO32" s="11">
        <v>-233381000</v>
      </c>
      <c r="CP32" s="11">
        <v>-158290000</v>
      </c>
      <c r="CQ32" s="11">
        <v>-158172000</v>
      </c>
      <c r="CR32" s="11">
        <v>1000</v>
      </c>
      <c r="CS32" s="11">
        <v>1000</v>
      </c>
      <c r="CT32" s="11"/>
      <c r="CU32" s="11"/>
      <c r="CV32" s="11"/>
      <c r="CW32" s="11"/>
      <c r="CX32" s="11"/>
      <c r="CY32" s="11"/>
      <c r="CZ32" s="11"/>
      <c r="DA32" s="11"/>
      <c r="DB32" s="11">
        <v>1000</v>
      </c>
      <c r="DC32" s="11">
        <v>1000</v>
      </c>
      <c r="DD32" s="11"/>
      <c r="DE32" s="11"/>
      <c r="DF32" s="11"/>
      <c r="DG32" s="7">
        <v>33765000</v>
      </c>
      <c r="DH32" s="7">
        <v>34274000</v>
      </c>
      <c r="DI32" s="7"/>
      <c r="DJ32" s="7"/>
      <c r="DK32" s="7"/>
      <c r="DL32" s="7">
        <v>111199000</v>
      </c>
      <c r="DM32" s="7">
        <v>106295000</v>
      </c>
      <c r="DN32" s="7">
        <v>316749000</v>
      </c>
      <c r="DO32" s="7">
        <v>316749000</v>
      </c>
      <c r="DP32" s="7">
        <v>315206000</v>
      </c>
      <c r="DQ32" s="11"/>
      <c r="DR32" s="11"/>
      <c r="DS32" s="11"/>
      <c r="DT32" s="11"/>
      <c r="DU32" s="11"/>
      <c r="DV32" s="11"/>
      <c r="DW32" s="11"/>
      <c r="DX32" s="11">
        <v>83000</v>
      </c>
      <c r="DY32" s="11">
        <v>82000</v>
      </c>
      <c r="DZ32" s="11">
        <v>82000</v>
      </c>
      <c r="EA32" s="11">
        <v>144964000</v>
      </c>
      <c r="EB32" s="11">
        <v>140569000</v>
      </c>
      <c r="EC32" s="11">
        <v>316832000</v>
      </c>
      <c r="ED32" s="11">
        <v>316831000</v>
      </c>
      <c r="EE32" s="11">
        <v>315288000</v>
      </c>
      <c r="EF32" s="7">
        <v>58846000</v>
      </c>
      <c r="EG32" s="7">
        <v>66305000</v>
      </c>
      <c r="EH32" s="7">
        <v>28485000</v>
      </c>
      <c r="EI32" s="7">
        <v>1200000</v>
      </c>
      <c r="EJ32" s="7">
        <v>1338000</v>
      </c>
      <c r="EK32" s="7">
        <v>62781000</v>
      </c>
      <c r="EL32" s="7">
        <v>79636000</v>
      </c>
      <c r="EM32" s="7">
        <v>20653000</v>
      </c>
      <c r="EN32" s="7"/>
      <c r="EO32" s="7"/>
      <c r="EP32" s="7"/>
      <c r="EQ32" s="7"/>
      <c r="ER32" s="7"/>
      <c r="ES32" s="7"/>
      <c r="ET32" s="7"/>
      <c r="EU32" s="7"/>
      <c r="EV32" s="7">
        <v>4780000</v>
      </c>
      <c r="EW32" s="7">
        <v>9134000</v>
      </c>
      <c r="EX32" s="7"/>
      <c r="EY32" s="7"/>
      <c r="EZ32" s="11"/>
      <c r="FA32" s="11"/>
      <c r="FB32" s="11"/>
      <c r="FC32" s="11"/>
      <c r="FD32" s="11"/>
      <c r="FE32" s="11"/>
      <c r="FF32" s="11"/>
      <c r="FG32" s="11"/>
      <c r="FH32" s="11"/>
      <c r="FI32" s="11"/>
      <c r="FJ32" s="11">
        <v>859000</v>
      </c>
      <c r="FK32" s="11">
        <v>1326000</v>
      </c>
      <c r="FL32" s="11"/>
      <c r="FM32" s="11"/>
      <c r="FN32" s="11"/>
      <c r="FO32" s="7">
        <v>7879000</v>
      </c>
      <c r="FP32" s="7">
        <v>8912000</v>
      </c>
      <c r="FQ32" s="7">
        <v>2014000</v>
      </c>
      <c r="FR32" s="7"/>
      <c r="FS32" s="7"/>
      <c r="FT32" s="7">
        <v>10132000</v>
      </c>
      <c r="FU32" s="7">
        <v>11753000</v>
      </c>
      <c r="FV32" s="7">
        <v>2316000</v>
      </c>
      <c r="FW32" s="7">
        <v>1844000</v>
      </c>
      <c r="FX32" s="7">
        <v>1190000</v>
      </c>
      <c r="FY32" s="11"/>
      <c r="FZ32" s="11"/>
      <c r="GA32" s="11">
        <v>-83000</v>
      </c>
      <c r="GB32" s="11"/>
      <c r="GC32" s="11">
        <v>30000</v>
      </c>
      <c r="GD32" s="7">
        <v>-7047000</v>
      </c>
      <c r="GE32" s="7">
        <v>-22278000</v>
      </c>
      <c r="GF32" s="7">
        <v>-1687000</v>
      </c>
      <c r="GG32" s="7">
        <v>-644000</v>
      </c>
      <c r="GH32" s="7">
        <v>118000</v>
      </c>
    </row>
    <row r="33" spans="1:190" ht="26.25" x14ac:dyDescent="0.25">
      <c r="A33" s="4">
        <v>32</v>
      </c>
      <c r="B33" s="5" t="s">
        <v>272</v>
      </c>
      <c r="C33" s="9" t="s">
        <v>273</v>
      </c>
      <c r="D33" s="7">
        <v>31</v>
      </c>
      <c r="E33" s="6" t="s">
        <v>274</v>
      </c>
      <c r="F33" s="11"/>
      <c r="G33" s="11"/>
      <c r="H33" s="11"/>
      <c r="I33" s="11">
        <v>3010667</v>
      </c>
      <c r="J33" s="11">
        <v>70053348</v>
      </c>
      <c r="K33" s="11"/>
      <c r="L33" s="11"/>
      <c r="M33" s="11"/>
      <c r="N33" s="11">
        <v>34896060</v>
      </c>
      <c r="O33" s="11">
        <v>2141707</v>
      </c>
      <c r="P33" s="7">
        <v>486406000</v>
      </c>
      <c r="Q33" s="7">
        <v>452039000</v>
      </c>
      <c r="R33" s="7">
        <v>419622000</v>
      </c>
      <c r="S33" s="7">
        <v>10641000</v>
      </c>
      <c r="T33" s="7">
        <v>6033000</v>
      </c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>
        <v>558509000</v>
      </c>
      <c r="AK33" s="11">
        <v>524142000</v>
      </c>
      <c r="AL33" s="11">
        <v>419622000</v>
      </c>
      <c r="AM33" s="11">
        <v>10641000</v>
      </c>
      <c r="AN33" s="11">
        <v>6033000</v>
      </c>
      <c r="AO33" s="7">
        <v>45067000</v>
      </c>
      <c r="AP33" s="7">
        <v>1986000</v>
      </c>
      <c r="AQ33" s="7">
        <v>1857000</v>
      </c>
      <c r="AR33" s="7"/>
      <c r="AS33" s="7"/>
      <c r="AT33" s="7">
        <v>92211000</v>
      </c>
      <c r="AU33" s="7">
        <v>82000000</v>
      </c>
      <c r="AV33" s="7">
        <v>18678000</v>
      </c>
      <c r="AW33" s="7">
        <v>1157000</v>
      </c>
      <c r="AX33" s="7">
        <v>6088000</v>
      </c>
      <c r="AY33" s="11"/>
      <c r="AZ33" s="11"/>
      <c r="BA33" s="11"/>
      <c r="BB33" s="11"/>
      <c r="BC33" s="11"/>
      <c r="BD33" s="7">
        <v>1843000</v>
      </c>
      <c r="BE33" s="7">
        <v>161000</v>
      </c>
      <c r="BF33" s="7"/>
      <c r="BG33" s="7">
        <v>152000</v>
      </c>
      <c r="BH33" s="7">
        <v>4071000</v>
      </c>
      <c r="BI33" s="11">
        <v>111132000</v>
      </c>
      <c r="BJ33" s="11">
        <v>116988000</v>
      </c>
      <c r="BK33" s="11"/>
      <c r="BL33" s="11">
        <v>313810000</v>
      </c>
      <c r="BM33" s="11">
        <v>26264000</v>
      </c>
      <c r="BN33" s="11">
        <v>250253000</v>
      </c>
      <c r="BO33" s="11">
        <v>201135000</v>
      </c>
      <c r="BP33" s="11">
        <v>20535000</v>
      </c>
      <c r="BQ33" s="11">
        <v>315119000</v>
      </c>
      <c r="BR33" s="11">
        <v>36423000</v>
      </c>
      <c r="BS33" s="11">
        <v>808762000</v>
      </c>
      <c r="BT33" s="11">
        <v>725277000</v>
      </c>
      <c r="BU33" s="11">
        <v>440157000</v>
      </c>
      <c r="BV33" s="11">
        <v>325760000</v>
      </c>
      <c r="BW33" s="11">
        <v>42456000</v>
      </c>
      <c r="BX33" s="7">
        <v>1214571000</v>
      </c>
      <c r="BY33" s="7">
        <v>1214571000</v>
      </c>
      <c r="BZ33" s="7">
        <v>1214571000</v>
      </c>
      <c r="CA33" s="7">
        <v>1214571000</v>
      </c>
      <c r="CB33" s="7">
        <v>1214571000</v>
      </c>
      <c r="CC33" s="11"/>
      <c r="CD33" s="11"/>
      <c r="CE33" s="11"/>
      <c r="CF33" s="11"/>
      <c r="CG33" s="11"/>
      <c r="CH33" s="7">
        <v>-1819547000</v>
      </c>
      <c r="CI33" s="7">
        <v>-1817304000</v>
      </c>
      <c r="CJ33" s="7">
        <v>-1816019000</v>
      </c>
      <c r="CK33" s="7">
        <v>-1752629000</v>
      </c>
      <c r="CL33" s="7">
        <v>-1783438000</v>
      </c>
      <c r="CM33" s="11">
        <v>-601939000</v>
      </c>
      <c r="CN33" s="11">
        <v>-599696000</v>
      </c>
      <c r="CO33" s="11">
        <v>-598411000</v>
      </c>
      <c r="CP33" s="11">
        <v>-535021000</v>
      </c>
      <c r="CQ33" s="11">
        <v>-565830000</v>
      </c>
      <c r="CR33" s="11">
        <v>171000</v>
      </c>
      <c r="CS33" s="11">
        <v>171000</v>
      </c>
      <c r="CT33" s="11">
        <v>273330000</v>
      </c>
      <c r="CU33" s="11">
        <v>309630000</v>
      </c>
      <c r="CV33" s="11">
        <v>277487000</v>
      </c>
      <c r="CW33" s="11"/>
      <c r="CX33" s="11"/>
      <c r="CY33" s="11"/>
      <c r="CZ33" s="11"/>
      <c r="DA33" s="11"/>
      <c r="DB33" s="11">
        <v>288000</v>
      </c>
      <c r="DC33" s="11">
        <v>288000</v>
      </c>
      <c r="DD33" s="11">
        <v>273447000</v>
      </c>
      <c r="DE33" s="11">
        <v>309630000</v>
      </c>
      <c r="DF33" s="11">
        <v>277487000</v>
      </c>
      <c r="DG33" s="7">
        <v>273158000</v>
      </c>
      <c r="DH33" s="7">
        <v>273158000</v>
      </c>
      <c r="DI33" s="7"/>
      <c r="DJ33" s="7"/>
      <c r="DK33" s="7"/>
      <c r="DL33" s="7">
        <v>1136958000</v>
      </c>
      <c r="DM33" s="7">
        <v>1051230000</v>
      </c>
      <c r="DN33" s="7">
        <v>763945000</v>
      </c>
      <c r="DO33" s="7">
        <v>547255000</v>
      </c>
      <c r="DP33" s="7">
        <v>326462000</v>
      </c>
      <c r="DQ33" s="11">
        <v>11000</v>
      </c>
      <c r="DR33" s="11">
        <v>11000</v>
      </c>
      <c r="DS33" s="11"/>
      <c r="DT33" s="11"/>
      <c r="DU33" s="11"/>
      <c r="DV33" s="11"/>
      <c r="DW33" s="11"/>
      <c r="DX33" s="11"/>
      <c r="DY33" s="11"/>
      <c r="DZ33" s="11"/>
      <c r="EA33" s="11">
        <v>1410413000</v>
      </c>
      <c r="EB33" s="11">
        <v>1324685000</v>
      </c>
      <c r="EC33" s="11">
        <v>765121000</v>
      </c>
      <c r="ED33" s="11">
        <v>551151000</v>
      </c>
      <c r="EE33" s="11">
        <v>330799000</v>
      </c>
      <c r="EF33" s="7">
        <v>167000</v>
      </c>
      <c r="EG33" s="7">
        <v>28080000</v>
      </c>
      <c r="EH33" s="7">
        <v>16390000</v>
      </c>
      <c r="EI33" s="7">
        <v>15261000</v>
      </c>
      <c r="EJ33" s="7">
        <v>10909000</v>
      </c>
      <c r="EK33" s="7"/>
      <c r="EL33" s="7">
        <v>36527000</v>
      </c>
      <c r="EM33" s="7"/>
      <c r="EN33" s="7"/>
      <c r="EO33" s="7"/>
      <c r="EP33" s="7"/>
      <c r="EQ33" s="7"/>
      <c r="ER33" s="7"/>
      <c r="ES33" s="7"/>
      <c r="ET33" s="7"/>
      <c r="EU33" s="7">
        <v>83644000</v>
      </c>
      <c r="EV33" s="7">
        <v>73851000</v>
      </c>
      <c r="EW33" s="7">
        <v>51431000</v>
      </c>
      <c r="EX33" s="7">
        <v>35416000</v>
      </c>
      <c r="EY33" s="7">
        <v>26182000</v>
      </c>
      <c r="EZ33" s="11"/>
      <c r="FA33" s="11"/>
      <c r="FB33" s="11"/>
      <c r="FC33" s="11"/>
      <c r="FD33" s="11"/>
      <c r="FE33" s="11">
        <v>38000</v>
      </c>
      <c r="FF33" s="11"/>
      <c r="FG33" s="11"/>
      <c r="FH33" s="11"/>
      <c r="FI33" s="11"/>
      <c r="FJ33" s="11"/>
      <c r="FK33" s="11"/>
      <c r="FL33" s="11"/>
      <c r="FM33" s="11"/>
      <c r="FN33" s="11"/>
      <c r="FO33" s="7">
        <v>57557000</v>
      </c>
      <c r="FP33" s="7">
        <v>105466000</v>
      </c>
      <c r="FQ33" s="7">
        <v>376846000</v>
      </c>
      <c r="FR33" s="7">
        <v>304201000</v>
      </c>
      <c r="FS33" s="7">
        <v>87249000</v>
      </c>
      <c r="FT33" s="7">
        <v>39796000</v>
      </c>
      <c r="FU33" s="7">
        <v>20364000</v>
      </c>
      <c r="FV33" s="7">
        <v>340241000</v>
      </c>
      <c r="FW33" s="7">
        <v>100130000</v>
      </c>
      <c r="FX33" s="7">
        <v>25609000</v>
      </c>
      <c r="FY33" s="11"/>
      <c r="FZ33" s="11">
        <v>-561000</v>
      </c>
      <c r="GA33" s="11"/>
      <c r="GB33" s="11">
        <v>-43612000</v>
      </c>
      <c r="GC33" s="11">
        <v>-10742000</v>
      </c>
      <c r="GD33" s="7">
        <v>-108176000</v>
      </c>
      <c r="GE33" s="7">
        <v>2243000</v>
      </c>
      <c r="GF33" s="7">
        <v>1285000</v>
      </c>
      <c r="GG33" s="7">
        <v>140304000</v>
      </c>
      <c r="GH33" s="7">
        <v>35625000</v>
      </c>
    </row>
    <row r="34" spans="1:190" ht="26.25" x14ac:dyDescent="0.25">
      <c r="A34" s="4">
        <v>33</v>
      </c>
      <c r="B34" s="5" t="s">
        <v>275</v>
      </c>
      <c r="C34" s="9" t="s">
        <v>276</v>
      </c>
      <c r="D34" s="7">
        <v>20</v>
      </c>
      <c r="E34" s="6" t="s">
        <v>277</v>
      </c>
      <c r="F34" s="11"/>
      <c r="G34" s="11"/>
      <c r="H34" s="11"/>
      <c r="I34" s="11"/>
      <c r="J34" s="11"/>
      <c r="K34" s="11">
        <v>652000</v>
      </c>
      <c r="L34" s="11">
        <v>722855</v>
      </c>
      <c r="M34" s="11">
        <v>1334921</v>
      </c>
      <c r="N34" s="11">
        <v>165861</v>
      </c>
      <c r="O34" s="11">
        <v>397232</v>
      </c>
      <c r="P34" s="7"/>
      <c r="Q34" s="7"/>
      <c r="R34" s="7"/>
      <c r="S34" s="7"/>
      <c r="T34" s="7"/>
      <c r="U34" s="11"/>
      <c r="V34" s="11"/>
      <c r="W34" s="11"/>
      <c r="X34" s="11"/>
      <c r="Y34" s="11"/>
      <c r="Z34" s="11">
        <v>159856000</v>
      </c>
      <c r="AA34" s="11">
        <v>155855000</v>
      </c>
      <c r="AB34" s="11">
        <v>155855000</v>
      </c>
      <c r="AC34" s="11"/>
      <c r="AD34" s="11"/>
      <c r="AE34" s="11"/>
      <c r="AF34" s="11"/>
      <c r="AG34" s="11">
        <v>79000</v>
      </c>
      <c r="AH34" s="11">
        <v>71000</v>
      </c>
      <c r="AI34" s="11">
        <v>65000</v>
      </c>
      <c r="AJ34" s="11">
        <v>159883000</v>
      </c>
      <c r="AK34" s="11">
        <v>155861000</v>
      </c>
      <c r="AL34" s="11">
        <v>156517000</v>
      </c>
      <c r="AM34" s="11">
        <v>3535000</v>
      </c>
      <c r="AN34" s="11">
        <v>7059000</v>
      </c>
      <c r="AO34" s="7"/>
      <c r="AP34" s="7"/>
      <c r="AQ34" s="7"/>
      <c r="AR34" s="7"/>
      <c r="AS34" s="7"/>
      <c r="AT34" s="7">
        <v>1030190000</v>
      </c>
      <c r="AU34" s="7">
        <v>2403716000</v>
      </c>
      <c r="AV34" s="7">
        <v>2536844000</v>
      </c>
      <c r="AW34" s="7">
        <v>1557753000</v>
      </c>
      <c r="AX34" s="7">
        <v>1557972000</v>
      </c>
      <c r="AY34" s="11"/>
      <c r="AZ34" s="11"/>
      <c r="BA34" s="11"/>
      <c r="BB34" s="11"/>
      <c r="BC34" s="11"/>
      <c r="BD34" s="7">
        <v>11692000</v>
      </c>
      <c r="BE34" s="7">
        <v>2784000</v>
      </c>
      <c r="BF34" s="7">
        <v>44000</v>
      </c>
      <c r="BG34" s="7">
        <v>4000</v>
      </c>
      <c r="BH34" s="7">
        <v>334000</v>
      </c>
      <c r="BI34" s="11"/>
      <c r="BJ34" s="11"/>
      <c r="BK34" s="11"/>
      <c r="BL34" s="11">
        <v>3000</v>
      </c>
      <c r="BM34" s="11"/>
      <c r="BN34" s="11">
        <v>1041882000</v>
      </c>
      <c r="BO34" s="11">
        <v>2406500000</v>
      </c>
      <c r="BP34" s="11">
        <v>2536888000</v>
      </c>
      <c r="BQ34" s="11">
        <v>1557760000</v>
      </c>
      <c r="BR34" s="11">
        <v>1558350000</v>
      </c>
      <c r="BS34" s="11">
        <v>1201765000</v>
      </c>
      <c r="BT34" s="11">
        <v>2562361000</v>
      </c>
      <c r="BU34" s="11">
        <v>2693405000</v>
      </c>
      <c r="BV34" s="11">
        <v>1561295000</v>
      </c>
      <c r="BW34" s="11">
        <v>1565409000</v>
      </c>
      <c r="BX34" s="7">
        <v>1105000000</v>
      </c>
      <c r="BY34" s="7">
        <v>1105000000</v>
      </c>
      <c r="BZ34" s="7">
        <v>1105000000</v>
      </c>
      <c r="CA34" s="7">
        <v>1105000000</v>
      </c>
      <c r="CB34" s="7">
        <v>1105000000</v>
      </c>
      <c r="CC34" s="11"/>
      <c r="CD34" s="11"/>
      <c r="CE34" s="11"/>
      <c r="CF34" s="11"/>
      <c r="CG34" s="11"/>
      <c r="CH34" s="7">
        <v>-493911000</v>
      </c>
      <c r="CI34" s="7">
        <v>-504832000</v>
      </c>
      <c r="CJ34" s="7">
        <v>-507192000</v>
      </c>
      <c r="CK34" s="7">
        <v>-3564012000</v>
      </c>
      <c r="CL34" s="7">
        <v>-1094041000</v>
      </c>
      <c r="CM34" s="11">
        <v>611089000</v>
      </c>
      <c r="CN34" s="11">
        <v>600168000</v>
      </c>
      <c r="CO34" s="11">
        <v>597808000</v>
      </c>
      <c r="CP34" s="11">
        <v>-2459012000</v>
      </c>
      <c r="CQ34" s="11">
        <v>10959000</v>
      </c>
      <c r="CR34" s="11"/>
      <c r="CS34" s="11"/>
      <c r="CT34" s="11">
        <v>2622000</v>
      </c>
      <c r="CU34" s="11">
        <v>8381000</v>
      </c>
      <c r="CV34" s="11">
        <v>10307000</v>
      </c>
      <c r="CW34" s="11"/>
      <c r="CX34" s="11"/>
      <c r="CY34" s="11"/>
      <c r="CZ34" s="11"/>
      <c r="DA34" s="11"/>
      <c r="DB34" s="11"/>
      <c r="DC34" s="11"/>
      <c r="DD34" s="11">
        <v>2622000</v>
      </c>
      <c r="DE34" s="11">
        <v>8497000</v>
      </c>
      <c r="DF34" s="11">
        <v>10528000</v>
      </c>
      <c r="DG34" s="7"/>
      <c r="DH34" s="7"/>
      <c r="DI34" s="7"/>
      <c r="DJ34" s="7">
        <v>7278000</v>
      </c>
      <c r="DK34" s="7">
        <v>205940000</v>
      </c>
      <c r="DL34" s="7">
        <v>590676000</v>
      </c>
      <c r="DM34" s="7">
        <v>1962193000</v>
      </c>
      <c r="DN34" s="7">
        <v>2092975000</v>
      </c>
      <c r="DO34" s="7">
        <v>4004532000</v>
      </c>
      <c r="DP34" s="7">
        <v>1337982000</v>
      </c>
      <c r="DQ34" s="11"/>
      <c r="DR34" s="11"/>
      <c r="DS34" s="11"/>
      <c r="DT34" s="11"/>
      <c r="DU34" s="11"/>
      <c r="DV34" s="11"/>
      <c r="DW34" s="11"/>
      <c r="DX34" s="11"/>
      <c r="DY34" s="11"/>
      <c r="DZ34" s="11"/>
      <c r="EA34" s="11">
        <v>590676000</v>
      </c>
      <c r="EB34" s="11">
        <v>1962193000</v>
      </c>
      <c r="EC34" s="11">
        <v>2092975000</v>
      </c>
      <c r="ED34" s="11">
        <v>4011810000</v>
      </c>
      <c r="EE34" s="11">
        <v>1543922000</v>
      </c>
      <c r="EF34" s="7">
        <v>4149000</v>
      </c>
      <c r="EG34" s="7">
        <v>3297000</v>
      </c>
      <c r="EH34" s="7">
        <v>2731000</v>
      </c>
      <c r="EI34" s="7">
        <v>2804000</v>
      </c>
      <c r="EJ34" s="7">
        <v>2042000</v>
      </c>
      <c r="EK34" s="7">
        <v>16493000</v>
      </c>
      <c r="EL34" s="7">
        <v>14374000</v>
      </c>
      <c r="EM34" s="7">
        <v>10429000</v>
      </c>
      <c r="EN34" s="7">
        <v>16013000</v>
      </c>
      <c r="EO34" s="7"/>
      <c r="EP34" s="7"/>
      <c r="EQ34" s="7"/>
      <c r="ER34" s="7"/>
      <c r="ES34" s="7"/>
      <c r="ET34" s="7"/>
      <c r="EU34" s="7"/>
      <c r="EV34" s="7"/>
      <c r="EW34" s="7"/>
      <c r="EX34" s="7"/>
      <c r="EY34" s="7">
        <v>640000</v>
      </c>
      <c r="EZ34" s="11"/>
      <c r="FA34" s="11">
        <v>10000</v>
      </c>
      <c r="FB34" s="11"/>
      <c r="FC34" s="11"/>
      <c r="FD34" s="11"/>
      <c r="FE34" s="11">
        <v>1090000</v>
      </c>
      <c r="FF34" s="11">
        <v>420000</v>
      </c>
      <c r="FG34" s="11">
        <v>234000</v>
      </c>
      <c r="FH34" s="11">
        <v>11000</v>
      </c>
      <c r="FI34" s="11"/>
      <c r="FJ34" s="11"/>
      <c r="FK34" s="11"/>
      <c r="FL34" s="11">
        <v>22000</v>
      </c>
      <c r="FM34" s="11">
        <v>1007000</v>
      </c>
      <c r="FN34" s="11">
        <v>11968000</v>
      </c>
      <c r="FO34" s="7">
        <v>1068000</v>
      </c>
      <c r="FP34" s="7">
        <v>70000</v>
      </c>
      <c r="FQ34" s="7">
        <v>5914000</v>
      </c>
      <c r="FR34" s="7">
        <v>1007000</v>
      </c>
      <c r="FS34" s="7">
        <v>2520937000</v>
      </c>
      <c r="FT34" s="7">
        <v>433000</v>
      </c>
      <c r="FU34" s="7">
        <v>341000</v>
      </c>
      <c r="FV34" s="7">
        <v>1368000</v>
      </c>
      <c r="FW34" s="7">
        <v>3046386000</v>
      </c>
      <c r="FX34" s="7">
        <v>43826000</v>
      </c>
      <c r="FY34" s="11">
        <v>-4000</v>
      </c>
      <c r="FZ34" s="11">
        <v>-3000</v>
      </c>
      <c r="GA34" s="11">
        <v>583000</v>
      </c>
      <c r="GB34" s="11">
        <v>2764000</v>
      </c>
      <c r="GC34" s="11">
        <v>2638000</v>
      </c>
      <c r="GD34" s="7">
        <v>-10623000</v>
      </c>
      <c r="GE34" s="7">
        <v>-10921000</v>
      </c>
      <c r="GF34" s="7">
        <v>-2360000</v>
      </c>
      <c r="GG34" s="7">
        <v>-3056820000</v>
      </c>
      <c r="GH34" s="7">
        <v>2469183000</v>
      </c>
    </row>
    <row r="35" spans="1:190" ht="26.25" x14ac:dyDescent="0.25">
      <c r="A35" s="4">
        <v>34</v>
      </c>
      <c r="B35" s="5" t="s">
        <v>278</v>
      </c>
      <c r="C35" s="9" t="s">
        <v>279</v>
      </c>
      <c r="D35" s="7">
        <v>32</v>
      </c>
      <c r="E35" s="6" t="s">
        <v>280</v>
      </c>
      <c r="F35" s="11"/>
      <c r="G35" s="11"/>
      <c r="H35" s="11">
        <v>33535</v>
      </c>
      <c r="I35" s="11">
        <v>1272361</v>
      </c>
      <c r="J35" s="11"/>
      <c r="K35" s="11">
        <v>9225063</v>
      </c>
      <c r="L35" s="11">
        <v>9920667</v>
      </c>
      <c r="M35" s="11">
        <v>10363824</v>
      </c>
      <c r="N35" s="11">
        <v>12256848</v>
      </c>
      <c r="O35" s="11">
        <v>12540922</v>
      </c>
      <c r="P35" s="7">
        <v>17859000</v>
      </c>
      <c r="Q35" s="7">
        <v>18951000</v>
      </c>
      <c r="R35" s="7">
        <v>18439000</v>
      </c>
      <c r="S35" s="7">
        <v>7032000</v>
      </c>
      <c r="T35" s="7">
        <v>5000000</v>
      </c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>
        <v>19166000</v>
      </c>
      <c r="AK35" s="11">
        <v>20194000</v>
      </c>
      <c r="AL35" s="11">
        <v>19825000</v>
      </c>
      <c r="AM35" s="11">
        <v>8652000</v>
      </c>
      <c r="AN35" s="11">
        <v>13646000</v>
      </c>
      <c r="AO35" s="7">
        <v>17782000</v>
      </c>
      <c r="AP35" s="7">
        <v>23633000</v>
      </c>
      <c r="AQ35" s="7">
        <v>21195000</v>
      </c>
      <c r="AR35" s="7">
        <v>17384000</v>
      </c>
      <c r="AS35" s="7">
        <v>6572000</v>
      </c>
      <c r="AT35" s="7">
        <v>15230000</v>
      </c>
      <c r="AU35" s="7">
        <v>17533000</v>
      </c>
      <c r="AV35" s="7">
        <v>17823000</v>
      </c>
      <c r="AW35" s="7">
        <v>21236000</v>
      </c>
      <c r="AX35" s="7">
        <v>9860000</v>
      </c>
      <c r="AY35" s="11"/>
      <c r="AZ35" s="11"/>
      <c r="BA35" s="11"/>
      <c r="BB35" s="11">
        <v>11840000</v>
      </c>
      <c r="BC35" s="11"/>
      <c r="BD35" s="7">
        <v>680000</v>
      </c>
      <c r="BE35" s="7">
        <v>531000</v>
      </c>
      <c r="BF35" s="7">
        <v>952000</v>
      </c>
      <c r="BG35" s="7">
        <v>4503000</v>
      </c>
      <c r="BH35" s="7">
        <v>5000</v>
      </c>
      <c r="BI35" s="11">
        <v>62000</v>
      </c>
      <c r="BJ35" s="11">
        <v>992000</v>
      </c>
      <c r="BK35" s="11">
        <v>1374000</v>
      </c>
      <c r="BL35" s="11">
        <v>1416000</v>
      </c>
      <c r="BM35" s="11">
        <v>1536000</v>
      </c>
      <c r="BN35" s="11">
        <v>33754000</v>
      </c>
      <c r="BO35" s="11">
        <v>42701000</v>
      </c>
      <c r="BP35" s="11">
        <v>41353000</v>
      </c>
      <c r="BQ35" s="11">
        <v>56517000</v>
      </c>
      <c r="BR35" s="11">
        <v>18023000</v>
      </c>
      <c r="BS35" s="11">
        <v>52920000</v>
      </c>
      <c r="BT35" s="11">
        <v>62895000</v>
      </c>
      <c r="BU35" s="11">
        <v>61178000</v>
      </c>
      <c r="BV35" s="11">
        <v>65169000</v>
      </c>
      <c r="BW35" s="11">
        <v>31669000</v>
      </c>
      <c r="BX35" s="7">
        <v>109000</v>
      </c>
      <c r="BY35" s="7">
        <v>109000</v>
      </c>
      <c r="BZ35" s="7">
        <v>109000</v>
      </c>
      <c r="CA35" s="7">
        <v>109000</v>
      </c>
      <c r="CB35" s="7">
        <v>109000</v>
      </c>
      <c r="CC35" s="11"/>
      <c r="CD35" s="11"/>
      <c r="CE35" s="11"/>
      <c r="CF35" s="11"/>
      <c r="CG35" s="11"/>
      <c r="CH35" s="7">
        <v>13319000</v>
      </c>
      <c r="CI35" s="7">
        <v>7503000</v>
      </c>
      <c r="CJ35" s="7">
        <v>11112000</v>
      </c>
      <c r="CK35" s="7">
        <v>20728000</v>
      </c>
      <c r="CL35" s="7">
        <v>-10709000</v>
      </c>
      <c r="CM35" s="11">
        <v>13480000</v>
      </c>
      <c r="CN35" s="11">
        <v>7664000</v>
      </c>
      <c r="CO35" s="11">
        <v>19773000</v>
      </c>
      <c r="CP35" s="11">
        <v>20889000</v>
      </c>
      <c r="CQ35" s="11">
        <v>-10548000</v>
      </c>
      <c r="CR35" s="11"/>
      <c r="CS35" s="11">
        <v>1000000</v>
      </c>
      <c r="CT35" s="11">
        <v>1000000</v>
      </c>
      <c r="CU35" s="11"/>
      <c r="CV35" s="11"/>
      <c r="CW35" s="11"/>
      <c r="CX35" s="11"/>
      <c r="CY35" s="11"/>
      <c r="CZ35" s="11"/>
      <c r="DA35" s="11"/>
      <c r="DB35" s="11">
        <v>1251000</v>
      </c>
      <c r="DC35" s="11">
        <v>2251000</v>
      </c>
      <c r="DD35" s="11">
        <v>1251000</v>
      </c>
      <c r="DE35" s="11">
        <v>-98000</v>
      </c>
      <c r="DF35" s="11"/>
      <c r="DG35" s="7">
        <v>17133000</v>
      </c>
      <c r="DH35" s="7">
        <v>21535000</v>
      </c>
      <c r="DI35" s="7">
        <v>20350000</v>
      </c>
      <c r="DJ35" s="7"/>
      <c r="DK35" s="7">
        <v>600000</v>
      </c>
      <c r="DL35" s="7">
        <v>16644000</v>
      </c>
      <c r="DM35" s="7">
        <v>30308000</v>
      </c>
      <c r="DN35" s="7">
        <v>18827000</v>
      </c>
      <c r="DO35" s="7">
        <v>37492000</v>
      </c>
      <c r="DP35" s="7">
        <v>41617000</v>
      </c>
      <c r="DQ35" s="11"/>
      <c r="DR35" s="11"/>
      <c r="DS35" s="11"/>
      <c r="DT35" s="11"/>
      <c r="DU35" s="11"/>
      <c r="DV35" s="11">
        <v>2274000</v>
      </c>
      <c r="DW35" s="11"/>
      <c r="DX35" s="11"/>
      <c r="DY35" s="11">
        <v>6886000</v>
      </c>
      <c r="DZ35" s="11"/>
      <c r="EA35" s="11">
        <v>38189000</v>
      </c>
      <c r="EB35" s="11">
        <v>52980000</v>
      </c>
      <c r="EC35" s="11">
        <v>40154000</v>
      </c>
      <c r="ED35" s="11">
        <v>44378000</v>
      </c>
      <c r="EE35" s="11">
        <v>42217000</v>
      </c>
      <c r="EF35" s="7">
        <v>216598000</v>
      </c>
      <c r="EG35" s="7">
        <v>214968000</v>
      </c>
      <c r="EH35" s="7">
        <v>250085000</v>
      </c>
      <c r="EI35" s="7">
        <v>225730000</v>
      </c>
      <c r="EJ35" s="7">
        <v>196323000</v>
      </c>
      <c r="EK35" s="7">
        <v>157762000</v>
      </c>
      <c r="EL35" s="7">
        <v>156090000</v>
      </c>
      <c r="EM35" s="7">
        <v>168221000</v>
      </c>
      <c r="EN35" s="7">
        <v>151356000</v>
      </c>
      <c r="EO35" s="7">
        <v>127467000</v>
      </c>
      <c r="EP35" s="7">
        <v>50217000</v>
      </c>
      <c r="EQ35" s="7">
        <v>48146000</v>
      </c>
      <c r="ER35" s="7">
        <v>65227000</v>
      </c>
      <c r="ES35" s="7">
        <v>78154000</v>
      </c>
      <c r="ET35" s="7">
        <v>90199000</v>
      </c>
      <c r="EU35" s="7">
        <v>17516000</v>
      </c>
      <c r="EV35" s="7">
        <v>17876000</v>
      </c>
      <c r="EW35" s="7">
        <v>19346000</v>
      </c>
      <c r="EX35" s="7">
        <v>19516000</v>
      </c>
      <c r="EY35" s="7">
        <v>19123000</v>
      </c>
      <c r="EZ35" s="11"/>
      <c r="FA35" s="11"/>
      <c r="FB35" s="11"/>
      <c r="FC35" s="11"/>
      <c r="FD35" s="11"/>
      <c r="FE35" s="11"/>
      <c r="FF35" s="11"/>
      <c r="FG35" s="11">
        <v>1676000</v>
      </c>
      <c r="FH35" s="11">
        <v>70000</v>
      </c>
      <c r="FI35" s="11"/>
      <c r="FJ35" s="11">
        <v>440000</v>
      </c>
      <c r="FK35" s="11">
        <v>402000</v>
      </c>
      <c r="FL35" s="11">
        <v>491000</v>
      </c>
      <c r="FM35" s="11"/>
      <c r="FN35" s="11"/>
      <c r="FO35" s="7">
        <v>208000</v>
      </c>
      <c r="FP35" s="7">
        <v>89000</v>
      </c>
      <c r="FQ35" s="7">
        <v>715000</v>
      </c>
      <c r="FR35" s="7">
        <v>37618000</v>
      </c>
      <c r="FS35" s="7">
        <v>5492000</v>
      </c>
      <c r="FT35" s="7">
        <v>652000</v>
      </c>
      <c r="FU35" s="7">
        <v>754000</v>
      </c>
      <c r="FV35" s="7">
        <v>2903000</v>
      </c>
      <c r="FW35" s="7">
        <v>13624000</v>
      </c>
      <c r="FX35" s="7">
        <v>1207000</v>
      </c>
      <c r="FY35" s="11"/>
      <c r="FZ35" s="11"/>
      <c r="GA35" s="11">
        <v>463000</v>
      </c>
      <c r="GB35" s="11">
        <v>-370000</v>
      </c>
      <c r="GC35" s="11">
        <v>7491000</v>
      </c>
      <c r="GD35" s="7">
        <v>-9781000</v>
      </c>
      <c r="GE35" s="7">
        <v>-8211000</v>
      </c>
      <c r="GF35" s="7">
        <v>-3249000</v>
      </c>
      <c r="GG35" s="7">
        <v>398000</v>
      </c>
      <c r="GH35" s="7">
        <v>-28690000</v>
      </c>
    </row>
    <row r="36" spans="1:190" x14ac:dyDescent="0.25">
      <c r="A36" s="4">
        <v>35</v>
      </c>
      <c r="B36" s="5" t="s">
        <v>281</v>
      </c>
      <c r="C36" s="9" t="s">
        <v>282</v>
      </c>
      <c r="D36" s="7">
        <v>11</v>
      </c>
      <c r="E36" s="6" t="s">
        <v>283</v>
      </c>
      <c r="F36" s="11">
        <v>2035788</v>
      </c>
      <c r="G36" s="11"/>
      <c r="H36" s="11"/>
      <c r="I36" s="11"/>
      <c r="J36" s="11"/>
      <c r="K36" s="11">
        <v>4131155</v>
      </c>
      <c r="L36" s="11">
        <v>1579268</v>
      </c>
      <c r="M36" s="11">
        <v>55237</v>
      </c>
      <c r="N36" s="11">
        <v>972978</v>
      </c>
      <c r="O36" s="11"/>
      <c r="P36" s="7">
        <v>247619000</v>
      </c>
      <c r="Q36" s="7">
        <v>191808000</v>
      </c>
      <c r="R36" s="7">
        <v>139776000</v>
      </c>
      <c r="S36" s="7">
        <v>85782000</v>
      </c>
      <c r="T36" s="7">
        <v>18233000</v>
      </c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>
        <v>33000</v>
      </c>
      <c r="AF36" s="11"/>
      <c r="AG36" s="11"/>
      <c r="AH36" s="11"/>
      <c r="AI36" s="11"/>
      <c r="AJ36" s="11">
        <v>263700000</v>
      </c>
      <c r="AK36" s="11">
        <v>235144000</v>
      </c>
      <c r="AL36" s="11">
        <v>214133000</v>
      </c>
      <c r="AM36" s="11">
        <v>174215000</v>
      </c>
      <c r="AN36" s="11">
        <v>159813000</v>
      </c>
      <c r="AO36" s="7">
        <v>1349000</v>
      </c>
      <c r="AP36" s="7">
        <v>6232000</v>
      </c>
      <c r="AQ36" s="7">
        <v>9154000</v>
      </c>
      <c r="AR36" s="7">
        <v>9551000</v>
      </c>
      <c r="AS36" s="7">
        <v>12243000</v>
      </c>
      <c r="AT36" s="7">
        <v>72924000</v>
      </c>
      <c r="AU36" s="7">
        <v>66020000</v>
      </c>
      <c r="AV36" s="7">
        <v>82965000</v>
      </c>
      <c r="AW36" s="7">
        <v>88021000</v>
      </c>
      <c r="AX36" s="7">
        <v>104238000</v>
      </c>
      <c r="AY36" s="11"/>
      <c r="AZ36" s="11"/>
      <c r="BA36" s="11"/>
      <c r="BB36" s="11"/>
      <c r="BC36" s="11"/>
      <c r="BD36" s="7">
        <v>3456000</v>
      </c>
      <c r="BE36" s="7">
        <v>45000</v>
      </c>
      <c r="BF36" s="7">
        <v>451000</v>
      </c>
      <c r="BG36" s="7">
        <v>2317000</v>
      </c>
      <c r="BH36" s="7">
        <v>911000</v>
      </c>
      <c r="BI36" s="11">
        <v>37871000</v>
      </c>
      <c r="BJ36" s="11">
        <v>26517000</v>
      </c>
      <c r="BK36" s="11">
        <v>15063000</v>
      </c>
      <c r="BL36" s="11">
        <v>5207000</v>
      </c>
      <c r="BM36" s="11">
        <v>3070000</v>
      </c>
      <c r="BN36" s="11">
        <v>121042000</v>
      </c>
      <c r="BO36" s="11">
        <v>108948000</v>
      </c>
      <c r="BP36" s="11">
        <v>114679000</v>
      </c>
      <c r="BQ36" s="11">
        <v>117507000</v>
      </c>
      <c r="BR36" s="11">
        <v>123157000</v>
      </c>
      <c r="BS36" s="11">
        <v>384741000</v>
      </c>
      <c r="BT36" s="11">
        <v>344092000</v>
      </c>
      <c r="BU36" s="11">
        <v>328812000</v>
      </c>
      <c r="BV36" s="11">
        <v>291722000</v>
      </c>
      <c r="BW36" s="11">
        <v>282970000</v>
      </c>
      <c r="BX36" s="7">
        <v>20000</v>
      </c>
      <c r="BY36" s="7">
        <v>20000</v>
      </c>
      <c r="BZ36" s="7">
        <v>20000</v>
      </c>
      <c r="CA36" s="7">
        <v>20000</v>
      </c>
      <c r="CB36" s="7">
        <v>20000</v>
      </c>
      <c r="CC36" s="11"/>
      <c r="CD36" s="11"/>
      <c r="CE36" s="11"/>
      <c r="CF36" s="11"/>
      <c r="CG36" s="11"/>
      <c r="CH36" s="7">
        <v>-44549000</v>
      </c>
      <c r="CI36" s="7">
        <v>-147258000</v>
      </c>
      <c r="CJ36" s="7">
        <v>-265903000</v>
      </c>
      <c r="CK36" s="7">
        <v>-334990000</v>
      </c>
      <c r="CL36" s="7">
        <v>-430391000</v>
      </c>
      <c r="CM36" s="11">
        <v>-44529000</v>
      </c>
      <c r="CN36" s="11">
        <v>-147238000</v>
      </c>
      <c r="CO36" s="11">
        <v>-265883000</v>
      </c>
      <c r="CP36" s="11">
        <v>-334970000</v>
      </c>
      <c r="CQ36" s="11">
        <v>-430371000</v>
      </c>
      <c r="CR36" s="11"/>
      <c r="CS36" s="11"/>
      <c r="CT36" s="11"/>
      <c r="CU36" s="11"/>
      <c r="CV36" s="11"/>
      <c r="CW36" s="11">
        <v>209070000</v>
      </c>
      <c r="CX36" s="11">
        <v>138362000</v>
      </c>
      <c r="CY36" s="11">
        <v>69876000</v>
      </c>
      <c r="CZ36" s="11">
        <v>12514000</v>
      </c>
      <c r="DA36" s="11"/>
      <c r="DB36" s="11">
        <v>212195000</v>
      </c>
      <c r="DC36" s="11">
        <v>143281000</v>
      </c>
      <c r="DD36" s="11">
        <v>76325000</v>
      </c>
      <c r="DE36" s="11">
        <v>18331000</v>
      </c>
      <c r="DF36" s="11">
        <v>960000</v>
      </c>
      <c r="DG36" s="7">
        <v>60220000</v>
      </c>
      <c r="DH36" s="7">
        <v>49690000</v>
      </c>
      <c r="DI36" s="7">
        <v>50603000</v>
      </c>
      <c r="DJ36" s="7">
        <v>53670000</v>
      </c>
      <c r="DK36" s="7">
        <v>56738000</v>
      </c>
      <c r="DL36" s="7">
        <v>156856000</v>
      </c>
      <c r="DM36" s="7">
        <v>298359000</v>
      </c>
      <c r="DN36" s="7">
        <v>467767000</v>
      </c>
      <c r="DO36" s="7">
        <v>554691000</v>
      </c>
      <c r="DP36" s="7">
        <v>655643000</v>
      </c>
      <c r="DQ36" s="11"/>
      <c r="DR36" s="11"/>
      <c r="DS36" s="11"/>
      <c r="DT36" s="11"/>
      <c r="DU36" s="11"/>
      <c r="DV36" s="11"/>
      <c r="DW36" s="11"/>
      <c r="DX36" s="11"/>
      <c r="DY36" s="11"/>
      <c r="DZ36" s="11"/>
      <c r="EA36" s="11">
        <v>217076000</v>
      </c>
      <c r="EB36" s="11">
        <v>348049000</v>
      </c>
      <c r="EC36" s="11">
        <v>518370000</v>
      </c>
      <c r="ED36" s="11">
        <v>608361000</v>
      </c>
      <c r="EE36" s="11">
        <v>712381000</v>
      </c>
      <c r="EF36" s="7">
        <v>244739000</v>
      </c>
      <c r="EG36" s="7">
        <v>255891000</v>
      </c>
      <c r="EH36" s="7">
        <v>258582000</v>
      </c>
      <c r="EI36" s="7">
        <v>307611000</v>
      </c>
      <c r="EJ36" s="7">
        <v>324873000</v>
      </c>
      <c r="EK36" s="7">
        <v>274263000</v>
      </c>
      <c r="EL36" s="7">
        <v>308378000</v>
      </c>
      <c r="EM36" s="7">
        <v>326204000</v>
      </c>
      <c r="EN36" s="7">
        <v>339553000</v>
      </c>
      <c r="EO36" s="7">
        <v>347822000</v>
      </c>
      <c r="EP36" s="7"/>
      <c r="EQ36" s="7"/>
      <c r="ER36" s="7"/>
      <c r="ES36" s="7"/>
      <c r="ET36" s="7"/>
      <c r="EU36" s="7">
        <v>33392000</v>
      </c>
      <c r="EV36" s="7">
        <v>41399000</v>
      </c>
      <c r="EW36" s="7">
        <v>47627000</v>
      </c>
      <c r="EX36" s="7">
        <v>27723000</v>
      </c>
      <c r="EY36" s="7">
        <v>26732000</v>
      </c>
      <c r="EZ36" s="11"/>
      <c r="FA36" s="11"/>
      <c r="FB36" s="11"/>
      <c r="FC36" s="11"/>
      <c r="FD36" s="11"/>
      <c r="FE36" s="11">
        <v>2000</v>
      </c>
      <c r="FF36" s="11"/>
      <c r="FG36" s="11"/>
      <c r="FH36" s="11"/>
      <c r="FI36" s="11"/>
      <c r="FJ36" s="11">
        <v>2524000</v>
      </c>
      <c r="FK36" s="11">
        <v>3724000</v>
      </c>
      <c r="FL36" s="11">
        <v>3095000</v>
      </c>
      <c r="FM36" s="11">
        <v>3068000</v>
      </c>
      <c r="FN36" s="11">
        <v>3068000</v>
      </c>
      <c r="FO36" s="7">
        <v>2398000</v>
      </c>
      <c r="FP36" s="7">
        <v>10691000</v>
      </c>
      <c r="FQ36" s="7">
        <v>28236000</v>
      </c>
      <c r="FR36" s="7">
        <v>29873000</v>
      </c>
      <c r="FS36" s="7">
        <v>30007000</v>
      </c>
      <c r="FT36" s="7">
        <v>2600000</v>
      </c>
      <c r="FU36" s="7">
        <v>41244000</v>
      </c>
      <c r="FV36" s="7">
        <v>56149000</v>
      </c>
      <c r="FW36" s="7">
        <v>50585000</v>
      </c>
      <c r="FX36" s="7">
        <v>133445000</v>
      </c>
      <c r="FY36" s="11">
        <v>12932000</v>
      </c>
      <c r="FZ36" s="11">
        <v>25489000</v>
      </c>
      <c r="GA36" s="11">
        <v>29441000</v>
      </c>
      <c r="GB36" s="11">
        <v>14384000</v>
      </c>
      <c r="GC36" s="11">
        <v>58003000</v>
      </c>
      <c r="GD36" s="7">
        <v>-52709000</v>
      </c>
      <c r="GE36" s="7">
        <v>-102684000</v>
      </c>
      <c r="GF36" s="7">
        <v>-116829000</v>
      </c>
      <c r="GG36" s="7">
        <v>-69061000</v>
      </c>
      <c r="GH36" s="7">
        <v>-98184000</v>
      </c>
    </row>
    <row r="37" spans="1:190" x14ac:dyDescent="0.25">
      <c r="A37" s="4">
        <v>36</v>
      </c>
      <c r="B37" s="5" t="s">
        <v>284</v>
      </c>
      <c r="C37" s="9" t="s">
        <v>285</v>
      </c>
      <c r="D37" s="7">
        <v>6</v>
      </c>
      <c r="E37" s="6" t="s">
        <v>286</v>
      </c>
      <c r="F37" s="11">
        <v>1723843</v>
      </c>
      <c r="G37" s="11">
        <v>1260939</v>
      </c>
      <c r="H37" s="11"/>
      <c r="I37" s="11">
        <v>616096</v>
      </c>
      <c r="J37" s="11">
        <v>274662</v>
      </c>
      <c r="K37" s="11">
        <v>7406228</v>
      </c>
      <c r="L37" s="11">
        <v>12603288</v>
      </c>
      <c r="M37" s="11">
        <v>8634950</v>
      </c>
      <c r="N37" s="11">
        <v>12941598</v>
      </c>
      <c r="O37" s="11">
        <v>4755802</v>
      </c>
      <c r="P37" s="7">
        <v>29698000</v>
      </c>
      <c r="Q37" s="7">
        <v>51507000</v>
      </c>
      <c r="R37" s="7">
        <v>34104000</v>
      </c>
      <c r="S37" s="7">
        <v>39432000</v>
      </c>
      <c r="T37" s="7">
        <v>133332000</v>
      </c>
      <c r="U37" s="11"/>
      <c r="V37" s="11"/>
      <c r="W37" s="11"/>
      <c r="X37" s="11"/>
      <c r="Y37" s="11"/>
      <c r="Z37" s="11"/>
      <c r="AA37" s="11"/>
      <c r="AB37" s="11">
        <v>3000</v>
      </c>
      <c r="AC37" s="11"/>
      <c r="AD37" s="11"/>
      <c r="AE37" s="11"/>
      <c r="AF37" s="11"/>
      <c r="AG37" s="11"/>
      <c r="AH37" s="11"/>
      <c r="AI37" s="11"/>
      <c r="AJ37" s="11">
        <v>29698000</v>
      </c>
      <c r="AK37" s="11">
        <v>51507000</v>
      </c>
      <c r="AL37" s="11">
        <v>34107000</v>
      </c>
      <c r="AM37" s="11">
        <v>39432000</v>
      </c>
      <c r="AN37" s="11">
        <v>133332000</v>
      </c>
      <c r="AO37" s="7">
        <v>505000</v>
      </c>
      <c r="AP37" s="7">
        <v>104000</v>
      </c>
      <c r="AQ37" s="7">
        <v>94000</v>
      </c>
      <c r="AR37" s="7">
        <v>48000</v>
      </c>
      <c r="AS37" s="7">
        <v>210000</v>
      </c>
      <c r="AT37" s="7">
        <v>12233000</v>
      </c>
      <c r="AU37" s="7">
        <v>13023000</v>
      </c>
      <c r="AV37" s="7">
        <v>20933000</v>
      </c>
      <c r="AW37" s="7">
        <v>24929000</v>
      </c>
      <c r="AX37" s="7">
        <v>24759000</v>
      </c>
      <c r="AY37" s="11"/>
      <c r="AZ37" s="11"/>
      <c r="BA37" s="11"/>
      <c r="BB37" s="11"/>
      <c r="BC37" s="11"/>
      <c r="BD37" s="7">
        <v>277000</v>
      </c>
      <c r="BE37" s="7">
        <v>265000</v>
      </c>
      <c r="BF37" s="7">
        <v>373000</v>
      </c>
      <c r="BG37" s="7">
        <v>75000</v>
      </c>
      <c r="BH37" s="7">
        <v>893000</v>
      </c>
      <c r="BI37" s="11">
        <v>3534000</v>
      </c>
      <c r="BJ37" s="11">
        <v>7465000</v>
      </c>
      <c r="BK37" s="11">
        <v>772000</v>
      </c>
      <c r="BL37" s="11">
        <v>224000</v>
      </c>
      <c r="BM37" s="11">
        <v>67000</v>
      </c>
      <c r="BN37" s="11">
        <v>16575000</v>
      </c>
      <c r="BO37" s="11">
        <v>20868000</v>
      </c>
      <c r="BP37" s="11">
        <v>22172000</v>
      </c>
      <c r="BQ37" s="11">
        <v>25276000</v>
      </c>
      <c r="BR37" s="11">
        <v>25929000</v>
      </c>
      <c r="BS37" s="11">
        <v>46273000</v>
      </c>
      <c r="BT37" s="11">
        <v>72375000</v>
      </c>
      <c r="BU37" s="11">
        <v>56279000</v>
      </c>
      <c r="BV37" s="11">
        <v>64708000</v>
      </c>
      <c r="BW37" s="11">
        <v>159261000</v>
      </c>
      <c r="BX37" s="7">
        <v>300000</v>
      </c>
      <c r="BY37" s="7">
        <v>750000</v>
      </c>
      <c r="BZ37" s="7">
        <v>750000</v>
      </c>
      <c r="CA37" s="7">
        <v>750000</v>
      </c>
      <c r="CB37" s="7">
        <v>750000</v>
      </c>
      <c r="CC37" s="11"/>
      <c r="CD37" s="11"/>
      <c r="CE37" s="11"/>
      <c r="CF37" s="11"/>
      <c r="CG37" s="11"/>
      <c r="CH37" s="7">
        <v>5348000</v>
      </c>
      <c r="CI37" s="7">
        <v>-140000</v>
      </c>
      <c r="CJ37" s="7">
        <v>-7968000</v>
      </c>
      <c r="CK37" s="7">
        <v>-5172000</v>
      </c>
      <c r="CL37" s="7">
        <v>9954000</v>
      </c>
      <c r="CM37" s="11">
        <v>5648000</v>
      </c>
      <c r="CN37" s="11">
        <v>610000</v>
      </c>
      <c r="CO37" s="11">
        <v>-7218000</v>
      </c>
      <c r="CP37" s="11">
        <v>-4422000</v>
      </c>
      <c r="CQ37" s="11">
        <v>10704000</v>
      </c>
      <c r="CR37" s="11"/>
      <c r="CS37" s="11"/>
      <c r="CT37" s="11"/>
      <c r="CU37" s="11"/>
      <c r="CV37" s="11">
        <v>9387000</v>
      </c>
      <c r="CW37" s="11">
        <v>16576000</v>
      </c>
      <c r="CX37" s="11">
        <v>43844000</v>
      </c>
      <c r="CY37" s="11">
        <v>30944000</v>
      </c>
      <c r="CZ37" s="11">
        <v>30519000</v>
      </c>
      <c r="DA37" s="11">
        <v>125891000</v>
      </c>
      <c r="DB37" s="11">
        <v>16576000</v>
      </c>
      <c r="DC37" s="11">
        <v>43844000</v>
      </c>
      <c r="DD37" s="11">
        <v>30944000</v>
      </c>
      <c r="DE37" s="11">
        <v>30519000</v>
      </c>
      <c r="DF37" s="11">
        <v>135278000</v>
      </c>
      <c r="DG37" s="7">
        <v>14395000</v>
      </c>
      <c r="DH37" s="7">
        <v>19196000</v>
      </c>
      <c r="DI37" s="7">
        <v>16301000</v>
      </c>
      <c r="DJ37" s="7">
        <v>17438000</v>
      </c>
      <c r="DK37" s="7">
        <v>5291000</v>
      </c>
      <c r="DL37" s="7">
        <v>9652000</v>
      </c>
      <c r="DM37" s="7">
        <v>8726000</v>
      </c>
      <c r="DN37" s="7">
        <v>15209000</v>
      </c>
      <c r="DO37" s="7">
        <v>19488000</v>
      </c>
      <c r="DP37" s="7">
        <v>6303000</v>
      </c>
      <c r="DQ37" s="11"/>
      <c r="DR37" s="11"/>
      <c r="DS37" s="11"/>
      <c r="DT37" s="11"/>
      <c r="DU37" s="11"/>
      <c r="DV37" s="11"/>
      <c r="DW37" s="11"/>
      <c r="DX37" s="11"/>
      <c r="DY37" s="11"/>
      <c r="DZ37" s="11"/>
      <c r="EA37" s="11">
        <v>24048000</v>
      </c>
      <c r="EB37" s="11">
        <v>27921000</v>
      </c>
      <c r="EC37" s="11">
        <v>32553000</v>
      </c>
      <c r="ED37" s="11">
        <v>38611000</v>
      </c>
      <c r="EE37" s="11">
        <v>13279000</v>
      </c>
      <c r="EF37" s="7">
        <v>132408000</v>
      </c>
      <c r="EG37" s="7">
        <v>127412000</v>
      </c>
      <c r="EH37" s="7">
        <v>125394000</v>
      </c>
      <c r="EI37" s="7">
        <v>107752000</v>
      </c>
      <c r="EJ37" s="7">
        <v>147259000</v>
      </c>
      <c r="EK37" s="7">
        <v>89138000</v>
      </c>
      <c r="EL37" s="7">
        <v>97109000</v>
      </c>
      <c r="EM37" s="7">
        <v>106792000</v>
      </c>
      <c r="EN37" s="7">
        <v>90610000</v>
      </c>
      <c r="EO37" s="7">
        <v>117854000</v>
      </c>
      <c r="EP37" s="7"/>
      <c r="EQ37" s="7"/>
      <c r="ER37" s="7"/>
      <c r="ES37" s="7"/>
      <c r="ET37" s="7"/>
      <c r="EU37" s="7">
        <v>29341000</v>
      </c>
      <c r="EV37" s="7">
        <v>33830000</v>
      </c>
      <c r="EW37" s="7">
        <v>16114000</v>
      </c>
      <c r="EX37" s="7">
        <v>13149000</v>
      </c>
      <c r="EY37" s="7">
        <v>24971000</v>
      </c>
      <c r="EZ37" s="11"/>
      <c r="FA37" s="11"/>
      <c r="FB37" s="11"/>
      <c r="FC37" s="11"/>
      <c r="FD37" s="11"/>
      <c r="FE37" s="11"/>
      <c r="FF37" s="11"/>
      <c r="FG37" s="11"/>
      <c r="FH37" s="11">
        <v>108000</v>
      </c>
      <c r="FI37" s="11"/>
      <c r="FJ37" s="11">
        <v>963000</v>
      </c>
      <c r="FK37" s="11">
        <v>1175000</v>
      </c>
      <c r="FL37" s="11">
        <v>1323000</v>
      </c>
      <c r="FM37" s="11">
        <v>2638000</v>
      </c>
      <c r="FN37" s="11">
        <v>1982000</v>
      </c>
      <c r="FO37" s="7">
        <v>11000</v>
      </c>
      <c r="FP37" s="7">
        <v>5139000</v>
      </c>
      <c r="FQ37" s="7">
        <v>7931000</v>
      </c>
      <c r="FR37" s="7">
        <v>2932000</v>
      </c>
      <c r="FS37" s="7">
        <v>20041000</v>
      </c>
      <c r="FT37" s="7">
        <v>1312000</v>
      </c>
      <c r="FU37" s="7">
        <v>5942000</v>
      </c>
      <c r="FV37" s="7">
        <v>17064000</v>
      </c>
      <c r="FW37" s="7">
        <v>6916000</v>
      </c>
      <c r="FX37" s="7">
        <v>5767000</v>
      </c>
      <c r="FY37" s="11">
        <v>-1783000</v>
      </c>
      <c r="FZ37" s="11"/>
      <c r="GA37" s="11"/>
      <c r="GB37" s="11">
        <v>-275000</v>
      </c>
      <c r="GC37" s="11">
        <v>-1677000</v>
      </c>
      <c r="GD37" s="7">
        <v>9882000</v>
      </c>
      <c r="GE37" s="7">
        <v>-5505000</v>
      </c>
      <c r="GF37" s="7">
        <v>-7968000</v>
      </c>
      <c r="GG37" s="7">
        <v>-2796000</v>
      </c>
      <c r="GH37" s="7">
        <v>15049000</v>
      </c>
    </row>
    <row r="38" spans="1:190" ht="26.25" x14ac:dyDescent="0.25">
      <c r="A38" s="4">
        <v>37</v>
      </c>
      <c r="B38" s="5" t="s">
        <v>287</v>
      </c>
      <c r="C38" s="9" t="s">
        <v>288</v>
      </c>
      <c r="D38" s="7">
        <v>13</v>
      </c>
      <c r="E38" s="6" t="s">
        <v>289</v>
      </c>
      <c r="F38" s="11">
        <v>3564</v>
      </c>
      <c r="G38" s="11">
        <v>202585</v>
      </c>
      <c r="H38" s="11"/>
      <c r="I38" s="11"/>
      <c r="J38" s="11"/>
      <c r="K38" s="11">
        <v>3621</v>
      </c>
      <c r="L38" s="11">
        <v>56155</v>
      </c>
      <c r="M38" s="11"/>
      <c r="N38" s="11"/>
      <c r="O38" s="11"/>
      <c r="P38" s="7">
        <v>35544000</v>
      </c>
      <c r="Q38" s="7"/>
      <c r="R38" s="7"/>
      <c r="S38" s="7"/>
      <c r="T38" s="7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>
        <v>35544000</v>
      </c>
      <c r="AK38" s="11"/>
      <c r="AL38" s="11"/>
      <c r="AM38" s="11"/>
      <c r="AN38" s="11"/>
      <c r="AO38" s="7">
        <v>569000</v>
      </c>
      <c r="AP38" s="7"/>
      <c r="AQ38" s="7"/>
      <c r="AR38" s="7"/>
      <c r="AS38" s="7"/>
      <c r="AT38" s="7">
        <v>7337000</v>
      </c>
      <c r="AU38" s="7"/>
      <c r="AV38" s="7"/>
      <c r="AW38" s="7"/>
      <c r="AX38" s="7"/>
      <c r="AY38" s="11">
        <v>480000</v>
      </c>
      <c r="AZ38" s="11"/>
      <c r="BA38" s="11"/>
      <c r="BB38" s="11"/>
      <c r="BC38" s="11"/>
      <c r="BD38" s="7">
        <v>1000</v>
      </c>
      <c r="BE38" s="7"/>
      <c r="BF38" s="7"/>
      <c r="BG38" s="7"/>
      <c r="BH38" s="7"/>
      <c r="BI38" s="11">
        <v>4408000</v>
      </c>
      <c r="BJ38" s="11"/>
      <c r="BK38" s="11"/>
      <c r="BL38" s="11"/>
      <c r="BM38" s="11"/>
      <c r="BN38" s="11">
        <v>13730000</v>
      </c>
      <c r="BO38" s="11"/>
      <c r="BP38" s="11"/>
      <c r="BQ38" s="11"/>
      <c r="BR38" s="11"/>
      <c r="BS38" s="11">
        <v>49274000</v>
      </c>
      <c r="BT38" s="11"/>
      <c r="BU38" s="11"/>
      <c r="BV38" s="11"/>
      <c r="BW38" s="11"/>
      <c r="BX38" s="7">
        <v>10000</v>
      </c>
      <c r="BY38" s="7"/>
      <c r="BZ38" s="7"/>
      <c r="CA38" s="7"/>
      <c r="CB38" s="7"/>
      <c r="CC38" s="11">
        <v>10694000</v>
      </c>
      <c r="CD38" s="11"/>
      <c r="CE38" s="11"/>
      <c r="CF38" s="11"/>
      <c r="CG38" s="11"/>
      <c r="CH38" s="7">
        <v>97000</v>
      </c>
      <c r="CI38" s="7"/>
      <c r="CJ38" s="7"/>
      <c r="CK38" s="7"/>
      <c r="CL38" s="7"/>
      <c r="CM38" s="11">
        <v>10801000</v>
      </c>
      <c r="CN38" s="11"/>
      <c r="CO38" s="11"/>
      <c r="CP38" s="11"/>
      <c r="CQ38" s="11"/>
      <c r="CR38" s="11">
        <v>873000</v>
      </c>
      <c r="CS38" s="11"/>
      <c r="CT38" s="11"/>
      <c r="CU38" s="11"/>
      <c r="CV38" s="11"/>
      <c r="CW38" s="11">
        <v>25086000</v>
      </c>
      <c r="CX38" s="11"/>
      <c r="CY38" s="11"/>
      <c r="CZ38" s="11"/>
      <c r="DA38" s="11"/>
      <c r="DB38" s="11">
        <v>25959000</v>
      </c>
      <c r="DC38" s="11"/>
      <c r="DD38" s="11"/>
      <c r="DE38" s="11"/>
      <c r="DF38" s="11"/>
      <c r="DG38" s="7">
        <v>1000</v>
      </c>
      <c r="DH38" s="7"/>
      <c r="DI38" s="7"/>
      <c r="DJ38" s="7"/>
      <c r="DK38" s="7"/>
      <c r="DL38" s="7">
        <v>12513000</v>
      </c>
      <c r="DM38" s="7"/>
      <c r="DN38" s="7"/>
      <c r="DO38" s="7"/>
      <c r="DP38" s="7"/>
      <c r="DQ38" s="11"/>
      <c r="DR38" s="11"/>
      <c r="DS38" s="11"/>
      <c r="DT38" s="11"/>
      <c r="DU38" s="11"/>
      <c r="DV38" s="11"/>
      <c r="DW38" s="11"/>
      <c r="DX38" s="11"/>
      <c r="DY38" s="11"/>
      <c r="DZ38" s="11"/>
      <c r="EA38" s="11">
        <v>12514000</v>
      </c>
      <c r="EB38" s="11"/>
      <c r="EC38" s="11"/>
      <c r="ED38" s="11"/>
      <c r="EE38" s="11"/>
      <c r="EF38" s="7">
        <v>19487000</v>
      </c>
      <c r="EG38" s="7"/>
      <c r="EH38" s="7"/>
      <c r="EI38" s="7"/>
      <c r="EJ38" s="7"/>
      <c r="EK38" s="7">
        <v>19039000</v>
      </c>
      <c r="EL38" s="7"/>
      <c r="EM38" s="7"/>
      <c r="EN38" s="7"/>
      <c r="EO38" s="7"/>
      <c r="EP38" s="7"/>
      <c r="EQ38" s="7"/>
      <c r="ER38" s="7"/>
      <c r="ES38" s="7"/>
      <c r="ET38" s="7"/>
      <c r="EU38" s="7"/>
      <c r="EV38" s="7"/>
      <c r="EW38" s="7"/>
      <c r="EX38" s="7"/>
      <c r="EY38" s="7"/>
      <c r="EZ38" s="11"/>
      <c r="FA38" s="11"/>
      <c r="FB38" s="11"/>
      <c r="FC38" s="11"/>
      <c r="FD38" s="11"/>
      <c r="FE38" s="11"/>
      <c r="FF38" s="11"/>
      <c r="FG38" s="11"/>
      <c r="FH38" s="11"/>
      <c r="FI38" s="11"/>
      <c r="FJ38" s="11"/>
      <c r="FK38" s="11"/>
      <c r="FL38" s="11"/>
      <c r="FM38" s="11"/>
      <c r="FN38" s="11"/>
      <c r="FO38" s="7">
        <v>1885000</v>
      </c>
      <c r="FP38" s="7"/>
      <c r="FQ38" s="7"/>
      <c r="FR38" s="7"/>
      <c r="FS38" s="7"/>
      <c r="FT38" s="7">
        <v>1811000</v>
      </c>
      <c r="FU38" s="7"/>
      <c r="FV38" s="7"/>
      <c r="FW38" s="7"/>
      <c r="FX38" s="7"/>
      <c r="FY38" s="11">
        <v>-27000</v>
      </c>
      <c r="FZ38" s="11"/>
      <c r="GA38" s="11"/>
      <c r="GB38" s="11"/>
      <c r="GC38" s="11"/>
      <c r="GD38" s="7">
        <v>495000</v>
      </c>
      <c r="GE38" s="7"/>
      <c r="GF38" s="7"/>
      <c r="GG38" s="7"/>
      <c r="GH38" s="7"/>
    </row>
    <row r="39" spans="1:190" x14ac:dyDescent="0.25">
      <c r="A39" s="4">
        <v>38</v>
      </c>
      <c r="B39" s="5" t="s">
        <v>290</v>
      </c>
      <c r="C39" s="9" t="s">
        <v>291</v>
      </c>
      <c r="D39" s="7">
        <v>23</v>
      </c>
      <c r="E39" s="6" t="s">
        <v>198</v>
      </c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7"/>
      <c r="Q39" s="7"/>
      <c r="R39" s="7"/>
      <c r="S39" s="7"/>
      <c r="T39" s="7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11"/>
      <c r="AZ39" s="11"/>
      <c r="BA39" s="11"/>
      <c r="BB39" s="11"/>
      <c r="BC39" s="11"/>
      <c r="BD39" s="7"/>
      <c r="BE39" s="7"/>
      <c r="BF39" s="7"/>
      <c r="BG39" s="7"/>
      <c r="BH39" s="7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7"/>
      <c r="BY39" s="7"/>
      <c r="BZ39" s="7"/>
      <c r="CA39" s="7"/>
      <c r="CB39" s="7"/>
      <c r="CC39" s="11"/>
      <c r="CD39" s="11"/>
      <c r="CE39" s="11"/>
      <c r="CF39" s="11"/>
      <c r="CG39" s="11"/>
      <c r="CH39" s="7"/>
      <c r="CI39" s="7"/>
      <c r="CJ39" s="7"/>
      <c r="CK39" s="7"/>
      <c r="CL39" s="7"/>
      <c r="CM39" s="11"/>
      <c r="CN39" s="11"/>
      <c r="CO39" s="11"/>
      <c r="CP39" s="11"/>
      <c r="CQ39" s="11"/>
      <c r="CR39" s="11"/>
      <c r="CS39" s="11"/>
      <c r="CT39" s="11"/>
      <c r="CU39" s="11"/>
      <c r="CV39" s="11"/>
      <c r="CW39" s="11"/>
      <c r="CX39" s="11"/>
      <c r="CY39" s="11"/>
      <c r="CZ39" s="11"/>
      <c r="DA39" s="11"/>
      <c r="DB39" s="11"/>
      <c r="DC39" s="11"/>
      <c r="DD39" s="11"/>
      <c r="DE39" s="11"/>
      <c r="DF39" s="11"/>
      <c r="DG39" s="7"/>
      <c r="DH39" s="7"/>
      <c r="DI39" s="7"/>
      <c r="DJ39" s="7"/>
      <c r="DK39" s="7"/>
      <c r="DL39" s="7"/>
      <c r="DM39" s="7"/>
      <c r="DN39" s="7"/>
      <c r="DO39" s="7"/>
      <c r="DP39" s="7"/>
      <c r="DQ39" s="11"/>
      <c r="DR39" s="11"/>
      <c r="DS39" s="11"/>
      <c r="DT39" s="11"/>
      <c r="DU39" s="11"/>
      <c r="DV39" s="11"/>
      <c r="DW39" s="11"/>
      <c r="DX39" s="11"/>
      <c r="DY39" s="11"/>
      <c r="DZ39" s="11"/>
      <c r="EA39" s="11"/>
      <c r="EB39" s="11"/>
      <c r="EC39" s="11"/>
      <c r="ED39" s="11"/>
      <c r="EE39" s="11"/>
      <c r="EF39" s="7"/>
      <c r="EG39" s="7"/>
      <c r="EH39" s="7"/>
      <c r="EI39" s="7"/>
      <c r="EJ39" s="7"/>
      <c r="EK39" s="7"/>
      <c r="EL39" s="7"/>
      <c r="EM39" s="7"/>
      <c r="EN39" s="7"/>
      <c r="EO39" s="7"/>
      <c r="EP39" s="7"/>
      <c r="EQ39" s="7"/>
      <c r="ER39" s="7"/>
      <c r="ES39" s="7"/>
      <c r="ET39" s="7"/>
      <c r="EU39" s="7"/>
      <c r="EV39" s="7"/>
      <c r="EW39" s="7"/>
      <c r="EX39" s="7"/>
      <c r="EY39" s="7"/>
      <c r="EZ39" s="11"/>
      <c r="FA39" s="11"/>
      <c r="FB39" s="11"/>
      <c r="FC39" s="11"/>
      <c r="FD39" s="11"/>
      <c r="FE39" s="11"/>
      <c r="FF39" s="11"/>
      <c r="FG39" s="11"/>
      <c r="FH39" s="11"/>
      <c r="FI39" s="11"/>
      <c r="FJ39" s="11"/>
      <c r="FK39" s="11"/>
      <c r="FL39" s="11"/>
      <c r="FM39" s="11"/>
      <c r="FN39" s="11"/>
      <c r="FO39" s="7"/>
      <c r="FP39" s="7"/>
      <c r="FQ39" s="7"/>
      <c r="FR39" s="7"/>
      <c r="FS39" s="7"/>
      <c r="FT39" s="7"/>
      <c r="FU39" s="7"/>
      <c r="FV39" s="7"/>
      <c r="FW39" s="7"/>
      <c r="FX39" s="7"/>
      <c r="FY39" s="11"/>
      <c r="FZ39" s="11"/>
      <c r="GA39" s="11"/>
      <c r="GB39" s="11"/>
      <c r="GC39" s="11"/>
      <c r="GD39" s="7"/>
      <c r="GE39" s="7"/>
      <c r="GF39" s="7"/>
      <c r="GG39" s="7"/>
      <c r="GH39" s="7"/>
    </row>
    <row r="40" spans="1:190" ht="26.25" x14ac:dyDescent="0.25">
      <c r="A40" s="4">
        <v>39</v>
      </c>
      <c r="B40" s="5" t="s">
        <v>292</v>
      </c>
      <c r="C40" s="9" t="s">
        <v>293</v>
      </c>
      <c r="D40" s="7">
        <v>10</v>
      </c>
      <c r="E40" s="6" t="s">
        <v>204</v>
      </c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7"/>
      <c r="Q40" s="7">
        <v>39744000</v>
      </c>
      <c r="R40" s="7">
        <v>39744000</v>
      </c>
      <c r="S40" s="7"/>
      <c r="T40" s="7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>
        <v>39744000</v>
      </c>
      <c r="AL40" s="11">
        <v>39744000</v>
      </c>
      <c r="AM40" s="11"/>
      <c r="AN40" s="11"/>
      <c r="AO40" s="7">
        <v>34616000</v>
      </c>
      <c r="AP40" s="7"/>
      <c r="AQ40" s="7"/>
      <c r="AR40" s="7"/>
      <c r="AS40" s="7"/>
      <c r="AT40" s="7">
        <v>13496000</v>
      </c>
      <c r="AU40" s="7">
        <v>13496000</v>
      </c>
      <c r="AV40" s="7">
        <v>12511000</v>
      </c>
      <c r="AW40" s="7">
        <v>12511000</v>
      </c>
      <c r="AX40" s="7">
        <v>12511000</v>
      </c>
      <c r="AY40" s="11"/>
      <c r="AZ40" s="11"/>
      <c r="BA40" s="11"/>
      <c r="BB40" s="11"/>
      <c r="BC40" s="11"/>
      <c r="BD40" s="7"/>
      <c r="BE40" s="7"/>
      <c r="BF40" s="7"/>
      <c r="BG40" s="7"/>
      <c r="BH40" s="7"/>
      <c r="BI40" s="11"/>
      <c r="BJ40" s="11"/>
      <c r="BK40" s="11"/>
      <c r="BL40" s="11"/>
      <c r="BM40" s="11"/>
      <c r="BN40" s="11">
        <v>48112000</v>
      </c>
      <c r="BO40" s="11">
        <v>13496000</v>
      </c>
      <c r="BP40" s="11">
        <v>12511000</v>
      </c>
      <c r="BQ40" s="11">
        <v>12511000</v>
      </c>
      <c r="BR40" s="11">
        <v>12511000</v>
      </c>
      <c r="BS40" s="11">
        <v>48112000</v>
      </c>
      <c r="BT40" s="11">
        <v>53240000</v>
      </c>
      <c r="BU40" s="11">
        <v>52255000</v>
      </c>
      <c r="BV40" s="11">
        <v>12511000</v>
      </c>
      <c r="BW40" s="11">
        <v>12511000</v>
      </c>
      <c r="BX40" s="7"/>
      <c r="BY40" s="7"/>
      <c r="BZ40" s="7"/>
      <c r="CA40" s="7"/>
      <c r="CB40" s="7"/>
      <c r="CC40" s="11"/>
      <c r="CD40" s="11">
        <v>5128000</v>
      </c>
      <c r="CE40" s="11"/>
      <c r="CF40" s="11"/>
      <c r="CG40" s="11"/>
      <c r="CH40" s="7">
        <v>-87698000</v>
      </c>
      <c r="CI40" s="7">
        <v>-83796000</v>
      </c>
      <c r="CJ40" s="7">
        <v>-221452000</v>
      </c>
      <c r="CK40" s="7">
        <v>-261792000</v>
      </c>
      <c r="CL40" s="7">
        <v>-261792000</v>
      </c>
      <c r="CM40" s="11">
        <v>41558000</v>
      </c>
      <c r="CN40" s="11">
        <v>48298000</v>
      </c>
      <c r="CO40" s="11">
        <v>50432000</v>
      </c>
      <c r="CP40" s="11">
        <v>10095000</v>
      </c>
      <c r="CQ40" s="11">
        <v>9801000</v>
      </c>
      <c r="CR40" s="11"/>
      <c r="CS40" s="11"/>
      <c r="CT40" s="11"/>
      <c r="CU40" s="11"/>
      <c r="CV40" s="11"/>
      <c r="CW40" s="11"/>
      <c r="CX40" s="11"/>
      <c r="CY40" s="11"/>
      <c r="CZ40" s="11"/>
      <c r="DA40" s="11"/>
      <c r="DB40" s="11"/>
      <c r="DC40" s="11"/>
      <c r="DD40" s="11"/>
      <c r="DE40" s="11"/>
      <c r="DF40" s="11"/>
      <c r="DG40" s="7"/>
      <c r="DH40" s="7"/>
      <c r="DI40" s="7"/>
      <c r="DJ40" s="7"/>
      <c r="DK40" s="7"/>
      <c r="DL40" s="7">
        <v>6554000</v>
      </c>
      <c r="DM40" s="7">
        <v>4563000</v>
      </c>
      <c r="DN40" s="7"/>
      <c r="DO40" s="7"/>
      <c r="DP40" s="7"/>
      <c r="DQ40" s="11"/>
      <c r="DR40" s="11"/>
      <c r="DS40" s="11"/>
      <c r="DT40" s="11"/>
      <c r="DU40" s="11"/>
      <c r="DV40" s="11"/>
      <c r="DW40" s="11">
        <v>379000</v>
      </c>
      <c r="DX40" s="11">
        <v>1823000</v>
      </c>
      <c r="DY40" s="11">
        <v>2416000</v>
      </c>
      <c r="DZ40" s="11">
        <v>2710000</v>
      </c>
      <c r="EA40" s="11">
        <v>6554000</v>
      </c>
      <c r="EB40" s="11">
        <v>4942000</v>
      </c>
      <c r="EC40" s="11">
        <v>1823000</v>
      </c>
      <c r="ED40" s="11">
        <v>2416000</v>
      </c>
      <c r="EE40" s="11">
        <v>2710000</v>
      </c>
      <c r="EF40" s="7"/>
      <c r="EG40" s="7"/>
      <c r="EH40" s="7"/>
      <c r="EI40" s="7"/>
      <c r="EJ40" s="7"/>
      <c r="EK40" s="7"/>
      <c r="EL40" s="7"/>
      <c r="EM40" s="7"/>
      <c r="EN40" s="7"/>
      <c r="EO40" s="7"/>
      <c r="EP40" s="7"/>
      <c r="EQ40" s="7"/>
      <c r="ER40" s="7"/>
      <c r="ES40" s="7"/>
      <c r="ET40" s="7"/>
      <c r="EU40" s="7"/>
      <c r="EV40" s="7"/>
      <c r="EW40" s="7"/>
      <c r="EX40" s="7"/>
      <c r="EY40" s="7"/>
      <c r="EZ40" s="11"/>
      <c r="FA40" s="11"/>
      <c r="FB40" s="11"/>
      <c r="FC40" s="11"/>
      <c r="FD40" s="11"/>
      <c r="FE40" s="11"/>
      <c r="FF40" s="11"/>
      <c r="FG40" s="11"/>
      <c r="FH40" s="11"/>
      <c r="FI40" s="11"/>
      <c r="FJ40" s="11"/>
      <c r="FK40" s="11"/>
      <c r="FL40" s="11"/>
      <c r="FM40" s="11"/>
      <c r="FN40" s="11"/>
      <c r="FO40" s="7"/>
      <c r="FP40" s="7">
        <v>3902000</v>
      </c>
      <c r="FQ40" s="7"/>
      <c r="FR40" s="7"/>
      <c r="FS40" s="7"/>
      <c r="FT40" s="7"/>
      <c r="FU40" s="7"/>
      <c r="FV40" s="7">
        <v>144918000</v>
      </c>
      <c r="FW40" s="7">
        <v>40340000</v>
      </c>
      <c r="FX40" s="7"/>
      <c r="FY40" s="11"/>
      <c r="FZ40" s="11"/>
      <c r="GA40" s="11"/>
      <c r="GB40" s="11"/>
      <c r="GC40" s="11"/>
      <c r="GD40" s="7"/>
      <c r="GE40" s="7">
        <v>3902000</v>
      </c>
      <c r="GF40" s="7">
        <v>-144918000</v>
      </c>
      <c r="GG40" s="7">
        <v>-40340000</v>
      </c>
      <c r="GH40" s="7"/>
    </row>
    <row r="41" spans="1:190" ht="26.25" x14ac:dyDescent="0.25">
      <c r="A41" s="4">
        <v>40</v>
      </c>
      <c r="B41" s="5" t="s">
        <v>294</v>
      </c>
      <c r="C41" s="9" t="s">
        <v>295</v>
      </c>
      <c r="D41" s="7">
        <v>18</v>
      </c>
      <c r="E41" s="6" t="s">
        <v>204</v>
      </c>
      <c r="F41" s="11">
        <v>213023</v>
      </c>
      <c r="G41" s="11">
        <v>361469</v>
      </c>
      <c r="H41" s="11"/>
      <c r="I41" s="11">
        <v>82484</v>
      </c>
      <c r="J41" s="11">
        <v>78307</v>
      </c>
      <c r="K41" s="11">
        <v>21868779</v>
      </c>
      <c r="L41" s="11">
        <v>6229481</v>
      </c>
      <c r="M41" s="11">
        <v>1882441</v>
      </c>
      <c r="N41" s="11"/>
      <c r="O41" s="11">
        <v>53441</v>
      </c>
      <c r="P41" s="7"/>
      <c r="Q41" s="7"/>
      <c r="R41" s="7"/>
      <c r="S41" s="7"/>
      <c r="T41" s="7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7">
        <v>2000</v>
      </c>
      <c r="AP41" s="7">
        <v>14000</v>
      </c>
      <c r="AQ41" s="7"/>
      <c r="AR41" s="7"/>
      <c r="AS41" s="7"/>
      <c r="AT41" s="7">
        <v>50798000</v>
      </c>
      <c r="AU41" s="7">
        <v>62549000</v>
      </c>
      <c r="AV41" s="7">
        <v>46980000</v>
      </c>
      <c r="AW41" s="7">
        <v>34234000</v>
      </c>
      <c r="AX41" s="7">
        <v>26050000</v>
      </c>
      <c r="AY41" s="11"/>
      <c r="AZ41" s="11"/>
      <c r="BA41" s="11"/>
      <c r="BB41" s="11"/>
      <c r="BC41" s="11"/>
      <c r="BD41" s="7">
        <v>37003000</v>
      </c>
      <c r="BE41" s="7">
        <v>131000</v>
      </c>
      <c r="BF41" s="7">
        <v>519000</v>
      </c>
      <c r="BG41" s="7">
        <v>488000</v>
      </c>
      <c r="BH41" s="7">
        <v>1301000</v>
      </c>
      <c r="BI41" s="11"/>
      <c r="BJ41" s="11"/>
      <c r="BK41" s="11"/>
      <c r="BL41" s="11"/>
      <c r="BM41" s="11"/>
      <c r="BN41" s="11">
        <v>87803000</v>
      </c>
      <c r="BO41" s="11">
        <v>62694000</v>
      </c>
      <c r="BP41" s="11">
        <v>47499000</v>
      </c>
      <c r="BQ41" s="11">
        <v>34722000</v>
      </c>
      <c r="BR41" s="11">
        <v>27351000</v>
      </c>
      <c r="BS41" s="11">
        <v>87803000</v>
      </c>
      <c r="BT41" s="11">
        <v>62694000</v>
      </c>
      <c r="BU41" s="11">
        <v>47499000</v>
      </c>
      <c r="BV41" s="11">
        <v>34722000</v>
      </c>
      <c r="BW41" s="11">
        <v>27351000</v>
      </c>
      <c r="BX41" s="7"/>
      <c r="BY41" s="7">
        <v>160000</v>
      </c>
      <c r="BZ41" s="7">
        <v>160000</v>
      </c>
      <c r="CA41" s="7">
        <v>160000</v>
      </c>
      <c r="CB41" s="7">
        <v>160000</v>
      </c>
      <c r="CC41" s="11"/>
      <c r="CD41" s="11"/>
      <c r="CE41" s="11"/>
      <c r="CF41" s="11"/>
      <c r="CG41" s="11"/>
      <c r="CH41" s="7"/>
      <c r="CI41" s="7">
        <v>560000</v>
      </c>
      <c r="CJ41" s="7">
        <v>560000</v>
      </c>
      <c r="CK41" s="7">
        <v>-9405000</v>
      </c>
      <c r="CL41" s="7">
        <v>-15365000</v>
      </c>
      <c r="CM41" s="11">
        <v>-7969000</v>
      </c>
      <c r="CN41" s="11">
        <v>720000</v>
      </c>
      <c r="CO41" s="11">
        <v>720000</v>
      </c>
      <c r="CP41" s="11">
        <v>-9245000</v>
      </c>
      <c r="CQ41" s="11">
        <v>-15205000</v>
      </c>
      <c r="CR41" s="11">
        <v>5000000</v>
      </c>
      <c r="CS41" s="11">
        <v>5000000</v>
      </c>
      <c r="CT41" s="11">
        <v>5000000</v>
      </c>
      <c r="CU41" s="11"/>
      <c r="CV41" s="11"/>
      <c r="CW41" s="11"/>
      <c r="CX41" s="11"/>
      <c r="CY41" s="11"/>
      <c r="CZ41" s="11"/>
      <c r="DA41" s="11"/>
      <c r="DB41" s="11">
        <v>5000000</v>
      </c>
      <c r="DC41" s="11">
        <v>5000000</v>
      </c>
      <c r="DD41" s="11">
        <v>5000000</v>
      </c>
      <c r="DE41" s="11"/>
      <c r="DF41" s="11"/>
      <c r="DG41" s="7"/>
      <c r="DH41" s="7"/>
      <c r="DI41" s="7"/>
      <c r="DJ41" s="7"/>
      <c r="DK41" s="7"/>
      <c r="DL41" s="7">
        <v>47342000</v>
      </c>
      <c r="DM41" s="7">
        <v>12091000</v>
      </c>
      <c r="DN41" s="7">
        <v>41779000</v>
      </c>
      <c r="DO41" s="7">
        <v>43967000</v>
      </c>
      <c r="DP41" s="7">
        <v>42556000</v>
      </c>
      <c r="DQ41" s="11"/>
      <c r="DR41" s="11"/>
      <c r="DS41" s="11"/>
      <c r="DT41" s="11"/>
      <c r="DU41" s="11"/>
      <c r="DV41" s="11">
        <v>43430000</v>
      </c>
      <c r="DW41" s="11">
        <v>44883000</v>
      </c>
      <c r="DX41" s="11"/>
      <c r="DY41" s="11"/>
      <c r="DZ41" s="11"/>
      <c r="EA41" s="11">
        <v>90772000</v>
      </c>
      <c r="EB41" s="11">
        <v>56974000</v>
      </c>
      <c r="EC41" s="11">
        <v>41779000</v>
      </c>
      <c r="ED41" s="11">
        <v>43967000</v>
      </c>
      <c r="EE41" s="11">
        <v>42556000</v>
      </c>
      <c r="EF41" s="7">
        <v>115998000</v>
      </c>
      <c r="EG41" s="7">
        <v>85622000</v>
      </c>
      <c r="EH41" s="7"/>
      <c r="EI41" s="7"/>
      <c r="EJ41" s="7"/>
      <c r="EK41" s="7">
        <v>100954000</v>
      </c>
      <c r="EL41" s="7">
        <v>62571000</v>
      </c>
      <c r="EM41" s="7"/>
      <c r="EN41" s="7"/>
      <c r="EO41" s="7"/>
      <c r="EP41" s="7"/>
      <c r="EQ41" s="7"/>
      <c r="ER41" s="7"/>
      <c r="ES41" s="7"/>
      <c r="ET41" s="7"/>
      <c r="EU41" s="7"/>
      <c r="EV41" s="7"/>
      <c r="EW41" s="7"/>
      <c r="EX41" s="7"/>
      <c r="EY41" s="7"/>
      <c r="EZ41" s="11"/>
      <c r="FA41" s="11"/>
      <c r="FB41" s="11"/>
      <c r="FC41" s="11"/>
      <c r="FD41" s="11"/>
      <c r="FE41" s="11"/>
      <c r="FF41" s="11"/>
      <c r="FG41" s="11"/>
      <c r="FH41" s="11"/>
      <c r="FI41" s="11"/>
      <c r="FJ41" s="11"/>
      <c r="FK41" s="11"/>
      <c r="FL41" s="11"/>
      <c r="FM41" s="11"/>
      <c r="FN41" s="11"/>
      <c r="FO41" s="7">
        <v>33510000</v>
      </c>
      <c r="FP41" s="7">
        <v>2063000</v>
      </c>
      <c r="FQ41" s="7"/>
      <c r="FR41" s="7"/>
      <c r="FS41" s="7"/>
      <c r="FT41" s="7">
        <v>55671000</v>
      </c>
      <c r="FU41" s="7">
        <v>14375000</v>
      </c>
      <c r="FV41" s="7"/>
      <c r="FW41" s="7">
        <v>9405000</v>
      </c>
      <c r="FX41" s="7">
        <v>5960000</v>
      </c>
      <c r="FY41" s="11">
        <v>212000</v>
      </c>
      <c r="FZ41" s="11">
        <v>-2052000</v>
      </c>
      <c r="GA41" s="11"/>
      <c r="GB41" s="11"/>
      <c r="GC41" s="11"/>
      <c r="GD41" s="7">
        <v>-7329000</v>
      </c>
      <c r="GE41" s="7">
        <v>8687000</v>
      </c>
      <c r="GF41" s="7"/>
      <c r="GG41" s="7">
        <v>-9405000</v>
      </c>
      <c r="GH41" s="7">
        <v>-5960000</v>
      </c>
    </row>
    <row r="42" spans="1:190" x14ac:dyDescent="0.25">
      <c r="A42" s="4">
        <v>41</v>
      </c>
      <c r="B42" s="5" t="s">
        <v>296</v>
      </c>
      <c r="C42" s="9" t="s">
        <v>297</v>
      </c>
      <c r="D42" s="7">
        <v>29</v>
      </c>
      <c r="E42" s="6" t="s">
        <v>190</v>
      </c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7"/>
      <c r="Q42" s="7"/>
      <c r="R42" s="7"/>
      <c r="S42" s="7"/>
      <c r="T42" s="7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7"/>
      <c r="AP42" s="7"/>
      <c r="AQ42" s="7"/>
      <c r="AR42" s="7"/>
      <c r="AS42" s="7"/>
      <c r="AT42" s="7">
        <v>6399000</v>
      </c>
      <c r="AU42" s="7">
        <v>6239000</v>
      </c>
      <c r="AV42" s="7">
        <v>6263000</v>
      </c>
      <c r="AW42" s="7">
        <v>6064000</v>
      </c>
      <c r="AX42" s="7">
        <v>6028000</v>
      </c>
      <c r="AY42" s="11"/>
      <c r="AZ42" s="11"/>
      <c r="BA42" s="11"/>
      <c r="BB42" s="11"/>
      <c r="BC42" s="11"/>
      <c r="BD42" s="7">
        <v>10000</v>
      </c>
      <c r="BE42" s="7">
        <v>9000</v>
      </c>
      <c r="BF42" s="7">
        <v>4000</v>
      </c>
      <c r="BG42" s="7">
        <v>5000</v>
      </c>
      <c r="BH42" s="7"/>
      <c r="BI42" s="11"/>
      <c r="BJ42" s="11"/>
      <c r="BK42" s="11"/>
      <c r="BL42" s="11"/>
      <c r="BM42" s="11"/>
      <c r="BN42" s="11">
        <v>6409000</v>
      </c>
      <c r="BO42" s="11">
        <v>6248000</v>
      </c>
      <c r="BP42" s="11">
        <v>6267000</v>
      </c>
      <c r="BQ42" s="11">
        <v>6069000</v>
      </c>
      <c r="BR42" s="11">
        <v>6028000</v>
      </c>
      <c r="BS42" s="11">
        <v>6409000</v>
      </c>
      <c r="BT42" s="11">
        <v>6248000</v>
      </c>
      <c r="BU42" s="11">
        <v>6267000</v>
      </c>
      <c r="BV42" s="11">
        <v>6069000</v>
      </c>
      <c r="BW42" s="11">
        <v>6028000</v>
      </c>
      <c r="BX42" s="7"/>
      <c r="BY42" s="7"/>
      <c r="BZ42" s="7"/>
      <c r="CA42" s="7"/>
      <c r="CB42" s="7"/>
      <c r="CC42" s="11"/>
      <c r="CD42" s="11"/>
      <c r="CE42" s="11"/>
      <c r="CF42" s="11"/>
      <c r="CG42" s="11"/>
      <c r="CH42" s="7"/>
      <c r="CI42" s="7"/>
      <c r="CJ42" s="7"/>
      <c r="CK42" s="7"/>
      <c r="CL42" s="7">
        <v>-19060000</v>
      </c>
      <c r="CM42" s="11">
        <v>6335000</v>
      </c>
      <c r="CN42" s="11">
        <v>6144000</v>
      </c>
      <c r="CO42" s="11">
        <v>5893000</v>
      </c>
      <c r="CP42" s="11">
        <v>5711000</v>
      </c>
      <c r="CQ42" s="11">
        <v>-19060000</v>
      </c>
      <c r="CR42" s="11"/>
      <c r="CS42" s="11"/>
      <c r="CT42" s="11"/>
      <c r="CU42" s="11"/>
      <c r="CV42" s="11"/>
      <c r="CW42" s="11"/>
      <c r="CX42" s="11"/>
      <c r="CY42" s="11"/>
      <c r="CZ42" s="11"/>
      <c r="DA42" s="11"/>
      <c r="DB42" s="11"/>
      <c r="DC42" s="11"/>
      <c r="DD42" s="11"/>
      <c r="DE42" s="11"/>
      <c r="DF42" s="11"/>
      <c r="DG42" s="7"/>
      <c r="DH42" s="7"/>
      <c r="DI42" s="7"/>
      <c r="DJ42" s="7"/>
      <c r="DK42" s="7"/>
      <c r="DL42" s="7">
        <v>74000</v>
      </c>
      <c r="DM42" s="7">
        <v>104000</v>
      </c>
      <c r="DN42" s="7">
        <v>374000</v>
      </c>
      <c r="DO42" s="7">
        <v>358000</v>
      </c>
      <c r="DP42" s="7">
        <v>25088000</v>
      </c>
      <c r="DQ42" s="11"/>
      <c r="DR42" s="11"/>
      <c r="DS42" s="11"/>
      <c r="DT42" s="11"/>
      <c r="DU42" s="11"/>
      <c r="DV42" s="11"/>
      <c r="DW42" s="11"/>
      <c r="DX42" s="11"/>
      <c r="DY42" s="11"/>
      <c r="DZ42" s="11"/>
      <c r="EA42" s="11">
        <v>74000</v>
      </c>
      <c r="EB42" s="11">
        <v>104000</v>
      </c>
      <c r="EC42" s="11">
        <v>374000</v>
      </c>
      <c r="ED42" s="11">
        <v>358000</v>
      </c>
      <c r="EE42" s="11">
        <v>25088000</v>
      </c>
      <c r="EF42" s="7"/>
      <c r="EG42" s="7">
        <v>600000</v>
      </c>
      <c r="EH42" s="7">
        <v>600000</v>
      </c>
      <c r="EI42" s="7">
        <v>622000</v>
      </c>
      <c r="EJ42" s="7"/>
      <c r="EK42" s="7">
        <v>681000</v>
      </c>
      <c r="EL42" s="7">
        <v>694000</v>
      </c>
      <c r="EM42" s="7">
        <v>812000</v>
      </c>
      <c r="EN42" s="7">
        <v>750000</v>
      </c>
      <c r="EO42" s="7"/>
      <c r="EP42" s="7"/>
      <c r="EQ42" s="7"/>
      <c r="ER42" s="7"/>
      <c r="ES42" s="7"/>
      <c r="ET42" s="7"/>
      <c r="EU42" s="7"/>
      <c r="EV42" s="7"/>
      <c r="EW42" s="7"/>
      <c r="EX42" s="7"/>
      <c r="EY42" s="7">
        <v>987000</v>
      </c>
      <c r="EZ42" s="11"/>
      <c r="FA42" s="11"/>
      <c r="FB42" s="11"/>
      <c r="FC42" s="11"/>
      <c r="FD42" s="11"/>
      <c r="FE42" s="11"/>
      <c r="FF42" s="11"/>
      <c r="FG42" s="11"/>
      <c r="FH42" s="11"/>
      <c r="FI42" s="11"/>
      <c r="FJ42" s="11"/>
      <c r="FK42" s="11"/>
      <c r="FL42" s="11"/>
      <c r="FM42" s="11"/>
      <c r="FN42" s="11"/>
      <c r="FO42" s="7">
        <v>4000</v>
      </c>
      <c r="FP42" s="7"/>
      <c r="FQ42" s="7"/>
      <c r="FR42" s="7"/>
      <c r="FS42" s="7">
        <v>805000</v>
      </c>
      <c r="FT42" s="7">
        <v>321000</v>
      </c>
      <c r="FU42" s="7">
        <v>97000</v>
      </c>
      <c r="FV42" s="7">
        <v>33000</v>
      </c>
      <c r="FW42" s="7">
        <v>49000</v>
      </c>
      <c r="FX42" s="7"/>
      <c r="FY42" s="11">
        <v>4000</v>
      </c>
      <c r="FZ42" s="11"/>
      <c r="GA42" s="11">
        <v>6000</v>
      </c>
      <c r="GB42" s="11">
        <v>6000</v>
      </c>
      <c r="GC42" s="11"/>
      <c r="GD42" s="7">
        <v>-1002000</v>
      </c>
      <c r="GE42" s="7">
        <v>-191000</v>
      </c>
      <c r="GF42" s="7">
        <v>-251000</v>
      </c>
      <c r="GG42" s="7">
        <v>-183000</v>
      </c>
      <c r="GH42" s="7">
        <v>-182000</v>
      </c>
    </row>
    <row r="43" spans="1:190" ht="26.25" x14ac:dyDescent="0.25">
      <c r="A43" s="4">
        <v>42</v>
      </c>
      <c r="B43" s="5" t="s">
        <v>298</v>
      </c>
      <c r="C43" s="9" t="s">
        <v>299</v>
      </c>
      <c r="D43" s="7">
        <v>11</v>
      </c>
      <c r="E43" s="6" t="s">
        <v>300</v>
      </c>
      <c r="F43" s="11"/>
      <c r="G43" s="11">
        <v>9371699</v>
      </c>
      <c r="H43" s="11"/>
      <c r="I43" s="11"/>
      <c r="J43" s="11"/>
      <c r="K43" s="11">
        <v>97443186</v>
      </c>
      <c r="L43" s="11">
        <v>154732211</v>
      </c>
      <c r="M43" s="11">
        <v>46151362</v>
      </c>
      <c r="N43" s="11">
        <v>63737</v>
      </c>
      <c r="O43" s="11"/>
      <c r="P43" s="7">
        <v>435415000</v>
      </c>
      <c r="Q43" s="7">
        <v>463280000</v>
      </c>
      <c r="R43" s="7">
        <v>197001000</v>
      </c>
      <c r="S43" s="7">
        <v>146710000</v>
      </c>
      <c r="T43" s="7">
        <v>652440000</v>
      </c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>
        <v>42001000</v>
      </c>
      <c r="AF43" s="11">
        <v>26666000</v>
      </c>
      <c r="AG43" s="11">
        <v>7494000</v>
      </c>
      <c r="AH43" s="11"/>
      <c r="AI43" s="11"/>
      <c r="AJ43" s="11">
        <v>506844000</v>
      </c>
      <c r="AK43" s="11">
        <v>543663000</v>
      </c>
      <c r="AL43" s="11">
        <v>439466000</v>
      </c>
      <c r="AM43" s="11">
        <v>332662000</v>
      </c>
      <c r="AN43" s="11">
        <v>652440000</v>
      </c>
      <c r="AO43" s="7">
        <v>46542000</v>
      </c>
      <c r="AP43" s="7">
        <v>52041000</v>
      </c>
      <c r="AQ43" s="7">
        <v>107426000</v>
      </c>
      <c r="AR43" s="7">
        <v>74876000</v>
      </c>
      <c r="AS43" s="7"/>
      <c r="AT43" s="7">
        <v>289242000</v>
      </c>
      <c r="AU43" s="7">
        <v>510957000</v>
      </c>
      <c r="AV43" s="7">
        <v>52332000</v>
      </c>
      <c r="AW43" s="7">
        <v>11872000</v>
      </c>
      <c r="AX43" s="7"/>
      <c r="AY43" s="11">
        <v>284488000</v>
      </c>
      <c r="AZ43" s="11">
        <v>100735000</v>
      </c>
      <c r="BA43" s="11"/>
      <c r="BB43" s="11"/>
      <c r="BC43" s="11"/>
      <c r="BD43" s="7">
        <v>29339000</v>
      </c>
      <c r="BE43" s="7">
        <v>5059000</v>
      </c>
      <c r="BF43" s="7">
        <v>22948000</v>
      </c>
      <c r="BG43" s="7">
        <v>19263000</v>
      </c>
      <c r="BH43" s="7">
        <v>19263000</v>
      </c>
      <c r="BI43" s="11">
        <v>1483000</v>
      </c>
      <c r="BJ43" s="11">
        <v>13343000</v>
      </c>
      <c r="BK43" s="11">
        <v>1403000</v>
      </c>
      <c r="BL43" s="11">
        <v>2652000</v>
      </c>
      <c r="BM43" s="11"/>
      <c r="BN43" s="11">
        <v>660296000</v>
      </c>
      <c r="BO43" s="11">
        <v>688468000</v>
      </c>
      <c r="BP43" s="11">
        <v>188840000</v>
      </c>
      <c r="BQ43" s="11">
        <v>113394000</v>
      </c>
      <c r="BR43" s="11">
        <v>19263000</v>
      </c>
      <c r="BS43" s="11">
        <v>1167140000</v>
      </c>
      <c r="BT43" s="11">
        <v>1232131000</v>
      </c>
      <c r="BU43" s="11">
        <v>628306000</v>
      </c>
      <c r="BV43" s="11">
        <v>446056000</v>
      </c>
      <c r="BW43" s="11">
        <v>671703000</v>
      </c>
      <c r="BX43" s="7">
        <v>10000</v>
      </c>
      <c r="BY43" s="7">
        <v>10000</v>
      </c>
      <c r="BZ43" s="7">
        <v>10000</v>
      </c>
      <c r="CA43" s="7">
        <v>10000</v>
      </c>
      <c r="CB43" s="7">
        <v>10000</v>
      </c>
      <c r="CC43" s="11">
        <v>320050000</v>
      </c>
      <c r="CD43" s="11">
        <v>451202000</v>
      </c>
      <c r="CE43" s="11">
        <v>289943000</v>
      </c>
      <c r="CF43" s="11">
        <v>289943000</v>
      </c>
      <c r="CG43" s="11">
        <v>289943000</v>
      </c>
      <c r="CH43" s="7">
        <v>-138781000</v>
      </c>
      <c r="CI43" s="7">
        <v>-262137000</v>
      </c>
      <c r="CJ43" s="7">
        <v>-863815000</v>
      </c>
      <c r="CK43" s="7">
        <v>-1092041000</v>
      </c>
      <c r="CL43" s="7">
        <v>380715000</v>
      </c>
      <c r="CM43" s="11">
        <v>181279000</v>
      </c>
      <c r="CN43" s="11">
        <v>189075000</v>
      </c>
      <c r="CO43" s="11">
        <v>-573862000</v>
      </c>
      <c r="CP43" s="11">
        <v>-802088000</v>
      </c>
      <c r="CQ43" s="11">
        <v>670668000</v>
      </c>
      <c r="CR43" s="11">
        <v>5732000</v>
      </c>
      <c r="CS43" s="11"/>
      <c r="CT43" s="11"/>
      <c r="CU43" s="11"/>
      <c r="CV43" s="11"/>
      <c r="CW43" s="11"/>
      <c r="CX43" s="11"/>
      <c r="CY43" s="11"/>
      <c r="CZ43" s="11"/>
      <c r="DA43" s="11">
        <v>1035000</v>
      </c>
      <c r="DB43" s="11">
        <v>10701000</v>
      </c>
      <c r="DC43" s="11">
        <v>2059000</v>
      </c>
      <c r="DD43" s="11">
        <v>114000</v>
      </c>
      <c r="DE43" s="11"/>
      <c r="DF43" s="11">
        <v>1035000</v>
      </c>
      <c r="DG43" s="7">
        <v>360916000</v>
      </c>
      <c r="DH43" s="7">
        <v>389589000</v>
      </c>
      <c r="DI43" s="7">
        <v>398183000</v>
      </c>
      <c r="DJ43" s="7">
        <v>405943000</v>
      </c>
      <c r="DK43" s="7"/>
      <c r="DL43" s="7">
        <v>614017000</v>
      </c>
      <c r="DM43" s="7">
        <v>651376000</v>
      </c>
      <c r="DN43" s="7">
        <v>803871000</v>
      </c>
      <c r="DO43" s="7">
        <v>842197000</v>
      </c>
      <c r="DP43" s="7"/>
      <c r="DQ43" s="11"/>
      <c r="DR43" s="11"/>
      <c r="DS43" s="11"/>
      <c r="DT43" s="11"/>
      <c r="DU43" s="11"/>
      <c r="DV43" s="11"/>
      <c r="DW43" s="11"/>
      <c r="DX43" s="11"/>
      <c r="DY43" s="11"/>
      <c r="DZ43" s="11"/>
      <c r="EA43" s="11">
        <v>975160000</v>
      </c>
      <c r="EB43" s="11">
        <v>1040997000</v>
      </c>
      <c r="EC43" s="11">
        <v>1202054000</v>
      </c>
      <c r="ED43" s="11">
        <v>1248144000</v>
      </c>
      <c r="EE43" s="11"/>
      <c r="EF43" s="7">
        <v>1065179000</v>
      </c>
      <c r="EG43" s="7">
        <v>1179624000</v>
      </c>
      <c r="EH43" s="7">
        <v>819814000</v>
      </c>
      <c r="EI43" s="7">
        <v>363392000</v>
      </c>
      <c r="EJ43" s="7">
        <v>12372000</v>
      </c>
      <c r="EK43" s="7">
        <v>898462000</v>
      </c>
      <c r="EL43" s="7">
        <v>1110541000</v>
      </c>
      <c r="EM43" s="7">
        <v>883497000</v>
      </c>
      <c r="EN43" s="7">
        <v>428389000</v>
      </c>
      <c r="EO43" s="7">
        <v>7770000</v>
      </c>
      <c r="EP43" s="7"/>
      <c r="EQ43" s="7"/>
      <c r="ER43" s="7"/>
      <c r="ES43" s="7"/>
      <c r="ET43" s="7"/>
      <c r="EU43" s="7">
        <v>101633000</v>
      </c>
      <c r="EV43" s="7">
        <v>110639000</v>
      </c>
      <c r="EW43" s="7">
        <v>131795000</v>
      </c>
      <c r="EX43" s="7">
        <v>110061000</v>
      </c>
      <c r="EY43" s="7">
        <v>59398000</v>
      </c>
      <c r="EZ43" s="11"/>
      <c r="FA43" s="11"/>
      <c r="FB43" s="11"/>
      <c r="FC43" s="11"/>
      <c r="FD43" s="11"/>
      <c r="FE43" s="11">
        <v>28189000</v>
      </c>
      <c r="FF43" s="11">
        <v>52842000</v>
      </c>
      <c r="FG43" s="11">
        <v>42785000</v>
      </c>
      <c r="FH43" s="11">
        <v>17993000</v>
      </c>
      <c r="FI43" s="11">
        <v>10284000</v>
      </c>
      <c r="FJ43" s="11">
        <v>27974000</v>
      </c>
      <c r="FK43" s="11">
        <v>49739000</v>
      </c>
      <c r="FL43" s="11">
        <v>31617000</v>
      </c>
      <c r="FM43" s="11">
        <v>7760000</v>
      </c>
      <c r="FN43" s="11"/>
      <c r="FO43" s="7">
        <v>35504000</v>
      </c>
      <c r="FP43" s="7">
        <v>74252000</v>
      </c>
      <c r="FQ43" s="7">
        <v>121544000</v>
      </c>
      <c r="FR43" s="7">
        <v>67375000</v>
      </c>
      <c r="FS43" s="7">
        <v>4411000</v>
      </c>
      <c r="FT43" s="7">
        <v>236844000</v>
      </c>
      <c r="FU43" s="7">
        <v>169416000</v>
      </c>
      <c r="FV43" s="7">
        <v>810073000</v>
      </c>
      <c r="FW43" s="7">
        <v>84027000</v>
      </c>
      <c r="FX43" s="7">
        <v>8709000</v>
      </c>
      <c r="FY43" s="11">
        <v>-299000</v>
      </c>
      <c r="FZ43" s="11">
        <v>26921000</v>
      </c>
      <c r="GA43" s="11">
        <v>117687000</v>
      </c>
      <c r="GB43" s="11">
        <v>-48906000</v>
      </c>
      <c r="GC43" s="11">
        <v>-28158000</v>
      </c>
      <c r="GD43" s="7">
        <v>-140413000</v>
      </c>
      <c r="GE43" s="7">
        <v>-125198000</v>
      </c>
      <c r="GF43" s="7">
        <v>-767351000</v>
      </c>
      <c r="GG43" s="7">
        <v>-239250000</v>
      </c>
      <c r="GH43" s="7">
        <v>-77068000</v>
      </c>
    </row>
    <row r="44" spans="1:190" ht="26.25" x14ac:dyDescent="0.25">
      <c r="A44" s="4">
        <v>43</v>
      </c>
      <c r="B44" s="5" t="s">
        <v>301</v>
      </c>
      <c r="C44" s="9" t="s">
        <v>302</v>
      </c>
      <c r="D44" s="7">
        <v>19</v>
      </c>
      <c r="E44" s="6" t="s">
        <v>303</v>
      </c>
      <c r="F44" s="11">
        <v>111091</v>
      </c>
      <c r="G44" s="11"/>
      <c r="H44" s="11"/>
      <c r="I44" s="11">
        <v>346308</v>
      </c>
      <c r="J44" s="11"/>
      <c r="K44" s="11">
        <v>10010769</v>
      </c>
      <c r="L44" s="11">
        <v>5049735</v>
      </c>
      <c r="M44" s="11">
        <v>29045</v>
      </c>
      <c r="N44" s="11">
        <v>516709</v>
      </c>
      <c r="O44" s="11"/>
      <c r="P44" s="7">
        <v>36586000</v>
      </c>
      <c r="Q44" s="7">
        <v>26832000</v>
      </c>
      <c r="R44" s="7">
        <v>13839000</v>
      </c>
      <c r="S44" s="7"/>
      <c r="T44" s="7">
        <v>2289000</v>
      </c>
      <c r="U44" s="11"/>
      <c r="V44" s="11"/>
      <c r="W44" s="11"/>
      <c r="X44" s="11"/>
      <c r="Y44" s="11"/>
      <c r="Z44" s="11"/>
      <c r="AA44" s="11"/>
      <c r="AB44" s="11">
        <v>8132000</v>
      </c>
      <c r="AC44" s="11"/>
      <c r="AD44" s="11"/>
      <c r="AE44" s="11"/>
      <c r="AF44" s="11"/>
      <c r="AG44" s="11"/>
      <c r="AH44" s="11"/>
      <c r="AI44" s="11"/>
      <c r="AJ44" s="11">
        <v>37809000</v>
      </c>
      <c r="AK44" s="11">
        <v>34043000</v>
      </c>
      <c r="AL44" s="11">
        <v>21971000</v>
      </c>
      <c r="AM44" s="11"/>
      <c r="AN44" s="11">
        <v>2289000</v>
      </c>
      <c r="AO44" s="7">
        <v>45345000</v>
      </c>
      <c r="AP44" s="7">
        <v>20570000</v>
      </c>
      <c r="AQ44" s="7">
        <v>14530000</v>
      </c>
      <c r="AR44" s="7"/>
      <c r="AS44" s="7"/>
      <c r="AT44" s="7">
        <v>10785000</v>
      </c>
      <c r="AU44" s="7">
        <v>16717000</v>
      </c>
      <c r="AV44" s="7">
        <v>21295000</v>
      </c>
      <c r="AW44" s="7"/>
      <c r="AX44" s="7">
        <v>4985000</v>
      </c>
      <c r="AY44" s="11"/>
      <c r="AZ44" s="11"/>
      <c r="BA44" s="11"/>
      <c r="BB44" s="11"/>
      <c r="BC44" s="11"/>
      <c r="BD44" s="7">
        <v>1756000</v>
      </c>
      <c r="BE44" s="7">
        <v>18000</v>
      </c>
      <c r="BF44" s="7">
        <v>8442000</v>
      </c>
      <c r="BG44" s="7"/>
      <c r="BH44" s="7">
        <v>1087000</v>
      </c>
      <c r="BI44" s="11">
        <v>20000</v>
      </c>
      <c r="BJ44" s="11">
        <v>6067000</v>
      </c>
      <c r="BK44" s="11"/>
      <c r="BL44" s="11"/>
      <c r="BM44" s="11"/>
      <c r="BN44" s="11">
        <v>57994000</v>
      </c>
      <c r="BO44" s="11">
        <v>50988000</v>
      </c>
      <c r="BP44" s="11">
        <v>44267000</v>
      </c>
      <c r="BQ44" s="11"/>
      <c r="BR44" s="11">
        <v>6072000</v>
      </c>
      <c r="BS44" s="11">
        <v>95803000</v>
      </c>
      <c r="BT44" s="11">
        <v>85030000</v>
      </c>
      <c r="BU44" s="11">
        <v>66238000</v>
      </c>
      <c r="BV44" s="11"/>
      <c r="BW44" s="11">
        <v>8361000</v>
      </c>
      <c r="BX44" s="7">
        <v>30000</v>
      </c>
      <c r="BY44" s="7">
        <v>30000</v>
      </c>
      <c r="BZ44" s="7"/>
      <c r="CA44" s="7"/>
      <c r="CB44" s="7"/>
      <c r="CC44" s="11"/>
      <c r="CD44" s="11"/>
      <c r="CE44" s="11"/>
      <c r="CF44" s="11"/>
      <c r="CG44" s="11"/>
      <c r="CH44" s="7">
        <v>-58083000</v>
      </c>
      <c r="CI44" s="7">
        <v>-88220000</v>
      </c>
      <c r="CJ44" s="7"/>
      <c r="CK44" s="7"/>
      <c r="CL44" s="7"/>
      <c r="CM44" s="11">
        <v>-58053000</v>
      </c>
      <c r="CN44" s="11">
        <v>-88190000</v>
      </c>
      <c r="CO44" s="11">
        <v>-102870000</v>
      </c>
      <c r="CP44" s="11"/>
      <c r="CQ44" s="11">
        <v>-38298000</v>
      </c>
      <c r="CR44" s="11">
        <v>41564000</v>
      </c>
      <c r="CS44" s="11">
        <v>41564000</v>
      </c>
      <c r="CT44" s="11">
        <v>41564000</v>
      </c>
      <c r="CU44" s="11"/>
      <c r="CV44" s="11"/>
      <c r="CW44" s="11">
        <v>21000</v>
      </c>
      <c r="CX44" s="11">
        <v>21000</v>
      </c>
      <c r="CY44" s="11">
        <v>108000</v>
      </c>
      <c r="CZ44" s="11"/>
      <c r="DA44" s="11"/>
      <c r="DB44" s="11">
        <v>43269000</v>
      </c>
      <c r="DC44" s="11">
        <v>42595000</v>
      </c>
      <c r="DD44" s="11">
        <v>41672000</v>
      </c>
      <c r="DE44" s="11"/>
      <c r="DF44" s="11"/>
      <c r="DG44" s="7"/>
      <c r="DH44" s="7"/>
      <c r="DI44" s="7"/>
      <c r="DJ44" s="7"/>
      <c r="DK44" s="7"/>
      <c r="DL44" s="7">
        <v>110131000</v>
      </c>
      <c r="DM44" s="7">
        <v>130529000</v>
      </c>
      <c r="DN44" s="7">
        <v>127340000</v>
      </c>
      <c r="DO44" s="7"/>
      <c r="DP44" s="7">
        <v>46659000</v>
      </c>
      <c r="DQ44" s="11"/>
      <c r="DR44" s="11"/>
      <c r="DS44" s="11"/>
      <c r="DT44" s="11"/>
      <c r="DU44" s="11"/>
      <c r="DV44" s="11"/>
      <c r="DW44" s="11"/>
      <c r="DX44" s="11">
        <v>97000</v>
      </c>
      <c r="DY44" s="11"/>
      <c r="DZ44" s="11"/>
      <c r="EA44" s="11">
        <v>110587000</v>
      </c>
      <c r="EB44" s="11">
        <v>130625000</v>
      </c>
      <c r="EC44" s="11">
        <v>127437000</v>
      </c>
      <c r="ED44" s="11"/>
      <c r="EE44" s="11">
        <v>46659000</v>
      </c>
      <c r="EF44" s="7">
        <v>168861000</v>
      </c>
      <c r="EG44" s="7">
        <v>33835000</v>
      </c>
      <c r="EH44" s="7"/>
      <c r="EI44" s="7"/>
      <c r="EJ44" s="7"/>
      <c r="EK44" s="7">
        <v>148441000</v>
      </c>
      <c r="EL44" s="7">
        <v>75038000</v>
      </c>
      <c r="EM44" s="7">
        <v>13220000</v>
      </c>
      <c r="EN44" s="7"/>
      <c r="EO44" s="7"/>
      <c r="EP44" s="7"/>
      <c r="EQ44" s="7"/>
      <c r="ER44" s="7"/>
      <c r="ES44" s="7"/>
      <c r="ET44" s="7"/>
      <c r="EU44" s="7">
        <v>23836000</v>
      </c>
      <c r="EV44" s="7">
        <v>4945000</v>
      </c>
      <c r="EW44" s="7"/>
      <c r="EX44" s="7"/>
      <c r="EY44" s="7"/>
      <c r="EZ44" s="11"/>
      <c r="FA44" s="11"/>
      <c r="FB44" s="11"/>
      <c r="FC44" s="11"/>
      <c r="FD44" s="11"/>
      <c r="FE44" s="11"/>
      <c r="FF44" s="11"/>
      <c r="FG44" s="11"/>
      <c r="FH44" s="11"/>
      <c r="FI44" s="11"/>
      <c r="FJ44" s="11"/>
      <c r="FK44" s="11"/>
      <c r="FL44" s="11"/>
      <c r="FM44" s="11"/>
      <c r="FN44" s="11"/>
      <c r="FO44" s="7">
        <v>15422000</v>
      </c>
      <c r="FP44" s="7">
        <v>17152000</v>
      </c>
      <c r="FQ44" s="7">
        <v>13276000</v>
      </c>
      <c r="FR44" s="7"/>
      <c r="FS44" s="7">
        <v>3212000</v>
      </c>
      <c r="FT44" s="7">
        <v>11611000</v>
      </c>
      <c r="FU44" s="7">
        <v>13857000</v>
      </c>
      <c r="FV44" s="7">
        <v>7025000</v>
      </c>
      <c r="FW44" s="7"/>
      <c r="FX44" s="7">
        <v>3204000</v>
      </c>
      <c r="FY44" s="11">
        <v>-460000</v>
      </c>
      <c r="FZ44" s="11">
        <v>7862000</v>
      </c>
      <c r="GA44" s="11">
        <v>-1391000</v>
      </c>
      <c r="GB44" s="11"/>
      <c r="GC44" s="11">
        <v>2000</v>
      </c>
      <c r="GD44" s="7">
        <v>-79374000</v>
      </c>
      <c r="GE44" s="7">
        <v>-34991000</v>
      </c>
      <c r="GF44" s="7">
        <v>-5578000</v>
      </c>
      <c r="GG44" s="7"/>
      <c r="GH44" s="7">
        <v>6000</v>
      </c>
    </row>
    <row r="45" spans="1:190" x14ac:dyDescent="0.25">
      <c r="A45" s="4">
        <v>44</v>
      </c>
      <c r="B45" s="5" t="s">
        <v>304</v>
      </c>
      <c r="C45" s="9" t="s">
        <v>305</v>
      </c>
      <c r="D45" s="7">
        <v>12</v>
      </c>
      <c r="E45" s="6" t="s">
        <v>306</v>
      </c>
      <c r="F45" s="11">
        <v>169850</v>
      </c>
      <c r="G45" s="11"/>
      <c r="H45" s="11"/>
      <c r="I45" s="11"/>
      <c r="J45" s="11"/>
      <c r="K45" s="11">
        <v>379968</v>
      </c>
      <c r="L45" s="11">
        <v>25914</v>
      </c>
      <c r="M45" s="11">
        <v>5002</v>
      </c>
      <c r="N45" s="11"/>
      <c r="O45" s="11"/>
      <c r="P45" s="7"/>
      <c r="Q45" s="7">
        <v>917000</v>
      </c>
      <c r="R45" s="7"/>
      <c r="S45" s="7"/>
      <c r="T45" s="7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>
        <v>149738000</v>
      </c>
      <c r="AF45" s="11"/>
      <c r="AG45" s="11"/>
      <c r="AH45" s="11"/>
      <c r="AI45" s="11"/>
      <c r="AJ45" s="11">
        <v>157844000</v>
      </c>
      <c r="AK45" s="11">
        <v>9170000</v>
      </c>
      <c r="AL45" s="11">
        <v>10472000</v>
      </c>
      <c r="AM45" s="11"/>
      <c r="AN45" s="11"/>
      <c r="AO45" s="7">
        <v>5907000</v>
      </c>
      <c r="AP45" s="7">
        <v>2331000</v>
      </c>
      <c r="AQ45" s="7">
        <v>105000</v>
      </c>
      <c r="AR45" s="7"/>
      <c r="AS45" s="7"/>
      <c r="AT45" s="7">
        <v>24055000</v>
      </c>
      <c r="AU45" s="7">
        <v>19855000</v>
      </c>
      <c r="AV45" s="7">
        <v>5592000</v>
      </c>
      <c r="AW45" s="7"/>
      <c r="AX45" s="7"/>
      <c r="AY45" s="11"/>
      <c r="AZ45" s="11"/>
      <c r="BA45" s="11"/>
      <c r="BB45" s="11"/>
      <c r="BC45" s="11"/>
      <c r="BD45" s="7">
        <v>24000</v>
      </c>
      <c r="BE45" s="7">
        <v>10000</v>
      </c>
      <c r="BF45" s="7">
        <v>7000</v>
      </c>
      <c r="BG45" s="7"/>
      <c r="BH45" s="7"/>
      <c r="BI45" s="11">
        <v>5000</v>
      </c>
      <c r="BJ45" s="11">
        <v>4000</v>
      </c>
      <c r="BK45" s="11"/>
      <c r="BL45" s="11"/>
      <c r="BM45" s="11"/>
      <c r="BN45" s="11">
        <v>30036000</v>
      </c>
      <c r="BO45" s="11">
        <v>22286000</v>
      </c>
      <c r="BP45" s="11">
        <v>5807000</v>
      </c>
      <c r="BQ45" s="11"/>
      <c r="BR45" s="11"/>
      <c r="BS45" s="11">
        <v>187879000</v>
      </c>
      <c r="BT45" s="11">
        <v>31456000</v>
      </c>
      <c r="BU45" s="11">
        <v>16279000</v>
      </c>
      <c r="BV45" s="11"/>
      <c r="BW45" s="11"/>
      <c r="BX45" s="7">
        <v>22000000</v>
      </c>
      <c r="BY45" s="7">
        <v>22000000</v>
      </c>
      <c r="BZ45" s="7">
        <v>22000000</v>
      </c>
      <c r="CA45" s="7"/>
      <c r="CB45" s="7"/>
      <c r="CC45" s="11"/>
      <c r="CD45" s="11"/>
      <c r="CE45" s="11"/>
      <c r="CF45" s="11"/>
      <c r="CG45" s="11"/>
      <c r="CH45" s="7">
        <v>-40562000</v>
      </c>
      <c r="CI45" s="7">
        <v>-77181000</v>
      </c>
      <c r="CJ45" s="7">
        <v>-83520000</v>
      </c>
      <c r="CK45" s="7"/>
      <c r="CL45" s="7"/>
      <c r="CM45" s="11">
        <v>-18562000</v>
      </c>
      <c r="CN45" s="11">
        <v>-55181000</v>
      </c>
      <c r="CO45" s="11">
        <v>-61520000</v>
      </c>
      <c r="CP45" s="11"/>
      <c r="CQ45" s="11"/>
      <c r="CR45" s="11">
        <v>2467000</v>
      </c>
      <c r="CS45" s="11"/>
      <c r="CT45" s="11"/>
      <c r="CU45" s="11"/>
      <c r="CV45" s="11"/>
      <c r="CW45" s="11"/>
      <c r="CX45" s="11"/>
      <c r="CY45" s="11"/>
      <c r="CZ45" s="11"/>
      <c r="DA45" s="11"/>
      <c r="DB45" s="11">
        <v>2467000</v>
      </c>
      <c r="DC45" s="11"/>
      <c r="DD45" s="11"/>
      <c r="DE45" s="11"/>
      <c r="DF45" s="11"/>
      <c r="DG45" s="7">
        <v>27946000</v>
      </c>
      <c r="DH45" s="7">
        <v>12930000</v>
      </c>
      <c r="DI45" s="7">
        <v>2665000</v>
      </c>
      <c r="DJ45" s="7"/>
      <c r="DK45" s="7"/>
      <c r="DL45" s="7">
        <v>48737000</v>
      </c>
      <c r="DM45" s="7">
        <v>73373000</v>
      </c>
      <c r="DN45" s="7">
        <v>75135000</v>
      </c>
      <c r="DO45" s="7"/>
      <c r="DP45" s="7"/>
      <c r="DQ45" s="11">
        <v>126950000</v>
      </c>
      <c r="DR45" s="11"/>
      <c r="DS45" s="11"/>
      <c r="DT45" s="11"/>
      <c r="DU45" s="11"/>
      <c r="DV45" s="11"/>
      <c r="DW45" s="11"/>
      <c r="DX45" s="11"/>
      <c r="DY45" s="11"/>
      <c r="DZ45" s="11"/>
      <c r="EA45" s="11">
        <v>203974000</v>
      </c>
      <c r="EB45" s="11">
        <v>86637000</v>
      </c>
      <c r="EC45" s="11">
        <v>77800000</v>
      </c>
      <c r="ED45" s="11"/>
      <c r="EE45" s="11"/>
      <c r="EF45" s="7">
        <v>7050000</v>
      </c>
      <c r="EG45" s="7">
        <v>100000</v>
      </c>
      <c r="EH45" s="7">
        <v>25000</v>
      </c>
      <c r="EI45" s="7"/>
      <c r="EJ45" s="7"/>
      <c r="EK45" s="7">
        <v>4941000</v>
      </c>
      <c r="EL45" s="7"/>
      <c r="EM45" s="7"/>
      <c r="EN45" s="7"/>
      <c r="EO45" s="7"/>
      <c r="EP45" s="7"/>
      <c r="EQ45" s="7"/>
      <c r="ER45" s="7"/>
      <c r="ES45" s="7"/>
      <c r="ET45" s="7"/>
      <c r="EU45" s="7">
        <v>4996000</v>
      </c>
      <c r="EV45" s="7">
        <v>4337000</v>
      </c>
      <c r="EW45" s="7">
        <v>1267000</v>
      </c>
      <c r="EX45" s="7"/>
      <c r="EY45" s="7"/>
      <c r="EZ45" s="11"/>
      <c r="FA45" s="11"/>
      <c r="FB45" s="11"/>
      <c r="FC45" s="11"/>
      <c r="FD45" s="11"/>
      <c r="FE45" s="11">
        <v>164000</v>
      </c>
      <c r="FF45" s="11"/>
      <c r="FG45" s="11"/>
      <c r="FH45" s="11"/>
      <c r="FI45" s="11"/>
      <c r="FJ45" s="11">
        <v>481000</v>
      </c>
      <c r="FK45" s="11">
        <v>604000</v>
      </c>
      <c r="FL45" s="11">
        <v>594000</v>
      </c>
      <c r="FM45" s="11"/>
      <c r="FN45" s="11"/>
      <c r="FO45" s="7">
        <v>7995000</v>
      </c>
      <c r="FP45" s="7">
        <v>13414000</v>
      </c>
      <c r="FQ45" s="7">
        <v>53000</v>
      </c>
      <c r="FR45" s="7"/>
      <c r="FS45" s="7"/>
      <c r="FT45" s="7">
        <v>13034000</v>
      </c>
      <c r="FU45" s="7">
        <v>45333000</v>
      </c>
      <c r="FV45" s="7">
        <v>6777000</v>
      </c>
      <c r="FW45" s="7"/>
      <c r="FX45" s="7"/>
      <c r="FY45" s="11">
        <v>1600000</v>
      </c>
      <c r="FZ45" s="11">
        <v>99000</v>
      </c>
      <c r="GA45" s="11">
        <v>1471000</v>
      </c>
      <c r="GB45" s="11"/>
      <c r="GC45" s="11"/>
      <c r="GD45" s="7">
        <v>-6643000</v>
      </c>
      <c r="GE45" s="7">
        <v>-36619000</v>
      </c>
      <c r="GF45" s="7">
        <v>-6339000</v>
      </c>
      <c r="GG45" s="7"/>
      <c r="GH45" s="7"/>
    </row>
    <row r="46" spans="1:190" x14ac:dyDescent="0.25">
      <c r="A46" s="4">
        <v>45</v>
      </c>
      <c r="B46" s="5" t="s">
        <v>307</v>
      </c>
      <c r="C46" s="9" t="s">
        <v>308</v>
      </c>
      <c r="D46" s="7">
        <v>20</v>
      </c>
      <c r="E46" s="6" t="s">
        <v>309</v>
      </c>
      <c r="F46" s="11">
        <v>74848</v>
      </c>
      <c r="G46" s="11">
        <v>9946</v>
      </c>
      <c r="H46" s="11">
        <v>770</v>
      </c>
      <c r="I46" s="11">
        <v>12015</v>
      </c>
      <c r="J46" s="11"/>
      <c r="K46" s="11">
        <v>184920</v>
      </c>
      <c r="L46" s="11">
        <v>20366</v>
      </c>
      <c r="M46" s="11">
        <v>96711</v>
      </c>
      <c r="N46" s="11">
        <v>330062</v>
      </c>
      <c r="O46" s="11"/>
      <c r="P46" s="7"/>
      <c r="Q46" s="7">
        <v>1000</v>
      </c>
      <c r="R46" s="7">
        <v>1000</v>
      </c>
      <c r="S46" s="7">
        <v>1000</v>
      </c>
      <c r="T46" s="7">
        <v>1000</v>
      </c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>
        <v>1000</v>
      </c>
      <c r="AL46" s="11">
        <v>1000</v>
      </c>
      <c r="AM46" s="11">
        <v>1000</v>
      </c>
      <c r="AN46" s="11">
        <v>1000</v>
      </c>
      <c r="AO46" s="7"/>
      <c r="AP46" s="7"/>
      <c r="AQ46" s="7"/>
      <c r="AR46" s="7"/>
      <c r="AS46" s="7"/>
      <c r="AT46" s="7">
        <v>4850000</v>
      </c>
      <c r="AU46" s="7">
        <v>3715000</v>
      </c>
      <c r="AV46" s="7">
        <v>3635000</v>
      </c>
      <c r="AW46" s="7">
        <v>3675000</v>
      </c>
      <c r="AX46" s="7">
        <v>3215000</v>
      </c>
      <c r="AY46" s="11"/>
      <c r="AZ46" s="11"/>
      <c r="BA46" s="11"/>
      <c r="BB46" s="11"/>
      <c r="BC46" s="11"/>
      <c r="BD46" s="7">
        <v>288000</v>
      </c>
      <c r="BE46" s="7">
        <v>445000</v>
      </c>
      <c r="BF46" s="7">
        <v>907000</v>
      </c>
      <c r="BG46" s="7">
        <v>225000</v>
      </c>
      <c r="BH46" s="7">
        <v>1000</v>
      </c>
      <c r="BI46" s="11"/>
      <c r="BJ46" s="11"/>
      <c r="BK46" s="11"/>
      <c r="BL46" s="11"/>
      <c r="BM46" s="11"/>
      <c r="BN46" s="11">
        <v>5138000</v>
      </c>
      <c r="BO46" s="11">
        <v>4160000</v>
      </c>
      <c r="BP46" s="11">
        <v>4542000</v>
      </c>
      <c r="BQ46" s="11">
        <v>3900000</v>
      </c>
      <c r="BR46" s="11">
        <v>3216000</v>
      </c>
      <c r="BS46" s="11">
        <v>5138000</v>
      </c>
      <c r="BT46" s="11">
        <v>4162000</v>
      </c>
      <c r="BU46" s="11">
        <v>4543000</v>
      </c>
      <c r="BV46" s="11">
        <v>3900000</v>
      </c>
      <c r="BW46" s="11">
        <v>3217000</v>
      </c>
      <c r="BX46" s="7"/>
      <c r="BY46" s="7"/>
      <c r="BZ46" s="7"/>
      <c r="CA46" s="7"/>
      <c r="CB46" s="7"/>
      <c r="CC46" s="11"/>
      <c r="CD46" s="11"/>
      <c r="CE46" s="11"/>
      <c r="CF46" s="11"/>
      <c r="CG46" s="11"/>
      <c r="CH46" s="7"/>
      <c r="CI46" s="7"/>
      <c r="CJ46" s="7"/>
      <c r="CK46" s="7"/>
      <c r="CL46" s="7"/>
      <c r="CM46" s="11">
        <v>714000</v>
      </c>
      <c r="CN46" s="11">
        <v>-69000</v>
      </c>
      <c r="CO46" s="11">
        <v>-67000</v>
      </c>
      <c r="CP46" s="11">
        <v>-317000</v>
      </c>
      <c r="CQ46" s="11">
        <v>-1028000</v>
      </c>
      <c r="CR46" s="11"/>
      <c r="CS46" s="11"/>
      <c r="CT46" s="11"/>
      <c r="CU46" s="11"/>
      <c r="CV46" s="11"/>
      <c r="CW46" s="11"/>
      <c r="CX46" s="11"/>
      <c r="CY46" s="11"/>
      <c r="CZ46" s="11"/>
      <c r="DA46" s="11"/>
      <c r="DB46" s="11"/>
      <c r="DC46" s="11"/>
      <c r="DD46" s="11"/>
      <c r="DE46" s="11"/>
      <c r="DF46" s="11"/>
      <c r="DG46" s="7"/>
      <c r="DH46" s="7"/>
      <c r="DI46" s="7"/>
      <c r="DJ46" s="7"/>
      <c r="DK46" s="7">
        <v>38000</v>
      </c>
      <c r="DL46" s="7">
        <v>4424000</v>
      </c>
      <c r="DM46" s="7">
        <v>4231000</v>
      </c>
      <c r="DN46" s="7">
        <v>4610000</v>
      </c>
      <c r="DO46" s="7">
        <v>4217000</v>
      </c>
      <c r="DP46" s="7">
        <v>4207000</v>
      </c>
      <c r="DQ46" s="11"/>
      <c r="DR46" s="11"/>
      <c r="DS46" s="11"/>
      <c r="DT46" s="11"/>
      <c r="DU46" s="11"/>
      <c r="DV46" s="11"/>
      <c r="DW46" s="11"/>
      <c r="DX46" s="11"/>
      <c r="DY46" s="11"/>
      <c r="DZ46" s="11"/>
      <c r="EA46" s="11">
        <v>4424000</v>
      </c>
      <c r="EB46" s="11">
        <v>4231000</v>
      </c>
      <c r="EC46" s="11">
        <v>4610000</v>
      </c>
      <c r="ED46" s="11">
        <v>4217000</v>
      </c>
      <c r="EE46" s="11">
        <v>4245000</v>
      </c>
      <c r="EF46" s="7">
        <v>1013000</v>
      </c>
      <c r="EG46" s="7">
        <v>43000</v>
      </c>
      <c r="EH46" s="7">
        <v>5836000</v>
      </c>
      <c r="EI46" s="7"/>
      <c r="EJ46" s="7"/>
      <c r="EK46" s="7">
        <v>862000</v>
      </c>
      <c r="EL46" s="7">
        <v>811000</v>
      </c>
      <c r="EM46" s="7">
        <v>5546000</v>
      </c>
      <c r="EN46" s="7">
        <v>223000</v>
      </c>
      <c r="EO46" s="7">
        <v>138000</v>
      </c>
      <c r="EP46" s="7"/>
      <c r="EQ46" s="7"/>
      <c r="ER46" s="7"/>
      <c r="ES46" s="7"/>
      <c r="ET46" s="7"/>
      <c r="EU46" s="7"/>
      <c r="EV46" s="7"/>
      <c r="EW46" s="7"/>
      <c r="EX46" s="7"/>
      <c r="EY46" s="7"/>
      <c r="EZ46" s="11"/>
      <c r="FA46" s="11"/>
      <c r="FB46" s="11"/>
      <c r="FC46" s="11"/>
      <c r="FD46" s="11"/>
      <c r="FE46" s="11"/>
      <c r="FF46" s="11"/>
      <c r="FG46" s="11"/>
      <c r="FH46" s="11"/>
      <c r="FI46" s="11"/>
      <c r="FJ46" s="11"/>
      <c r="FK46" s="11"/>
      <c r="FL46" s="11"/>
      <c r="FM46" s="11"/>
      <c r="FN46" s="11"/>
      <c r="FO46" s="7">
        <v>2000</v>
      </c>
      <c r="FP46" s="7">
        <v>5000</v>
      </c>
      <c r="FQ46" s="7">
        <v>7000</v>
      </c>
      <c r="FR46" s="7">
        <v>25000</v>
      </c>
      <c r="FS46" s="7"/>
      <c r="FT46" s="7">
        <v>255000</v>
      </c>
      <c r="FU46" s="7">
        <v>19000</v>
      </c>
      <c r="FV46" s="7">
        <v>296000</v>
      </c>
      <c r="FW46" s="7">
        <v>51000</v>
      </c>
      <c r="FX46" s="7">
        <v>12000</v>
      </c>
      <c r="FY46" s="11">
        <v>19000</v>
      </c>
      <c r="FZ46" s="11">
        <v>1000</v>
      </c>
      <c r="GA46" s="11"/>
      <c r="GB46" s="11"/>
      <c r="GC46" s="11"/>
      <c r="GD46" s="7">
        <v>-121000</v>
      </c>
      <c r="GE46" s="7">
        <v>-783000</v>
      </c>
      <c r="GF46" s="7">
        <v>1000</v>
      </c>
      <c r="GG46" s="7">
        <v>-249000</v>
      </c>
      <c r="GH46" s="7">
        <v>-150000</v>
      </c>
    </row>
    <row r="47" spans="1:190" ht="26.25" x14ac:dyDescent="0.25">
      <c r="A47" s="4">
        <v>46</v>
      </c>
      <c r="B47" s="5" t="s">
        <v>310</v>
      </c>
      <c r="C47" s="9" t="s">
        <v>311</v>
      </c>
      <c r="D47" s="7">
        <v>13</v>
      </c>
      <c r="E47" s="6" t="s">
        <v>312</v>
      </c>
      <c r="F47" s="11">
        <v>2353262</v>
      </c>
      <c r="G47" s="11">
        <v>1711034</v>
      </c>
      <c r="H47" s="11">
        <v>2531311</v>
      </c>
      <c r="I47" s="11"/>
      <c r="J47" s="11"/>
      <c r="K47" s="11">
        <v>11934526</v>
      </c>
      <c r="L47" s="11">
        <v>10439074</v>
      </c>
      <c r="M47" s="11">
        <v>18029656</v>
      </c>
      <c r="N47" s="11">
        <v>1050493</v>
      </c>
      <c r="O47" s="11">
        <v>4458206</v>
      </c>
      <c r="P47" s="7">
        <v>68214000</v>
      </c>
      <c r="Q47" s="7">
        <v>43248000</v>
      </c>
      <c r="R47" s="7">
        <v>29472000</v>
      </c>
      <c r="S47" s="7">
        <v>1716000</v>
      </c>
      <c r="T47" s="7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>
        <v>68214000</v>
      </c>
      <c r="AK47" s="11">
        <v>43248000</v>
      </c>
      <c r="AL47" s="11">
        <v>29472000</v>
      </c>
      <c r="AM47" s="11">
        <v>1716000</v>
      </c>
      <c r="AN47" s="11"/>
      <c r="AO47" s="7">
        <v>377184000</v>
      </c>
      <c r="AP47" s="7">
        <v>472036000</v>
      </c>
      <c r="AQ47" s="7">
        <v>4345000</v>
      </c>
      <c r="AR47" s="7"/>
      <c r="AS47" s="7"/>
      <c r="AT47" s="7">
        <v>102352000</v>
      </c>
      <c r="AU47" s="7">
        <v>91462000</v>
      </c>
      <c r="AV47" s="7">
        <v>60234000</v>
      </c>
      <c r="AW47" s="7">
        <v>51880000</v>
      </c>
      <c r="AX47" s="7">
        <v>33032000</v>
      </c>
      <c r="AY47" s="11">
        <v>4000000</v>
      </c>
      <c r="AZ47" s="11">
        <v>14300000</v>
      </c>
      <c r="BA47" s="11">
        <v>14303000</v>
      </c>
      <c r="BB47" s="11">
        <v>14300000</v>
      </c>
      <c r="BC47" s="11">
        <v>10300000</v>
      </c>
      <c r="BD47" s="7">
        <v>9000</v>
      </c>
      <c r="BE47" s="7">
        <v>20621000</v>
      </c>
      <c r="BF47" s="7">
        <v>2902000</v>
      </c>
      <c r="BG47" s="7">
        <v>1780000</v>
      </c>
      <c r="BH47" s="7">
        <v>5295000</v>
      </c>
      <c r="BI47" s="11">
        <v>13882000</v>
      </c>
      <c r="BJ47" s="11">
        <v>14000</v>
      </c>
      <c r="BK47" s="11">
        <v>12000</v>
      </c>
      <c r="BL47" s="11">
        <v>34000</v>
      </c>
      <c r="BM47" s="11">
        <v>34000</v>
      </c>
      <c r="BN47" s="11">
        <v>504519000</v>
      </c>
      <c r="BO47" s="11">
        <v>602510000</v>
      </c>
      <c r="BP47" s="11">
        <v>84884000</v>
      </c>
      <c r="BQ47" s="11">
        <v>69543000</v>
      </c>
      <c r="BR47" s="11">
        <v>50210000</v>
      </c>
      <c r="BS47" s="11">
        <v>572733000</v>
      </c>
      <c r="BT47" s="11">
        <v>645759000</v>
      </c>
      <c r="BU47" s="11">
        <v>114356000</v>
      </c>
      <c r="BV47" s="11">
        <v>71259000</v>
      </c>
      <c r="BW47" s="11">
        <v>50210000</v>
      </c>
      <c r="BX47" s="7">
        <v>12000</v>
      </c>
      <c r="BY47" s="7">
        <v>12000</v>
      </c>
      <c r="BZ47" s="7">
        <v>12000</v>
      </c>
      <c r="CA47" s="7">
        <v>12000</v>
      </c>
      <c r="CB47" s="7">
        <v>12000</v>
      </c>
      <c r="CC47" s="11"/>
      <c r="CD47" s="11"/>
      <c r="CE47" s="11"/>
      <c r="CF47" s="11"/>
      <c r="CG47" s="11"/>
      <c r="CH47" s="7">
        <v>35371000</v>
      </c>
      <c r="CI47" s="7">
        <v>40893000</v>
      </c>
      <c r="CJ47" s="7">
        <v>-443877000</v>
      </c>
      <c r="CK47" s="7">
        <v>-467940000</v>
      </c>
      <c r="CL47" s="7">
        <v>-468411000</v>
      </c>
      <c r="CM47" s="11">
        <v>35383000</v>
      </c>
      <c r="CN47" s="11">
        <v>40905000</v>
      </c>
      <c r="CO47" s="11">
        <v>-443865000</v>
      </c>
      <c r="CP47" s="11">
        <v>-467928000</v>
      </c>
      <c r="CQ47" s="11">
        <v>-468399000</v>
      </c>
      <c r="CR47" s="11">
        <v>57974000</v>
      </c>
      <c r="CS47" s="11">
        <v>96473000</v>
      </c>
      <c r="CT47" s="11">
        <v>89217000</v>
      </c>
      <c r="CU47" s="11">
        <v>56619000</v>
      </c>
      <c r="CV47" s="11">
        <v>29403000</v>
      </c>
      <c r="CW47" s="11">
        <v>120816000</v>
      </c>
      <c r="CX47" s="11">
        <v>15582000</v>
      </c>
      <c r="CY47" s="11"/>
      <c r="CZ47" s="11"/>
      <c r="DA47" s="11"/>
      <c r="DB47" s="11">
        <v>178790000</v>
      </c>
      <c r="DC47" s="11">
        <v>112055000</v>
      </c>
      <c r="DD47" s="11">
        <v>89217000</v>
      </c>
      <c r="DE47" s="11">
        <v>56619000</v>
      </c>
      <c r="DF47" s="11">
        <v>29403000</v>
      </c>
      <c r="DG47" s="7">
        <v>176311000</v>
      </c>
      <c r="DH47" s="7">
        <v>164861000</v>
      </c>
      <c r="DI47" s="7">
        <v>146170000</v>
      </c>
      <c r="DJ47" s="7">
        <v>143745000</v>
      </c>
      <c r="DK47" s="7">
        <v>143745000</v>
      </c>
      <c r="DL47" s="7">
        <v>182248000</v>
      </c>
      <c r="DM47" s="7">
        <v>327937000</v>
      </c>
      <c r="DN47" s="7">
        <v>322834000</v>
      </c>
      <c r="DO47" s="7">
        <v>338823000</v>
      </c>
      <c r="DP47" s="7">
        <v>345461000</v>
      </c>
      <c r="DQ47" s="11"/>
      <c r="DR47" s="11"/>
      <c r="DS47" s="11"/>
      <c r="DT47" s="11"/>
      <c r="DU47" s="11"/>
      <c r="DV47" s="11"/>
      <c r="DW47" s="11"/>
      <c r="DX47" s="11"/>
      <c r="DY47" s="11"/>
      <c r="DZ47" s="11"/>
      <c r="EA47" s="11">
        <v>358560000</v>
      </c>
      <c r="EB47" s="11">
        <v>492798000</v>
      </c>
      <c r="EC47" s="11">
        <v>469005000</v>
      </c>
      <c r="ED47" s="11">
        <v>482568000</v>
      </c>
      <c r="EE47" s="11">
        <v>489206000</v>
      </c>
      <c r="EF47" s="7">
        <v>423926000</v>
      </c>
      <c r="EG47" s="7">
        <v>445677000</v>
      </c>
      <c r="EH47" s="7">
        <v>358122000</v>
      </c>
      <c r="EI47" s="7">
        <v>80198000</v>
      </c>
      <c r="EJ47" s="7"/>
      <c r="EK47" s="7">
        <v>354131000</v>
      </c>
      <c r="EL47" s="7">
        <v>388142000</v>
      </c>
      <c r="EM47" s="7">
        <v>317784000</v>
      </c>
      <c r="EN47" s="7">
        <v>101215000</v>
      </c>
      <c r="EO47" s="7">
        <v>238000</v>
      </c>
      <c r="EP47" s="7"/>
      <c r="EQ47" s="7"/>
      <c r="ER47" s="7"/>
      <c r="ES47" s="7"/>
      <c r="ET47" s="7"/>
      <c r="EU47" s="7">
        <v>69637000</v>
      </c>
      <c r="EV47" s="7">
        <v>50219000</v>
      </c>
      <c r="EW47" s="7">
        <v>44506000</v>
      </c>
      <c r="EX47" s="7">
        <v>22556000</v>
      </c>
      <c r="EY47" s="7">
        <v>504000</v>
      </c>
      <c r="EZ47" s="11"/>
      <c r="FA47" s="11"/>
      <c r="FB47" s="11"/>
      <c r="FC47" s="11"/>
      <c r="FD47" s="11"/>
      <c r="FE47" s="11"/>
      <c r="FF47" s="11">
        <v>4000</v>
      </c>
      <c r="FG47" s="11">
        <v>6000</v>
      </c>
      <c r="FH47" s="11"/>
      <c r="FI47" s="11"/>
      <c r="FJ47" s="11">
        <v>22440000</v>
      </c>
      <c r="FK47" s="11">
        <v>19837000</v>
      </c>
      <c r="FL47" s="11">
        <v>18970000</v>
      </c>
      <c r="FM47" s="11">
        <v>1910000</v>
      </c>
      <c r="FN47" s="11"/>
      <c r="FO47" s="7">
        <v>104063000</v>
      </c>
      <c r="FP47" s="7">
        <v>159054000</v>
      </c>
      <c r="FQ47" s="7">
        <v>60587000</v>
      </c>
      <c r="FR47" s="7">
        <v>57442000</v>
      </c>
      <c r="FS47" s="7">
        <v>28081000</v>
      </c>
      <c r="FT47" s="7">
        <v>73278000</v>
      </c>
      <c r="FU47" s="7">
        <v>137538000</v>
      </c>
      <c r="FV47" s="7">
        <v>521656000</v>
      </c>
      <c r="FW47" s="7">
        <v>36022000</v>
      </c>
      <c r="FX47" s="7">
        <v>27810000</v>
      </c>
      <c r="FY47" s="11">
        <v>-1752000</v>
      </c>
      <c r="FZ47" s="11">
        <v>-1710000</v>
      </c>
      <c r="GA47" s="11"/>
      <c r="GB47" s="11"/>
      <c r="GC47" s="11"/>
      <c r="GD47" s="7">
        <v>3982000</v>
      </c>
      <c r="GE47" s="7">
        <v>5522000</v>
      </c>
      <c r="GF47" s="7">
        <v>-484770000</v>
      </c>
      <c r="GG47" s="7">
        <v>-24063000</v>
      </c>
      <c r="GH47" s="7">
        <v>-471000</v>
      </c>
    </row>
    <row r="48" spans="1:190" x14ac:dyDescent="0.25">
      <c r="A48" s="4">
        <v>47</v>
      </c>
      <c r="B48" s="5" t="s">
        <v>313</v>
      </c>
      <c r="C48" s="9" t="s">
        <v>314</v>
      </c>
      <c r="D48" s="7">
        <v>19</v>
      </c>
      <c r="E48" s="6" t="s">
        <v>315</v>
      </c>
      <c r="F48" s="11"/>
      <c r="G48" s="11"/>
      <c r="H48" s="11">
        <v>1201</v>
      </c>
      <c r="I48" s="11"/>
      <c r="J48" s="11">
        <v>6807</v>
      </c>
      <c r="K48" s="11"/>
      <c r="L48" s="11">
        <v>228000</v>
      </c>
      <c r="M48" s="11">
        <v>320000</v>
      </c>
      <c r="N48" s="11"/>
      <c r="O48" s="11">
        <v>539553</v>
      </c>
      <c r="P48" s="7">
        <v>49759000</v>
      </c>
      <c r="Q48" s="7"/>
      <c r="R48" s="7"/>
      <c r="S48" s="7"/>
      <c r="T48" s="7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>
        <v>49759000</v>
      </c>
      <c r="AK48" s="11"/>
      <c r="AL48" s="11"/>
      <c r="AM48" s="11"/>
      <c r="AN48" s="11"/>
      <c r="AO48" s="7">
        <v>984000</v>
      </c>
      <c r="AP48" s="7"/>
      <c r="AQ48" s="7"/>
      <c r="AR48" s="7"/>
      <c r="AS48" s="7"/>
      <c r="AT48" s="7">
        <v>16961000</v>
      </c>
      <c r="AU48" s="7"/>
      <c r="AV48" s="7"/>
      <c r="AW48" s="7"/>
      <c r="AX48" s="7"/>
      <c r="AY48" s="11"/>
      <c r="AZ48" s="11"/>
      <c r="BA48" s="11"/>
      <c r="BB48" s="11"/>
      <c r="BC48" s="11"/>
      <c r="BD48" s="7"/>
      <c r="BE48" s="7"/>
      <c r="BF48" s="7"/>
      <c r="BG48" s="7"/>
      <c r="BH48" s="7"/>
      <c r="BI48" s="11"/>
      <c r="BJ48" s="11"/>
      <c r="BK48" s="11"/>
      <c r="BL48" s="11"/>
      <c r="BM48" s="11"/>
      <c r="BN48" s="11">
        <v>17945000</v>
      </c>
      <c r="BO48" s="11"/>
      <c r="BP48" s="11"/>
      <c r="BQ48" s="11"/>
      <c r="BR48" s="11"/>
      <c r="BS48" s="11">
        <v>67704000</v>
      </c>
      <c r="BT48" s="11"/>
      <c r="BU48" s="11"/>
      <c r="BV48" s="11"/>
      <c r="BW48" s="11"/>
      <c r="BX48" s="7">
        <v>10000</v>
      </c>
      <c r="BY48" s="7"/>
      <c r="BZ48" s="7"/>
      <c r="CA48" s="7"/>
      <c r="CB48" s="7"/>
      <c r="CC48" s="11"/>
      <c r="CD48" s="11"/>
      <c r="CE48" s="11"/>
      <c r="CF48" s="11"/>
      <c r="CG48" s="11"/>
      <c r="CH48" s="7">
        <v>56586000</v>
      </c>
      <c r="CI48" s="7"/>
      <c r="CJ48" s="7"/>
      <c r="CK48" s="7"/>
      <c r="CL48" s="7"/>
      <c r="CM48" s="11">
        <v>56596000</v>
      </c>
      <c r="CN48" s="11"/>
      <c r="CO48" s="11"/>
      <c r="CP48" s="11"/>
      <c r="CQ48" s="11"/>
      <c r="CR48" s="11"/>
      <c r="CS48" s="11"/>
      <c r="CT48" s="11"/>
      <c r="CU48" s="11"/>
      <c r="CV48" s="11"/>
      <c r="CW48" s="11"/>
      <c r="CX48" s="11"/>
      <c r="CY48" s="11"/>
      <c r="CZ48" s="11"/>
      <c r="DA48" s="11"/>
      <c r="DB48" s="11"/>
      <c r="DC48" s="11"/>
      <c r="DD48" s="11"/>
      <c r="DE48" s="11"/>
      <c r="DF48" s="11"/>
      <c r="DG48" s="7">
        <v>2813000</v>
      </c>
      <c r="DH48" s="7"/>
      <c r="DI48" s="7"/>
      <c r="DJ48" s="7"/>
      <c r="DK48" s="7"/>
      <c r="DL48" s="7">
        <v>8295000</v>
      </c>
      <c r="DM48" s="7"/>
      <c r="DN48" s="7"/>
      <c r="DO48" s="7"/>
      <c r="DP48" s="7"/>
      <c r="DQ48" s="11"/>
      <c r="DR48" s="11"/>
      <c r="DS48" s="11"/>
      <c r="DT48" s="11"/>
      <c r="DU48" s="11"/>
      <c r="DV48" s="11"/>
      <c r="DW48" s="11"/>
      <c r="DX48" s="11"/>
      <c r="DY48" s="11"/>
      <c r="DZ48" s="11"/>
      <c r="EA48" s="11">
        <v>11108000</v>
      </c>
      <c r="EB48" s="11"/>
      <c r="EC48" s="11"/>
      <c r="ED48" s="11"/>
      <c r="EE48" s="11"/>
      <c r="EF48" s="7">
        <v>3834000</v>
      </c>
      <c r="EG48" s="7"/>
      <c r="EH48" s="7"/>
      <c r="EI48" s="7"/>
      <c r="EJ48" s="7"/>
      <c r="EK48" s="7"/>
      <c r="EL48" s="7"/>
      <c r="EM48" s="7"/>
      <c r="EN48" s="7"/>
      <c r="EO48" s="7"/>
      <c r="EP48" s="7"/>
      <c r="EQ48" s="7"/>
      <c r="ER48" s="7"/>
      <c r="ES48" s="7"/>
      <c r="ET48" s="7"/>
      <c r="EU48" s="7">
        <v>4405000</v>
      </c>
      <c r="EV48" s="7"/>
      <c r="EW48" s="7"/>
      <c r="EX48" s="7"/>
      <c r="EY48" s="7"/>
      <c r="EZ48" s="11"/>
      <c r="FA48" s="11"/>
      <c r="FB48" s="11"/>
      <c r="FC48" s="11"/>
      <c r="FD48" s="11"/>
      <c r="FE48" s="11"/>
      <c r="FF48" s="11"/>
      <c r="FG48" s="11"/>
      <c r="FH48" s="11"/>
      <c r="FI48" s="11"/>
      <c r="FJ48" s="11"/>
      <c r="FK48" s="11"/>
      <c r="FL48" s="11"/>
      <c r="FM48" s="11"/>
      <c r="FN48" s="11"/>
      <c r="FO48" s="7">
        <v>690000</v>
      </c>
      <c r="FP48" s="7"/>
      <c r="FQ48" s="7"/>
      <c r="FR48" s="7"/>
      <c r="FS48" s="7"/>
      <c r="FT48" s="7"/>
      <c r="FU48" s="7"/>
      <c r="FV48" s="7"/>
      <c r="FW48" s="7"/>
      <c r="FX48" s="7"/>
      <c r="FY48" s="11">
        <v>-24000</v>
      </c>
      <c r="FZ48" s="11"/>
      <c r="GA48" s="11"/>
      <c r="GB48" s="11"/>
      <c r="GC48" s="11"/>
      <c r="GD48" s="7">
        <v>95000</v>
      </c>
      <c r="GE48" s="7"/>
      <c r="GF48" s="7"/>
      <c r="GG48" s="7"/>
      <c r="GH48" s="7"/>
    </row>
    <row r="49" spans="1:190" x14ac:dyDescent="0.25">
      <c r="A49" s="4">
        <v>48</v>
      </c>
      <c r="B49" s="5" t="s">
        <v>316</v>
      </c>
      <c r="C49" s="9" t="s">
        <v>317</v>
      </c>
      <c r="D49" s="7">
        <v>8</v>
      </c>
      <c r="E49" s="6" t="s">
        <v>318</v>
      </c>
      <c r="F49" s="11"/>
      <c r="G49" s="11"/>
      <c r="H49" s="11"/>
      <c r="I49" s="11"/>
      <c r="J49" s="11"/>
      <c r="K49" s="11"/>
      <c r="L49" s="11">
        <v>173621</v>
      </c>
      <c r="M49" s="11">
        <v>43412</v>
      </c>
      <c r="N49" s="11"/>
      <c r="O49" s="11"/>
      <c r="P49" s="7">
        <v>4203000</v>
      </c>
      <c r="Q49" s="7">
        <v>3693000</v>
      </c>
      <c r="R49" s="7"/>
      <c r="S49" s="7"/>
      <c r="T49" s="7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>
        <v>4203000</v>
      </c>
      <c r="AK49" s="11">
        <v>3693000</v>
      </c>
      <c r="AL49" s="11"/>
      <c r="AM49" s="11"/>
      <c r="AN49" s="11"/>
      <c r="AO49" s="7"/>
      <c r="AP49" s="7">
        <v>2198000</v>
      </c>
      <c r="AQ49" s="7">
        <v>377000</v>
      </c>
      <c r="AR49" s="7"/>
      <c r="AS49" s="7"/>
      <c r="AT49" s="7">
        <v>16046000</v>
      </c>
      <c r="AU49" s="7">
        <v>14658000</v>
      </c>
      <c r="AV49" s="7">
        <v>12788000</v>
      </c>
      <c r="AW49" s="7">
        <v>10801000</v>
      </c>
      <c r="AX49" s="7">
        <v>9278000</v>
      </c>
      <c r="AY49" s="11"/>
      <c r="AZ49" s="11"/>
      <c r="BA49" s="11"/>
      <c r="BB49" s="11"/>
      <c r="BC49" s="11"/>
      <c r="BD49" s="7">
        <v>1747000</v>
      </c>
      <c r="BE49" s="7">
        <v>2443000</v>
      </c>
      <c r="BF49" s="7">
        <v>5533000</v>
      </c>
      <c r="BG49" s="7">
        <v>1973000</v>
      </c>
      <c r="BH49" s="7">
        <v>1505000</v>
      </c>
      <c r="BI49" s="11"/>
      <c r="BJ49" s="11"/>
      <c r="BK49" s="11"/>
      <c r="BL49" s="11"/>
      <c r="BM49" s="11"/>
      <c r="BN49" s="11">
        <v>17793000</v>
      </c>
      <c r="BO49" s="11">
        <v>19299000</v>
      </c>
      <c r="BP49" s="11">
        <v>18698000</v>
      </c>
      <c r="BQ49" s="11">
        <v>12774000</v>
      </c>
      <c r="BR49" s="11">
        <v>10783000</v>
      </c>
      <c r="BS49" s="11">
        <v>21996000</v>
      </c>
      <c r="BT49" s="11">
        <v>22992000</v>
      </c>
      <c r="BU49" s="11">
        <v>18698000</v>
      </c>
      <c r="BV49" s="11">
        <v>12774000</v>
      </c>
      <c r="BW49" s="11">
        <v>10783000</v>
      </c>
      <c r="BX49" s="7"/>
      <c r="BY49" s="7"/>
      <c r="BZ49" s="7"/>
      <c r="CA49" s="7"/>
      <c r="CB49" s="7"/>
      <c r="CC49" s="11"/>
      <c r="CD49" s="11"/>
      <c r="CE49" s="11"/>
      <c r="CF49" s="11"/>
      <c r="CG49" s="11"/>
      <c r="CH49" s="7"/>
      <c r="CI49" s="7"/>
      <c r="CJ49" s="7"/>
      <c r="CK49" s="7"/>
      <c r="CL49" s="7"/>
      <c r="CM49" s="11">
        <v>1010000</v>
      </c>
      <c r="CN49" s="11">
        <v>-3414000</v>
      </c>
      <c r="CO49" s="11">
        <v>-9041000</v>
      </c>
      <c r="CP49" s="11">
        <v>-11595000</v>
      </c>
      <c r="CQ49" s="11">
        <v>-12148000</v>
      </c>
      <c r="CR49" s="11">
        <v>16000</v>
      </c>
      <c r="CS49" s="11">
        <v>16000</v>
      </c>
      <c r="CT49" s="11">
        <v>16000</v>
      </c>
      <c r="CU49" s="11">
        <v>16000</v>
      </c>
      <c r="CV49" s="11">
        <v>16000</v>
      </c>
      <c r="CW49" s="11"/>
      <c r="CX49" s="11"/>
      <c r="CY49" s="11"/>
      <c r="CZ49" s="11"/>
      <c r="DA49" s="11"/>
      <c r="DB49" s="11">
        <v>16000</v>
      </c>
      <c r="DC49" s="11">
        <v>16000</v>
      </c>
      <c r="DD49" s="11">
        <v>16000</v>
      </c>
      <c r="DE49" s="11">
        <v>16000</v>
      </c>
      <c r="DF49" s="11">
        <v>16000</v>
      </c>
      <c r="DG49" s="7"/>
      <c r="DH49" s="7"/>
      <c r="DI49" s="7"/>
      <c r="DJ49" s="7"/>
      <c r="DK49" s="7"/>
      <c r="DL49" s="7">
        <v>20970000</v>
      </c>
      <c r="DM49" s="7">
        <v>26390000</v>
      </c>
      <c r="DN49" s="7">
        <v>27723000</v>
      </c>
      <c r="DO49" s="7">
        <v>24353000</v>
      </c>
      <c r="DP49" s="7">
        <v>22915000</v>
      </c>
      <c r="DQ49" s="11"/>
      <c r="DR49" s="11"/>
      <c r="DS49" s="11"/>
      <c r="DT49" s="11"/>
      <c r="DU49" s="11"/>
      <c r="DV49" s="11"/>
      <c r="DW49" s="11"/>
      <c r="DX49" s="11"/>
      <c r="DY49" s="11"/>
      <c r="DZ49" s="11"/>
      <c r="EA49" s="11">
        <v>20970000</v>
      </c>
      <c r="EB49" s="11">
        <v>26390000</v>
      </c>
      <c r="EC49" s="11">
        <v>27723000</v>
      </c>
      <c r="ED49" s="11">
        <v>24353000</v>
      </c>
      <c r="EE49" s="11">
        <v>22915000</v>
      </c>
      <c r="EF49" s="7">
        <v>41465000</v>
      </c>
      <c r="EG49" s="7">
        <v>36536000</v>
      </c>
      <c r="EH49" s="7">
        <v>35701000</v>
      </c>
      <c r="EI49" s="7"/>
      <c r="EJ49" s="7"/>
      <c r="EK49" s="7">
        <v>41229000</v>
      </c>
      <c r="EL49" s="7">
        <v>42476000</v>
      </c>
      <c r="EM49" s="7">
        <v>37707000</v>
      </c>
      <c r="EN49" s="7">
        <v>2322000</v>
      </c>
      <c r="EO49" s="7"/>
      <c r="EP49" s="7"/>
      <c r="EQ49" s="7"/>
      <c r="ER49" s="7"/>
      <c r="ES49" s="7"/>
      <c r="ET49" s="7"/>
      <c r="EU49" s="7"/>
      <c r="EV49" s="7"/>
      <c r="EW49" s="7"/>
      <c r="EX49" s="7"/>
      <c r="EY49" s="7"/>
      <c r="EZ49" s="11"/>
      <c r="FA49" s="11"/>
      <c r="FB49" s="11"/>
      <c r="FC49" s="11"/>
      <c r="FD49" s="11"/>
      <c r="FE49" s="11"/>
      <c r="FF49" s="11"/>
      <c r="FG49" s="11"/>
      <c r="FH49" s="11"/>
      <c r="FI49" s="11"/>
      <c r="FJ49" s="11"/>
      <c r="FK49" s="11"/>
      <c r="FL49" s="11"/>
      <c r="FM49" s="11"/>
      <c r="FN49" s="11"/>
      <c r="FO49" s="7">
        <v>12000</v>
      </c>
      <c r="FP49" s="7"/>
      <c r="FQ49" s="7"/>
      <c r="FR49" s="7">
        <v>168000</v>
      </c>
      <c r="FS49" s="7"/>
      <c r="FT49" s="7">
        <v>82000</v>
      </c>
      <c r="FU49" s="7">
        <v>52000</v>
      </c>
      <c r="FV49" s="7">
        <v>3224000</v>
      </c>
      <c r="FW49" s="7">
        <v>376000</v>
      </c>
      <c r="FX49" s="7">
        <v>538000</v>
      </c>
      <c r="FY49" s="11">
        <v>261000</v>
      </c>
      <c r="FZ49" s="11"/>
      <c r="GA49" s="11">
        <v>289000</v>
      </c>
      <c r="GB49" s="11">
        <v>24000</v>
      </c>
      <c r="GC49" s="11">
        <v>15000</v>
      </c>
      <c r="GD49" s="7">
        <v>-95000</v>
      </c>
      <c r="GE49" s="7">
        <v>-5992000</v>
      </c>
      <c r="GF49" s="7">
        <v>-5519000</v>
      </c>
      <c r="GG49" s="7">
        <v>-2554000</v>
      </c>
      <c r="GH49" s="7">
        <v>-553000</v>
      </c>
    </row>
    <row r="50" spans="1:190" x14ac:dyDescent="0.25">
      <c r="A50" s="4">
        <v>49</v>
      </c>
      <c r="B50" s="5" t="s">
        <v>319</v>
      </c>
      <c r="C50" s="9" t="s">
        <v>320</v>
      </c>
      <c r="D50" s="7">
        <v>12</v>
      </c>
      <c r="E50" s="6" t="s">
        <v>190</v>
      </c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7"/>
      <c r="Q50" s="7"/>
      <c r="R50" s="7"/>
      <c r="S50" s="7"/>
      <c r="T50" s="7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11"/>
      <c r="AZ50" s="11"/>
      <c r="BA50" s="11"/>
      <c r="BB50" s="11"/>
      <c r="BC50" s="11"/>
      <c r="BD50" s="7"/>
      <c r="BE50" s="7"/>
      <c r="BF50" s="7"/>
      <c r="BG50" s="7"/>
      <c r="BH50" s="7"/>
      <c r="BI50" s="11"/>
      <c r="BJ50" s="11"/>
      <c r="BK50" s="11"/>
      <c r="BL50" s="11"/>
      <c r="BM50" s="11"/>
      <c r="BN50" s="11"/>
      <c r="BO50" s="11"/>
      <c r="BP50" s="11"/>
      <c r="BQ50" s="11"/>
      <c r="BR50" s="11"/>
      <c r="BS50" s="11"/>
      <c r="BT50" s="11"/>
      <c r="BU50" s="11"/>
      <c r="BV50" s="11"/>
      <c r="BW50" s="11"/>
      <c r="BX50" s="7"/>
      <c r="BY50" s="7"/>
      <c r="BZ50" s="7"/>
      <c r="CA50" s="7"/>
      <c r="CB50" s="7"/>
      <c r="CC50" s="11"/>
      <c r="CD50" s="11"/>
      <c r="CE50" s="11"/>
      <c r="CF50" s="11"/>
      <c r="CG50" s="11"/>
      <c r="CH50" s="7"/>
      <c r="CI50" s="7"/>
      <c r="CJ50" s="7"/>
      <c r="CK50" s="7"/>
      <c r="CL50" s="7"/>
      <c r="CM50" s="11"/>
      <c r="CN50" s="11"/>
      <c r="CO50" s="11"/>
      <c r="CP50" s="11"/>
      <c r="CQ50" s="11"/>
      <c r="CR50" s="11"/>
      <c r="CS50" s="11"/>
      <c r="CT50" s="11"/>
      <c r="CU50" s="11"/>
      <c r="CV50" s="11"/>
      <c r="CW50" s="11"/>
      <c r="CX50" s="11"/>
      <c r="CY50" s="11"/>
      <c r="CZ50" s="11"/>
      <c r="DA50" s="11"/>
      <c r="DB50" s="11"/>
      <c r="DC50" s="11"/>
      <c r="DD50" s="11"/>
      <c r="DE50" s="11"/>
      <c r="DF50" s="11"/>
      <c r="DG50" s="7"/>
      <c r="DH50" s="7"/>
      <c r="DI50" s="7"/>
      <c r="DJ50" s="7"/>
      <c r="DK50" s="7"/>
      <c r="DL50" s="7"/>
      <c r="DM50" s="7"/>
      <c r="DN50" s="7"/>
      <c r="DO50" s="7"/>
      <c r="DP50" s="7"/>
      <c r="DQ50" s="11"/>
      <c r="DR50" s="11"/>
      <c r="DS50" s="11"/>
      <c r="DT50" s="11"/>
      <c r="DU50" s="11"/>
      <c r="DV50" s="11"/>
      <c r="DW50" s="11"/>
      <c r="DX50" s="11"/>
      <c r="DY50" s="11"/>
      <c r="DZ50" s="11"/>
      <c r="EA50" s="11"/>
      <c r="EB50" s="11"/>
      <c r="EC50" s="11"/>
      <c r="ED50" s="11"/>
      <c r="EE50" s="11"/>
      <c r="EF50" s="7"/>
      <c r="EG50" s="7"/>
      <c r="EH50" s="7"/>
      <c r="EI50" s="7"/>
      <c r="EJ50" s="7"/>
      <c r="EK50" s="7"/>
      <c r="EL50" s="7"/>
      <c r="EM50" s="7"/>
      <c r="EN50" s="7"/>
      <c r="EO50" s="7"/>
      <c r="EP50" s="7"/>
      <c r="EQ50" s="7"/>
      <c r="ER50" s="7"/>
      <c r="ES50" s="7"/>
      <c r="ET50" s="7"/>
      <c r="EU50" s="7"/>
      <c r="EV50" s="7"/>
      <c r="EW50" s="7"/>
      <c r="EX50" s="7"/>
      <c r="EY50" s="7"/>
      <c r="EZ50" s="11"/>
      <c r="FA50" s="11"/>
      <c r="FB50" s="11"/>
      <c r="FC50" s="11"/>
      <c r="FD50" s="11"/>
      <c r="FE50" s="11"/>
      <c r="FF50" s="11"/>
      <c r="FG50" s="11"/>
      <c r="FH50" s="11"/>
      <c r="FI50" s="11"/>
      <c r="FJ50" s="11"/>
      <c r="FK50" s="11"/>
      <c r="FL50" s="11"/>
      <c r="FM50" s="11"/>
      <c r="FN50" s="11"/>
      <c r="FO50" s="7"/>
      <c r="FP50" s="7"/>
      <c r="FQ50" s="7"/>
      <c r="FR50" s="7"/>
      <c r="FS50" s="7"/>
      <c r="FT50" s="7"/>
      <c r="FU50" s="7"/>
      <c r="FV50" s="7"/>
      <c r="FW50" s="7"/>
      <c r="FX50" s="7"/>
      <c r="FY50" s="11"/>
      <c r="FZ50" s="11"/>
      <c r="GA50" s="11"/>
      <c r="GB50" s="11"/>
      <c r="GC50" s="11"/>
      <c r="GD50" s="7"/>
      <c r="GE50" s="7"/>
      <c r="GF50" s="7"/>
      <c r="GG50" s="7"/>
      <c r="GH50" s="7"/>
    </row>
    <row r="51" spans="1:190" ht="39" x14ac:dyDescent="0.25">
      <c r="A51" s="4">
        <v>50</v>
      </c>
      <c r="B51" s="5" t="s">
        <v>321</v>
      </c>
      <c r="C51" s="9" t="s">
        <v>322</v>
      </c>
      <c r="D51" s="7">
        <v>19</v>
      </c>
      <c r="E51" s="6" t="s">
        <v>318</v>
      </c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7"/>
      <c r="Q51" s="7">
        <v>2173000</v>
      </c>
      <c r="R51" s="7">
        <v>3433000</v>
      </c>
      <c r="S51" s="7"/>
      <c r="T51" s="7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>
        <v>1000</v>
      </c>
      <c r="AK51" s="11">
        <v>2173000</v>
      </c>
      <c r="AL51" s="11">
        <v>3433000</v>
      </c>
      <c r="AM51" s="11"/>
      <c r="AN51" s="11"/>
      <c r="AO51" s="7"/>
      <c r="AP51" s="7">
        <v>25000</v>
      </c>
      <c r="AQ51" s="7">
        <v>65000</v>
      </c>
      <c r="AR51" s="7"/>
      <c r="AS51" s="7"/>
      <c r="AT51" s="7">
        <v>1400000</v>
      </c>
      <c r="AU51" s="7"/>
      <c r="AV51" s="7">
        <v>2093000</v>
      </c>
      <c r="AW51" s="7"/>
      <c r="AX51" s="7"/>
      <c r="AY51" s="11"/>
      <c r="AZ51" s="11"/>
      <c r="BA51" s="11"/>
      <c r="BB51" s="11"/>
      <c r="BC51" s="11"/>
      <c r="BD51" s="7">
        <v>22000</v>
      </c>
      <c r="BE51" s="7"/>
      <c r="BF51" s="7">
        <v>47000</v>
      </c>
      <c r="BG51" s="7"/>
      <c r="BH51" s="7"/>
      <c r="BI51" s="11"/>
      <c r="BJ51" s="11"/>
      <c r="BK51" s="11"/>
      <c r="BL51" s="11"/>
      <c r="BM51" s="11"/>
      <c r="BN51" s="11">
        <v>1422000</v>
      </c>
      <c r="BO51" s="11">
        <v>25000</v>
      </c>
      <c r="BP51" s="11">
        <v>2205000</v>
      </c>
      <c r="BQ51" s="11"/>
      <c r="BR51" s="11"/>
      <c r="BS51" s="11">
        <v>1423000</v>
      </c>
      <c r="BT51" s="11">
        <v>2198000</v>
      </c>
      <c r="BU51" s="11">
        <v>5638000</v>
      </c>
      <c r="BV51" s="11"/>
      <c r="BW51" s="11"/>
      <c r="BX51" s="7">
        <v>100000</v>
      </c>
      <c r="BY51" s="7">
        <v>100000</v>
      </c>
      <c r="BZ51" s="7"/>
      <c r="CA51" s="7"/>
      <c r="CB51" s="7"/>
      <c r="CC51" s="11"/>
      <c r="CD51" s="11"/>
      <c r="CE51" s="11">
        <v>3737000</v>
      </c>
      <c r="CF51" s="11"/>
      <c r="CG51" s="11"/>
      <c r="CH51" s="7">
        <v>-1459000</v>
      </c>
      <c r="CI51" s="7">
        <v>-117000</v>
      </c>
      <c r="CJ51" s="7">
        <v>-3283000</v>
      </c>
      <c r="CK51" s="7"/>
      <c r="CL51" s="7"/>
      <c r="CM51" s="11">
        <v>-1359000</v>
      </c>
      <c r="CN51" s="11">
        <v>2156000</v>
      </c>
      <c r="CO51" s="11">
        <v>454000</v>
      </c>
      <c r="CP51" s="11"/>
      <c r="CQ51" s="11"/>
      <c r="CR51" s="11"/>
      <c r="CS51" s="11"/>
      <c r="CT51" s="11"/>
      <c r="CU51" s="11"/>
      <c r="CV51" s="11"/>
      <c r="CW51" s="11"/>
      <c r="CX51" s="11"/>
      <c r="CY51" s="11"/>
      <c r="CZ51" s="11"/>
      <c r="DA51" s="11"/>
      <c r="DB51" s="11"/>
      <c r="DC51" s="11"/>
      <c r="DD51" s="11"/>
      <c r="DE51" s="11"/>
      <c r="DF51" s="11"/>
      <c r="DG51" s="7"/>
      <c r="DH51" s="7"/>
      <c r="DI51" s="7"/>
      <c r="DJ51" s="7"/>
      <c r="DK51" s="7"/>
      <c r="DL51" s="7">
        <v>2782000</v>
      </c>
      <c r="DM51" s="7">
        <v>42000</v>
      </c>
      <c r="DN51" s="7">
        <v>5183000</v>
      </c>
      <c r="DO51" s="7"/>
      <c r="DP51" s="7"/>
      <c r="DQ51" s="11"/>
      <c r="DR51" s="11"/>
      <c r="DS51" s="11"/>
      <c r="DT51" s="11"/>
      <c r="DU51" s="11"/>
      <c r="DV51" s="11"/>
      <c r="DW51" s="11"/>
      <c r="DX51" s="11"/>
      <c r="DY51" s="11"/>
      <c r="DZ51" s="11"/>
      <c r="EA51" s="11">
        <v>2782000</v>
      </c>
      <c r="EB51" s="11">
        <v>42000</v>
      </c>
      <c r="EC51" s="11">
        <v>5183000</v>
      </c>
      <c r="ED51" s="11"/>
      <c r="EE51" s="11"/>
      <c r="EF51" s="7">
        <v>763000</v>
      </c>
      <c r="EG51" s="7"/>
      <c r="EH51" s="7">
        <v>6332000</v>
      </c>
      <c r="EI51" s="7"/>
      <c r="EJ51" s="7"/>
      <c r="EK51" s="7">
        <v>710000</v>
      </c>
      <c r="EL51" s="7"/>
      <c r="EM51" s="7">
        <v>7768000</v>
      </c>
      <c r="EN51" s="7"/>
      <c r="EO51" s="7"/>
      <c r="EP51" s="7"/>
      <c r="EQ51" s="7"/>
      <c r="ER51" s="7"/>
      <c r="ES51" s="7"/>
      <c r="ET51" s="7"/>
      <c r="EU51" s="7"/>
      <c r="EV51" s="7"/>
      <c r="EW51" s="7">
        <v>2048000</v>
      </c>
      <c r="EX51" s="7"/>
      <c r="EY51" s="7"/>
      <c r="EZ51" s="11"/>
      <c r="FA51" s="11"/>
      <c r="FB51" s="11"/>
      <c r="FC51" s="11"/>
      <c r="FD51" s="11"/>
      <c r="FE51" s="11"/>
      <c r="FF51" s="11"/>
      <c r="FG51" s="11"/>
      <c r="FH51" s="11"/>
      <c r="FI51" s="11"/>
      <c r="FJ51" s="11"/>
      <c r="FK51" s="11"/>
      <c r="FL51" s="11"/>
      <c r="FM51" s="11"/>
      <c r="FN51" s="11"/>
      <c r="FO51" s="7">
        <v>166000</v>
      </c>
      <c r="FP51" s="7"/>
      <c r="FQ51" s="7">
        <v>1157000</v>
      </c>
      <c r="FR51" s="7"/>
      <c r="FS51" s="7"/>
      <c r="FT51" s="7">
        <v>16000</v>
      </c>
      <c r="FU51" s="7"/>
      <c r="FV51" s="7">
        <v>544000</v>
      </c>
      <c r="FW51" s="7"/>
      <c r="FX51" s="7"/>
      <c r="FY51" s="11"/>
      <c r="FZ51" s="11"/>
      <c r="GA51" s="11">
        <v>-413000</v>
      </c>
      <c r="GB51" s="11"/>
      <c r="GC51" s="11"/>
      <c r="GD51" s="7">
        <v>203000</v>
      </c>
      <c r="GE51" s="7"/>
      <c r="GF51" s="7">
        <v>-3284000</v>
      </c>
      <c r="GG51" s="7"/>
      <c r="GH51" s="7"/>
    </row>
    <row r="52" spans="1:190" ht="26.25" x14ac:dyDescent="0.25">
      <c r="A52" s="4">
        <v>51</v>
      </c>
      <c r="B52" s="5" t="s">
        <v>323</v>
      </c>
      <c r="C52" s="9" t="s">
        <v>324</v>
      </c>
      <c r="D52" s="7">
        <v>19</v>
      </c>
      <c r="E52" s="6" t="s">
        <v>325</v>
      </c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7"/>
      <c r="Q52" s="7"/>
      <c r="R52" s="7"/>
      <c r="S52" s="7"/>
      <c r="T52" s="7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11"/>
      <c r="AZ52" s="11"/>
      <c r="BA52" s="11"/>
      <c r="BB52" s="11"/>
      <c r="BC52" s="11"/>
      <c r="BD52" s="7"/>
      <c r="BE52" s="7"/>
      <c r="BF52" s="7"/>
      <c r="BG52" s="7"/>
      <c r="BH52" s="7"/>
      <c r="BI52" s="11"/>
      <c r="BJ52" s="11"/>
      <c r="BK52" s="11"/>
      <c r="BL52" s="11"/>
      <c r="BM52" s="11"/>
      <c r="BN52" s="11"/>
      <c r="BO52" s="11"/>
      <c r="BP52" s="11"/>
      <c r="BQ52" s="11"/>
      <c r="BR52" s="11"/>
      <c r="BS52" s="11"/>
      <c r="BT52" s="11"/>
      <c r="BU52" s="11"/>
      <c r="BV52" s="11"/>
      <c r="BW52" s="11"/>
      <c r="BX52" s="7"/>
      <c r="BY52" s="7"/>
      <c r="BZ52" s="7"/>
      <c r="CA52" s="7"/>
      <c r="CB52" s="7"/>
      <c r="CC52" s="11"/>
      <c r="CD52" s="11"/>
      <c r="CE52" s="11"/>
      <c r="CF52" s="11"/>
      <c r="CG52" s="11"/>
      <c r="CH52" s="7"/>
      <c r="CI52" s="7"/>
      <c r="CJ52" s="7"/>
      <c r="CK52" s="7"/>
      <c r="CL52" s="7"/>
      <c r="CM52" s="11"/>
      <c r="CN52" s="11"/>
      <c r="CO52" s="11"/>
      <c r="CP52" s="11"/>
      <c r="CQ52" s="11"/>
      <c r="CR52" s="11"/>
      <c r="CS52" s="11"/>
      <c r="CT52" s="11"/>
      <c r="CU52" s="11"/>
      <c r="CV52" s="11"/>
      <c r="CW52" s="11"/>
      <c r="CX52" s="11"/>
      <c r="CY52" s="11"/>
      <c r="CZ52" s="11"/>
      <c r="DA52" s="11"/>
      <c r="DB52" s="11"/>
      <c r="DC52" s="11"/>
      <c r="DD52" s="11"/>
      <c r="DE52" s="11"/>
      <c r="DF52" s="11"/>
      <c r="DG52" s="7"/>
      <c r="DH52" s="7"/>
      <c r="DI52" s="7"/>
      <c r="DJ52" s="7"/>
      <c r="DK52" s="7"/>
      <c r="DL52" s="7"/>
      <c r="DM52" s="7"/>
      <c r="DN52" s="7"/>
      <c r="DO52" s="7"/>
      <c r="DP52" s="7"/>
      <c r="DQ52" s="11"/>
      <c r="DR52" s="11"/>
      <c r="DS52" s="11"/>
      <c r="DT52" s="11"/>
      <c r="DU52" s="11"/>
      <c r="DV52" s="11"/>
      <c r="DW52" s="11"/>
      <c r="DX52" s="11"/>
      <c r="DY52" s="11"/>
      <c r="DZ52" s="11"/>
      <c r="EA52" s="11"/>
      <c r="EB52" s="11"/>
      <c r="EC52" s="11"/>
      <c r="ED52" s="11"/>
      <c r="EE52" s="11"/>
      <c r="EF52" s="7"/>
      <c r="EG52" s="7"/>
      <c r="EH52" s="7"/>
      <c r="EI52" s="7"/>
      <c r="EJ52" s="7"/>
      <c r="EK52" s="7"/>
      <c r="EL52" s="7"/>
      <c r="EM52" s="7"/>
      <c r="EN52" s="7"/>
      <c r="EO52" s="7"/>
      <c r="EP52" s="7"/>
      <c r="EQ52" s="7"/>
      <c r="ER52" s="7"/>
      <c r="ES52" s="7"/>
      <c r="ET52" s="7"/>
      <c r="EU52" s="7"/>
      <c r="EV52" s="7"/>
      <c r="EW52" s="7"/>
      <c r="EX52" s="7"/>
      <c r="EY52" s="7"/>
      <c r="EZ52" s="11"/>
      <c r="FA52" s="11"/>
      <c r="FB52" s="11"/>
      <c r="FC52" s="11"/>
      <c r="FD52" s="11"/>
      <c r="FE52" s="11"/>
      <c r="FF52" s="11"/>
      <c r="FG52" s="11"/>
      <c r="FH52" s="11"/>
      <c r="FI52" s="11"/>
      <c r="FJ52" s="11"/>
      <c r="FK52" s="11"/>
      <c r="FL52" s="11"/>
      <c r="FM52" s="11"/>
      <c r="FN52" s="11"/>
      <c r="FO52" s="7"/>
      <c r="FP52" s="7"/>
      <c r="FQ52" s="7"/>
      <c r="FR52" s="7"/>
      <c r="FS52" s="7"/>
      <c r="FT52" s="7"/>
      <c r="FU52" s="7"/>
      <c r="FV52" s="7"/>
      <c r="FW52" s="7"/>
      <c r="FX52" s="7"/>
      <c r="FY52" s="11"/>
      <c r="FZ52" s="11"/>
      <c r="GA52" s="11"/>
      <c r="GB52" s="11"/>
      <c r="GC52" s="11"/>
      <c r="GD52" s="7"/>
      <c r="GE52" s="7"/>
      <c r="GF52" s="7"/>
      <c r="GG52" s="7"/>
      <c r="GH52" s="7"/>
    </row>
    <row r="53" spans="1:190" ht="26.25" x14ac:dyDescent="0.25">
      <c r="A53" s="4">
        <v>52</v>
      </c>
      <c r="B53" s="5" t="s">
        <v>326</v>
      </c>
      <c r="C53" s="9" t="s">
        <v>327</v>
      </c>
      <c r="D53" s="7">
        <v>8</v>
      </c>
      <c r="E53" s="6" t="s">
        <v>328</v>
      </c>
      <c r="F53" s="11">
        <v>140728</v>
      </c>
      <c r="G53" s="11"/>
      <c r="H53" s="11"/>
      <c r="I53" s="11"/>
      <c r="J53" s="11"/>
      <c r="K53" s="11">
        <v>683778</v>
      </c>
      <c r="L53" s="11">
        <v>6995</v>
      </c>
      <c r="M53" s="11"/>
      <c r="N53" s="11"/>
      <c r="O53" s="11"/>
      <c r="P53" s="7">
        <v>52000</v>
      </c>
      <c r="Q53" s="7">
        <v>13000</v>
      </c>
      <c r="R53" s="7"/>
      <c r="S53" s="7"/>
      <c r="T53" s="7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>
        <v>2713000</v>
      </c>
      <c r="AK53" s="11">
        <v>93000</v>
      </c>
      <c r="AL53" s="11"/>
      <c r="AM53" s="11"/>
      <c r="AN53" s="11"/>
      <c r="AO53" s="7"/>
      <c r="AP53" s="7"/>
      <c r="AQ53" s="7"/>
      <c r="AR53" s="7"/>
      <c r="AS53" s="7"/>
      <c r="AT53" s="7">
        <v>38950000</v>
      </c>
      <c r="AU53" s="7">
        <v>37778000</v>
      </c>
      <c r="AV53" s="7"/>
      <c r="AW53" s="7"/>
      <c r="AX53" s="7"/>
      <c r="AY53" s="11">
        <v>2353000</v>
      </c>
      <c r="AZ53" s="11">
        <v>3050000</v>
      </c>
      <c r="BA53" s="11"/>
      <c r="BB53" s="11"/>
      <c r="BC53" s="11"/>
      <c r="BD53" s="7"/>
      <c r="BE53" s="7"/>
      <c r="BF53" s="7"/>
      <c r="BG53" s="7"/>
      <c r="BH53" s="7"/>
      <c r="BI53" s="11">
        <v>38000</v>
      </c>
      <c r="BJ53" s="11">
        <v>9000</v>
      </c>
      <c r="BK53" s="11"/>
      <c r="BL53" s="11"/>
      <c r="BM53" s="11"/>
      <c r="BN53" s="11">
        <v>41357000</v>
      </c>
      <c r="BO53" s="11">
        <v>40838000</v>
      </c>
      <c r="BP53" s="11"/>
      <c r="BQ53" s="11"/>
      <c r="BR53" s="11"/>
      <c r="BS53" s="11">
        <v>44070000</v>
      </c>
      <c r="BT53" s="11">
        <v>40931000</v>
      </c>
      <c r="BU53" s="11"/>
      <c r="BV53" s="11"/>
      <c r="BW53" s="11"/>
      <c r="BX53" s="7">
        <v>10000</v>
      </c>
      <c r="BY53" s="7">
        <v>10000</v>
      </c>
      <c r="BZ53" s="7"/>
      <c r="CA53" s="7"/>
      <c r="CB53" s="7"/>
      <c r="CC53" s="11"/>
      <c r="CD53" s="11"/>
      <c r="CE53" s="11"/>
      <c r="CF53" s="11"/>
      <c r="CG53" s="11"/>
      <c r="CH53" s="7">
        <v>-5657000</v>
      </c>
      <c r="CI53" s="7">
        <v>-8630000</v>
      </c>
      <c r="CJ53" s="7"/>
      <c r="CK53" s="7"/>
      <c r="CL53" s="7"/>
      <c r="CM53" s="11">
        <v>-5647000</v>
      </c>
      <c r="CN53" s="11">
        <v>-8620000</v>
      </c>
      <c r="CO53" s="11"/>
      <c r="CP53" s="11"/>
      <c r="CQ53" s="11"/>
      <c r="CR53" s="11"/>
      <c r="CS53" s="11"/>
      <c r="CT53" s="11"/>
      <c r="CU53" s="11"/>
      <c r="CV53" s="11"/>
      <c r="CW53" s="11"/>
      <c r="CX53" s="11"/>
      <c r="CY53" s="11"/>
      <c r="CZ53" s="11"/>
      <c r="DA53" s="11"/>
      <c r="DB53" s="11">
        <v>1000</v>
      </c>
      <c r="DC53" s="11"/>
      <c r="DD53" s="11"/>
      <c r="DE53" s="11"/>
      <c r="DF53" s="11"/>
      <c r="DG53" s="7"/>
      <c r="DH53" s="7"/>
      <c r="DI53" s="7"/>
      <c r="DJ53" s="7"/>
      <c r="DK53" s="7"/>
      <c r="DL53" s="7">
        <v>49677000</v>
      </c>
      <c r="DM53" s="7">
        <v>49512000</v>
      </c>
      <c r="DN53" s="7"/>
      <c r="DO53" s="7"/>
      <c r="DP53" s="7"/>
      <c r="DQ53" s="11"/>
      <c r="DR53" s="11"/>
      <c r="DS53" s="11"/>
      <c r="DT53" s="11"/>
      <c r="DU53" s="11"/>
      <c r="DV53" s="11"/>
      <c r="DW53" s="11"/>
      <c r="DX53" s="11"/>
      <c r="DY53" s="11"/>
      <c r="DZ53" s="11"/>
      <c r="EA53" s="11">
        <v>49716000</v>
      </c>
      <c r="EB53" s="11">
        <v>49551000</v>
      </c>
      <c r="EC53" s="11"/>
      <c r="ED53" s="11"/>
      <c r="EE53" s="11"/>
      <c r="EF53" s="7">
        <v>43793000</v>
      </c>
      <c r="EG53" s="7"/>
      <c r="EH53" s="7"/>
      <c r="EI53" s="7"/>
      <c r="EJ53" s="7"/>
      <c r="EK53" s="7">
        <v>21380000</v>
      </c>
      <c r="EL53" s="7"/>
      <c r="EM53" s="7"/>
      <c r="EN53" s="7"/>
      <c r="EO53" s="7"/>
      <c r="EP53" s="7">
        <v>34288000</v>
      </c>
      <c r="EQ53" s="7">
        <v>724000</v>
      </c>
      <c r="ER53" s="7"/>
      <c r="ES53" s="7"/>
      <c r="ET53" s="7"/>
      <c r="EU53" s="7">
        <v>1418000</v>
      </c>
      <c r="EV53" s="7"/>
      <c r="EW53" s="7"/>
      <c r="EX53" s="7"/>
      <c r="EY53" s="7"/>
      <c r="EZ53" s="11"/>
      <c r="FA53" s="11"/>
      <c r="FB53" s="11"/>
      <c r="FC53" s="11"/>
      <c r="FD53" s="11"/>
      <c r="FE53" s="11"/>
      <c r="FF53" s="11"/>
      <c r="FG53" s="11"/>
      <c r="FH53" s="11"/>
      <c r="FI53" s="11"/>
      <c r="FJ53" s="11"/>
      <c r="FK53" s="11"/>
      <c r="FL53" s="11"/>
      <c r="FM53" s="11"/>
      <c r="FN53" s="11"/>
      <c r="FO53" s="7">
        <v>1000</v>
      </c>
      <c r="FP53" s="7">
        <v>334000</v>
      </c>
      <c r="FQ53" s="7"/>
      <c r="FR53" s="7"/>
      <c r="FS53" s="7"/>
      <c r="FT53" s="7">
        <v>193000</v>
      </c>
      <c r="FU53" s="7">
        <v>34000</v>
      </c>
      <c r="FV53" s="7"/>
      <c r="FW53" s="7"/>
      <c r="FX53" s="7"/>
      <c r="FY53" s="11">
        <v>2744000</v>
      </c>
      <c r="FZ53" s="11">
        <v>80000</v>
      </c>
      <c r="GA53" s="11"/>
      <c r="GB53" s="11"/>
      <c r="GC53" s="11"/>
      <c r="GD53" s="7">
        <v>-10762000</v>
      </c>
      <c r="GE53" s="7">
        <v>-2973000</v>
      </c>
      <c r="GF53" s="7"/>
      <c r="GG53" s="7"/>
      <c r="GH53" s="7"/>
    </row>
    <row r="54" spans="1:190" ht="26.25" x14ac:dyDescent="0.25">
      <c r="A54" s="4">
        <v>53</v>
      </c>
      <c r="B54" s="5" t="s">
        <v>329</v>
      </c>
      <c r="C54" s="9" t="s">
        <v>330</v>
      </c>
      <c r="D54" s="7">
        <v>16</v>
      </c>
      <c r="E54" s="6" t="s">
        <v>325</v>
      </c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7"/>
      <c r="Q54" s="7"/>
      <c r="R54" s="7"/>
      <c r="S54" s="7"/>
      <c r="T54" s="7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7">
        <v>813000</v>
      </c>
      <c r="AP54" s="7">
        <v>613000</v>
      </c>
      <c r="AQ54" s="7">
        <v>457000</v>
      </c>
      <c r="AR54" s="7">
        <v>941000</v>
      </c>
      <c r="AS54" s="7"/>
      <c r="AT54" s="7">
        <v>20211000</v>
      </c>
      <c r="AU54" s="7">
        <v>24692000</v>
      </c>
      <c r="AV54" s="7">
        <v>27641000</v>
      </c>
      <c r="AW54" s="7">
        <v>23567000</v>
      </c>
      <c r="AX54" s="7">
        <v>17907000</v>
      </c>
      <c r="AY54" s="11"/>
      <c r="AZ54" s="11"/>
      <c r="BA54" s="11"/>
      <c r="BB54" s="11"/>
      <c r="BC54" s="11"/>
      <c r="BD54" s="7"/>
      <c r="BE54" s="7"/>
      <c r="BF54" s="7"/>
      <c r="BG54" s="7">
        <v>2000</v>
      </c>
      <c r="BH54" s="7">
        <v>39000</v>
      </c>
      <c r="BI54" s="11"/>
      <c r="BJ54" s="11"/>
      <c r="BK54" s="11"/>
      <c r="BL54" s="11"/>
      <c r="BM54" s="11"/>
      <c r="BN54" s="11">
        <v>21024000</v>
      </c>
      <c r="BO54" s="11">
        <v>25305000</v>
      </c>
      <c r="BP54" s="11">
        <v>28098000</v>
      </c>
      <c r="BQ54" s="11">
        <v>24510000</v>
      </c>
      <c r="BR54" s="11">
        <v>17946000</v>
      </c>
      <c r="BS54" s="11">
        <v>21024000</v>
      </c>
      <c r="BT54" s="11">
        <v>25305000</v>
      </c>
      <c r="BU54" s="11">
        <v>28098000</v>
      </c>
      <c r="BV54" s="11">
        <v>24510000</v>
      </c>
      <c r="BW54" s="11">
        <v>17946000</v>
      </c>
      <c r="BX54" s="7"/>
      <c r="BY54" s="7"/>
      <c r="BZ54" s="7"/>
      <c r="CA54" s="7"/>
      <c r="CB54" s="7">
        <v>10000</v>
      </c>
      <c r="CC54" s="11"/>
      <c r="CD54" s="11"/>
      <c r="CE54" s="11"/>
      <c r="CF54" s="11"/>
      <c r="CG54" s="11"/>
      <c r="CH54" s="7"/>
      <c r="CI54" s="7"/>
      <c r="CJ54" s="7"/>
      <c r="CK54" s="7"/>
      <c r="CL54" s="7">
        <v>-165000</v>
      </c>
      <c r="CM54" s="11">
        <v>11024000</v>
      </c>
      <c r="CN54" s="11">
        <v>8524000</v>
      </c>
      <c r="CO54" s="11">
        <v>6703000</v>
      </c>
      <c r="CP54" s="11">
        <v>6040000</v>
      </c>
      <c r="CQ54" s="11">
        <v>-155000</v>
      </c>
      <c r="CR54" s="11"/>
      <c r="CS54" s="11"/>
      <c r="CT54" s="11"/>
      <c r="CU54" s="11"/>
      <c r="CV54" s="11"/>
      <c r="CW54" s="11"/>
      <c r="CX54" s="11"/>
      <c r="CY54" s="11"/>
      <c r="CZ54" s="11"/>
      <c r="DA54" s="11"/>
      <c r="DB54" s="11"/>
      <c r="DC54" s="11"/>
      <c r="DD54" s="11"/>
      <c r="DE54" s="11"/>
      <c r="DF54" s="11"/>
      <c r="DG54" s="7"/>
      <c r="DH54" s="7"/>
      <c r="DI54" s="7"/>
      <c r="DJ54" s="7"/>
      <c r="DK54" s="7"/>
      <c r="DL54" s="7">
        <v>10000000</v>
      </c>
      <c r="DM54" s="7">
        <v>16781000</v>
      </c>
      <c r="DN54" s="7">
        <v>21395000</v>
      </c>
      <c r="DO54" s="7">
        <v>18470000</v>
      </c>
      <c r="DP54" s="7">
        <v>18101000</v>
      </c>
      <c r="DQ54" s="11"/>
      <c r="DR54" s="11"/>
      <c r="DS54" s="11"/>
      <c r="DT54" s="11"/>
      <c r="DU54" s="11"/>
      <c r="DV54" s="11"/>
      <c r="DW54" s="11"/>
      <c r="DX54" s="11"/>
      <c r="DY54" s="11"/>
      <c r="DZ54" s="11"/>
      <c r="EA54" s="11">
        <v>10000000</v>
      </c>
      <c r="EB54" s="11">
        <v>16781000</v>
      </c>
      <c r="EC54" s="11">
        <v>21395000</v>
      </c>
      <c r="ED54" s="11">
        <v>18470000</v>
      </c>
      <c r="EE54" s="11">
        <v>18101000</v>
      </c>
      <c r="EF54" s="7">
        <v>42410000</v>
      </c>
      <c r="EG54" s="7">
        <v>43195000</v>
      </c>
      <c r="EH54" s="7">
        <v>41441000</v>
      </c>
      <c r="EI54" s="7">
        <v>42381000</v>
      </c>
      <c r="EJ54" s="7">
        <v>7775000</v>
      </c>
      <c r="EK54" s="7">
        <v>40295000</v>
      </c>
      <c r="EL54" s="7">
        <v>44511000</v>
      </c>
      <c r="EM54" s="7">
        <v>43733000</v>
      </c>
      <c r="EN54" s="7">
        <v>42621000</v>
      </c>
      <c r="EO54" s="7">
        <v>13210000</v>
      </c>
      <c r="EP54" s="7"/>
      <c r="EQ54" s="7"/>
      <c r="ER54" s="7"/>
      <c r="ES54" s="7"/>
      <c r="ET54" s="7"/>
      <c r="EU54" s="7"/>
      <c r="EV54" s="7"/>
      <c r="EW54" s="7"/>
      <c r="EX54" s="7"/>
      <c r="EY54" s="7"/>
      <c r="EZ54" s="11"/>
      <c r="FA54" s="11"/>
      <c r="FB54" s="11"/>
      <c r="FC54" s="11"/>
      <c r="FD54" s="11"/>
      <c r="FE54" s="11"/>
      <c r="FF54" s="11"/>
      <c r="FG54" s="11"/>
      <c r="FH54" s="11"/>
      <c r="FI54" s="11"/>
      <c r="FJ54" s="11"/>
      <c r="FK54" s="11"/>
      <c r="FL54" s="11"/>
      <c r="FM54" s="11"/>
      <c r="FN54" s="11"/>
      <c r="FO54" s="7">
        <v>3263000</v>
      </c>
      <c r="FP54" s="7">
        <v>3462000</v>
      </c>
      <c r="FQ54" s="7">
        <v>2787000</v>
      </c>
      <c r="FR54" s="7"/>
      <c r="FS54" s="7"/>
      <c r="FT54" s="7">
        <v>2016000</v>
      </c>
      <c r="FU54" s="7">
        <v>4214000</v>
      </c>
      <c r="FV54" s="7">
        <v>1885000</v>
      </c>
      <c r="FW54" s="7"/>
      <c r="FX54" s="7">
        <v>760000</v>
      </c>
      <c r="FY54" s="11">
        <v>393000</v>
      </c>
      <c r="FZ54" s="11">
        <v>432000</v>
      </c>
      <c r="GA54" s="11">
        <v>431000</v>
      </c>
      <c r="GB54" s="11">
        <v>423000</v>
      </c>
      <c r="GC54" s="11"/>
      <c r="GD54" s="7">
        <v>2969000</v>
      </c>
      <c r="GE54" s="7">
        <v>-2500000</v>
      </c>
      <c r="GF54" s="7">
        <v>-1821000</v>
      </c>
      <c r="GG54" s="7">
        <v>-663000</v>
      </c>
      <c r="GH54" s="7">
        <v>-6195000</v>
      </c>
    </row>
    <row r="55" spans="1:190" ht="26.25" x14ac:dyDescent="0.25">
      <c r="A55" s="4">
        <v>54</v>
      </c>
      <c r="B55" s="5" t="s">
        <v>331</v>
      </c>
      <c r="C55" s="9" t="s">
        <v>332</v>
      </c>
      <c r="D55" s="7">
        <v>16</v>
      </c>
      <c r="E55" s="6" t="s">
        <v>204</v>
      </c>
      <c r="F55" s="11"/>
      <c r="G55" s="11"/>
      <c r="H55" s="11"/>
      <c r="I55" s="11"/>
      <c r="J55" s="11"/>
      <c r="K55" s="11">
        <v>1431</v>
      </c>
      <c r="L55" s="11"/>
      <c r="M55" s="11"/>
      <c r="N55" s="11"/>
      <c r="O55" s="11"/>
      <c r="P55" s="7"/>
      <c r="Q55" s="7"/>
      <c r="R55" s="7"/>
      <c r="S55" s="7"/>
      <c r="T55" s="7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7">
        <v>67000</v>
      </c>
      <c r="AP55" s="7"/>
      <c r="AQ55" s="7"/>
      <c r="AR55" s="7"/>
      <c r="AS55" s="7"/>
      <c r="AT55" s="7">
        <v>3123000</v>
      </c>
      <c r="AU55" s="7">
        <v>93386000</v>
      </c>
      <c r="AV55" s="7"/>
      <c r="AW55" s="7"/>
      <c r="AX55" s="7"/>
      <c r="AY55" s="11"/>
      <c r="AZ55" s="11"/>
      <c r="BA55" s="11"/>
      <c r="BB55" s="11"/>
      <c r="BC55" s="11"/>
      <c r="BD55" s="7">
        <v>270000</v>
      </c>
      <c r="BE55" s="7">
        <v>4114000</v>
      </c>
      <c r="BF55" s="7"/>
      <c r="BG55" s="7"/>
      <c r="BH55" s="7"/>
      <c r="BI55" s="11"/>
      <c r="BJ55" s="11"/>
      <c r="BK55" s="11"/>
      <c r="BL55" s="11"/>
      <c r="BM55" s="11"/>
      <c r="BN55" s="11">
        <v>3395000</v>
      </c>
      <c r="BO55" s="11">
        <v>97500000</v>
      </c>
      <c r="BP55" s="11"/>
      <c r="BQ55" s="11"/>
      <c r="BR55" s="11"/>
      <c r="BS55" s="11">
        <v>3395000</v>
      </c>
      <c r="BT55" s="11">
        <v>97500000</v>
      </c>
      <c r="BU55" s="11"/>
      <c r="BV55" s="11"/>
      <c r="BW55" s="11"/>
      <c r="BX55" s="7">
        <v>13000</v>
      </c>
      <c r="BY55" s="7">
        <v>13000</v>
      </c>
      <c r="BZ55" s="7"/>
      <c r="CA55" s="7"/>
      <c r="CB55" s="7"/>
      <c r="CC55" s="11"/>
      <c r="CD55" s="11"/>
      <c r="CE55" s="11"/>
      <c r="CF55" s="11"/>
      <c r="CG55" s="11"/>
      <c r="CH55" s="7">
        <v>-186261000</v>
      </c>
      <c r="CI55" s="7">
        <v>-90345000</v>
      </c>
      <c r="CJ55" s="7"/>
      <c r="CK55" s="7"/>
      <c r="CL55" s="7"/>
      <c r="CM55" s="11">
        <v>-186248000</v>
      </c>
      <c r="CN55" s="11">
        <v>-90332000</v>
      </c>
      <c r="CO55" s="11"/>
      <c r="CP55" s="11"/>
      <c r="CQ55" s="11"/>
      <c r="CR55" s="11"/>
      <c r="CS55" s="11"/>
      <c r="CT55" s="11"/>
      <c r="CU55" s="11"/>
      <c r="CV55" s="11"/>
      <c r="CW55" s="11"/>
      <c r="CX55" s="11"/>
      <c r="CY55" s="11"/>
      <c r="CZ55" s="11"/>
      <c r="DA55" s="11"/>
      <c r="DB55" s="11"/>
      <c r="DC55" s="11"/>
      <c r="DD55" s="11"/>
      <c r="DE55" s="11"/>
      <c r="DF55" s="11"/>
      <c r="DG55" s="7"/>
      <c r="DH55" s="7"/>
      <c r="DI55" s="7"/>
      <c r="DJ55" s="7"/>
      <c r="DK55" s="7"/>
      <c r="DL55" s="7">
        <v>183559000</v>
      </c>
      <c r="DM55" s="7">
        <v>181748000</v>
      </c>
      <c r="DN55" s="7"/>
      <c r="DO55" s="7"/>
      <c r="DP55" s="7"/>
      <c r="DQ55" s="11"/>
      <c r="DR55" s="11"/>
      <c r="DS55" s="11"/>
      <c r="DT55" s="11"/>
      <c r="DU55" s="11"/>
      <c r="DV55" s="11">
        <v>6070000</v>
      </c>
      <c r="DW55" s="11">
        <v>6070000</v>
      </c>
      <c r="DX55" s="11"/>
      <c r="DY55" s="11"/>
      <c r="DZ55" s="11"/>
      <c r="EA55" s="11">
        <v>189643000</v>
      </c>
      <c r="EB55" s="11">
        <v>187832000</v>
      </c>
      <c r="EC55" s="11"/>
      <c r="ED55" s="11"/>
      <c r="EE55" s="11"/>
      <c r="EF55" s="7">
        <v>26517000</v>
      </c>
      <c r="EG55" s="7"/>
      <c r="EH55" s="7"/>
      <c r="EI55" s="7"/>
      <c r="EJ55" s="7"/>
      <c r="EK55" s="7">
        <v>18849000</v>
      </c>
      <c r="EL55" s="7"/>
      <c r="EM55" s="7"/>
      <c r="EN55" s="7"/>
      <c r="EO55" s="7"/>
      <c r="EP55" s="7"/>
      <c r="EQ55" s="7"/>
      <c r="ER55" s="7"/>
      <c r="ES55" s="7"/>
      <c r="ET55" s="7"/>
      <c r="EU55" s="7">
        <v>1353000</v>
      </c>
      <c r="EV55" s="7"/>
      <c r="EW55" s="7"/>
      <c r="EX55" s="7"/>
      <c r="EY55" s="7"/>
      <c r="EZ55" s="11"/>
      <c r="FA55" s="11"/>
      <c r="FB55" s="11"/>
      <c r="FC55" s="11"/>
      <c r="FD55" s="11"/>
      <c r="FE55" s="11"/>
      <c r="FF55" s="11"/>
      <c r="FG55" s="11"/>
      <c r="FH55" s="11"/>
      <c r="FI55" s="11"/>
      <c r="FJ55" s="11"/>
      <c r="FK55" s="11"/>
      <c r="FL55" s="11"/>
      <c r="FM55" s="11"/>
      <c r="FN55" s="11"/>
      <c r="FO55" s="7">
        <v>20425000</v>
      </c>
      <c r="FP55" s="7">
        <v>132179000</v>
      </c>
      <c r="FQ55" s="7"/>
      <c r="FR55" s="7"/>
      <c r="FS55" s="7"/>
      <c r="FT55" s="7">
        <v>26550000</v>
      </c>
      <c r="FU55" s="7">
        <v>36250000</v>
      </c>
      <c r="FV55" s="7"/>
      <c r="FW55" s="7"/>
      <c r="FX55" s="7"/>
      <c r="FY55" s="11"/>
      <c r="FZ55" s="11"/>
      <c r="GA55" s="11"/>
      <c r="GB55" s="11"/>
      <c r="GC55" s="11"/>
      <c r="GD55" s="7">
        <v>190000</v>
      </c>
      <c r="GE55" s="7">
        <v>95929000</v>
      </c>
      <c r="GF55" s="7"/>
      <c r="GG55" s="7"/>
      <c r="GH55" s="7"/>
    </row>
    <row r="56" spans="1:190" ht="26.25" x14ac:dyDescent="0.25">
      <c r="A56" s="4">
        <v>55</v>
      </c>
      <c r="B56" s="5" t="s">
        <v>333</v>
      </c>
      <c r="C56" s="9" t="s">
        <v>334</v>
      </c>
      <c r="D56" s="7">
        <v>21</v>
      </c>
      <c r="E56" s="6" t="s">
        <v>325</v>
      </c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7"/>
      <c r="Q56" s="7"/>
      <c r="R56" s="7"/>
      <c r="S56" s="7"/>
      <c r="T56" s="7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11"/>
      <c r="AZ56" s="11"/>
      <c r="BA56" s="11"/>
      <c r="BB56" s="11"/>
      <c r="BC56" s="11"/>
      <c r="BD56" s="7"/>
      <c r="BE56" s="7"/>
      <c r="BF56" s="7"/>
      <c r="BG56" s="7"/>
      <c r="BH56" s="7"/>
      <c r="BI56" s="11"/>
      <c r="BJ56" s="11"/>
      <c r="BK56" s="11"/>
      <c r="BL56" s="11"/>
      <c r="BM56" s="11"/>
      <c r="BN56" s="11"/>
      <c r="BO56" s="11"/>
      <c r="BP56" s="11"/>
      <c r="BQ56" s="11"/>
      <c r="BR56" s="11"/>
      <c r="BS56" s="11"/>
      <c r="BT56" s="11"/>
      <c r="BU56" s="11"/>
      <c r="BV56" s="11"/>
      <c r="BW56" s="11"/>
      <c r="BX56" s="7"/>
      <c r="BY56" s="7"/>
      <c r="BZ56" s="7"/>
      <c r="CA56" s="7"/>
      <c r="CB56" s="7"/>
      <c r="CC56" s="11"/>
      <c r="CD56" s="11"/>
      <c r="CE56" s="11"/>
      <c r="CF56" s="11"/>
      <c r="CG56" s="11"/>
      <c r="CH56" s="7"/>
      <c r="CI56" s="7"/>
      <c r="CJ56" s="7"/>
      <c r="CK56" s="7"/>
      <c r="CL56" s="7"/>
      <c r="CM56" s="11">
        <v>-207619000</v>
      </c>
      <c r="CN56" s="11">
        <v>-209797000</v>
      </c>
      <c r="CO56" s="11">
        <v>-211625000</v>
      </c>
      <c r="CP56" s="11">
        <v>-212881000</v>
      </c>
      <c r="CQ56" s="11">
        <v>-213870000</v>
      </c>
      <c r="CR56" s="11"/>
      <c r="CS56" s="11"/>
      <c r="CT56" s="11"/>
      <c r="CU56" s="11"/>
      <c r="CV56" s="11"/>
      <c r="CW56" s="11"/>
      <c r="CX56" s="11"/>
      <c r="CY56" s="11"/>
      <c r="CZ56" s="11"/>
      <c r="DA56" s="11"/>
      <c r="DB56" s="11"/>
      <c r="DC56" s="11"/>
      <c r="DD56" s="11"/>
      <c r="DE56" s="11"/>
      <c r="DF56" s="11"/>
      <c r="DG56" s="7"/>
      <c r="DH56" s="7"/>
      <c r="DI56" s="7"/>
      <c r="DJ56" s="7"/>
      <c r="DK56" s="7"/>
      <c r="DL56" s="7">
        <v>207619000</v>
      </c>
      <c r="DM56" s="7">
        <v>209797000</v>
      </c>
      <c r="DN56" s="7">
        <v>211625000</v>
      </c>
      <c r="DO56" s="7">
        <v>212881000</v>
      </c>
      <c r="DP56" s="7">
        <v>213870000</v>
      </c>
      <c r="DQ56" s="11"/>
      <c r="DR56" s="11"/>
      <c r="DS56" s="11"/>
      <c r="DT56" s="11"/>
      <c r="DU56" s="11"/>
      <c r="DV56" s="11"/>
      <c r="DW56" s="11"/>
      <c r="DX56" s="11"/>
      <c r="DY56" s="11"/>
      <c r="DZ56" s="11"/>
      <c r="EA56" s="11">
        <v>207619000</v>
      </c>
      <c r="EB56" s="11">
        <v>209797000</v>
      </c>
      <c r="EC56" s="11">
        <v>211625000</v>
      </c>
      <c r="ED56" s="11">
        <v>212881000</v>
      </c>
      <c r="EE56" s="11">
        <v>213870000</v>
      </c>
      <c r="EF56" s="7"/>
      <c r="EG56" s="7"/>
      <c r="EH56" s="7"/>
      <c r="EI56" s="7"/>
      <c r="EJ56" s="7"/>
      <c r="EK56" s="7">
        <v>2037000</v>
      </c>
      <c r="EL56" s="7">
        <v>1745000</v>
      </c>
      <c r="EM56" s="7">
        <v>1414000</v>
      </c>
      <c r="EN56" s="7">
        <v>856000</v>
      </c>
      <c r="EO56" s="7">
        <v>592000</v>
      </c>
      <c r="EP56" s="7"/>
      <c r="EQ56" s="7"/>
      <c r="ER56" s="7"/>
      <c r="ES56" s="7"/>
      <c r="ET56" s="7"/>
      <c r="EU56" s="7"/>
      <c r="EV56" s="7"/>
      <c r="EW56" s="7"/>
      <c r="EX56" s="7"/>
      <c r="EY56" s="7"/>
      <c r="EZ56" s="11"/>
      <c r="FA56" s="11"/>
      <c r="FB56" s="11"/>
      <c r="FC56" s="11"/>
      <c r="FD56" s="11"/>
      <c r="FE56" s="11"/>
      <c r="FF56" s="11"/>
      <c r="FG56" s="11"/>
      <c r="FH56" s="11"/>
      <c r="FI56" s="11"/>
      <c r="FJ56" s="11"/>
      <c r="FK56" s="11"/>
      <c r="FL56" s="11"/>
      <c r="FM56" s="11"/>
      <c r="FN56" s="11"/>
      <c r="FO56" s="7"/>
      <c r="FP56" s="7"/>
      <c r="FQ56" s="7"/>
      <c r="FR56" s="7"/>
      <c r="FS56" s="7"/>
      <c r="FT56" s="7">
        <v>2122000</v>
      </c>
      <c r="FU56" s="7">
        <v>433000</v>
      </c>
      <c r="FV56" s="7">
        <v>414000</v>
      </c>
      <c r="FW56" s="7">
        <v>400000</v>
      </c>
      <c r="FX56" s="7">
        <v>397000</v>
      </c>
      <c r="FY56" s="11"/>
      <c r="FZ56" s="11"/>
      <c r="GA56" s="11"/>
      <c r="GB56" s="11"/>
      <c r="GC56" s="11"/>
      <c r="GD56" s="7">
        <v>-4159000</v>
      </c>
      <c r="GE56" s="7">
        <v>-2178000</v>
      </c>
      <c r="GF56" s="7">
        <v>-1828000</v>
      </c>
      <c r="GG56" s="7">
        <v>-1256000</v>
      </c>
      <c r="GH56" s="7">
        <v>-989000</v>
      </c>
    </row>
    <row r="57" spans="1:190" ht="26.25" x14ac:dyDescent="0.25">
      <c r="A57" s="4">
        <v>56</v>
      </c>
      <c r="B57" s="5" t="s">
        <v>335</v>
      </c>
      <c r="C57" s="9" t="s">
        <v>336</v>
      </c>
      <c r="D57" s="7">
        <v>16</v>
      </c>
      <c r="E57" s="6" t="s">
        <v>337</v>
      </c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7">
        <v>23393000</v>
      </c>
      <c r="Q57" s="7"/>
      <c r="R57" s="7"/>
      <c r="S57" s="7"/>
      <c r="T57" s="7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>
        <v>23393000</v>
      </c>
      <c r="AK57" s="11"/>
      <c r="AL57" s="11"/>
      <c r="AM57" s="11"/>
      <c r="AN57" s="11"/>
      <c r="AO57" s="7"/>
      <c r="AP57" s="7"/>
      <c r="AQ57" s="7"/>
      <c r="AR57" s="7"/>
      <c r="AS57" s="7"/>
      <c r="AT57" s="7">
        <v>4563000</v>
      </c>
      <c r="AU57" s="7"/>
      <c r="AV57" s="7"/>
      <c r="AW57" s="7"/>
      <c r="AX57" s="7">
        <v>18324000</v>
      </c>
      <c r="AY57" s="11"/>
      <c r="AZ57" s="11"/>
      <c r="BA57" s="11"/>
      <c r="BB57" s="11"/>
      <c r="BC57" s="11"/>
      <c r="BD57" s="7">
        <v>3506000</v>
      </c>
      <c r="BE57" s="7"/>
      <c r="BF57" s="7"/>
      <c r="BG57" s="7"/>
      <c r="BH57" s="7"/>
      <c r="BI57" s="11"/>
      <c r="BJ57" s="11"/>
      <c r="BK57" s="11"/>
      <c r="BL57" s="11"/>
      <c r="BM57" s="11"/>
      <c r="BN57" s="11">
        <v>8069000</v>
      </c>
      <c r="BO57" s="11"/>
      <c r="BP57" s="11"/>
      <c r="BQ57" s="11"/>
      <c r="BR57" s="11">
        <v>18324000</v>
      </c>
      <c r="BS57" s="11">
        <v>31462000</v>
      </c>
      <c r="BT57" s="11"/>
      <c r="BU57" s="11"/>
      <c r="BV57" s="11"/>
      <c r="BW57" s="11">
        <v>18324000</v>
      </c>
      <c r="BX57" s="7"/>
      <c r="BY57" s="7"/>
      <c r="BZ57" s="7"/>
      <c r="CA57" s="7"/>
      <c r="CB57" s="7"/>
      <c r="CC57" s="11"/>
      <c r="CD57" s="11"/>
      <c r="CE57" s="11"/>
      <c r="CF57" s="11"/>
      <c r="CG57" s="11"/>
      <c r="CH57" s="7"/>
      <c r="CI57" s="7"/>
      <c r="CJ57" s="7"/>
      <c r="CK57" s="7"/>
      <c r="CL57" s="7"/>
      <c r="CM57" s="11">
        <v>24771000</v>
      </c>
      <c r="CN57" s="11"/>
      <c r="CO57" s="11"/>
      <c r="CP57" s="11"/>
      <c r="CQ57" s="11">
        <v>16089000</v>
      </c>
      <c r="CR57" s="11"/>
      <c r="CS57" s="11"/>
      <c r="CT57" s="11"/>
      <c r="CU57" s="11"/>
      <c r="CV57" s="11"/>
      <c r="CW57" s="11"/>
      <c r="CX57" s="11"/>
      <c r="CY57" s="11"/>
      <c r="CZ57" s="11"/>
      <c r="DA57" s="11"/>
      <c r="DB57" s="11"/>
      <c r="DC57" s="11"/>
      <c r="DD57" s="11"/>
      <c r="DE57" s="11"/>
      <c r="DF57" s="11"/>
      <c r="DG57" s="7">
        <v>4282000</v>
      </c>
      <c r="DH57" s="7"/>
      <c r="DI57" s="7"/>
      <c r="DJ57" s="7"/>
      <c r="DK57" s="7">
        <v>1715000</v>
      </c>
      <c r="DL57" s="7">
        <v>2409000</v>
      </c>
      <c r="DM57" s="7"/>
      <c r="DN57" s="7"/>
      <c r="DO57" s="7"/>
      <c r="DP57" s="7">
        <v>520000</v>
      </c>
      <c r="DQ57" s="11"/>
      <c r="DR57" s="11"/>
      <c r="DS57" s="11"/>
      <c r="DT57" s="11"/>
      <c r="DU57" s="11"/>
      <c r="DV57" s="11"/>
      <c r="DW57" s="11"/>
      <c r="DX57" s="11"/>
      <c r="DY57" s="11"/>
      <c r="DZ57" s="11"/>
      <c r="EA57" s="11">
        <v>6691000</v>
      </c>
      <c r="EB57" s="11"/>
      <c r="EC57" s="11"/>
      <c r="ED57" s="11"/>
      <c r="EE57" s="11">
        <v>2235000</v>
      </c>
      <c r="EF57" s="7">
        <v>631000</v>
      </c>
      <c r="EG57" s="7"/>
      <c r="EH57" s="7"/>
      <c r="EI57" s="7"/>
      <c r="EJ57" s="7"/>
      <c r="EK57" s="7">
        <v>3392000</v>
      </c>
      <c r="EL57" s="7"/>
      <c r="EM57" s="7"/>
      <c r="EN57" s="7"/>
      <c r="EO57" s="7"/>
      <c r="EP57" s="7"/>
      <c r="EQ57" s="7"/>
      <c r="ER57" s="7"/>
      <c r="ES57" s="7"/>
      <c r="ET57" s="7"/>
      <c r="EU57" s="7"/>
      <c r="EV57" s="7"/>
      <c r="EW57" s="7"/>
      <c r="EX57" s="7"/>
      <c r="EY57" s="7"/>
      <c r="EZ57" s="11"/>
      <c r="FA57" s="11"/>
      <c r="FB57" s="11"/>
      <c r="FC57" s="11"/>
      <c r="FD57" s="11"/>
      <c r="FE57" s="11"/>
      <c r="FF57" s="11"/>
      <c r="FG57" s="11"/>
      <c r="FH57" s="11"/>
      <c r="FI57" s="11"/>
      <c r="FJ57" s="11">
        <v>27000</v>
      </c>
      <c r="FK57" s="11"/>
      <c r="FL57" s="11"/>
      <c r="FM57" s="11"/>
      <c r="FN57" s="11"/>
      <c r="FO57" s="7">
        <v>146000</v>
      </c>
      <c r="FP57" s="7"/>
      <c r="FQ57" s="7"/>
      <c r="FR57" s="7"/>
      <c r="FS57" s="7"/>
      <c r="FT57" s="7">
        <v>53000</v>
      </c>
      <c r="FU57" s="7"/>
      <c r="FV57" s="7"/>
      <c r="FW57" s="7"/>
      <c r="FX57" s="7">
        <v>213000</v>
      </c>
      <c r="FY57" s="11">
        <v>6000</v>
      </c>
      <c r="FZ57" s="11"/>
      <c r="GA57" s="11"/>
      <c r="GB57" s="11"/>
      <c r="GC57" s="11"/>
      <c r="GD57" s="7">
        <v>-2701000</v>
      </c>
      <c r="GE57" s="7"/>
      <c r="GF57" s="7"/>
      <c r="GG57" s="7"/>
      <c r="GH57" s="7">
        <v>-213000</v>
      </c>
    </row>
    <row r="58" spans="1:190" ht="26.25" x14ac:dyDescent="0.25">
      <c r="A58" s="4">
        <v>57</v>
      </c>
      <c r="B58" s="5" t="s">
        <v>338</v>
      </c>
      <c r="C58" s="9" t="s">
        <v>339</v>
      </c>
      <c r="D58" s="7">
        <v>19</v>
      </c>
      <c r="E58" s="6" t="s">
        <v>340</v>
      </c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7">
        <v>57106000</v>
      </c>
      <c r="Q58" s="7">
        <v>49702000</v>
      </c>
      <c r="R58" s="7">
        <v>43020000</v>
      </c>
      <c r="S58" s="7">
        <v>34898000</v>
      </c>
      <c r="T58" s="7"/>
      <c r="U58" s="11">
        <v>69531000</v>
      </c>
      <c r="V58" s="11">
        <v>47745000</v>
      </c>
      <c r="W58" s="11">
        <v>26024000</v>
      </c>
      <c r="X58" s="11"/>
      <c r="Y58" s="11"/>
      <c r="Z58" s="11">
        <v>27767000</v>
      </c>
      <c r="AA58" s="11">
        <v>27767000</v>
      </c>
      <c r="AB58" s="11">
        <v>25012000</v>
      </c>
      <c r="AC58" s="11">
        <v>27567000</v>
      </c>
      <c r="AD58" s="11">
        <v>27567000</v>
      </c>
      <c r="AE58" s="11">
        <v>856000</v>
      </c>
      <c r="AF58" s="11">
        <v>856000</v>
      </c>
      <c r="AG58" s="11">
        <v>856000</v>
      </c>
      <c r="AH58" s="11"/>
      <c r="AI58" s="11"/>
      <c r="AJ58" s="11">
        <v>157032000</v>
      </c>
      <c r="AK58" s="11">
        <v>127800000</v>
      </c>
      <c r="AL58" s="11">
        <v>96641000</v>
      </c>
      <c r="AM58" s="11">
        <v>62465000</v>
      </c>
      <c r="AN58" s="11">
        <v>27567000</v>
      </c>
      <c r="AO58" s="7">
        <v>96881000</v>
      </c>
      <c r="AP58" s="7">
        <v>96881000</v>
      </c>
      <c r="AQ58" s="7">
        <v>96881000</v>
      </c>
      <c r="AR58" s="7">
        <v>96881000</v>
      </c>
      <c r="AS58" s="7">
        <v>96881000</v>
      </c>
      <c r="AT58" s="7">
        <v>462593000</v>
      </c>
      <c r="AU58" s="7">
        <v>461313000</v>
      </c>
      <c r="AV58" s="7">
        <v>461313000</v>
      </c>
      <c r="AW58" s="7">
        <v>461296000</v>
      </c>
      <c r="AX58" s="7">
        <v>460933000</v>
      </c>
      <c r="AY58" s="11"/>
      <c r="AZ58" s="11"/>
      <c r="BA58" s="11"/>
      <c r="BB58" s="11"/>
      <c r="BC58" s="11"/>
      <c r="BD58" s="7">
        <v>4031000</v>
      </c>
      <c r="BE58" s="7">
        <v>3281000</v>
      </c>
      <c r="BF58" s="7">
        <v>16056000</v>
      </c>
      <c r="BG58" s="7">
        <v>8330000</v>
      </c>
      <c r="BH58" s="7">
        <v>11927000</v>
      </c>
      <c r="BI58" s="11"/>
      <c r="BJ58" s="11"/>
      <c r="BK58" s="11"/>
      <c r="BL58" s="11"/>
      <c r="BM58" s="11"/>
      <c r="BN58" s="11">
        <v>563505000</v>
      </c>
      <c r="BO58" s="11">
        <v>561475000</v>
      </c>
      <c r="BP58" s="11">
        <v>574250000</v>
      </c>
      <c r="BQ58" s="11">
        <v>566507000</v>
      </c>
      <c r="BR58" s="11">
        <v>569741000</v>
      </c>
      <c r="BS58" s="11">
        <v>720537000</v>
      </c>
      <c r="BT58" s="11">
        <v>689275000</v>
      </c>
      <c r="BU58" s="11">
        <v>670891000</v>
      </c>
      <c r="BV58" s="11">
        <v>628972000</v>
      </c>
      <c r="BW58" s="11">
        <v>597308000</v>
      </c>
      <c r="BX58" s="7">
        <v>69185000</v>
      </c>
      <c r="BY58" s="7">
        <v>69185000</v>
      </c>
      <c r="BZ58" s="7">
        <v>69185000</v>
      </c>
      <c r="CA58" s="7"/>
      <c r="CB58" s="7"/>
      <c r="CC58" s="11"/>
      <c r="CD58" s="11"/>
      <c r="CE58" s="11"/>
      <c r="CF58" s="11"/>
      <c r="CG58" s="11"/>
      <c r="CH58" s="7">
        <v>-1419948000</v>
      </c>
      <c r="CI58" s="7">
        <v>-1454852000</v>
      </c>
      <c r="CJ58" s="7">
        <v>-1470310000</v>
      </c>
      <c r="CK58" s="7"/>
      <c r="CL58" s="7"/>
      <c r="CM58" s="11">
        <v>-1260532000</v>
      </c>
      <c r="CN58" s="11">
        <v>-1295436000</v>
      </c>
      <c r="CO58" s="11">
        <v>-1310894000</v>
      </c>
      <c r="CP58" s="11">
        <v>-1346827000</v>
      </c>
      <c r="CQ58" s="11">
        <v>-1377369000</v>
      </c>
      <c r="CR58" s="11"/>
      <c r="CS58" s="11"/>
      <c r="CT58" s="11"/>
      <c r="CU58" s="11"/>
      <c r="CV58" s="11"/>
      <c r="CW58" s="11"/>
      <c r="CX58" s="11"/>
      <c r="CY58" s="11"/>
      <c r="CZ58" s="11">
        <v>82836000</v>
      </c>
      <c r="DA58" s="11">
        <v>82836000</v>
      </c>
      <c r="DB58" s="11">
        <v>82836000</v>
      </c>
      <c r="DC58" s="11">
        <v>82836000</v>
      </c>
      <c r="DD58" s="11">
        <v>82836000</v>
      </c>
      <c r="DE58" s="11">
        <v>82836000</v>
      </c>
      <c r="DF58" s="11">
        <v>82836000</v>
      </c>
      <c r="DG58" s="7">
        <v>697878000</v>
      </c>
      <c r="DH58" s="7">
        <v>697878000</v>
      </c>
      <c r="DI58" s="7">
        <v>697878000</v>
      </c>
      <c r="DJ58" s="7">
        <v>697878000</v>
      </c>
      <c r="DK58" s="7">
        <v>697510000</v>
      </c>
      <c r="DL58" s="7">
        <v>1200355000</v>
      </c>
      <c r="DM58" s="7">
        <v>1203997000</v>
      </c>
      <c r="DN58" s="7">
        <v>1201071000</v>
      </c>
      <c r="DO58" s="7">
        <v>1195085000</v>
      </c>
      <c r="DP58" s="7">
        <v>1194331000</v>
      </c>
      <c r="DQ58" s="11"/>
      <c r="DR58" s="11"/>
      <c r="DS58" s="11"/>
      <c r="DT58" s="11"/>
      <c r="DU58" s="11"/>
      <c r="DV58" s="11"/>
      <c r="DW58" s="11"/>
      <c r="DX58" s="11"/>
      <c r="DY58" s="11"/>
      <c r="DZ58" s="11"/>
      <c r="EA58" s="11">
        <v>1898233000</v>
      </c>
      <c r="EB58" s="11">
        <v>1901875000</v>
      </c>
      <c r="EC58" s="11">
        <v>1898949000</v>
      </c>
      <c r="ED58" s="11">
        <v>1892963000</v>
      </c>
      <c r="EE58" s="11">
        <v>1891841000</v>
      </c>
      <c r="EF58" s="7"/>
      <c r="EG58" s="7"/>
      <c r="EH58" s="7"/>
      <c r="EI58" s="7"/>
      <c r="EJ58" s="7"/>
      <c r="EK58" s="7"/>
      <c r="EL58" s="7"/>
      <c r="EM58" s="7"/>
      <c r="EN58" s="7"/>
      <c r="EO58" s="7">
        <v>1456000</v>
      </c>
      <c r="EP58" s="7"/>
      <c r="EQ58" s="7"/>
      <c r="ER58" s="7"/>
      <c r="ES58" s="7"/>
      <c r="ET58" s="7"/>
      <c r="EU58" s="7">
        <v>4651000</v>
      </c>
      <c r="EV58" s="7"/>
      <c r="EW58" s="7"/>
      <c r="EX58" s="7"/>
      <c r="EY58" s="7"/>
      <c r="EZ58" s="11"/>
      <c r="FA58" s="11"/>
      <c r="FB58" s="11"/>
      <c r="FC58" s="11"/>
      <c r="FD58" s="11"/>
      <c r="FE58" s="11"/>
      <c r="FF58" s="11"/>
      <c r="FG58" s="11"/>
      <c r="FH58" s="11"/>
      <c r="FI58" s="11"/>
      <c r="FJ58" s="11"/>
      <c r="FK58" s="11"/>
      <c r="FL58" s="11"/>
      <c r="FM58" s="11"/>
      <c r="FN58" s="11"/>
      <c r="FO58" s="7">
        <v>87900000</v>
      </c>
      <c r="FP58" s="7"/>
      <c r="FQ58" s="7">
        <v>25394000</v>
      </c>
      <c r="FR58" s="7">
        <v>7338000</v>
      </c>
      <c r="FS58" s="7">
        <v>5849000</v>
      </c>
      <c r="FT58" s="7">
        <v>1659425000</v>
      </c>
      <c r="FU58" s="7">
        <v>34904000</v>
      </c>
      <c r="FV58" s="7">
        <v>40852000</v>
      </c>
      <c r="FW58" s="7">
        <v>43271000</v>
      </c>
      <c r="FX58" s="7">
        <v>34935000</v>
      </c>
      <c r="FY58" s="11"/>
      <c r="FZ58" s="11"/>
      <c r="GA58" s="11"/>
      <c r="GB58" s="11"/>
      <c r="GC58" s="11"/>
      <c r="GD58" s="7">
        <v>-1576176000</v>
      </c>
      <c r="GE58" s="7">
        <v>-34904000</v>
      </c>
      <c r="GF58" s="7">
        <v>-15458000</v>
      </c>
      <c r="GG58" s="7">
        <v>-35933000</v>
      </c>
      <c r="GH58" s="7">
        <v>-30542000</v>
      </c>
    </row>
    <row r="59" spans="1:190" ht="26.25" x14ac:dyDescent="0.25">
      <c r="A59" s="4">
        <v>58</v>
      </c>
      <c r="B59" s="5" t="s">
        <v>341</v>
      </c>
      <c r="C59" s="9" t="s">
        <v>342</v>
      </c>
      <c r="D59" s="7">
        <v>7</v>
      </c>
      <c r="E59" s="6" t="s">
        <v>343</v>
      </c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7"/>
      <c r="Q59" s="7"/>
      <c r="R59" s="7"/>
      <c r="S59" s="7"/>
      <c r="T59" s="7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7"/>
      <c r="AP59" s="7"/>
      <c r="AQ59" s="7"/>
      <c r="AR59" s="7"/>
      <c r="AS59" s="7"/>
      <c r="AT59" s="7">
        <v>63720000</v>
      </c>
      <c r="AU59" s="7">
        <v>25981000</v>
      </c>
      <c r="AV59" s="7"/>
      <c r="AW59" s="7">
        <v>1000000</v>
      </c>
      <c r="AX59" s="7">
        <v>974000</v>
      </c>
      <c r="AY59" s="11"/>
      <c r="AZ59" s="11"/>
      <c r="BA59" s="11"/>
      <c r="BB59" s="11"/>
      <c r="BC59" s="11"/>
      <c r="BD59" s="7">
        <v>135000</v>
      </c>
      <c r="BE59" s="7">
        <v>29000</v>
      </c>
      <c r="BF59" s="7"/>
      <c r="BG59" s="7"/>
      <c r="BH59" s="7"/>
      <c r="BI59" s="11"/>
      <c r="BJ59" s="11"/>
      <c r="BK59" s="11"/>
      <c r="BL59" s="11"/>
      <c r="BM59" s="11"/>
      <c r="BN59" s="11">
        <v>63855000</v>
      </c>
      <c r="BO59" s="11">
        <v>26010000</v>
      </c>
      <c r="BP59" s="11"/>
      <c r="BQ59" s="11">
        <v>1000000</v>
      </c>
      <c r="BR59" s="11">
        <v>974000</v>
      </c>
      <c r="BS59" s="11">
        <v>63855000</v>
      </c>
      <c r="BT59" s="11">
        <v>26010000</v>
      </c>
      <c r="BU59" s="11"/>
      <c r="BV59" s="11">
        <v>1000000</v>
      </c>
      <c r="BW59" s="11">
        <v>974000</v>
      </c>
      <c r="BX59" s="7">
        <v>50000</v>
      </c>
      <c r="BY59" s="7">
        <v>50000</v>
      </c>
      <c r="BZ59" s="7">
        <v>50000</v>
      </c>
      <c r="CA59" s="7">
        <v>50000</v>
      </c>
      <c r="CB59" s="7">
        <v>50000</v>
      </c>
      <c r="CC59" s="11"/>
      <c r="CD59" s="11"/>
      <c r="CE59" s="11"/>
      <c r="CF59" s="11"/>
      <c r="CG59" s="11"/>
      <c r="CH59" s="7">
        <v>157000</v>
      </c>
      <c r="CI59" s="7">
        <v>186000</v>
      </c>
      <c r="CJ59" s="7">
        <v>-22311000</v>
      </c>
      <c r="CK59" s="7">
        <v>-26036000</v>
      </c>
      <c r="CL59" s="7">
        <v>-26627000</v>
      </c>
      <c r="CM59" s="11">
        <v>207000</v>
      </c>
      <c r="CN59" s="11">
        <v>236000</v>
      </c>
      <c r="CO59" s="11">
        <v>-22261000</v>
      </c>
      <c r="CP59" s="11">
        <v>-25986000</v>
      </c>
      <c r="CQ59" s="11">
        <v>-26577000</v>
      </c>
      <c r="CR59" s="11"/>
      <c r="CS59" s="11"/>
      <c r="CT59" s="11"/>
      <c r="CU59" s="11"/>
      <c r="CV59" s="11"/>
      <c r="CW59" s="11"/>
      <c r="CX59" s="11"/>
      <c r="CY59" s="11"/>
      <c r="CZ59" s="11"/>
      <c r="DA59" s="11"/>
      <c r="DB59" s="11"/>
      <c r="DC59" s="11"/>
      <c r="DD59" s="11"/>
      <c r="DE59" s="11"/>
      <c r="DF59" s="11"/>
      <c r="DG59" s="7">
        <v>5000000</v>
      </c>
      <c r="DH59" s="7">
        <v>3000000</v>
      </c>
      <c r="DI59" s="7"/>
      <c r="DJ59" s="7"/>
      <c r="DK59" s="7"/>
      <c r="DL59" s="7">
        <v>58648000</v>
      </c>
      <c r="DM59" s="7">
        <v>22774000</v>
      </c>
      <c r="DN59" s="7">
        <v>22261000</v>
      </c>
      <c r="DO59" s="7">
        <v>26986000</v>
      </c>
      <c r="DP59" s="7">
        <v>27551000</v>
      </c>
      <c r="DQ59" s="11"/>
      <c r="DR59" s="11"/>
      <c r="DS59" s="11"/>
      <c r="DT59" s="11"/>
      <c r="DU59" s="11"/>
      <c r="DV59" s="11"/>
      <c r="DW59" s="11"/>
      <c r="DX59" s="11"/>
      <c r="DY59" s="11"/>
      <c r="DZ59" s="11"/>
      <c r="EA59" s="11">
        <v>63648000</v>
      </c>
      <c r="EB59" s="11">
        <v>25774000</v>
      </c>
      <c r="EC59" s="11">
        <v>22261000</v>
      </c>
      <c r="ED59" s="11">
        <v>26986000</v>
      </c>
      <c r="EE59" s="11">
        <v>27551000</v>
      </c>
      <c r="EF59" s="7">
        <v>1400000</v>
      </c>
      <c r="EG59" s="7">
        <v>1472000</v>
      </c>
      <c r="EH59" s="7"/>
      <c r="EI59" s="7"/>
      <c r="EJ59" s="7"/>
      <c r="EK59" s="7">
        <v>1304000</v>
      </c>
      <c r="EL59" s="7">
        <v>1436000</v>
      </c>
      <c r="EM59" s="7"/>
      <c r="EN59" s="7"/>
      <c r="EO59" s="7"/>
      <c r="EP59" s="7"/>
      <c r="EQ59" s="7"/>
      <c r="ER59" s="7"/>
      <c r="ES59" s="7"/>
      <c r="ET59" s="7"/>
      <c r="EU59" s="7"/>
      <c r="EV59" s="7"/>
      <c r="EW59" s="7"/>
      <c r="EX59" s="7"/>
      <c r="EY59" s="7"/>
      <c r="EZ59" s="11"/>
      <c r="FA59" s="11"/>
      <c r="FB59" s="11"/>
      <c r="FC59" s="11"/>
      <c r="FD59" s="11"/>
      <c r="FE59" s="11"/>
      <c r="FF59" s="11"/>
      <c r="FG59" s="11"/>
      <c r="FH59" s="11"/>
      <c r="FI59" s="11"/>
      <c r="FJ59" s="11"/>
      <c r="FK59" s="11"/>
      <c r="FL59" s="11"/>
      <c r="FM59" s="11"/>
      <c r="FN59" s="11"/>
      <c r="FO59" s="7"/>
      <c r="FP59" s="7"/>
      <c r="FQ59" s="7"/>
      <c r="FR59" s="7"/>
      <c r="FS59" s="7"/>
      <c r="FT59" s="7"/>
      <c r="FU59" s="7"/>
      <c r="FV59" s="7">
        <v>380000</v>
      </c>
      <c r="FW59" s="7">
        <v>625000</v>
      </c>
      <c r="FX59" s="7">
        <v>490000</v>
      </c>
      <c r="FY59" s="11">
        <v>-19000</v>
      </c>
      <c r="FZ59" s="11">
        <v>-7000</v>
      </c>
      <c r="GA59" s="11"/>
      <c r="GB59" s="11"/>
      <c r="GC59" s="11"/>
      <c r="GD59" s="7">
        <v>77000</v>
      </c>
      <c r="GE59" s="7">
        <v>29000</v>
      </c>
      <c r="GF59" s="7">
        <v>-380000</v>
      </c>
      <c r="GG59" s="7">
        <v>-625000</v>
      </c>
      <c r="GH59" s="7">
        <v>-490000</v>
      </c>
    </row>
    <row r="60" spans="1:190" x14ac:dyDescent="0.25">
      <c r="A60" s="4">
        <v>59</v>
      </c>
      <c r="B60" s="5" t="s">
        <v>344</v>
      </c>
      <c r="C60" s="9" t="s">
        <v>345</v>
      </c>
      <c r="D60" s="7">
        <v>12</v>
      </c>
      <c r="E60" s="6" t="s">
        <v>239</v>
      </c>
      <c r="F60" s="11">
        <v>187930</v>
      </c>
      <c r="G60" s="11"/>
      <c r="H60" s="11"/>
      <c r="I60" s="11"/>
      <c r="J60" s="11"/>
      <c r="K60" s="11"/>
      <c r="L60" s="11"/>
      <c r="M60" s="11"/>
      <c r="N60" s="11"/>
      <c r="O60" s="11"/>
      <c r="P60" s="7">
        <v>26759000</v>
      </c>
      <c r="Q60" s="7"/>
      <c r="R60" s="7"/>
      <c r="S60" s="7"/>
      <c r="T60" s="7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>
        <v>26759000</v>
      </c>
      <c r="AK60" s="11"/>
      <c r="AL60" s="11"/>
      <c r="AM60" s="11"/>
      <c r="AN60" s="11"/>
      <c r="AO60" s="7">
        <v>158854000</v>
      </c>
      <c r="AP60" s="7"/>
      <c r="AQ60" s="7"/>
      <c r="AR60" s="7"/>
      <c r="AS60" s="7"/>
      <c r="AT60" s="7">
        <v>22998000</v>
      </c>
      <c r="AU60" s="7"/>
      <c r="AV60" s="7">
        <v>203384000</v>
      </c>
      <c r="AW60" s="7"/>
      <c r="AX60" s="7"/>
      <c r="AY60" s="11"/>
      <c r="AZ60" s="11"/>
      <c r="BA60" s="11"/>
      <c r="BB60" s="11"/>
      <c r="BC60" s="11"/>
      <c r="BD60" s="7"/>
      <c r="BE60" s="7"/>
      <c r="BF60" s="7"/>
      <c r="BG60" s="7"/>
      <c r="BH60" s="7"/>
      <c r="BI60" s="11"/>
      <c r="BJ60" s="11"/>
      <c r="BK60" s="11"/>
      <c r="BL60" s="11"/>
      <c r="BM60" s="11"/>
      <c r="BN60" s="11">
        <v>181852000</v>
      </c>
      <c r="BO60" s="11"/>
      <c r="BP60" s="11">
        <v>203384000</v>
      </c>
      <c r="BQ60" s="11"/>
      <c r="BR60" s="11"/>
      <c r="BS60" s="11">
        <v>208611000</v>
      </c>
      <c r="BT60" s="11"/>
      <c r="BU60" s="11">
        <v>203384000</v>
      </c>
      <c r="BV60" s="11"/>
      <c r="BW60" s="11"/>
      <c r="BX60" s="7"/>
      <c r="BY60" s="7"/>
      <c r="BZ60" s="7"/>
      <c r="CA60" s="7"/>
      <c r="CB60" s="7"/>
      <c r="CC60" s="11"/>
      <c r="CD60" s="11"/>
      <c r="CE60" s="11"/>
      <c r="CF60" s="11"/>
      <c r="CG60" s="11"/>
      <c r="CH60" s="7"/>
      <c r="CI60" s="7"/>
      <c r="CJ60" s="7"/>
      <c r="CK60" s="7"/>
      <c r="CL60" s="7"/>
      <c r="CM60" s="11">
        <v>19253000</v>
      </c>
      <c r="CN60" s="11"/>
      <c r="CO60" s="11">
        <v>10000</v>
      </c>
      <c r="CP60" s="11"/>
      <c r="CQ60" s="11"/>
      <c r="CR60" s="11"/>
      <c r="CS60" s="11"/>
      <c r="CT60" s="11"/>
      <c r="CU60" s="11"/>
      <c r="CV60" s="11"/>
      <c r="CW60" s="11"/>
      <c r="CX60" s="11"/>
      <c r="CY60" s="11"/>
      <c r="CZ60" s="11"/>
      <c r="DA60" s="11"/>
      <c r="DB60" s="11"/>
      <c r="DC60" s="11"/>
      <c r="DD60" s="11"/>
      <c r="DE60" s="11"/>
      <c r="DF60" s="11"/>
      <c r="DG60" s="7">
        <v>1227000</v>
      </c>
      <c r="DH60" s="7"/>
      <c r="DI60" s="7"/>
      <c r="DJ60" s="7"/>
      <c r="DK60" s="7"/>
      <c r="DL60" s="7">
        <v>188131000</v>
      </c>
      <c r="DM60" s="7"/>
      <c r="DN60" s="7">
        <v>203374000</v>
      </c>
      <c r="DO60" s="7"/>
      <c r="DP60" s="7"/>
      <c r="DQ60" s="11"/>
      <c r="DR60" s="11"/>
      <c r="DS60" s="11"/>
      <c r="DT60" s="11"/>
      <c r="DU60" s="11"/>
      <c r="DV60" s="11"/>
      <c r="DW60" s="11"/>
      <c r="DX60" s="11"/>
      <c r="DY60" s="11"/>
      <c r="DZ60" s="11"/>
      <c r="EA60" s="11">
        <v>189358000</v>
      </c>
      <c r="EB60" s="11"/>
      <c r="EC60" s="11">
        <v>203374000</v>
      </c>
      <c r="ED60" s="11"/>
      <c r="EE60" s="11"/>
      <c r="EF60" s="7">
        <v>78483000</v>
      </c>
      <c r="EG60" s="7"/>
      <c r="EH60" s="7"/>
      <c r="EI60" s="7"/>
      <c r="EJ60" s="7"/>
      <c r="EK60" s="7">
        <v>77338000</v>
      </c>
      <c r="EL60" s="7"/>
      <c r="EM60" s="7">
        <v>188756000</v>
      </c>
      <c r="EN60" s="7"/>
      <c r="EO60" s="7"/>
      <c r="EP60" s="7"/>
      <c r="EQ60" s="7"/>
      <c r="ER60" s="7"/>
      <c r="ES60" s="7"/>
      <c r="ET60" s="7"/>
      <c r="EU60" s="7"/>
      <c r="EV60" s="7"/>
      <c r="EW60" s="7"/>
      <c r="EX60" s="7"/>
      <c r="EY60" s="7"/>
      <c r="EZ60" s="11"/>
      <c r="FA60" s="11"/>
      <c r="FB60" s="11"/>
      <c r="FC60" s="11"/>
      <c r="FD60" s="11"/>
      <c r="FE60" s="11"/>
      <c r="FF60" s="11"/>
      <c r="FG60" s="11"/>
      <c r="FH60" s="11"/>
      <c r="FI60" s="11"/>
      <c r="FJ60" s="11">
        <v>217000</v>
      </c>
      <c r="FK60" s="11"/>
      <c r="FL60" s="11">
        <v>14379000</v>
      </c>
      <c r="FM60" s="11"/>
      <c r="FN60" s="11"/>
      <c r="FO60" s="7"/>
      <c r="FP60" s="7"/>
      <c r="FQ60" s="7"/>
      <c r="FR60" s="7"/>
      <c r="FS60" s="7"/>
      <c r="FT60" s="7">
        <v>82000</v>
      </c>
      <c r="FU60" s="7"/>
      <c r="FV60" s="7">
        <v>239000</v>
      </c>
      <c r="FW60" s="7"/>
      <c r="FX60" s="7"/>
      <c r="FY60" s="11">
        <v>169000</v>
      </c>
      <c r="FZ60" s="11"/>
      <c r="GA60" s="11"/>
      <c r="GB60" s="11"/>
      <c r="GC60" s="11"/>
      <c r="GD60" s="7">
        <v>677000</v>
      </c>
      <c r="GE60" s="7"/>
      <c r="GF60" s="7">
        <v>-203374000</v>
      </c>
      <c r="GG60" s="7"/>
      <c r="GH60" s="7"/>
    </row>
    <row r="61" spans="1:190" x14ac:dyDescent="0.25">
      <c r="A61" s="4">
        <v>60</v>
      </c>
      <c r="B61" s="5" t="s">
        <v>346</v>
      </c>
      <c r="C61" s="9" t="s">
        <v>347</v>
      </c>
      <c r="D61" s="7">
        <v>8</v>
      </c>
      <c r="E61" s="6" t="s">
        <v>190</v>
      </c>
      <c r="F61" s="11"/>
      <c r="G61" s="11">
        <v>35500</v>
      </c>
      <c r="H61" s="11">
        <v>395643</v>
      </c>
      <c r="I61" s="11">
        <v>456904</v>
      </c>
      <c r="J61" s="11">
        <v>473322</v>
      </c>
      <c r="K61" s="11">
        <v>4282</v>
      </c>
      <c r="L61" s="11">
        <v>89640</v>
      </c>
      <c r="M61" s="11">
        <v>922208</v>
      </c>
      <c r="N61" s="11">
        <v>706660</v>
      </c>
      <c r="O61" s="11">
        <v>2838126</v>
      </c>
      <c r="P61" s="7"/>
      <c r="Q61" s="7">
        <v>513000</v>
      </c>
      <c r="R61" s="7">
        <v>426000</v>
      </c>
      <c r="S61" s="7">
        <v>1514000</v>
      </c>
      <c r="T61" s="7">
        <v>441000</v>
      </c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>
        <v>513000</v>
      </c>
      <c r="AL61" s="11">
        <v>426000</v>
      </c>
      <c r="AM61" s="11">
        <v>1514000</v>
      </c>
      <c r="AN61" s="11">
        <v>441000</v>
      </c>
      <c r="AO61" s="7">
        <v>37000</v>
      </c>
      <c r="AP61" s="7"/>
      <c r="AQ61" s="7">
        <v>19880000</v>
      </c>
      <c r="AR61" s="7">
        <v>35544000</v>
      </c>
      <c r="AS61" s="7">
        <v>1000</v>
      </c>
      <c r="AT61" s="7">
        <v>1104000</v>
      </c>
      <c r="AU61" s="7">
        <v>9854000</v>
      </c>
      <c r="AV61" s="7">
        <v>5703000</v>
      </c>
      <c r="AW61" s="7">
        <v>9897000</v>
      </c>
      <c r="AX61" s="7">
        <v>804000</v>
      </c>
      <c r="AY61" s="11"/>
      <c r="AZ61" s="11"/>
      <c r="BA61" s="11"/>
      <c r="BB61" s="11"/>
      <c r="BC61" s="11"/>
      <c r="BD61" s="7">
        <v>123000</v>
      </c>
      <c r="BE61" s="7">
        <v>726000</v>
      </c>
      <c r="BF61" s="7">
        <v>877000</v>
      </c>
      <c r="BG61" s="7">
        <v>226000</v>
      </c>
      <c r="BH61" s="7">
        <v>1000</v>
      </c>
      <c r="BI61" s="11"/>
      <c r="BJ61" s="11"/>
      <c r="BK61" s="11"/>
      <c r="BL61" s="11"/>
      <c r="BM61" s="11"/>
      <c r="BN61" s="11">
        <v>1264000</v>
      </c>
      <c r="BO61" s="11">
        <v>10580000</v>
      </c>
      <c r="BP61" s="11">
        <v>26460000</v>
      </c>
      <c r="BQ61" s="11">
        <v>45667000</v>
      </c>
      <c r="BR61" s="11">
        <v>806000</v>
      </c>
      <c r="BS61" s="11">
        <v>1264000</v>
      </c>
      <c r="BT61" s="11">
        <v>11093000</v>
      </c>
      <c r="BU61" s="11">
        <v>26886000</v>
      </c>
      <c r="BV61" s="11">
        <v>47181000</v>
      </c>
      <c r="BW61" s="11">
        <v>1247000</v>
      </c>
      <c r="BX61" s="7">
        <v>10000</v>
      </c>
      <c r="BY61" s="7"/>
      <c r="BZ61" s="7"/>
      <c r="CA61" s="7"/>
      <c r="CB61" s="7"/>
      <c r="CC61" s="11"/>
      <c r="CD61" s="11"/>
      <c r="CE61" s="11"/>
      <c r="CF61" s="11"/>
      <c r="CG61" s="11"/>
      <c r="CH61" s="7">
        <v>123000</v>
      </c>
      <c r="CI61" s="7"/>
      <c r="CJ61" s="7"/>
      <c r="CK61" s="7"/>
      <c r="CL61" s="7"/>
      <c r="CM61" s="11">
        <v>133000</v>
      </c>
      <c r="CN61" s="11">
        <v>1283000</v>
      </c>
      <c r="CO61" s="11">
        <v>3666000</v>
      </c>
      <c r="CP61" s="11">
        <v>5335000</v>
      </c>
      <c r="CQ61" s="11">
        <v>-28123000</v>
      </c>
      <c r="CR61" s="11">
        <v>798000</v>
      </c>
      <c r="CS61" s="11">
        <v>859000</v>
      </c>
      <c r="CT61" s="11">
        <v>7128000</v>
      </c>
      <c r="CU61" s="11">
        <v>21852000</v>
      </c>
      <c r="CV61" s="11">
        <v>13741000</v>
      </c>
      <c r="CW61" s="11"/>
      <c r="CX61" s="11"/>
      <c r="CY61" s="11"/>
      <c r="CZ61" s="11"/>
      <c r="DA61" s="11"/>
      <c r="DB61" s="11">
        <v>798000</v>
      </c>
      <c r="DC61" s="11">
        <v>859000</v>
      </c>
      <c r="DD61" s="11">
        <v>7128000</v>
      </c>
      <c r="DE61" s="11">
        <v>21852000</v>
      </c>
      <c r="DF61" s="11">
        <v>13741000</v>
      </c>
      <c r="DG61" s="7"/>
      <c r="DH61" s="7"/>
      <c r="DI61" s="7"/>
      <c r="DJ61" s="7"/>
      <c r="DK61" s="7"/>
      <c r="DL61" s="7">
        <v>333000</v>
      </c>
      <c r="DM61" s="7">
        <v>8951000</v>
      </c>
      <c r="DN61" s="7">
        <v>16092000</v>
      </c>
      <c r="DO61" s="7">
        <v>19994000</v>
      </c>
      <c r="DP61" s="7">
        <v>15629000</v>
      </c>
      <c r="DQ61" s="11"/>
      <c r="DR61" s="11"/>
      <c r="DS61" s="11"/>
      <c r="DT61" s="11"/>
      <c r="DU61" s="11"/>
      <c r="DV61" s="11"/>
      <c r="DW61" s="11"/>
      <c r="DX61" s="11"/>
      <c r="DY61" s="11"/>
      <c r="DZ61" s="11"/>
      <c r="EA61" s="11">
        <v>333000</v>
      </c>
      <c r="EB61" s="11">
        <v>8951000</v>
      </c>
      <c r="EC61" s="11">
        <v>16092000</v>
      </c>
      <c r="ED61" s="11">
        <v>19994000</v>
      </c>
      <c r="EE61" s="11">
        <v>15629000</v>
      </c>
      <c r="EF61" s="7">
        <v>581000</v>
      </c>
      <c r="EG61" s="7">
        <v>31542000</v>
      </c>
      <c r="EH61" s="7">
        <v>26051000</v>
      </c>
      <c r="EI61" s="7">
        <v>47837000</v>
      </c>
      <c r="EJ61" s="7">
        <v>25506000</v>
      </c>
      <c r="EK61" s="7">
        <v>319000</v>
      </c>
      <c r="EL61" s="7">
        <v>29861000</v>
      </c>
      <c r="EM61" s="7">
        <v>23759000</v>
      </c>
      <c r="EN61" s="7">
        <v>43265000</v>
      </c>
      <c r="EO61" s="7">
        <v>56970000</v>
      </c>
      <c r="EP61" s="7"/>
      <c r="EQ61" s="7"/>
      <c r="ER61" s="7"/>
      <c r="ES61" s="7"/>
      <c r="ET61" s="7"/>
      <c r="EU61" s="7">
        <v>163000</v>
      </c>
      <c r="EV61" s="7"/>
      <c r="EW61" s="7"/>
      <c r="EX61" s="7"/>
      <c r="EY61" s="7"/>
      <c r="EZ61" s="11"/>
      <c r="FA61" s="11"/>
      <c r="FB61" s="11"/>
      <c r="FC61" s="11"/>
      <c r="FD61" s="11"/>
      <c r="FE61" s="11"/>
      <c r="FF61" s="11"/>
      <c r="FG61" s="11"/>
      <c r="FH61" s="11"/>
      <c r="FI61" s="11"/>
      <c r="FJ61" s="11"/>
      <c r="FK61" s="11"/>
      <c r="FL61" s="11"/>
      <c r="FM61" s="11"/>
      <c r="FN61" s="11">
        <v>916000</v>
      </c>
      <c r="FO61" s="7"/>
      <c r="FP61" s="7">
        <v>25000</v>
      </c>
      <c r="FQ61" s="7"/>
      <c r="FR61" s="7">
        <v>25000</v>
      </c>
      <c r="FS61" s="7"/>
      <c r="FT61" s="7">
        <v>23000</v>
      </c>
      <c r="FU61" s="7">
        <v>305000</v>
      </c>
      <c r="FV61" s="7">
        <v>1105000</v>
      </c>
      <c r="FW61" s="7">
        <v>2454000</v>
      </c>
      <c r="FX61" s="7">
        <v>1078000</v>
      </c>
      <c r="FY61" s="11">
        <v>-15000</v>
      </c>
      <c r="FZ61" s="11">
        <v>251000</v>
      </c>
      <c r="GA61" s="11">
        <v>294000</v>
      </c>
      <c r="GB61" s="11">
        <v>474000</v>
      </c>
      <c r="GC61" s="11"/>
      <c r="GD61" s="7">
        <v>61000</v>
      </c>
      <c r="GE61" s="7">
        <v>1150000</v>
      </c>
      <c r="GF61" s="7">
        <v>893000</v>
      </c>
      <c r="GG61" s="7">
        <v>1669000</v>
      </c>
      <c r="GH61" s="7">
        <v>-33458000</v>
      </c>
    </row>
    <row r="62" spans="1:190" x14ac:dyDescent="0.25">
      <c r="A62" s="4">
        <v>61</v>
      </c>
      <c r="B62" s="5" t="s">
        <v>348</v>
      </c>
      <c r="C62" s="9" t="s">
        <v>349</v>
      </c>
      <c r="D62" s="7">
        <v>17</v>
      </c>
      <c r="E62" s="6" t="s">
        <v>190</v>
      </c>
      <c r="F62" s="11"/>
      <c r="G62" s="11"/>
      <c r="H62" s="11"/>
      <c r="I62" s="11"/>
      <c r="J62" s="11"/>
      <c r="K62" s="11">
        <v>10342798</v>
      </c>
      <c r="L62" s="11">
        <v>44000</v>
      </c>
      <c r="M62" s="11"/>
      <c r="N62" s="11"/>
      <c r="O62" s="11"/>
      <c r="P62" s="7">
        <v>985000</v>
      </c>
      <c r="Q62" s="7"/>
      <c r="R62" s="7"/>
      <c r="S62" s="7"/>
      <c r="T62" s="7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>
        <v>985000</v>
      </c>
      <c r="AK62" s="11"/>
      <c r="AL62" s="11"/>
      <c r="AM62" s="11"/>
      <c r="AN62" s="11"/>
      <c r="AO62" s="7">
        <v>3026000</v>
      </c>
      <c r="AP62" s="7">
        <v>3547000</v>
      </c>
      <c r="AQ62" s="7">
        <v>2964000</v>
      </c>
      <c r="AR62" s="7">
        <v>2964000</v>
      </c>
      <c r="AS62" s="7"/>
      <c r="AT62" s="7">
        <v>111235000</v>
      </c>
      <c r="AU62" s="7">
        <v>111235000</v>
      </c>
      <c r="AV62" s="7">
        <v>3252000</v>
      </c>
      <c r="AW62" s="7">
        <v>3252000</v>
      </c>
      <c r="AX62" s="7">
        <v>3064000</v>
      </c>
      <c r="AY62" s="11"/>
      <c r="AZ62" s="11"/>
      <c r="BA62" s="11"/>
      <c r="BB62" s="11"/>
      <c r="BC62" s="11"/>
      <c r="BD62" s="7"/>
      <c r="BE62" s="7"/>
      <c r="BF62" s="7"/>
      <c r="BG62" s="7"/>
      <c r="BH62" s="7"/>
      <c r="BI62" s="11"/>
      <c r="BJ62" s="11"/>
      <c r="BK62" s="11"/>
      <c r="BL62" s="11"/>
      <c r="BM62" s="11"/>
      <c r="BN62" s="11">
        <v>114261000</v>
      </c>
      <c r="BO62" s="11">
        <v>114782000</v>
      </c>
      <c r="BP62" s="11">
        <v>6216000</v>
      </c>
      <c r="BQ62" s="11">
        <v>6216000</v>
      </c>
      <c r="BR62" s="11">
        <v>3064000</v>
      </c>
      <c r="BS62" s="11">
        <v>115246000</v>
      </c>
      <c r="BT62" s="11">
        <v>114782000</v>
      </c>
      <c r="BU62" s="11">
        <v>6216000</v>
      </c>
      <c r="BV62" s="11">
        <v>6216000</v>
      </c>
      <c r="BW62" s="11">
        <v>3064000</v>
      </c>
      <c r="BX62" s="7"/>
      <c r="BY62" s="7"/>
      <c r="BZ62" s="7"/>
      <c r="CA62" s="7"/>
      <c r="CB62" s="7"/>
      <c r="CC62" s="11"/>
      <c r="CD62" s="11"/>
      <c r="CE62" s="11"/>
      <c r="CF62" s="11"/>
      <c r="CG62" s="11"/>
      <c r="CH62" s="7"/>
      <c r="CI62" s="7"/>
      <c r="CJ62" s="7"/>
      <c r="CK62" s="7"/>
      <c r="CL62" s="7"/>
      <c r="CM62" s="11">
        <v>-40662000</v>
      </c>
      <c r="CN62" s="11">
        <v>-41126000</v>
      </c>
      <c r="CO62" s="11">
        <v>-79265000</v>
      </c>
      <c r="CP62" s="11">
        <v>-79265000</v>
      </c>
      <c r="CQ62" s="11">
        <v>-97007000</v>
      </c>
      <c r="CR62" s="11">
        <v>856000</v>
      </c>
      <c r="CS62" s="11">
        <v>856000</v>
      </c>
      <c r="CT62" s="11"/>
      <c r="CU62" s="11"/>
      <c r="CV62" s="11"/>
      <c r="CW62" s="11"/>
      <c r="CX62" s="11"/>
      <c r="CY62" s="11"/>
      <c r="CZ62" s="11"/>
      <c r="DA62" s="11"/>
      <c r="DB62" s="11">
        <v>856000</v>
      </c>
      <c r="DC62" s="11">
        <v>856000</v>
      </c>
      <c r="DD62" s="11"/>
      <c r="DE62" s="11"/>
      <c r="DF62" s="11"/>
      <c r="DG62" s="7">
        <v>10491000</v>
      </c>
      <c r="DH62" s="7">
        <v>10491000</v>
      </c>
      <c r="DI62" s="7"/>
      <c r="DJ62" s="7"/>
      <c r="DK62" s="7"/>
      <c r="DL62" s="7">
        <v>142017000</v>
      </c>
      <c r="DM62" s="7">
        <v>142017000</v>
      </c>
      <c r="DN62" s="7">
        <v>85481000</v>
      </c>
      <c r="DO62" s="7">
        <v>85481000</v>
      </c>
      <c r="DP62" s="7">
        <v>100071000</v>
      </c>
      <c r="DQ62" s="11"/>
      <c r="DR62" s="11"/>
      <c r="DS62" s="11"/>
      <c r="DT62" s="11"/>
      <c r="DU62" s="11"/>
      <c r="DV62" s="11">
        <v>2544000</v>
      </c>
      <c r="DW62" s="11">
        <v>2544000</v>
      </c>
      <c r="DX62" s="11"/>
      <c r="DY62" s="11"/>
      <c r="DZ62" s="11"/>
      <c r="EA62" s="11">
        <v>155052000</v>
      </c>
      <c r="EB62" s="11">
        <v>155052000</v>
      </c>
      <c r="EC62" s="11">
        <v>85481000</v>
      </c>
      <c r="ED62" s="11">
        <v>85481000</v>
      </c>
      <c r="EE62" s="11">
        <v>100071000</v>
      </c>
      <c r="EF62" s="7">
        <v>74616000</v>
      </c>
      <c r="EG62" s="7">
        <v>3528000</v>
      </c>
      <c r="EH62" s="7">
        <v>583000</v>
      </c>
      <c r="EI62" s="7"/>
      <c r="EJ62" s="7">
        <v>92000</v>
      </c>
      <c r="EK62" s="7">
        <v>82170000</v>
      </c>
      <c r="EL62" s="7">
        <v>3987000</v>
      </c>
      <c r="EM62" s="7">
        <v>38722000</v>
      </c>
      <c r="EN62" s="7"/>
      <c r="EO62" s="7">
        <v>17834000</v>
      </c>
      <c r="EP62" s="7"/>
      <c r="EQ62" s="7"/>
      <c r="ER62" s="7"/>
      <c r="ES62" s="7"/>
      <c r="ET62" s="7"/>
      <c r="EU62" s="7"/>
      <c r="EV62" s="7"/>
      <c r="EW62" s="7"/>
      <c r="EX62" s="7"/>
      <c r="EY62" s="7"/>
      <c r="EZ62" s="11"/>
      <c r="FA62" s="11"/>
      <c r="FB62" s="11"/>
      <c r="FC62" s="11"/>
      <c r="FD62" s="11"/>
      <c r="FE62" s="11"/>
      <c r="FF62" s="11"/>
      <c r="FG62" s="11"/>
      <c r="FH62" s="11"/>
      <c r="FI62" s="11"/>
      <c r="FJ62" s="11"/>
      <c r="FK62" s="11"/>
      <c r="FL62" s="11"/>
      <c r="FM62" s="11"/>
      <c r="FN62" s="11"/>
      <c r="FO62" s="7">
        <v>22000</v>
      </c>
      <c r="FP62" s="7"/>
      <c r="FQ62" s="7"/>
      <c r="FR62" s="7"/>
      <c r="FS62" s="7"/>
      <c r="FT62" s="7">
        <v>25186000</v>
      </c>
      <c r="FU62" s="7">
        <v>5000</v>
      </c>
      <c r="FV62" s="7"/>
      <c r="FW62" s="7"/>
      <c r="FX62" s="7"/>
      <c r="FY62" s="11"/>
      <c r="FZ62" s="11"/>
      <c r="GA62" s="11"/>
      <c r="GB62" s="11"/>
      <c r="GC62" s="11"/>
      <c r="GD62" s="7">
        <v>-32718000</v>
      </c>
      <c r="GE62" s="7">
        <v>-464000</v>
      </c>
      <c r="GF62" s="7">
        <v>-38139000</v>
      </c>
      <c r="GG62" s="7"/>
      <c r="GH62" s="7">
        <v>-17742000</v>
      </c>
    </row>
    <row r="63" spans="1:190" x14ac:dyDescent="0.25">
      <c r="A63" s="4">
        <v>62</v>
      </c>
      <c r="B63" s="5" t="s">
        <v>350</v>
      </c>
      <c r="C63" s="9" t="s">
        <v>351</v>
      </c>
      <c r="D63" s="7">
        <v>22</v>
      </c>
      <c r="E63" s="6" t="s">
        <v>352</v>
      </c>
      <c r="F63" s="11"/>
      <c r="G63" s="11"/>
      <c r="H63" s="11"/>
      <c r="I63" s="11">
        <v>898822</v>
      </c>
      <c r="J63" s="11"/>
      <c r="K63" s="11">
        <v>532827</v>
      </c>
      <c r="L63" s="11"/>
      <c r="M63" s="11">
        <v>8476348</v>
      </c>
      <c r="N63" s="11">
        <v>231324</v>
      </c>
      <c r="O63" s="11"/>
      <c r="P63" s="7">
        <v>61711000</v>
      </c>
      <c r="Q63" s="7"/>
      <c r="R63" s="7"/>
      <c r="S63" s="7"/>
      <c r="T63" s="7"/>
      <c r="U63" s="11"/>
      <c r="V63" s="11">
        <v>8627000</v>
      </c>
      <c r="W63" s="11"/>
      <c r="X63" s="11"/>
      <c r="Y63" s="11"/>
      <c r="Z63" s="11"/>
      <c r="AA63" s="11"/>
      <c r="AB63" s="11"/>
      <c r="AC63" s="11">
        <v>13000</v>
      </c>
      <c r="AD63" s="11"/>
      <c r="AE63" s="11">
        <v>9326000</v>
      </c>
      <c r="AF63" s="11"/>
      <c r="AG63" s="11"/>
      <c r="AH63" s="11"/>
      <c r="AI63" s="11"/>
      <c r="AJ63" s="11">
        <v>71063000</v>
      </c>
      <c r="AK63" s="11">
        <v>8718000</v>
      </c>
      <c r="AL63" s="11">
        <v>1237000</v>
      </c>
      <c r="AM63" s="11">
        <v>12977000</v>
      </c>
      <c r="AN63" s="11"/>
      <c r="AO63" s="7"/>
      <c r="AP63" s="7">
        <v>74820000</v>
      </c>
      <c r="AQ63" s="7">
        <v>20489000</v>
      </c>
      <c r="AR63" s="7">
        <v>61311000</v>
      </c>
      <c r="AS63" s="7"/>
      <c r="AT63" s="7">
        <v>422401000</v>
      </c>
      <c r="AU63" s="7">
        <v>467823000</v>
      </c>
      <c r="AV63" s="7">
        <v>152057000</v>
      </c>
      <c r="AW63" s="7">
        <v>709751000</v>
      </c>
      <c r="AX63" s="7"/>
      <c r="AY63" s="11"/>
      <c r="AZ63" s="11"/>
      <c r="BA63" s="11"/>
      <c r="BB63" s="11"/>
      <c r="BC63" s="11"/>
      <c r="BD63" s="7"/>
      <c r="BE63" s="7">
        <v>19295000</v>
      </c>
      <c r="BF63" s="7">
        <v>17229000</v>
      </c>
      <c r="BG63" s="7">
        <v>2563000</v>
      </c>
      <c r="BH63" s="7">
        <v>392000</v>
      </c>
      <c r="BI63" s="11">
        <v>61000</v>
      </c>
      <c r="BJ63" s="11">
        <v>9000</v>
      </c>
      <c r="BK63" s="11"/>
      <c r="BL63" s="11"/>
      <c r="BM63" s="11"/>
      <c r="BN63" s="11">
        <v>422519000</v>
      </c>
      <c r="BO63" s="11">
        <v>561949000</v>
      </c>
      <c r="BP63" s="11">
        <v>189775000</v>
      </c>
      <c r="BQ63" s="11">
        <v>773627000</v>
      </c>
      <c r="BR63" s="11">
        <v>392000</v>
      </c>
      <c r="BS63" s="11">
        <v>493582000</v>
      </c>
      <c r="BT63" s="11">
        <v>570667000</v>
      </c>
      <c r="BU63" s="11">
        <v>191011000</v>
      </c>
      <c r="BV63" s="11">
        <v>786604000</v>
      </c>
      <c r="BW63" s="11">
        <v>392000</v>
      </c>
      <c r="BX63" s="7">
        <v>1000000</v>
      </c>
      <c r="BY63" s="7">
        <v>1000000</v>
      </c>
      <c r="BZ63" s="7">
        <v>1000000</v>
      </c>
      <c r="CA63" s="7">
        <v>1000000</v>
      </c>
      <c r="CB63" s="7">
        <v>1000000</v>
      </c>
      <c r="CC63" s="11"/>
      <c r="CD63" s="11"/>
      <c r="CE63" s="11"/>
      <c r="CF63" s="11"/>
      <c r="CG63" s="11"/>
      <c r="CH63" s="7">
        <v>-4890693000</v>
      </c>
      <c r="CI63" s="7">
        <v>-4879651000</v>
      </c>
      <c r="CJ63" s="7">
        <v>-5013694000</v>
      </c>
      <c r="CK63" s="7">
        <v>-4953254000</v>
      </c>
      <c r="CL63" s="7">
        <v>-3832947000</v>
      </c>
      <c r="CM63" s="11">
        <v>-4889693000</v>
      </c>
      <c r="CN63" s="11">
        <v>-4878651000</v>
      </c>
      <c r="CO63" s="11">
        <v>-5012694000</v>
      </c>
      <c r="CP63" s="11">
        <v>-4952254000</v>
      </c>
      <c r="CQ63" s="11">
        <v>-3831947000</v>
      </c>
      <c r="CR63" s="11">
        <v>13600000</v>
      </c>
      <c r="CS63" s="11">
        <v>13581000</v>
      </c>
      <c r="CT63" s="11">
        <v>13479000</v>
      </c>
      <c r="CU63" s="11">
        <v>13479000</v>
      </c>
      <c r="CV63" s="11"/>
      <c r="CW63" s="11"/>
      <c r="CX63" s="11"/>
      <c r="CY63" s="11"/>
      <c r="CZ63" s="11"/>
      <c r="DA63" s="11"/>
      <c r="DB63" s="11">
        <v>15589000</v>
      </c>
      <c r="DC63" s="11">
        <v>16324000</v>
      </c>
      <c r="DD63" s="11">
        <v>17443000</v>
      </c>
      <c r="DE63" s="11">
        <v>17586000</v>
      </c>
      <c r="DF63" s="11"/>
      <c r="DG63" s="7">
        <v>905267000</v>
      </c>
      <c r="DH63" s="7">
        <v>905267000</v>
      </c>
      <c r="DI63" s="7">
        <v>905267000</v>
      </c>
      <c r="DJ63" s="7">
        <v>905267000</v>
      </c>
      <c r="DK63" s="7"/>
      <c r="DL63" s="7">
        <v>4462418000</v>
      </c>
      <c r="DM63" s="7">
        <v>4527727000</v>
      </c>
      <c r="DN63" s="7">
        <v>4280995000</v>
      </c>
      <c r="DO63" s="7">
        <v>4816006000</v>
      </c>
      <c r="DP63" s="7">
        <v>3832339000</v>
      </c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>
        <v>5367685000</v>
      </c>
      <c r="EB63" s="11">
        <v>5432993000</v>
      </c>
      <c r="EC63" s="11">
        <v>5186262000</v>
      </c>
      <c r="ED63" s="11">
        <v>5721273000</v>
      </c>
      <c r="EE63" s="11">
        <v>3832339000</v>
      </c>
      <c r="EF63" s="7"/>
      <c r="EG63" s="7"/>
      <c r="EH63" s="7">
        <v>366000</v>
      </c>
      <c r="EI63" s="7"/>
      <c r="EJ63" s="7"/>
      <c r="EK63" s="7"/>
      <c r="EL63" s="7"/>
      <c r="EM63" s="7">
        <v>293000</v>
      </c>
      <c r="EN63" s="7"/>
      <c r="EO63" s="7"/>
      <c r="EP63" s="7"/>
      <c r="EQ63" s="7"/>
      <c r="ER63" s="7"/>
      <c r="ES63" s="7"/>
      <c r="ET63" s="7"/>
      <c r="EU63" s="7"/>
      <c r="EV63" s="7">
        <v>80000</v>
      </c>
      <c r="EW63" s="7">
        <v>9000</v>
      </c>
      <c r="EX63" s="7">
        <v>351000</v>
      </c>
      <c r="EY63" s="7"/>
      <c r="EZ63" s="11"/>
      <c r="FA63" s="11"/>
      <c r="FB63" s="11"/>
      <c r="FC63" s="11"/>
      <c r="FD63" s="11"/>
      <c r="FE63" s="11"/>
      <c r="FF63" s="11"/>
      <c r="FG63" s="11"/>
      <c r="FH63" s="11"/>
      <c r="FI63" s="11"/>
      <c r="FJ63" s="11"/>
      <c r="FK63" s="11"/>
      <c r="FL63" s="11"/>
      <c r="FM63" s="11"/>
      <c r="FN63" s="11"/>
      <c r="FO63" s="7"/>
      <c r="FP63" s="7">
        <v>3146000</v>
      </c>
      <c r="FQ63" s="7">
        <v>18017000</v>
      </c>
      <c r="FR63" s="7">
        <v>5941000</v>
      </c>
      <c r="FS63" s="7"/>
      <c r="FT63" s="7"/>
      <c r="FU63" s="7">
        <v>2963000</v>
      </c>
      <c r="FV63" s="7">
        <v>151292000</v>
      </c>
      <c r="FW63" s="7">
        <v>7677000</v>
      </c>
      <c r="FX63" s="7"/>
      <c r="FY63" s="11"/>
      <c r="FZ63" s="11">
        <v>-21000</v>
      </c>
      <c r="GA63" s="11">
        <v>-832000</v>
      </c>
      <c r="GB63" s="11">
        <v>35000</v>
      </c>
      <c r="GC63" s="11"/>
      <c r="GD63" s="7"/>
      <c r="GE63" s="7">
        <v>82000</v>
      </c>
      <c r="GF63" s="7">
        <v>-134043000</v>
      </c>
      <c r="GG63" s="7">
        <v>-2052000</v>
      </c>
      <c r="GH63" s="7"/>
    </row>
    <row r="64" spans="1:190" x14ac:dyDescent="0.25">
      <c r="A64" s="4">
        <v>63</v>
      </c>
      <c r="B64" s="5" t="s">
        <v>353</v>
      </c>
      <c r="C64" s="9" t="s">
        <v>354</v>
      </c>
      <c r="D64" s="7">
        <v>11</v>
      </c>
      <c r="E64" s="6" t="s">
        <v>190</v>
      </c>
      <c r="F64" s="11"/>
      <c r="G64" s="11"/>
      <c r="H64" s="11">
        <v>1508098</v>
      </c>
      <c r="I64" s="11"/>
      <c r="J64" s="11">
        <v>17931</v>
      </c>
      <c r="K64" s="11"/>
      <c r="L64" s="11"/>
      <c r="M64" s="11">
        <v>15864757</v>
      </c>
      <c r="N64" s="11">
        <v>9492084</v>
      </c>
      <c r="O64" s="11"/>
      <c r="P64" s="7">
        <v>9494000</v>
      </c>
      <c r="Q64" s="7">
        <v>9771000</v>
      </c>
      <c r="R64" s="7">
        <v>2970000</v>
      </c>
      <c r="S64" s="7">
        <v>2212000</v>
      </c>
      <c r="T64" s="7">
        <v>1659000</v>
      </c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>
        <v>9494000</v>
      </c>
      <c r="AK64" s="11">
        <v>9771000</v>
      </c>
      <c r="AL64" s="11">
        <v>2970000</v>
      </c>
      <c r="AM64" s="11">
        <v>2212000</v>
      </c>
      <c r="AN64" s="11">
        <v>1659000</v>
      </c>
      <c r="AO64" s="7">
        <v>54068000</v>
      </c>
      <c r="AP64" s="7">
        <v>39070000</v>
      </c>
      <c r="AQ64" s="7">
        <v>24697000</v>
      </c>
      <c r="AR64" s="7">
        <v>48933000</v>
      </c>
      <c r="AS64" s="7">
        <v>39894000</v>
      </c>
      <c r="AT64" s="7">
        <v>53492000</v>
      </c>
      <c r="AU64" s="7">
        <v>53896000</v>
      </c>
      <c r="AV64" s="7">
        <v>75901000</v>
      </c>
      <c r="AW64" s="7">
        <v>67410000</v>
      </c>
      <c r="AX64" s="7">
        <v>113451000</v>
      </c>
      <c r="AY64" s="11">
        <v>2535000</v>
      </c>
      <c r="AZ64" s="11"/>
      <c r="BA64" s="11">
        <v>1000000</v>
      </c>
      <c r="BB64" s="11">
        <v>500000</v>
      </c>
      <c r="BC64" s="11">
        <v>1223000</v>
      </c>
      <c r="BD64" s="7">
        <v>2745000</v>
      </c>
      <c r="BE64" s="7">
        <v>95000</v>
      </c>
      <c r="BF64" s="7">
        <v>1474000</v>
      </c>
      <c r="BG64" s="7">
        <v>3588000</v>
      </c>
      <c r="BH64" s="7">
        <v>882000</v>
      </c>
      <c r="BI64" s="11">
        <v>6514000</v>
      </c>
      <c r="BJ64" s="11">
        <v>4638000</v>
      </c>
      <c r="BK64" s="11"/>
      <c r="BL64" s="11">
        <v>2171000</v>
      </c>
      <c r="BM64" s="11">
        <v>1304000</v>
      </c>
      <c r="BN64" s="11">
        <v>119353000</v>
      </c>
      <c r="BO64" s="11">
        <v>97699000</v>
      </c>
      <c r="BP64" s="11">
        <v>105221000</v>
      </c>
      <c r="BQ64" s="11">
        <v>122602000</v>
      </c>
      <c r="BR64" s="11">
        <v>156757000</v>
      </c>
      <c r="BS64" s="11">
        <v>128847000</v>
      </c>
      <c r="BT64" s="11">
        <v>107471000</v>
      </c>
      <c r="BU64" s="11">
        <v>108191000</v>
      </c>
      <c r="BV64" s="11">
        <v>124814000</v>
      </c>
      <c r="BW64" s="11">
        <v>158417000</v>
      </c>
      <c r="BX64" s="7">
        <v>10000</v>
      </c>
      <c r="BY64" s="7">
        <v>10000</v>
      </c>
      <c r="BZ64" s="7">
        <v>10000</v>
      </c>
      <c r="CA64" s="7">
        <v>10000</v>
      </c>
      <c r="CB64" s="7">
        <v>10000</v>
      </c>
      <c r="CC64" s="11"/>
      <c r="CD64" s="11"/>
      <c r="CE64" s="11"/>
      <c r="CF64" s="11"/>
      <c r="CG64" s="11"/>
      <c r="CH64" s="7">
        <v>57223000</v>
      </c>
      <c r="CI64" s="7">
        <v>69214000</v>
      </c>
      <c r="CJ64" s="7">
        <v>61451000</v>
      </c>
      <c r="CK64" s="7">
        <v>1491000</v>
      </c>
      <c r="CL64" s="7">
        <v>-41383000</v>
      </c>
      <c r="CM64" s="11">
        <v>57233000</v>
      </c>
      <c r="CN64" s="11">
        <v>69224000</v>
      </c>
      <c r="CO64" s="11">
        <v>61461000</v>
      </c>
      <c r="CP64" s="11">
        <v>1501000</v>
      </c>
      <c r="CQ64" s="11">
        <v>-41373000</v>
      </c>
      <c r="CR64" s="11">
        <v>12709000</v>
      </c>
      <c r="CS64" s="11">
        <v>8687000</v>
      </c>
      <c r="CT64" s="11"/>
      <c r="CU64" s="11">
        <v>15039000</v>
      </c>
      <c r="CV64" s="11">
        <v>16206000</v>
      </c>
      <c r="CW64" s="11">
        <v>11308000</v>
      </c>
      <c r="CX64" s="11">
        <v>-3124000</v>
      </c>
      <c r="CY64" s="11"/>
      <c r="CZ64" s="11"/>
      <c r="DA64" s="11">
        <v>-732000</v>
      </c>
      <c r="DB64" s="11">
        <v>24017000</v>
      </c>
      <c r="DC64" s="11">
        <v>5563000</v>
      </c>
      <c r="DD64" s="11"/>
      <c r="DE64" s="11">
        <v>15039000</v>
      </c>
      <c r="DF64" s="11">
        <v>15474000</v>
      </c>
      <c r="DG64" s="7"/>
      <c r="DH64" s="7"/>
      <c r="DI64" s="7"/>
      <c r="DJ64" s="7"/>
      <c r="DK64" s="7"/>
      <c r="DL64" s="7">
        <v>47597000</v>
      </c>
      <c r="DM64" s="7">
        <v>32684000</v>
      </c>
      <c r="DN64" s="7">
        <v>46730000</v>
      </c>
      <c r="DO64" s="7">
        <v>108274000</v>
      </c>
      <c r="DP64" s="7">
        <v>184316000</v>
      </c>
      <c r="DQ64" s="11"/>
      <c r="DR64" s="11"/>
      <c r="DS64" s="11"/>
      <c r="DT64" s="11"/>
      <c r="DU64" s="11"/>
      <c r="DV64" s="11"/>
      <c r="DW64" s="11"/>
      <c r="DX64" s="11"/>
      <c r="DY64" s="11"/>
      <c r="DZ64" s="11"/>
      <c r="EA64" s="11">
        <v>47597000</v>
      </c>
      <c r="EB64" s="11">
        <v>32684000</v>
      </c>
      <c r="EC64" s="11">
        <v>46730000</v>
      </c>
      <c r="ED64" s="11">
        <v>108274000</v>
      </c>
      <c r="EE64" s="11">
        <v>184316000</v>
      </c>
      <c r="EF64" s="7">
        <v>98500000</v>
      </c>
      <c r="EG64" s="7">
        <v>221469000</v>
      </c>
      <c r="EH64" s="7">
        <v>325832000</v>
      </c>
      <c r="EI64" s="7">
        <v>214938000</v>
      </c>
      <c r="EJ64" s="7">
        <v>62166000</v>
      </c>
      <c r="EK64" s="7">
        <v>87035000</v>
      </c>
      <c r="EL64" s="7">
        <v>204523000</v>
      </c>
      <c r="EM64" s="7">
        <v>271619000</v>
      </c>
      <c r="EN64" s="7">
        <v>214386000</v>
      </c>
      <c r="EO64" s="7">
        <v>60945000</v>
      </c>
      <c r="EP64" s="7"/>
      <c r="EQ64" s="7"/>
      <c r="ER64" s="7"/>
      <c r="ES64" s="7"/>
      <c r="ET64" s="7"/>
      <c r="EU64" s="7">
        <v>1084000</v>
      </c>
      <c r="EV64" s="7">
        <v>3200000</v>
      </c>
      <c r="EW64" s="7">
        <v>2487000</v>
      </c>
      <c r="EX64" s="7">
        <v>2154000</v>
      </c>
      <c r="EY64" s="7">
        <v>1211000</v>
      </c>
      <c r="EZ64" s="11"/>
      <c r="FA64" s="11"/>
      <c r="FB64" s="11"/>
      <c r="FC64" s="11"/>
      <c r="FD64" s="11"/>
      <c r="FE64" s="11"/>
      <c r="FF64" s="11"/>
      <c r="FG64" s="11"/>
      <c r="FH64" s="11"/>
      <c r="FI64" s="11"/>
      <c r="FJ64" s="11"/>
      <c r="FK64" s="11"/>
      <c r="FL64" s="11"/>
      <c r="FM64" s="11"/>
      <c r="FN64" s="11"/>
      <c r="FO64" s="7">
        <v>2898000</v>
      </c>
      <c r="FP64" s="7">
        <v>4130000</v>
      </c>
      <c r="FQ64" s="7">
        <v>4222000</v>
      </c>
      <c r="FR64" s="7">
        <v>1700000</v>
      </c>
      <c r="FS64" s="7"/>
      <c r="FT64" s="7">
        <v>588000</v>
      </c>
      <c r="FU64" s="7">
        <v>3489000</v>
      </c>
      <c r="FV64" s="7">
        <v>4992000</v>
      </c>
      <c r="FW64" s="7"/>
      <c r="FX64" s="7"/>
      <c r="FY64" s="11">
        <v>-1487000</v>
      </c>
      <c r="FZ64" s="11">
        <v>-1988000</v>
      </c>
      <c r="GA64" s="11">
        <v>-39000</v>
      </c>
      <c r="GB64" s="11">
        <v>-20000</v>
      </c>
      <c r="GC64" s="11"/>
      <c r="GD64" s="7">
        <v>11230000</v>
      </c>
      <c r="GE64" s="7">
        <v>12399000</v>
      </c>
      <c r="GF64" s="7">
        <v>43771000</v>
      </c>
      <c r="GG64" s="7">
        <v>78000</v>
      </c>
      <c r="GH64" s="7">
        <v>10000</v>
      </c>
    </row>
    <row r="65" spans="1:190" ht="26.25" x14ac:dyDescent="0.25">
      <c r="A65" s="4">
        <v>64</v>
      </c>
      <c r="B65" s="5" t="s">
        <v>355</v>
      </c>
      <c r="C65" s="9" t="s">
        <v>356</v>
      </c>
      <c r="D65" s="7">
        <v>31</v>
      </c>
      <c r="E65" s="6" t="s">
        <v>357</v>
      </c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7">
        <v>3863000</v>
      </c>
      <c r="Q65" s="7">
        <v>3543000</v>
      </c>
      <c r="R65" s="7">
        <v>3455000</v>
      </c>
      <c r="S65" s="7">
        <v>3368000</v>
      </c>
      <c r="T65" s="7">
        <v>512000</v>
      </c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>
        <v>3863000</v>
      </c>
      <c r="AK65" s="11">
        <v>3543000</v>
      </c>
      <c r="AL65" s="11">
        <v>3455000</v>
      </c>
      <c r="AM65" s="11">
        <v>3368000</v>
      </c>
      <c r="AN65" s="11">
        <v>512000</v>
      </c>
      <c r="AO65" s="7"/>
      <c r="AP65" s="7"/>
      <c r="AQ65" s="7"/>
      <c r="AR65" s="7"/>
      <c r="AS65" s="7"/>
      <c r="AT65" s="7">
        <v>22919000</v>
      </c>
      <c r="AU65" s="7">
        <v>22561000</v>
      </c>
      <c r="AV65" s="7">
        <v>30578000</v>
      </c>
      <c r="AW65" s="7">
        <v>26833000</v>
      </c>
      <c r="AX65" s="7">
        <v>8492000</v>
      </c>
      <c r="AY65" s="11">
        <v>35057000</v>
      </c>
      <c r="AZ65" s="11">
        <v>35057000</v>
      </c>
      <c r="BA65" s="11">
        <v>35057000</v>
      </c>
      <c r="BB65" s="11">
        <v>35057000</v>
      </c>
      <c r="BC65" s="11"/>
      <c r="BD65" s="7">
        <v>1000</v>
      </c>
      <c r="BE65" s="7">
        <v>774000</v>
      </c>
      <c r="BF65" s="7">
        <v>1671000</v>
      </c>
      <c r="BG65" s="7">
        <v>685000</v>
      </c>
      <c r="BH65" s="7">
        <v>168494000</v>
      </c>
      <c r="BI65" s="11"/>
      <c r="BJ65" s="11"/>
      <c r="BK65" s="11"/>
      <c r="BL65" s="11"/>
      <c r="BM65" s="11"/>
      <c r="BN65" s="11">
        <v>57976000</v>
      </c>
      <c r="BO65" s="11">
        <v>58392000</v>
      </c>
      <c r="BP65" s="11">
        <v>67306000</v>
      </c>
      <c r="BQ65" s="11">
        <v>62575000</v>
      </c>
      <c r="BR65" s="11">
        <v>176986000</v>
      </c>
      <c r="BS65" s="11">
        <v>61840000</v>
      </c>
      <c r="BT65" s="11">
        <v>61935000</v>
      </c>
      <c r="BU65" s="11">
        <v>70761000</v>
      </c>
      <c r="BV65" s="11">
        <v>65943000</v>
      </c>
      <c r="BW65" s="11">
        <v>177498000</v>
      </c>
      <c r="BX65" s="7">
        <v>21038000</v>
      </c>
      <c r="BY65" s="7">
        <v>21038000</v>
      </c>
      <c r="BZ65" s="7">
        <v>21038000</v>
      </c>
      <c r="CA65" s="7">
        <v>21038000</v>
      </c>
      <c r="CB65" s="7">
        <v>21038000</v>
      </c>
      <c r="CC65" s="11">
        <v>180000</v>
      </c>
      <c r="CD65" s="11">
        <v>180000</v>
      </c>
      <c r="CE65" s="11">
        <v>180000</v>
      </c>
      <c r="CF65" s="11">
        <v>180000</v>
      </c>
      <c r="CG65" s="11">
        <v>180000</v>
      </c>
      <c r="CH65" s="7">
        <v>21604000</v>
      </c>
      <c r="CI65" s="7">
        <v>18855000</v>
      </c>
      <c r="CJ65" s="7">
        <v>30122000</v>
      </c>
      <c r="CK65" s="7">
        <v>25961000</v>
      </c>
      <c r="CL65" s="7">
        <v>46231000</v>
      </c>
      <c r="CM65" s="11">
        <v>45177000</v>
      </c>
      <c r="CN65" s="11">
        <v>42428000</v>
      </c>
      <c r="CO65" s="11">
        <v>53695000</v>
      </c>
      <c r="CP65" s="11">
        <v>49534000</v>
      </c>
      <c r="CQ65" s="11">
        <v>69804000</v>
      </c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7"/>
      <c r="DH65" s="7"/>
      <c r="DI65" s="7"/>
      <c r="DJ65" s="7"/>
      <c r="DK65" s="7"/>
      <c r="DL65" s="7">
        <v>16173000</v>
      </c>
      <c r="DM65" s="7">
        <v>18735000</v>
      </c>
      <c r="DN65" s="7">
        <v>16265000</v>
      </c>
      <c r="DO65" s="7">
        <v>16340000</v>
      </c>
      <c r="DP65" s="7">
        <v>107694000</v>
      </c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>
        <v>16663000</v>
      </c>
      <c r="EB65" s="11">
        <v>19507000</v>
      </c>
      <c r="EC65" s="11">
        <v>17066000</v>
      </c>
      <c r="ED65" s="11">
        <v>16409000</v>
      </c>
      <c r="EE65" s="11">
        <v>107694000</v>
      </c>
      <c r="EF65" s="7">
        <v>23174000</v>
      </c>
      <c r="EG65" s="7">
        <v>26805000</v>
      </c>
      <c r="EH65" s="7">
        <v>34855000</v>
      </c>
      <c r="EI65" s="7">
        <v>41095000</v>
      </c>
      <c r="EJ65" s="7">
        <v>39460000</v>
      </c>
      <c r="EK65" s="7">
        <v>15487000</v>
      </c>
      <c r="EL65" s="7">
        <v>17346000</v>
      </c>
      <c r="EM65" s="7">
        <v>13745000</v>
      </c>
      <c r="EN65" s="7">
        <v>27753000</v>
      </c>
      <c r="EO65" s="7">
        <v>20664000</v>
      </c>
      <c r="EP65" s="7"/>
      <c r="EQ65" s="7"/>
      <c r="ER65" s="7"/>
      <c r="ES65" s="7"/>
      <c r="ET65" s="7"/>
      <c r="EU65" s="7">
        <v>7023000</v>
      </c>
      <c r="EV65" s="7">
        <v>7552000</v>
      </c>
      <c r="EW65" s="7">
        <v>6374000</v>
      </c>
      <c r="EX65" s="7">
        <v>6428000</v>
      </c>
      <c r="EY65" s="7">
        <v>5529000</v>
      </c>
      <c r="EZ65" s="11"/>
      <c r="FA65" s="11"/>
      <c r="FB65" s="11"/>
      <c r="FC65" s="11"/>
      <c r="FD65" s="11"/>
      <c r="FE65" s="11"/>
      <c r="FF65" s="11"/>
      <c r="FG65" s="11">
        <v>3000</v>
      </c>
      <c r="FH65" s="11"/>
      <c r="FI65" s="11">
        <v>4000</v>
      </c>
      <c r="FJ65" s="11"/>
      <c r="FK65" s="11"/>
      <c r="FL65" s="11"/>
      <c r="FM65" s="11"/>
      <c r="FN65" s="11"/>
      <c r="FO65" s="7">
        <v>14338000</v>
      </c>
      <c r="FP65" s="7">
        <v>15266000</v>
      </c>
      <c r="FQ65" s="7">
        <v>14916000</v>
      </c>
      <c r="FR65" s="7">
        <v>19351000</v>
      </c>
      <c r="FS65" s="7">
        <v>112363000</v>
      </c>
      <c r="FT65" s="7">
        <v>15615000</v>
      </c>
      <c r="FU65" s="7">
        <v>18942000</v>
      </c>
      <c r="FV65" s="7">
        <v>17660000</v>
      </c>
      <c r="FW65" s="7">
        <v>29399000</v>
      </c>
      <c r="FX65" s="7">
        <v>94383000</v>
      </c>
      <c r="FY65" s="11">
        <v>-657000</v>
      </c>
      <c r="FZ65" s="11">
        <v>-756000</v>
      </c>
      <c r="GA65" s="11">
        <v>-728000</v>
      </c>
      <c r="GB65" s="11">
        <v>-1027000</v>
      </c>
      <c r="GC65" s="11">
        <v>-10981000</v>
      </c>
      <c r="GD65" s="7">
        <v>-1359000</v>
      </c>
      <c r="GE65" s="7">
        <v>-2525000</v>
      </c>
      <c r="GF65" s="7">
        <v>11267000</v>
      </c>
      <c r="GG65" s="7">
        <v>-4161000</v>
      </c>
      <c r="GH65" s="7">
        <v>20270000</v>
      </c>
    </row>
    <row r="66" spans="1:190" x14ac:dyDescent="0.25">
      <c r="A66" s="4">
        <v>65</v>
      </c>
      <c r="B66" s="5" t="s">
        <v>358</v>
      </c>
      <c r="C66" s="9" t="s">
        <v>359</v>
      </c>
      <c r="D66" s="7">
        <v>28</v>
      </c>
      <c r="E66" s="6" t="s">
        <v>360</v>
      </c>
      <c r="F66" s="11"/>
      <c r="G66" s="11"/>
      <c r="H66" s="11">
        <v>2295</v>
      </c>
      <c r="I66" s="11"/>
      <c r="J66" s="11"/>
      <c r="K66" s="11">
        <v>1374623</v>
      </c>
      <c r="L66" s="11">
        <v>84381</v>
      </c>
      <c r="M66" s="11"/>
      <c r="N66" s="11"/>
      <c r="O66" s="11"/>
      <c r="P66" s="7">
        <v>718000</v>
      </c>
      <c r="Q66" s="7"/>
      <c r="R66" s="7"/>
      <c r="S66" s="7"/>
      <c r="T66" s="7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>
        <v>15000</v>
      </c>
      <c r="AF66" s="11"/>
      <c r="AG66" s="11"/>
      <c r="AH66" s="11"/>
      <c r="AI66" s="11"/>
      <c r="AJ66" s="11">
        <v>861000</v>
      </c>
      <c r="AK66" s="11">
        <v>95000</v>
      </c>
      <c r="AL66" s="11">
        <v>62000</v>
      </c>
      <c r="AM66" s="11">
        <v>29000</v>
      </c>
      <c r="AN66" s="11"/>
      <c r="AO66" s="7">
        <v>46304000</v>
      </c>
      <c r="AP66" s="7">
        <v>10990000</v>
      </c>
      <c r="AQ66" s="7">
        <v>10990000</v>
      </c>
      <c r="AR66" s="7">
        <v>10990000</v>
      </c>
      <c r="AS66" s="7">
        <v>10990000</v>
      </c>
      <c r="AT66" s="7">
        <v>4443000</v>
      </c>
      <c r="AU66" s="7">
        <v>3866000</v>
      </c>
      <c r="AV66" s="7">
        <v>3910000</v>
      </c>
      <c r="AW66" s="7">
        <v>3318000</v>
      </c>
      <c r="AX66" s="7"/>
      <c r="AY66" s="11"/>
      <c r="AZ66" s="11"/>
      <c r="BA66" s="11"/>
      <c r="BB66" s="11"/>
      <c r="BC66" s="11"/>
      <c r="BD66" s="7">
        <v>25178000</v>
      </c>
      <c r="BE66" s="7">
        <v>1139000</v>
      </c>
      <c r="BF66" s="7">
        <v>843000</v>
      </c>
      <c r="BG66" s="7">
        <v>1532000</v>
      </c>
      <c r="BH66" s="7">
        <v>969000</v>
      </c>
      <c r="BI66" s="11">
        <v>44000</v>
      </c>
      <c r="BJ66" s="11">
        <v>4000</v>
      </c>
      <c r="BK66" s="11"/>
      <c r="BL66" s="11"/>
      <c r="BM66" s="11"/>
      <c r="BN66" s="11">
        <v>75970000</v>
      </c>
      <c r="BO66" s="11">
        <v>15999000</v>
      </c>
      <c r="BP66" s="11">
        <v>15743000</v>
      </c>
      <c r="BQ66" s="11">
        <v>15840000</v>
      </c>
      <c r="BR66" s="11">
        <v>11959000</v>
      </c>
      <c r="BS66" s="11">
        <v>76830000</v>
      </c>
      <c r="BT66" s="11">
        <v>16094000</v>
      </c>
      <c r="BU66" s="11">
        <v>15805000</v>
      </c>
      <c r="BV66" s="11">
        <v>15869000</v>
      </c>
      <c r="BW66" s="11">
        <v>11959000</v>
      </c>
      <c r="BX66" s="7">
        <v>43186000</v>
      </c>
      <c r="BY66" s="7">
        <v>43186000</v>
      </c>
      <c r="BZ66" s="7">
        <v>43186000</v>
      </c>
      <c r="CA66" s="7">
        <v>43186000</v>
      </c>
      <c r="CB66" s="7">
        <v>43186000</v>
      </c>
      <c r="CC66" s="11"/>
      <c r="CD66" s="11"/>
      <c r="CE66" s="11"/>
      <c r="CF66" s="11"/>
      <c r="CG66" s="11"/>
      <c r="CH66" s="7">
        <v>-772100000</v>
      </c>
      <c r="CI66" s="7">
        <v>-792190000</v>
      </c>
      <c r="CJ66" s="7">
        <v>-792114000</v>
      </c>
      <c r="CK66" s="7">
        <v>-720617000</v>
      </c>
      <c r="CL66" s="7">
        <v>-724507000</v>
      </c>
      <c r="CM66" s="11">
        <v>-728914000</v>
      </c>
      <c r="CN66" s="11">
        <v>-749004000</v>
      </c>
      <c r="CO66" s="11">
        <v>-748928000</v>
      </c>
      <c r="CP66" s="11">
        <v>-677431000</v>
      </c>
      <c r="CQ66" s="11">
        <v>-681321000</v>
      </c>
      <c r="CR66" s="11"/>
      <c r="CS66" s="11"/>
      <c r="CT66" s="11"/>
      <c r="CU66" s="11"/>
      <c r="CV66" s="11"/>
      <c r="CW66" s="11"/>
      <c r="CX66" s="11"/>
      <c r="CY66" s="11"/>
      <c r="CZ66" s="11"/>
      <c r="DA66" s="11"/>
      <c r="DB66" s="11"/>
      <c r="DC66" s="11"/>
      <c r="DD66" s="11"/>
      <c r="DE66" s="11"/>
      <c r="DF66" s="11"/>
      <c r="DG66" s="7"/>
      <c r="DH66" s="7"/>
      <c r="DI66" s="7"/>
      <c r="DJ66" s="7"/>
      <c r="DK66" s="7"/>
      <c r="DL66" s="7">
        <v>805222000</v>
      </c>
      <c r="DM66" s="7">
        <v>765077000</v>
      </c>
      <c r="DN66" s="7">
        <v>764733000</v>
      </c>
      <c r="DO66" s="7">
        <v>693300000</v>
      </c>
      <c r="DP66" s="7">
        <v>693280000</v>
      </c>
      <c r="DQ66" s="11"/>
      <c r="DR66" s="11"/>
      <c r="DS66" s="11"/>
      <c r="DT66" s="11"/>
      <c r="DU66" s="11"/>
      <c r="DV66" s="11"/>
      <c r="DW66" s="11"/>
      <c r="DX66" s="11"/>
      <c r="DY66" s="11"/>
      <c r="DZ66" s="11"/>
      <c r="EA66" s="11">
        <v>805745000</v>
      </c>
      <c r="EB66" s="11">
        <v>765098000</v>
      </c>
      <c r="EC66" s="11">
        <v>764733000</v>
      </c>
      <c r="ED66" s="11">
        <v>693300000</v>
      </c>
      <c r="EE66" s="11">
        <v>693280000</v>
      </c>
      <c r="EF66" s="7">
        <v>2846000</v>
      </c>
      <c r="EG66" s="7"/>
      <c r="EH66" s="7"/>
      <c r="EI66" s="7"/>
      <c r="EJ66" s="7"/>
      <c r="EK66" s="7"/>
      <c r="EL66" s="7"/>
      <c r="EM66" s="7"/>
      <c r="EN66" s="7"/>
      <c r="EO66" s="7"/>
      <c r="EP66" s="7"/>
      <c r="EQ66" s="7"/>
      <c r="ER66" s="7"/>
      <c r="ES66" s="7"/>
      <c r="ET66" s="7"/>
      <c r="EU66" s="7">
        <v>11523000</v>
      </c>
      <c r="EV66" s="7">
        <v>2985000</v>
      </c>
      <c r="EW66" s="7">
        <v>1169000</v>
      </c>
      <c r="EX66" s="7">
        <v>526000</v>
      </c>
      <c r="EY66" s="7"/>
      <c r="EZ66" s="11"/>
      <c r="FA66" s="11"/>
      <c r="FB66" s="11"/>
      <c r="FC66" s="11"/>
      <c r="FD66" s="11"/>
      <c r="FE66" s="11"/>
      <c r="FF66" s="11"/>
      <c r="FG66" s="11"/>
      <c r="FH66" s="11"/>
      <c r="FI66" s="11"/>
      <c r="FJ66" s="11"/>
      <c r="FK66" s="11"/>
      <c r="FL66" s="11"/>
      <c r="FM66" s="11"/>
      <c r="FN66" s="11"/>
      <c r="FO66" s="7">
        <v>603966000</v>
      </c>
      <c r="FP66" s="7">
        <v>15902000</v>
      </c>
      <c r="FQ66" s="7">
        <v>1461000</v>
      </c>
      <c r="FR66" s="7">
        <v>1037000</v>
      </c>
      <c r="FS66" s="7"/>
      <c r="FT66" s="7">
        <v>89234000</v>
      </c>
      <c r="FU66" s="7">
        <v>44710000</v>
      </c>
      <c r="FV66" s="7">
        <v>421000</v>
      </c>
      <c r="FW66" s="7">
        <v>451000</v>
      </c>
      <c r="FX66" s="7"/>
      <c r="FY66" s="11">
        <v>3427000</v>
      </c>
      <c r="FZ66" s="11">
        <v>-2000</v>
      </c>
      <c r="GA66" s="11"/>
      <c r="GB66" s="11"/>
      <c r="GC66" s="11"/>
      <c r="GD66" s="7">
        <v>508646000</v>
      </c>
      <c r="GE66" s="7">
        <v>-31848000</v>
      </c>
      <c r="GF66" s="7">
        <v>-129000</v>
      </c>
      <c r="GG66" s="7">
        <v>60000</v>
      </c>
      <c r="GH66" s="7"/>
    </row>
    <row r="67" spans="1:190" x14ac:dyDescent="0.25">
      <c r="A67" s="4">
        <v>66</v>
      </c>
      <c r="B67" s="5" t="s">
        <v>361</v>
      </c>
      <c r="C67" s="9" t="s">
        <v>362</v>
      </c>
      <c r="D67" s="7">
        <v>18</v>
      </c>
      <c r="E67" s="6" t="s">
        <v>363</v>
      </c>
      <c r="F67" s="11">
        <v>1153326</v>
      </c>
      <c r="G67" s="11">
        <v>1049432</v>
      </c>
      <c r="H67" s="11">
        <v>1166756</v>
      </c>
      <c r="I67" s="11">
        <v>240843</v>
      </c>
      <c r="J67" s="11"/>
      <c r="K67" s="11">
        <v>22028858</v>
      </c>
      <c r="L67" s="11">
        <v>12701428</v>
      </c>
      <c r="M67" s="11">
        <v>6509355</v>
      </c>
      <c r="N67" s="11">
        <v>3306067</v>
      </c>
      <c r="O67" s="11"/>
      <c r="P67" s="7">
        <v>993000</v>
      </c>
      <c r="Q67" s="7">
        <v>887000</v>
      </c>
      <c r="R67" s="7">
        <v>785000</v>
      </c>
      <c r="S67" s="7"/>
      <c r="T67" s="7"/>
      <c r="U67" s="11"/>
      <c r="V67" s="11"/>
      <c r="W67" s="11"/>
      <c r="X67" s="11"/>
      <c r="Y67" s="11"/>
      <c r="Z67" s="11">
        <v>3000</v>
      </c>
      <c r="AA67" s="11">
        <v>3000</v>
      </c>
      <c r="AB67" s="11">
        <v>3000</v>
      </c>
      <c r="AC67" s="11"/>
      <c r="AD67" s="11"/>
      <c r="AE67" s="11"/>
      <c r="AF67" s="11"/>
      <c r="AG67" s="11"/>
      <c r="AH67" s="11"/>
      <c r="AI67" s="11"/>
      <c r="AJ67" s="11">
        <v>1007000</v>
      </c>
      <c r="AK67" s="11">
        <v>890000</v>
      </c>
      <c r="AL67" s="11">
        <v>788000</v>
      </c>
      <c r="AM67" s="11"/>
      <c r="AN67" s="11"/>
      <c r="AO67" s="7">
        <v>6862000</v>
      </c>
      <c r="AP67" s="7">
        <v>2296000</v>
      </c>
      <c r="AQ67" s="7">
        <v>1273000</v>
      </c>
      <c r="AR67" s="7"/>
      <c r="AS67" s="7"/>
      <c r="AT67" s="7">
        <v>263633000</v>
      </c>
      <c r="AU67" s="7">
        <v>279857000</v>
      </c>
      <c r="AV67" s="7">
        <v>268396000</v>
      </c>
      <c r="AW67" s="7"/>
      <c r="AX67" s="7"/>
      <c r="AY67" s="11">
        <v>113542000</v>
      </c>
      <c r="AZ67" s="11">
        <v>118002000</v>
      </c>
      <c r="BA67" s="11">
        <v>118002000</v>
      </c>
      <c r="BB67" s="11"/>
      <c r="BC67" s="11"/>
      <c r="BD67" s="7">
        <v>222000</v>
      </c>
      <c r="BE67" s="7">
        <v>27000</v>
      </c>
      <c r="BF67" s="7">
        <v>3000</v>
      </c>
      <c r="BG67" s="7"/>
      <c r="BH67" s="7"/>
      <c r="BI67" s="11">
        <v>82000</v>
      </c>
      <c r="BJ67" s="11">
        <v>13000</v>
      </c>
      <c r="BK67" s="11">
        <v>8000</v>
      </c>
      <c r="BL67" s="11"/>
      <c r="BM67" s="11"/>
      <c r="BN67" s="11">
        <v>384341000</v>
      </c>
      <c r="BO67" s="11">
        <v>400196000</v>
      </c>
      <c r="BP67" s="11">
        <v>387682000</v>
      </c>
      <c r="BQ67" s="11"/>
      <c r="BR67" s="11"/>
      <c r="BS67" s="11">
        <v>385348000</v>
      </c>
      <c r="BT67" s="11">
        <v>401086000</v>
      </c>
      <c r="BU67" s="11">
        <v>388470000</v>
      </c>
      <c r="BV67" s="11"/>
      <c r="BW67" s="11"/>
      <c r="BX67" s="7">
        <v>10000</v>
      </c>
      <c r="BY67" s="7">
        <v>10000</v>
      </c>
      <c r="BZ67" s="7">
        <v>10000</v>
      </c>
      <c r="CA67" s="7"/>
      <c r="CB67" s="7"/>
      <c r="CC67" s="11"/>
      <c r="CD67" s="11"/>
      <c r="CE67" s="11"/>
      <c r="CF67" s="11"/>
      <c r="CG67" s="11"/>
      <c r="CH67" s="7">
        <v>21650000</v>
      </c>
      <c r="CI67" s="7">
        <v>20505000</v>
      </c>
      <c r="CJ67" s="7">
        <v>23360000</v>
      </c>
      <c r="CK67" s="7"/>
      <c r="CL67" s="7"/>
      <c r="CM67" s="11">
        <v>21660000</v>
      </c>
      <c r="CN67" s="11">
        <v>20515000</v>
      </c>
      <c r="CO67" s="11">
        <v>23370000</v>
      </c>
      <c r="CP67" s="11"/>
      <c r="CQ67" s="11"/>
      <c r="CR67" s="11">
        <v>9215000</v>
      </c>
      <c r="CS67" s="11">
        <v>4749000</v>
      </c>
      <c r="CT67" s="11">
        <v>4739000</v>
      </c>
      <c r="CU67" s="11"/>
      <c r="CV67" s="11"/>
      <c r="CW67" s="11"/>
      <c r="CX67" s="11"/>
      <c r="CY67" s="11"/>
      <c r="CZ67" s="11"/>
      <c r="DA67" s="11"/>
      <c r="DB67" s="11">
        <v>9215000</v>
      </c>
      <c r="DC67" s="11">
        <v>4749000</v>
      </c>
      <c r="DD67" s="11">
        <v>4739000</v>
      </c>
      <c r="DE67" s="11"/>
      <c r="DF67" s="11"/>
      <c r="DG67" s="7">
        <v>4357000</v>
      </c>
      <c r="DH67" s="7">
        <v>16916000</v>
      </c>
      <c r="DI67" s="7">
        <v>7747000</v>
      </c>
      <c r="DJ67" s="7"/>
      <c r="DK67" s="7"/>
      <c r="DL67" s="7">
        <v>350116000</v>
      </c>
      <c r="DM67" s="7">
        <v>358907000</v>
      </c>
      <c r="DN67" s="7">
        <v>352614000</v>
      </c>
      <c r="DO67" s="7"/>
      <c r="DP67" s="7"/>
      <c r="DQ67" s="11"/>
      <c r="DR67" s="11"/>
      <c r="DS67" s="11"/>
      <c r="DT67" s="11"/>
      <c r="DU67" s="11"/>
      <c r="DV67" s="11"/>
      <c r="DW67" s="11"/>
      <c r="DX67" s="11"/>
      <c r="DY67" s="11"/>
      <c r="DZ67" s="11"/>
      <c r="EA67" s="11">
        <v>354473000</v>
      </c>
      <c r="EB67" s="11">
        <v>375822000</v>
      </c>
      <c r="EC67" s="11">
        <v>360361000</v>
      </c>
      <c r="ED67" s="11"/>
      <c r="EE67" s="11"/>
      <c r="EF67" s="7">
        <v>220278000</v>
      </c>
      <c r="EG67" s="7">
        <v>104175000</v>
      </c>
      <c r="EH67" s="7">
        <v>31925000</v>
      </c>
      <c r="EI67" s="7"/>
      <c r="EJ67" s="7"/>
      <c r="EK67" s="7">
        <v>171167000</v>
      </c>
      <c r="EL67" s="7">
        <v>63181000</v>
      </c>
      <c r="EM67" s="7">
        <v>7160000</v>
      </c>
      <c r="EN67" s="7"/>
      <c r="EO67" s="7"/>
      <c r="EP67" s="7"/>
      <c r="EQ67" s="7"/>
      <c r="ER67" s="7"/>
      <c r="ES67" s="7"/>
      <c r="ET67" s="7"/>
      <c r="EU67" s="7">
        <v>42852000</v>
      </c>
      <c r="EV67" s="7">
        <v>36759000</v>
      </c>
      <c r="EW67" s="7">
        <v>18499000</v>
      </c>
      <c r="EX67" s="7"/>
      <c r="EY67" s="7"/>
      <c r="EZ67" s="11"/>
      <c r="FA67" s="11"/>
      <c r="FB67" s="11"/>
      <c r="FC67" s="11"/>
      <c r="FD67" s="11"/>
      <c r="FE67" s="11">
        <v>5038000</v>
      </c>
      <c r="FF67" s="11">
        <v>5667000</v>
      </c>
      <c r="FG67" s="11"/>
      <c r="FH67" s="11"/>
      <c r="FI67" s="11"/>
      <c r="FJ67" s="11">
        <v>1870000</v>
      </c>
      <c r="FK67" s="11">
        <v>1864000</v>
      </c>
      <c r="FL67" s="11">
        <v>960000</v>
      </c>
      <c r="FM67" s="11"/>
      <c r="FN67" s="11"/>
      <c r="FO67" s="7">
        <v>17126000</v>
      </c>
      <c r="FP67" s="7">
        <v>5754000</v>
      </c>
      <c r="FQ67" s="7">
        <v>7721000</v>
      </c>
      <c r="FR67" s="7"/>
      <c r="FS67" s="7"/>
      <c r="FT67" s="7">
        <v>19099000</v>
      </c>
      <c r="FU67" s="7">
        <v>13739000</v>
      </c>
      <c r="FV67" s="7">
        <v>9127000</v>
      </c>
      <c r="FW67" s="7"/>
      <c r="FX67" s="7"/>
      <c r="FY67" s="11">
        <v>-2345000</v>
      </c>
      <c r="FZ67" s="11">
        <v>-1198000</v>
      </c>
      <c r="GA67" s="11">
        <v>-1045000</v>
      </c>
      <c r="GB67" s="11"/>
      <c r="GC67" s="11"/>
      <c r="GD67" s="7">
        <v>5109000</v>
      </c>
      <c r="GE67" s="7">
        <v>-1145000</v>
      </c>
      <c r="GF67" s="7">
        <v>2855000</v>
      </c>
      <c r="GG67" s="7"/>
      <c r="GH67" s="7"/>
    </row>
    <row r="68" spans="1:190" x14ac:dyDescent="0.25">
      <c r="A68" s="4">
        <v>67</v>
      </c>
      <c r="B68" s="5" t="s">
        <v>364</v>
      </c>
      <c r="C68" s="9" t="s">
        <v>365</v>
      </c>
      <c r="D68" s="7">
        <v>6</v>
      </c>
      <c r="E68" s="6" t="s">
        <v>198</v>
      </c>
      <c r="F68" s="11"/>
      <c r="G68" s="11"/>
      <c r="H68" s="11"/>
      <c r="I68" s="11"/>
      <c r="J68" s="11"/>
      <c r="K68" s="11">
        <v>5324</v>
      </c>
      <c r="L68" s="11"/>
      <c r="M68" s="11"/>
      <c r="N68" s="11"/>
      <c r="O68" s="11"/>
      <c r="P68" s="7"/>
      <c r="Q68" s="7">
        <v>85000</v>
      </c>
      <c r="R68" s="7">
        <v>44000</v>
      </c>
      <c r="S68" s="7">
        <v>3000</v>
      </c>
      <c r="T68" s="7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>
        <v>85000</v>
      </c>
      <c r="AL68" s="11">
        <v>44000</v>
      </c>
      <c r="AM68" s="11">
        <v>3000</v>
      </c>
      <c r="AN68" s="11"/>
      <c r="AO68" s="7">
        <v>2512000</v>
      </c>
      <c r="AP68" s="7">
        <v>5499000</v>
      </c>
      <c r="AQ68" s="7">
        <v>5263000</v>
      </c>
      <c r="AR68" s="7">
        <v>5263000</v>
      </c>
      <c r="AS68" s="7"/>
      <c r="AT68" s="7">
        <v>11857000</v>
      </c>
      <c r="AU68" s="7">
        <v>20645000</v>
      </c>
      <c r="AV68" s="7">
        <v>24005000</v>
      </c>
      <c r="AW68" s="7">
        <v>23681000</v>
      </c>
      <c r="AX68" s="7"/>
      <c r="AY68" s="11">
        <v>374000</v>
      </c>
      <c r="AZ68" s="11"/>
      <c r="BA68" s="11"/>
      <c r="BB68" s="11"/>
      <c r="BC68" s="11"/>
      <c r="BD68" s="7">
        <v>4031000</v>
      </c>
      <c r="BE68" s="7">
        <v>67000</v>
      </c>
      <c r="BF68" s="7">
        <v>3000</v>
      </c>
      <c r="BG68" s="7">
        <v>1000</v>
      </c>
      <c r="BH68" s="7"/>
      <c r="BI68" s="11">
        <v>5436000</v>
      </c>
      <c r="BJ68" s="11"/>
      <c r="BK68" s="11"/>
      <c r="BL68" s="11"/>
      <c r="BM68" s="11"/>
      <c r="BN68" s="11">
        <v>24210000</v>
      </c>
      <c r="BO68" s="11">
        <v>26211000</v>
      </c>
      <c r="BP68" s="11">
        <v>29271000</v>
      </c>
      <c r="BQ68" s="11">
        <v>28945000</v>
      </c>
      <c r="BR68" s="11"/>
      <c r="BS68" s="11">
        <v>24210000</v>
      </c>
      <c r="BT68" s="11">
        <v>26296000</v>
      </c>
      <c r="BU68" s="11">
        <v>29314000</v>
      </c>
      <c r="BV68" s="11">
        <v>28947000</v>
      </c>
      <c r="BW68" s="11"/>
      <c r="BX68" s="7">
        <v>1000000</v>
      </c>
      <c r="BY68" s="7"/>
      <c r="BZ68" s="7"/>
      <c r="CA68" s="7"/>
      <c r="CB68" s="7"/>
      <c r="CC68" s="11"/>
      <c r="CD68" s="11"/>
      <c r="CE68" s="11"/>
      <c r="CF68" s="11"/>
      <c r="CG68" s="11"/>
      <c r="CH68" s="7">
        <v>-829000</v>
      </c>
      <c r="CI68" s="7"/>
      <c r="CJ68" s="7"/>
      <c r="CK68" s="7"/>
      <c r="CL68" s="7"/>
      <c r="CM68" s="11">
        <v>171000</v>
      </c>
      <c r="CN68" s="11">
        <v>-7578000</v>
      </c>
      <c r="CO68" s="11">
        <v>-10555000</v>
      </c>
      <c r="CP68" s="11">
        <v>-10690000</v>
      </c>
      <c r="CQ68" s="11"/>
      <c r="CR68" s="11">
        <v>1412000</v>
      </c>
      <c r="CS68" s="11">
        <v>865000</v>
      </c>
      <c r="CT68" s="11">
        <v>865000</v>
      </c>
      <c r="CU68" s="11">
        <v>865000</v>
      </c>
      <c r="CV68" s="11"/>
      <c r="CW68" s="11"/>
      <c r="CX68" s="11"/>
      <c r="CY68" s="11"/>
      <c r="CZ68" s="11"/>
      <c r="DA68" s="11"/>
      <c r="DB68" s="11">
        <v>1412000</v>
      </c>
      <c r="DC68" s="11">
        <v>865000</v>
      </c>
      <c r="DD68" s="11">
        <v>865000</v>
      </c>
      <c r="DE68" s="11">
        <v>865000</v>
      </c>
      <c r="DF68" s="11"/>
      <c r="DG68" s="7"/>
      <c r="DH68" s="7"/>
      <c r="DI68" s="7">
        <v>511000</v>
      </c>
      <c r="DJ68" s="7">
        <v>511000</v>
      </c>
      <c r="DK68" s="7"/>
      <c r="DL68" s="7">
        <v>22627000</v>
      </c>
      <c r="DM68" s="7">
        <v>33010000</v>
      </c>
      <c r="DN68" s="7">
        <v>38494000</v>
      </c>
      <c r="DO68" s="7">
        <v>38262000</v>
      </c>
      <c r="DP68" s="7"/>
      <c r="DQ68" s="11"/>
      <c r="DR68" s="11"/>
      <c r="DS68" s="11"/>
      <c r="DT68" s="11"/>
      <c r="DU68" s="11"/>
      <c r="DV68" s="11"/>
      <c r="DW68" s="11"/>
      <c r="DX68" s="11"/>
      <c r="DY68" s="11"/>
      <c r="DZ68" s="11"/>
      <c r="EA68" s="11">
        <v>22627000</v>
      </c>
      <c r="EB68" s="11">
        <v>33010000</v>
      </c>
      <c r="EC68" s="11">
        <v>39005000</v>
      </c>
      <c r="ED68" s="11">
        <v>38773000</v>
      </c>
      <c r="EE68" s="11"/>
      <c r="EF68" s="7">
        <v>19387000</v>
      </c>
      <c r="EG68" s="7">
        <v>14206000</v>
      </c>
      <c r="EH68" s="7">
        <v>1469000</v>
      </c>
      <c r="EI68" s="7"/>
      <c r="EJ68" s="7"/>
      <c r="EK68" s="7">
        <v>15259000</v>
      </c>
      <c r="EL68" s="7">
        <v>22188000</v>
      </c>
      <c r="EM68" s="7">
        <v>4121000</v>
      </c>
      <c r="EN68" s="7">
        <v>142000</v>
      </c>
      <c r="EO68" s="7"/>
      <c r="EP68" s="7"/>
      <c r="EQ68" s="7"/>
      <c r="ER68" s="7"/>
      <c r="ES68" s="7"/>
      <c r="ET68" s="7"/>
      <c r="EU68" s="7">
        <v>3606000</v>
      </c>
      <c r="EV68" s="7"/>
      <c r="EW68" s="7"/>
      <c r="EX68" s="7"/>
      <c r="EY68" s="7"/>
      <c r="EZ68" s="11"/>
      <c r="FA68" s="11"/>
      <c r="FB68" s="11"/>
      <c r="FC68" s="11"/>
      <c r="FD68" s="11"/>
      <c r="FE68" s="11"/>
      <c r="FF68" s="11"/>
      <c r="FG68" s="11"/>
      <c r="FH68" s="11"/>
      <c r="FI68" s="11"/>
      <c r="FJ68" s="11"/>
      <c r="FK68" s="11"/>
      <c r="FL68" s="11"/>
      <c r="FM68" s="11"/>
      <c r="FN68" s="11"/>
      <c r="FO68" s="7">
        <v>7193000</v>
      </c>
      <c r="FP68" s="7">
        <v>7099000</v>
      </c>
      <c r="FQ68" s="7">
        <v>1182000</v>
      </c>
      <c r="FR68" s="7">
        <v>625000</v>
      </c>
      <c r="FS68" s="7"/>
      <c r="FT68" s="7">
        <v>7648000</v>
      </c>
      <c r="FU68" s="7">
        <v>7501000</v>
      </c>
      <c r="FV68" s="7">
        <v>1215000</v>
      </c>
      <c r="FW68" s="7">
        <v>618000</v>
      </c>
      <c r="FX68" s="7"/>
      <c r="FY68" s="11"/>
      <c r="FZ68" s="11">
        <v>260000</v>
      </c>
      <c r="GA68" s="11">
        <v>290000</v>
      </c>
      <c r="GB68" s="11"/>
      <c r="GC68" s="11"/>
      <c r="GD68" s="7">
        <v>67000</v>
      </c>
      <c r="GE68" s="7">
        <v>-8644000</v>
      </c>
      <c r="GF68" s="7">
        <v>-2975000</v>
      </c>
      <c r="GG68" s="7">
        <v>-135000</v>
      </c>
      <c r="GH68" s="7"/>
    </row>
    <row r="69" spans="1:190" ht="26.25" x14ac:dyDescent="0.25">
      <c r="A69" s="4">
        <v>68</v>
      </c>
      <c r="B69" s="5" t="s">
        <v>366</v>
      </c>
      <c r="C69" s="9" t="s">
        <v>367</v>
      </c>
      <c r="D69" s="7">
        <v>32</v>
      </c>
      <c r="E69" s="6" t="s">
        <v>368</v>
      </c>
      <c r="F69" s="11"/>
      <c r="G69" s="11"/>
      <c r="H69" s="11"/>
      <c r="I69" s="11"/>
      <c r="J69" s="11"/>
      <c r="K69" s="11"/>
      <c r="L69" s="11"/>
      <c r="M69" s="11"/>
      <c r="N69" s="11">
        <v>55231027</v>
      </c>
      <c r="O69" s="11">
        <v>7536697</v>
      </c>
      <c r="P69" s="7">
        <v>589997000</v>
      </c>
      <c r="Q69" s="7">
        <v>494802000</v>
      </c>
      <c r="R69" s="7">
        <v>422323000</v>
      </c>
      <c r="S69" s="7">
        <v>387692000</v>
      </c>
      <c r="T69" s="7">
        <v>10615000</v>
      </c>
      <c r="U69" s="11"/>
      <c r="V69" s="11"/>
      <c r="W69" s="11"/>
      <c r="X69" s="11"/>
      <c r="Y69" s="11"/>
      <c r="Z69" s="11">
        <v>957143000</v>
      </c>
      <c r="AA69" s="11">
        <v>957141000</v>
      </c>
      <c r="AB69" s="11">
        <v>939635000</v>
      </c>
      <c r="AC69" s="11">
        <v>939630000</v>
      </c>
      <c r="AD69" s="11"/>
      <c r="AE69" s="11">
        <v>330530000</v>
      </c>
      <c r="AF69" s="11">
        <v>328904000</v>
      </c>
      <c r="AG69" s="11">
        <v>4884000</v>
      </c>
      <c r="AH69" s="11">
        <v>3496000</v>
      </c>
      <c r="AI69" s="11"/>
      <c r="AJ69" s="11">
        <v>2220827000</v>
      </c>
      <c r="AK69" s="11">
        <v>2137505000</v>
      </c>
      <c r="AL69" s="11">
        <v>2574787000</v>
      </c>
      <c r="AM69" s="11">
        <v>2478170000</v>
      </c>
      <c r="AN69" s="11">
        <v>1014242000</v>
      </c>
      <c r="AO69" s="7">
        <v>1673508000</v>
      </c>
      <c r="AP69" s="7">
        <v>1963695000</v>
      </c>
      <c r="AQ69" s="7">
        <v>245363000</v>
      </c>
      <c r="AR69" s="7">
        <v>159076000</v>
      </c>
      <c r="AS69" s="7">
        <v>7669000</v>
      </c>
      <c r="AT69" s="7">
        <v>3724817000</v>
      </c>
      <c r="AU69" s="7">
        <v>3570973000</v>
      </c>
      <c r="AV69" s="7">
        <v>828243000</v>
      </c>
      <c r="AW69" s="7">
        <v>269907000</v>
      </c>
      <c r="AX69" s="7">
        <v>10320000</v>
      </c>
      <c r="AY69" s="11">
        <v>1169922000</v>
      </c>
      <c r="AZ69" s="11">
        <v>1416581000</v>
      </c>
      <c r="BA69" s="11">
        <v>441340000</v>
      </c>
      <c r="BB69" s="11">
        <v>260340000</v>
      </c>
      <c r="BC69" s="11"/>
      <c r="BD69" s="7">
        <v>985693000</v>
      </c>
      <c r="BE69" s="7">
        <v>212800000</v>
      </c>
      <c r="BF69" s="7">
        <v>27516000</v>
      </c>
      <c r="BG69" s="7">
        <v>15304000</v>
      </c>
      <c r="BH69" s="7">
        <v>1077222000</v>
      </c>
      <c r="BI69" s="11">
        <v>45998000</v>
      </c>
      <c r="BJ69" s="11">
        <v>45070000</v>
      </c>
      <c r="BK69" s="11">
        <v>45029000</v>
      </c>
      <c r="BL69" s="11">
        <v>1483000</v>
      </c>
      <c r="BM69" s="11"/>
      <c r="BN69" s="11">
        <v>7600027000</v>
      </c>
      <c r="BO69" s="11">
        <v>7209119000</v>
      </c>
      <c r="BP69" s="11">
        <v>1587490000</v>
      </c>
      <c r="BQ69" s="11">
        <v>706109000</v>
      </c>
      <c r="BR69" s="11">
        <v>1095211000</v>
      </c>
      <c r="BS69" s="11">
        <v>9820853000</v>
      </c>
      <c r="BT69" s="11">
        <v>9346624000</v>
      </c>
      <c r="BU69" s="11">
        <v>4162277000</v>
      </c>
      <c r="BV69" s="11">
        <v>3184279000</v>
      </c>
      <c r="BW69" s="11">
        <v>2109453000</v>
      </c>
      <c r="BX69" s="7">
        <v>89000</v>
      </c>
      <c r="BY69" s="7">
        <v>89000</v>
      </c>
      <c r="BZ69" s="7">
        <v>89000</v>
      </c>
      <c r="CA69" s="7">
        <v>89000</v>
      </c>
      <c r="CB69" s="7">
        <v>89000</v>
      </c>
      <c r="CC69" s="11">
        <v>179462000</v>
      </c>
      <c r="CD69" s="11">
        <v>179333000</v>
      </c>
      <c r="CE69" s="11">
        <v>165481000</v>
      </c>
      <c r="CF69" s="11">
        <v>165475000</v>
      </c>
      <c r="CG69" s="11">
        <v>6154000</v>
      </c>
      <c r="CH69" s="7">
        <v>54565000</v>
      </c>
      <c r="CI69" s="7">
        <v>-329752000</v>
      </c>
      <c r="CJ69" s="7">
        <v>-5050335000</v>
      </c>
      <c r="CK69" s="7">
        <v>-6091493000</v>
      </c>
      <c r="CL69" s="7">
        <v>-5369159000</v>
      </c>
      <c r="CM69" s="11">
        <v>234121000</v>
      </c>
      <c r="CN69" s="11">
        <v>-150326000</v>
      </c>
      <c r="CO69" s="11">
        <v>-4884761000</v>
      </c>
      <c r="CP69" s="11">
        <v>-5925925000</v>
      </c>
      <c r="CQ69" s="11">
        <v>-5362912000</v>
      </c>
      <c r="CR69" s="11">
        <v>6156293000</v>
      </c>
      <c r="CS69" s="11">
        <v>6156293000</v>
      </c>
      <c r="CT69" s="11"/>
      <c r="CU69" s="11"/>
      <c r="CV69" s="11"/>
      <c r="CW69" s="11"/>
      <c r="CX69" s="11"/>
      <c r="CY69" s="11"/>
      <c r="CZ69" s="11"/>
      <c r="DA69" s="11"/>
      <c r="DB69" s="11">
        <v>6328511000</v>
      </c>
      <c r="DC69" s="11">
        <v>6324402000</v>
      </c>
      <c r="DD69" s="11">
        <v>56668000</v>
      </c>
      <c r="DE69" s="11">
        <v>48354000</v>
      </c>
      <c r="DF69" s="11">
        <v>44448000</v>
      </c>
      <c r="DG69" s="7">
        <v>1825794000</v>
      </c>
      <c r="DH69" s="7">
        <v>1798475000</v>
      </c>
      <c r="DI69" s="7">
        <v>7908589000</v>
      </c>
      <c r="DJ69" s="7">
        <v>8016737000</v>
      </c>
      <c r="DK69" s="7">
        <v>6871908000</v>
      </c>
      <c r="DL69" s="7">
        <v>1347623000</v>
      </c>
      <c r="DM69" s="7">
        <v>1317181000</v>
      </c>
      <c r="DN69" s="7">
        <v>1036971000</v>
      </c>
      <c r="DO69" s="7">
        <v>997694000</v>
      </c>
      <c r="DP69" s="7">
        <v>556008000</v>
      </c>
      <c r="DQ69" s="11"/>
      <c r="DR69" s="11"/>
      <c r="DS69" s="11"/>
      <c r="DT69" s="11"/>
      <c r="DU69" s="11"/>
      <c r="DV69" s="11"/>
      <c r="DW69" s="11"/>
      <c r="DX69" s="11"/>
      <c r="DY69" s="11"/>
      <c r="DZ69" s="11"/>
      <c r="EA69" s="11">
        <v>3258221000</v>
      </c>
      <c r="EB69" s="11">
        <v>3172548000</v>
      </c>
      <c r="EC69" s="11">
        <v>8990370000</v>
      </c>
      <c r="ED69" s="11">
        <v>9061850000</v>
      </c>
      <c r="EE69" s="11">
        <v>7427917000</v>
      </c>
      <c r="EF69" s="7">
        <v>6781526000</v>
      </c>
      <c r="EG69" s="7">
        <v>5038130000</v>
      </c>
      <c r="EH69" s="7">
        <v>2423842000</v>
      </c>
      <c r="EI69" s="7">
        <v>792282000</v>
      </c>
      <c r="EJ69" s="7">
        <v>287543000</v>
      </c>
      <c r="EK69" s="7">
        <v>5122392000</v>
      </c>
      <c r="EL69" s="7">
        <v>4884794000</v>
      </c>
      <c r="EM69" s="7">
        <v>2373095000</v>
      </c>
      <c r="EN69" s="7">
        <v>1144419000</v>
      </c>
      <c r="EO69" s="7">
        <v>408691000</v>
      </c>
      <c r="EP69" s="7">
        <v>208641000</v>
      </c>
      <c r="EQ69" s="7">
        <v>183925000</v>
      </c>
      <c r="ER69" s="7">
        <v>79464000</v>
      </c>
      <c r="ES69" s="7">
        <v>43000</v>
      </c>
      <c r="ET69" s="7"/>
      <c r="EU69" s="7">
        <v>446465000</v>
      </c>
      <c r="EV69" s="7">
        <v>474491000</v>
      </c>
      <c r="EW69" s="7">
        <v>300405000</v>
      </c>
      <c r="EX69" s="7">
        <v>258703000</v>
      </c>
      <c r="EY69" s="7">
        <v>129521000</v>
      </c>
      <c r="EZ69" s="11">
        <v>833000</v>
      </c>
      <c r="FA69" s="11">
        <v>479000</v>
      </c>
      <c r="FB69" s="11"/>
      <c r="FC69" s="11">
        <v>809000</v>
      </c>
      <c r="FD69" s="11"/>
      <c r="FE69" s="11">
        <v>166084000</v>
      </c>
      <c r="FF69" s="11">
        <v>198347000</v>
      </c>
      <c r="FG69" s="11">
        <v>76150000</v>
      </c>
      <c r="FH69" s="11">
        <v>52248000</v>
      </c>
      <c r="FI69" s="11">
        <v>8496000</v>
      </c>
      <c r="FJ69" s="11">
        <v>800344000</v>
      </c>
      <c r="FK69" s="11">
        <v>3498000</v>
      </c>
      <c r="FL69" s="11"/>
      <c r="FM69" s="11"/>
      <c r="FN69" s="11"/>
      <c r="FO69" s="7">
        <v>510310000</v>
      </c>
      <c r="FP69" s="7">
        <v>307599000</v>
      </c>
      <c r="FQ69" s="7">
        <v>223599000</v>
      </c>
      <c r="FR69" s="7">
        <v>441429000</v>
      </c>
      <c r="FS69" s="7">
        <v>5425388000</v>
      </c>
      <c r="FT69" s="7">
        <v>1235372000</v>
      </c>
      <c r="FU69" s="7">
        <v>388839000</v>
      </c>
      <c r="FV69" s="7">
        <v>4922171000</v>
      </c>
      <c r="FW69" s="7">
        <v>1085817000</v>
      </c>
      <c r="FX69" s="7">
        <v>4480512000</v>
      </c>
      <c r="FY69" s="11">
        <v>68123000</v>
      </c>
      <c r="FZ69" s="11">
        <v>6676000</v>
      </c>
      <c r="GA69" s="11">
        <v>903997000</v>
      </c>
      <c r="GB69" s="11">
        <v>161050000</v>
      </c>
      <c r="GC69" s="11">
        <v>-139690000</v>
      </c>
      <c r="GD69" s="7">
        <v>-286338000</v>
      </c>
      <c r="GE69" s="7">
        <v>-384316000</v>
      </c>
      <c r="GF69" s="7">
        <v>-4047547000</v>
      </c>
      <c r="GG69" s="7">
        <v>-1041164000</v>
      </c>
      <c r="GH69" s="7">
        <v>563013000</v>
      </c>
    </row>
    <row r="70" spans="1:190" ht="26.25" x14ac:dyDescent="0.25">
      <c r="A70" s="4">
        <v>69</v>
      </c>
      <c r="B70" s="5" t="s">
        <v>369</v>
      </c>
      <c r="C70" s="9" t="s">
        <v>370</v>
      </c>
      <c r="D70" s="7">
        <v>30</v>
      </c>
      <c r="E70" s="6" t="s">
        <v>204</v>
      </c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7">
        <v>941000</v>
      </c>
      <c r="Q70" s="7">
        <v>557000</v>
      </c>
      <c r="R70" s="7">
        <v>318000</v>
      </c>
      <c r="S70" s="7"/>
      <c r="T70" s="7"/>
      <c r="U70" s="11"/>
      <c r="V70" s="11"/>
      <c r="W70" s="11"/>
      <c r="X70" s="11"/>
      <c r="Y70" s="11"/>
      <c r="Z70" s="11">
        <v>2000</v>
      </c>
      <c r="AA70" s="11">
        <v>2000</v>
      </c>
      <c r="AB70" s="11">
        <v>72000</v>
      </c>
      <c r="AC70" s="11">
        <v>72000</v>
      </c>
      <c r="AD70" s="11">
        <v>72000</v>
      </c>
      <c r="AE70" s="11"/>
      <c r="AF70" s="11"/>
      <c r="AG70" s="11"/>
      <c r="AH70" s="11"/>
      <c r="AI70" s="11"/>
      <c r="AJ70" s="11">
        <v>943000</v>
      </c>
      <c r="AK70" s="11">
        <v>559000</v>
      </c>
      <c r="AL70" s="11">
        <v>390000</v>
      </c>
      <c r="AM70" s="11">
        <v>72000</v>
      </c>
      <c r="AN70" s="11">
        <v>72000</v>
      </c>
      <c r="AO70" s="7">
        <v>846000</v>
      </c>
      <c r="AP70" s="7"/>
      <c r="AQ70" s="7"/>
      <c r="AR70" s="7"/>
      <c r="AS70" s="7"/>
      <c r="AT70" s="7">
        <v>4582000</v>
      </c>
      <c r="AU70" s="7">
        <v>2631000</v>
      </c>
      <c r="AV70" s="7">
        <v>3185000</v>
      </c>
      <c r="AW70" s="7">
        <v>2881000</v>
      </c>
      <c r="AX70" s="7">
        <v>2747000</v>
      </c>
      <c r="AY70" s="11"/>
      <c r="AZ70" s="11"/>
      <c r="BA70" s="11"/>
      <c r="BB70" s="11"/>
      <c r="BC70" s="11"/>
      <c r="BD70" s="7">
        <v>3730000</v>
      </c>
      <c r="BE70" s="7">
        <v>71000</v>
      </c>
      <c r="BF70" s="7">
        <v>5110000</v>
      </c>
      <c r="BG70" s="7">
        <v>1847000</v>
      </c>
      <c r="BH70" s="7">
        <v>962000</v>
      </c>
      <c r="BI70" s="11"/>
      <c r="BJ70" s="11"/>
      <c r="BK70" s="11"/>
      <c r="BL70" s="11"/>
      <c r="BM70" s="11"/>
      <c r="BN70" s="11">
        <v>9158000</v>
      </c>
      <c r="BO70" s="11">
        <v>2702000</v>
      </c>
      <c r="BP70" s="11">
        <v>8295000</v>
      </c>
      <c r="BQ70" s="11">
        <v>4728000</v>
      </c>
      <c r="BR70" s="11">
        <v>3709000</v>
      </c>
      <c r="BS70" s="11">
        <v>10101000</v>
      </c>
      <c r="BT70" s="11">
        <v>3261000</v>
      </c>
      <c r="BU70" s="11">
        <v>8685000</v>
      </c>
      <c r="BV70" s="11">
        <v>4800000</v>
      </c>
      <c r="BW70" s="11">
        <v>3781000</v>
      </c>
      <c r="BX70" s="7">
        <v>156000</v>
      </c>
      <c r="BY70" s="7">
        <v>156000</v>
      </c>
      <c r="BZ70" s="7">
        <v>156000</v>
      </c>
      <c r="CA70" s="7">
        <v>156000</v>
      </c>
      <c r="CB70" s="7">
        <v>156000</v>
      </c>
      <c r="CC70" s="11">
        <v>1146000</v>
      </c>
      <c r="CD70" s="11">
        <v>1146000</v>
      </c>
      <c r="CE70" s="11">
        <v>1146000</v>
      </c>
      <c r="CF70" s="11">
        <v>1146000</v>
      </c>
      <c r="CG70" s="11">
        <v>1146000</v>
      </c>
      <c r="CH70" s="7">
        <v>-23062000</v>
      </c>
      <c r="CI70" s="7">
        <v>-32063000</v>
      </c>
      <c r="CJ70" s="7">
        <v>-30310000</v>
      </c>
      <c r="CK70" s="7">
        <v>-32354000</v>
      </c>
      <c r="CL70" s="7">
        <v>-33423000</v>
      </c>
      <c r="CM70" s="11">
        <v>-17687000</v>
      </c>
      <c r="CN70" s="11">
        <v>-26688000</v>
      </c>
      <c r="CO70" s="11">
        <v>-24935000</v>
      </c>
      <c r="CP70" s="11">
        <v>-26979000</v>
      </c>
      <c r="CQ70" s="11">
        <v>-28048000</v>
      </c>
      <c r="CR70" s="11">
        <v>5105000</v>
      </c>
      <c r="CS70" s="11">
        <v>5105000</v>
      </c>
      <c r="CT70" s="11">
        <v>5105000</v>
      </c>
      <c r="CU70" s="11"/>
      <c r="CV70" s="11"/>
      <c r="CW70" s="11"/>
      <c r="CX70" s="11"/>
      <c r="CY70" s="11"/>
      <c r="CZ70" s="11"/>
      <c r="DA70" s="11"/>
      <c r="DB70" s="11">
        <v>5105000</v>
      </c>
      <c r="DC70" s="11">
        <v>5105000</v>
      </c>
      <c r="DD70" s="11">
        <v>5105000</v>
      </c>
      <c r="DE70" s="11"/>
      <c r="DF70" s="11"/>
      <c r="DG70" s="7"/>
      <c r="DH70" s="7"/>
      <c r="DI70" s="7"/>
      <c r="DJ70" s="7"/>
      <c r="DK70" s="7"/>
      <c r="DL70" s="7">
        <v>17781000</v>
      </c>
      <c r="DM70" s="7">
        <v>24777000</v>
      </c>
      <c r="DN70" s="7">
        <v>28515000</v>
      </c>
      <c r="DO70" s="7">
        <v>28017000</v>
      </c>
      <c r="DP70" s="7">
        <v>28101000</v>
      </c>
      <c r="DQ70" s="11">
        <v>4902000</v>
      </c>
      <c r="DR70" s="11">
        <v>67000</v>
      </c>
      <c r="DS70" s="11"/>
      <c r="DT70" s="11"/>
      <c r="DU70" s="11"/>
      <c r="DV70" s="11"/>
      <c r="DW70" s="11"/>
      <c r="DX70" s="11"/>
      <c r="DY70" s="11">
        <v>3762000</v>
      </c>
      <c r="DZ70" s="11">
        <v>3728000</v>
      </c>
      <c r="EA70" s="11">
        <v>22683000</v>
      </c>
      <c r="EB70" s="11">
        <v>24844000</v>
      </c>
      <c r="EC70" s="11">
        <v>28515000</v>
      </c>
      <c r="ED70" s="11">
        <v>31779000</v>
      </c>
      <c r="EE70" s="11">
        <v>31829000</v>
      </c>
      <c r="EF70" s="7">
        <v>13987000</v>
      </c>
      <c r="EG70" s="7">
        <v>13120000</v>
      </c>
      <c r="EH70" s="7">
        <v>1376000</v>
      </c>
      <c r="EI70" s="7">
        <v>8000</v>
      </c>
      <c r="EJ70" s="7">
        <v>7000</v>
      </c>
      <c r="EK70" s="7">
        <v>11526000</v>
      </c>
      <c r="EL70" s="7">
        <v>12879000</v>
      </c>
      <c r="EM70" s="7">
        <v>5446000</v>
      </c>
      <c r="EN70" s="7"/>
      <c r="EO70" s="7"/>
      <c r="EP70" s="7"/>
      <c r="EQ70" s="7"/>
      <c r="ER70" s="7"/>
      <c r="ES70" s="7"/>
      <c r="ET70" s="7"/>
      <c r="EU70" s="7">
        <v>8751000</v>
      </c>
      <c r="EV70" s="7">
        <v>8655000</v>
      </c>
      <c r="EW70" s="7">
        <v>1182000</v>
      </c>
      <c r="EX70" s="7">
        <v>1021000</v>
      </c>
      <c r="EY70" s="7">
        <v>973000</v>
      </c>
      <c r="EZ70" s="11">
        <v>404000</v>
      </c>
      <c r="FA70" s="11">
        <v>209000</v>
      </c>
      <c r="FB70" s="11"/>
      <c r="FC70" s="11"/>
      <c r="FD70" s="11"/>
      <c r="FE70" s="11"/>
      <c r="FF70" s="11"/>
      <c r="FG70" s="11"/>
      <c r="FH70" s="11"/>
      <c r="FI70" s="11"/>
      <c r="FJ70" s="11"/>
      <c r="FK70" s="11"/>
      <c r="FL70" s="11"/>
      <c r="FM70" s="11"/>
      <c r="FN70" s="11"/>
      <c r="FO70" s="7">
        <v>238000</v>
      </c>
      <c r="FP70" s="7">
        <v>643000</v>
      </c>
      <c r="FQ70" s="7">
        <v>18211000</v>
      </c>
      <c r="FR70" s="7"/>
      <c r="FS70" s="7"/>
      <c r="FT70" s="7">
        <v>192000</v>
      </c>
      <c r="FU70" s="7">
        <v>217000</v>
      </c>
      <c r="FV70" s="7">
        <v>442000</v>
      </c>
      <c r="FW70" s="7">
        <v>571000</v>
      </c>
      <c r="FX70" s="7">
        <v>64000</v>
      </c>
      <c r="FY70" s="11">
        <v>-140000</v>
      </c>
      <c r="FZ70" s="11">
        <v>-126000</v>
      </c>
      <c r="GA70" s="11">
        <v>-776000</v>
      </c>
      <c r="GB70" s="11">
        <v>-3000</v>
      </c>
      <c r="GC70" s="11">
        <v>-1000</v>
      </c>
      <c r="GD70" s="7">
        <v>-5980000</v>
      </c>
      <c r="GE70" s="7">
        <v>-7905000</v>
      </c>
      <c r="GF70" s="7">
        <v>10788000</v>
      </c>
      <c r="GG70" s="7">
        <v>-1726000</v>
      </c>
      <c r="GH70" s="7">
        <v>-1069000</v>
      </c>
    </row>
    <row r="71" spans="1:190" ht="26.25" x14ac:dyDescent="0.25">
      <c r="A71" s="4">
        <v>70</v>
      </c>
      <c r="B71" s="5" t="s">
        <v>371</v>
      </c>
      <c r="C71" s="9" t="s">
        <v>372</v>
      </c>
      <c r="D71" s="7">
        <v>18</v>
      </c>
      <c r="E71" s="6" t="s">
        <v>239</v>
      </c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7">
        <v>10599000</v>
      </c>
      <c r="Q71" s="7"/>
      <c r="R71" s="7"/>
      <c r="S71" s="7"/>
      <c r="T71" s="7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>
        <v>10599000</v>
      </c>
      <c r="AK71" s="11"/>
      <c r="AL71" s="11"/>
      <c r="AM71" s="11"/>
      <c r="AN71" s="11"/>
      <c r="AO71" s="7">
        <v>125000</v>
      </c>
      <c r="AP71" s="7">
        <v>125000</v>
      </c>
      <c r="AQ71" s="7"/>
      <c r="AR71" s="7"/>
      <c r="AS71" s="7"/>
      <c r="AT71" s="7">
        <v>44866000</v>
      </c>
      <c r="AU71" s="7">
        <v>26182000</v>
      </c>
      <c r="AV71" s="7">
        <v>23576000</v>
      </c>
      <c r="AW71" s="7">
        <v>21068000</v>
      </c>
      <c r="AX71" s="7">
        <v>9611000</v>
      </c>
      <c r="AY71" s="11"/>
      <c r="AZ71" s="11"/>
      <c r="BA71" s="11"/>
      <c r="BB71" s="11"/>
      <c r="BC71" s="11"/>
      <c r="BD71" s="7">
        <v>858000</v>
      </c>
      <c r="BE71" s="7">
        <v>5029000</v>
      </c>
      <c r="BF71" s="7">
        <v>3432000</v>
      </c>
      <c r="BG71" s="7">
        <v>2663000</v>
      </c>
      <c r="BH71" s="7">
        <v>2014000</v>
      </c>
      <c r="BI71" s="11"/>
      <c r="BJ71" s="11"/>
      <c r="BK71" s="11"/>
      <c r="BL71" s="11"/>
      <c r="BM71" s="11"/>
      <c r="BN71" s="11">
        <v>45849000</v>
      </c>
      <c r="BO71" s="11">
        <v>31336000</v>
      </c>
      <c r="BP71" s="11">
        <v>27008000</v>
      </c>
      <c r="BQ71" s="11">
        <v>23731000</v>
      </c>
      <c r="BR71" s="11">
        <v>11625000</v>
      </c>
      <c r="BS71" s="11">
        <v>56448000</v>
      </c>
      <c r="BT71" s="11">
        <v>31336000</v>
      </c>
      <c r="BU71" s="11">
        <v>27008000</v>
      </c>
      <c r="BV71" s="11">
        <v>23731000</v>
      </c>
      <c r="BW71" s="11">
        <v>11625000</v>
      </c>
      <c r="BX71" s="7"/>
      <c r="BY71" s="7"/>
      <c r="BZ71" s="7"/>
      <c r="CA71" s="7"/>
      <c r="CB71" s="7"/>
      <c r="CC71" s="11"/>
      <c r="CD71" s="11"/>
      <c r="CE71" s="11"/>
      <c r="CF71" s="11"/>
      <c r="CG71" s="11"/>
      <c r="CH71" s="7"/>
      <c r="CI71" s="7"/>
      <c r="CJ71" s="7"/>
      <c r="CK71" s="7"/>
      <c r="CL71" s="7"/>
      <c r="CM71" s="11">
        <v>-69050000</v>
      </c>
      <c r="CN71" s="11">
        <v>-71162000</v>
      </c>
      <c r="CO71" s="11">
        <v>-74782000</v>
      </c>
      <c r="CP71" s="11">
        <v>-78057000</v>
      </c>
      <c r="CQ71" s="11">
        <v>-86244000</v>
      </c>
      <c r="CR71" s="11">
        <v>28983000</v>
      </c>
      <c r="CS71" s="11">
        <v>22455000</v>
      </c>
      <c r="CT71" s="11">
        <v>22455000</v>
      </c>
      <c r="CU71" s="11">
        <v>22455000</v>
      </c>
      <c r="CV71" s="11">
        <v>22455000</v>
      </c>
      <c r="CW71" s="11"/>
      <c r="CX71" s="11"/>
      <c r="CY71" s="11"/>
      <c r="CZ71" s="11"/>
      <c r="DA71" s="11"/>
      <c r="DB71" s="11">
        <v>28983000</v>
      </c>
      <c r="DC71" s="11">
        <v>22455000</v>
      </c>
      <c r="DD71" s="11">
        <v>22455000</v>
      </c>
      <c r="DE71" s="11">
        <v>22455000</v>
      </c>
      <c r="DF71" s="11">
        <v>22455000</v>
      </c>
      <c r="DG71" s="7"/>
      <c r="DH71" s="7"/>
      <c r="DI71" s="7"/>
      <c r="DJ71" s="7"/>
      <c r="DK71" s="7"/>
      <c r="DL71" s="7">
        <v>96515000</v>
      </c>
      <c r="DM71" s="7">
        <v>80043000</v>
      </c>
      <c r="DN71" s="7">
        <v>79335000</v>
      </c>
      <c r="DO71" s="7">
        <v>79333000</v>
      </c>
      <c r="DP71" s="7">
        <v>75414000</v>
      </c>
      <c r="DQ71" s="11"/>
      <c r="DR71" s="11"/>
      <c r="DS71" s="11"/>
      <c r="DT71" s="11"/>
      <c r="DU71" s="11"/>
      <c r="DV71" s="11"/>
      <c r="DW71" s="11"/>
      <c r="DX71" s="11"/>
      <c r="DY71" s="11"/>
      <c r="DZ71" s="11"/>
      <c r="EA71" s="11">
        <v>96515000</v>
      </c>
      <c r="EB71" s="11">
        <v>80043000</v>
      </c>
      <c r="EC71" s="11">
        <v>79335000</v>
      </c>
      <c r="ED71" s="11">
        <v>79333000</v>
      </c>
      <c r="EE71" s="11">
        <v>75414000</v>
      </c>
      <c r="EF71" s="7"/>
      <c r="EG71" s="7">
        <v>8314000</v>
      </c>
      <c r="EH71" s="7"/>
      <c r="EI71" s="7"/>
      <c r="EJ71" s="7"/>
      <c r="EK71" s="7"/>
      <c r="EL71" s="7">
        <v>8433000</v>
      </c>
      <c r="EM71" s="7"/>
      <c r="EN71" s="7"/>
      <c r="EO71" s="7"/>
      <c r="EP71" s="7"/>
      <c r="EQ71" s="7"/>
      <c r="ER71" s="7"/>
      <c r="ES71" s="7"/>
      <c r="ET71" s="7"/>
      <c r="EU71" s="7"/>
      <c r="EV71" s="7"/>
      <c r="EW71" s="7"/>
      <c r="EX71" s="7"/>
      <c r="EY71" s="7"/>
      <c r="EZ71" s="11"/>
      <c r="FA71" s="11"/>
      <c r="FB71" s="11"/>
      <c r="FC71" s="11"/>
      <c r="FD71" s="11"/>
      <c r="FE71" s="11"/>
      <c r="FF71" s="11"/>
      <c r="FG71" s="11"/>
      <c r="FH71" s="11"/>
      <c r="FI71" s="11"/>
      <c r="FJ71" s="11"/>
      <c r="FK71" s="11"/>
      <c r="FL71" s="11"/>
      <c r="FM71" s="11"/>
      <c r="FN71" s="11"/>
      <c r="FO71" s="7">
        <v>242000</v>
      </c>
      <c r="FP71" s="7">
        <v>17055000</v>
      </c>
      <c r="FQ71" s="7">
        <v>6000</v>
      </c>
      <c r="FR71" s="7">
        <v>1716000</v>
      </c>
      <c r="FS71" s="7">
        <v>10630000</v>
      </c>
      <c r="FT71" s="7">
        <v>66491000</v>
      </c>
      <c r="FU71" s="7">
        <v>19047000</v>
      </c>
      <c r="FV71" s="7">
        <v>3626000</v>
      </c>
      <c r="FW71" s="7">
        <v>4988000</v>
      </c>
      <c r="FX71" s="7">
        <v>18817000</v>
      </c>
      <c r="FY71" s="11"/>
      <c r="FZ71" s="11"/>
      <c r="GA71" s="11"/>
      <c r="GB71" s="11"/>
      <c r="GC71" s="11"/>
      <c r="GD71" s="7">
        <v>-66249000</v>
      </c>
      <c r="GE71" s="7">
        <v>-2111000</v>
      </c>
      <c r="GF71" s="7">
        <v>-3620000</v>
      </c>
      <c r="GG71" s="7">
        <v>-3272000</v>
      </c>
      <c r="GH71" s="7">
        <v>-8187000</v>
      </c>
    </row>
    <row r="72" spans="1:190" ht="26.25" x14ac:dyDescent="0.25">
      <c r="A72" s="4">
        <v>71</v>
      </c>
      <c r="B72" s="5" t="s">
        <v>373</v>
      </c>
      <c r="C72" s="9" t="s">
        <v>374</v>
      </c>
      <c r="D72" s="7">
        <v>24</v>
      </c>
      <c r="E72" s="6" t="s">
        <v>375</v>
      </c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7">
        <v>2930000</v>
      </c>
      <c r="Q72" s="7">
        <v>2323000</v>
      </c>
      <c r="R72" s="7">
        <v>1620000</v>
      </c>
      <c r="S72" s="7">
        <v>773000</v>
      </c>
      <c r="T72" s="7">
        <v>32000</v>
      </c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>
        <v>2930000</v>
      </c>
      <c r="AK72" s="11">
        <v>2323000</v>
      </c>
      <c r="AL72" s="11">
        <v>1620000</v>
      </c>
      <c r="AM72" s="11">
        <v>773000</v>
      </c>
      <c r="AN72" s="11">
        <v>32000</v>
      </c>
      <c r="AO72" s="7">
        <v>288000</v>
      </c>
      <c r="AP72" s="7">
        <v>288000</v>
      </c>
      <c r="AQ72" s="7">
        <v>288000</v>
      </c>
      <c r="AR72" s="7">
        <v>288000</v>
      </c>
      <c r="AS72" s="7">
        <v>288000</v>
      </c>
      <c r="AT72" s="7">
        <v>20183000</v>
      </c>
      <c r="AU72" s="7">
        <v>18683000</v>
      </c>
      <c r="AV72" s="7">
        <v>19403000</v>
      </c>
      <c r="AW72" s="7">
        <v>19480000</v>
      </c>
      <c r="AX72" s="7">
        <v>19052000</v>
      </c>
      <c r="AY72" s="11"/>
      <c r="AZ72" s="11"/>
      <c r="BA72" s="11"/>
      <c r="BB72" s="11"/>
      <c r="BC72" s="11"/>
      <c r="BD72" s="7"/>
      <c r="BE72" s="7"/>
      <c r="BF72" s="7"/>
      <c r="BG72" s="7"/>
      <c r="BH72" s="7">
        <v>422000</v>
      </c>
      <c r="BI72" s="11"/>
      <c r="BJ72" s="11"/>
      <c r="BK72" s="11"/>
      <c r="BL72" s="11"/>
      <c r="BM72" s="11"/>
      <c r="BN72" s="11">
        <v>20471000</v>
      </c>
      <c r="BO72" s="11">
        <v>18971000</v>
      </c>
      <c r="BP72" s="11">
        <v>19691000</v>
      </c>
      <c r="BQ72" s="11">
        <v>19768000</v>
      </c>
      <c r="BR72" s="11">
        <v>19762000</v>
      </c>
      <c r="BS72" s="11">
        <v>23401000</v>
      </c>
      <c r="BT72" s="11">
        <v>21294000</v>
      </c>
      <c r="BU72" s="11">
        <v>21311000</v>
      </c>
      <c r="BV72" s="11">
        <v>20541000</v>
      </c>
      <c r="BW72" s="11">
        <v>19794000</v>
      </c>
      <c r="BX72" s="7"/>
      <c r="BY72" s="7"/>
      <c r="BZ72" s="7"/>
      <c r="CA72" s="7"/>
      <c r="CB72" s="7"/>
      <c r="CC72" s="11"/>
      <c r="CD72" s="11"/>
      <c r="CE72" s="11"/>
      <c r="CF72" s="11"/>
      <c r="CG72" s="11"/>
      <c r="CH72" s="7"/>
      <c r="CI72" s="7"/>
      <c r="CJ72" s="7"/>
      <c r="CK72" s="7"/>
      <c r="CL72" s="7"/>
      <c r="CM72" s="11">
        <v>8417000</v>
      </c>
      <c r="CN72" s="11">
        <v>7824000</v>
      </c>
      <c r="CO72" s="11">
        <v>5147000</v>
      </c>
      <c r="CP72" s="11">
        <v>3959000</v>
      </c>
      <c r="CQ72" s="11">
        <v>2350000</v>
      </c>
      <c r="CR72" s="11"/>
      <c r="CS72" s="11"/>
      <c r="CT72" s="11"/>
      <c r="CU72" s="11"/>
      <c r="CV72" s="11"/>
      <c r="CW72" s="11"/>
      <c r="CX72" s="11"/>
      <c r="CY72" s="11"/>
      <c r="CZ72" s="11"/>
      <c r="DA72" s="11"/>
      <c r="DB72" s="11"/>
      <c r="DC72" s="11"/>
      <c r="DD72" s="11"/>
      <c r="DE72" s="11"/>
      <c r="DF72" s="11"/>
      <c r="DG72" s="7"/>
      <c r="DH72" s="7"/>
      <c r="DI72" s="7"/>
      <c r="DJ72" s="7"/>
      <c r="DK72" s="7"/>
      <c r="DL72" s="7">
        <v>14984000</v>
      </c>
      <c r="DM72" s="7">
        <v>13470000</v>
      </c>
      <c r="DN72" s="7">
        <v>16164000</v>
      </c>
      <c r="DO72" s="7">
        <v>16582000</v>
      </c>
      <c r="DP72" s="7">
        <v>17444000</v>
      </c>
      <c r="DQ72" s="11"/>
      <c r="DR72" s="11"/>
      <c r="DS72" s="11"/>
      <c r="DT72" s="11"/>
      <c r="DU72" s="11"/>
      <c r="DV72" s="11"/>
      <c r="DW72" s="11"/>
      <c r="DX72" s="11"/>
      <c r="DY72" s="11"/>
      <c r="DZ72" s="11"/>
      <c r="EA72" s="11">
        <v>14984000</v>
      </c>
      <c r="EB72" s="11">
        <v>13470000</v>
      </c>
      <c r="EC72" s="11">
        <v>16164000</v>
      </c>
      <c r="ED72" s="11">
        <v>16582000</v>
      </c>
      <c r="EE72" s="11">
        <v>17444000</v>
      </c>
      <c r="EF72" s="7"/>
      <c r="EG72" s="7"/>
      <c r="EH72" s="7"/>
      <c r="EI72" s="7"/>
      <c r="EJ72" s="7"/>
      <c r="EK72" s="7"/>
      <c r="EL72" s="7">
        <v>593000</v>
      </c>
      <c r="EM72" s="7">
        <v>2007000</v>
      </c>
      <c r="EN72" s="7">
        <v>1074000</v>
      </c>
      <c r="EO72" s="7">
        <v>988000</v>
      </c>
      <c r="EP72" s="7"/>
      <c r="EQ72" s="7"/>
      <c r="ER72" s="7"/>
      <c r="ES72" s="7"/>
      <c r="ET72" s="7"/>
      <c r="EU72" s="7"/>
      <c r="EV72" s="7"/>
      <c r="EW72" s="7"/>
      <c r="EX72" s="7"/>
      <c r="EY72" s="7"/>
      <c r="EZ72" s="11"/>
      <c r="FA72" s="11"/>
      <c r="FB72" s="11"/>
      <c r="FC72" s="11"/>
      <c r="FD72" s="11"/>
      <c r="FE72" s="11"/>
      <c r="FF72" s="11"/>
      <c r="FG72" s="11"/>
      <c r="FH72" s="11"/>
      <c r="FI72" s="11"/>
      <c r="FJ72" s="11"/>
      <c r="FK72" s="11"/>
      <c r="FL72" s="11"/>
      <c r="FM72" s="11"/>
      <c r="FN72" s="11"/>
      <c r="FO72" s="7"/>
      <c r="FP72" s="7"/>
      <c r="FQ72" s="7"/>
      <c r="FR72" s="7">
        <v>1063000</v>
      </c>
      <c r="FS72" s="7">
        <v>28000</v>
      </c>
      <c r="FT72" s="7"/>
      <c r="FU72" s="7"/>
      <c r="FV72" s="7">
        <v>670000</v>
      </c>
      <c r="FW72" s="7">
        <v>583000</v>
      </c>
      <c r="FX72" s="7">
        <v>650000</v>
      </c>
      <c r="FY72" s="11"/>
      <c r="FZ72" s="11"/>
      <c r="GA72" s="11"/>
      <c r="GB72" s="11"/>
      <c r="GC72" s="11"/>
      <c r="GD72" s="7"/>
      <c r="GE72" s="7">
        <v>-593000</v>
      </c>
      <c r="GF72" s="7">
        <v>-2677000</v>
      </c>
      <c r="GG72" s="7">
        <v>-594000</v>
      </c>
      <c r="GH72" s="7">
        <v>-1610000</v>
      </c>
    </row>
    <row r="73" spans="1:190" ht="26.25" x14ac:dyDescent="0.25">
      <c r="A73" s="4">
        <v>72</v>
      </c>
      <c r="B73" s="5" t="s">
        <v>376</v>
      </c>
      <c r="C73" s="9" t="s">
        <v>377</v>
      </c>
      <c r="D73" s="7">
        <v>11</v>
      </c>
      <c r="E73" s="6" t="s">
        <v>378</v>
      </c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7">
        <v>248054000</v>
      </c>
      <c r="Q73" s="7"/>
      <c r="R73" s="7"/>
      <c r="S73" s="7"/>
      <c r="T73" s="7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>
        <v>248054000</v>
      </c>
      <c r="AK73" s="11"/>
      <c r="AL73" s="11"/>
      <c r="AM73" s="11"/>
      <c r="AN73" s="11"/>
      <c r="AO73" s="7"/>
      <c r="AP73" s="7"/>
      <c r="AQ73" s="7"/>
      <c r="AR73" s="7"/>
      <c r="AS73" s="7"/>
      <c r="AT73" s="7">
        <v>47251000</v>
      </c>
      <c r="AU73" s="7"/>
      <c r="AV73" s="7"/>
      <c r="AW73" s="7"/>
      <c r="AX73" s="7"/>
      <c r="AY73" s="11"/>
      <c r="AZ73" s="11"/>
      <c r="BA73" s="11"/>
      <c r="BB73" s="11"/>
      <c r="BC73" s="11"/>
      <c r="BD73" s="7"/>
      <c r="BE73" s="7"/>
      <c r="BF73" s="7"/>
      <c r="BG73" s="7"/>
      <c r="BH73" s="7"/>
      <c r="BI73" s="11"/>
      <c r="BJ73" s="11"/>
      <c r="BK73" s="11"/>
      <c r="BL73" s="11"/>
      <c r="BM73" s="11"/>
      <c r="BN73" s="11">
        <v>47251000</v>
      </c>
      <c r="BO73" s="11"/>
      <c r="BP73" s="11"/>
      <c r="BQ73" s="11"/>
      <c r="BR73" s="11"/>
      <c r="BS73" s="11">
        <v>295305000</v>
      </c>
      <c r="BT73" s="11"/>
      <c r="BU73" s="11"/>
      <c r="BV73" s="11"/>
      <c r="BW73" s="11"/>
      <c r="BX73" s="7">
        <v>10000</v>
      </c>
      <c r="BY73" s="7">
        <v>10000</v>
      </c>
      <c r="BZ73" s="7">
        <v>10000</v>
      </c>
      <c r="CA73" s="7">
        <v>10000</v>
      </c>
      <c r="CB73" s="7">
        <v>10000</v>
      </c>
      <c r="CC73" s="11"/>
      <c r="CD73" s="11"/>
      <c r="CE73" s="11"/>
      <c r="CF73" s="11"/>
      <c r="CG73" s="11"/>
      <c r="CH73" s="7">
        <v>-798065000</v>
      </c>
      <c r="CI73" s="7">
        <v>-844460000</v>
      </c>
      <c r="CJ73" s="7">
        <v>-844730000</v>
      </c>
      <c r="CK73" s="7">
        <v>-844730000</v>
      </c>
      <c r="CL73" s="7">
        <v>-844730000</v>
      </c>
      <c r="CM73" s="11">
        <v>-798055000</v>
      </c>
      <c r="CN73" s="11">
        <v>-844450000</v>
      </c>
      <c r="CO73" s="11">
        <v>-844720000</v>
      </c>
      <c r="CP73" s="11">
        <v>-844720000</v>
      </c>
      <c r="CQ73" s="11">
        <v>-844720000</v>
      </c>
      <c r="CR73" s="11">
        <v>27204000</v>
      </c>
      <c r="CS73" s="11">
        <v>27204000</v>
      </c>
      <c r="CT73" s="11">
        <v>27204000</v>
      </c>
      <c r="CU73" s="11">
        <v>27204000</v>
      </c>
      <c r="CV73" s="11">
        <v>27204000</v>
      </c>
      <c r="CW73" s="11">
        <v>130377000</v>
      </c>
      <c r="CX73" s="11">
        <v>130377000</v>
      </c>
      <c r="CY73" s="11">
        <v>130377000</v>
      </c>
      <c r="CZ73" s="11">
        <v>130377000</v>
      </c>
      <c r="DA73" s="11">
        <v>130377000</v>
      </c>
      <c r="DB73" s="11">
        <v>157749000</v>
      </c>
      <c r="DC73" s="11">
        <v>157749000</v>
      </c>
      <c r="DD73" s="11">
        <v>157749000</v>
      </c>
      <c r="DE73" s="11">
        <v>157749000</v>
      </c>
      <c r="DF73" s="11">
        <v>157749000</v>
      </c>
      <c r="DG73" s="7">
        <v>3808000</v>
      </c>
      <c r="DH73" s="7">
        <v>808000</v>
      </c>
      <c r="DI73" s="7">
        <v>808000</v>
      </c>
      <c r="DJ73" s="7">
        <v>808000</v>
      </c>
      <c r="DK73" s="7">
        <v>808000</v>
      </c>
      <c r="DL73" s="7">
        <v>589161000</v>
      </c>
      <c r="DM73" s="7">
        <v>343251000</v>
      </c>
      <c r="DN73" s="7">
        <v>343521000</v>
      </c>
      <c r="DO73" s="7">
        <v>343521000</v>
      </c>
      <c r="DP73" s="7">
        <v>343521000</v>
      </c>
      <c r="DQ73" s="11"/>
      <c r="DR73" s="11"/>
      <c r="DS73" s="11"/>
      <c r="DT73" s="11"/>
      <c r="DU73" s="11"/>
      <c r="DV73" s="11">
        <v>342578000</v>
      </c>
      <c r="DW73" s="11">
        <v>342578000</v>
      </c>
      <c r="DX73" s="11">
        <v>342578000</v>
      </c>
      <c r="DY73" s="11">
        <v>342578000</v>
      </c>
      <c r="DZ73" s="11">
        <v>342578000</v>
      </c>
      <c r="EA73" s="11">
        <v>935611000</v>
      </c>
      <c r="EB73" s="11">
        <v>686701000</v>
      </c>
      <c r="EC73" s="11">
        <v>686971000</v>
      </c>
      <c r="ED73" s="11">
        <v>686971000</v>
      </c>
      <c r="EE73" s="11">
        <v>686971000</v>
      </c>
      <c r="EF73" s="7"/>
      <c r="EG73" s="7"/>
      <c r="EH73" s="7"/>
      <c r="EI73" s="7"/>
      <c r="EJ73" s="7"/>
      <c r="EK73" s="7"/>
      <c r="EL73" s="7"/>
      <c r="EM73" s="7"/>
      <c r="EN73" s="7"/>
      <c r="EO73" s="7"/>
      <c r="EP73" s="7"/>
      <c r="EQ73" s="7"/>
      <c r="ER73" s="7"/>
      <c r="ES73" s="7"/>
      <c r="ET73" s="7"/>
      <c r="EU73" s="7"/>
      <c r="EV73" s="7"/>
      <c r="EW73" s="7"/>
      <c r="EX73" s="7"/>
      <c r="EY73" s="7"/>
      <c r="EZ73" s="11"/>
      <c r="FA73" s="11"/>
      <c r="FB73" s="11"/>
      <c r="FC73" s="11"/>
      <c r="FD73" s="11"/>
      <c r="FE73" s="11"/>
      <c r="FF73" s="11"/>
      <c r="FG73" s="11"/>
      <c r="FH73" s="11"/>
      <c r="FI73" s="11"/>
      <c r="FJ73" s="11"/>
      <c r="FK73" s="11"/>
      <c r="FL73" s="11"/>
      <c r="FM73" s="11"/>
      <c r="FN73" s="11"/>
      <c r="FO73" s="7">
        <v>250570000</v>
      </c>
      <c r="FP73" s="7"/>
      <c r="FQ73" s="7"/>
      <c r="FR73" s="7"/>
      <c r="FS73" s="7"/>
      <c r="FT73" s="7">
        <v>286265000</v>
      </c>
      <c r="FU73" s="7">
        <v>46395000</v>
      </c>
      <c r="FV73" s="7">
        <v>270000</v>
      </c>
      <c r="FW73" s="7"/>
      <c r="FX73" s="7"/>
      <c r="FY73" s="11"/>
      <c r="FZ73" s="11"/>
      <c r="GA73" s="11"/>
      <c r="GB73" s="11"/>
      <c r="GC73" s="11"/>
      <c r="GD73" s="7">
        <v>-35695000</v>
      </c>
      <c r="GE73" s="7">
        <v>-46395000</v>
      </c>
      <c r="GF73" s="7">
        <v>-270000</v>
      </c>
      <c r="GG73" s="7"/>
      <c r="GH73" s="7"/>
    </row>
    <row r="74" spans="1:190" x14ac:dyDescent="0.25">
      <c r="A74" s="4">
        <v>73</v>
      </c>
      <c r="B74" s="5" t="s">
        <v>379</v>
      </c>
      <c r="C74" s="9" t="s">
        <v>380</v>
      </c>
      <c r="D74" s="7">
        <v>10</v>
      </c>
      <c r="E74" s="6" t="s">
        <v>381</v>
      </c>
      <c r="F74" s="11">
        <v>995</v>
      </c>
      <c r="G74" s="11">
        <v>192896</v>
      </c>
      <c r="H74" s="11">
        <v>80082</v>
      </c>
      <c r="I74" s="11"/>
      <c r="J74" s="11"/>
      <c r="K74" s="11">
        <v>1115814</v>
      </c>
      <c r="L74" s="11">
        <v>284268</v>
      </c>
      <c r="M74" s="11">
        <v>3154381</v>
      </c>
      <c r="N74" s="11">
        <v>1584094</v>
      </c>
      <c r="O74" s="11">
        <v>528293</v>
      </c>
      <c r="P74" s="7">
        <v>10574000</v>
      </c>
      <c r="Q74" s="7">
        <v>17238000</v>
      </c>
      <c r="R74" s="7">
        <v>18787000</v>
      </c>
      <c r="S74" s="7">
        <v>11262000</v>
      </c>
      <c r="T74" s="7"/>
      <c r="U74" s="11"/>
      <c r="V74" s="11"/>
      <c r="W74" s="11"/>
      <c r="X74" s="11"/>
      <c r="Y74" s="11"/>
      <c r="Z74" s="11">
        <v>2319000</v>
      </c>
      <c r="AA74" s="11">
        <v>29802000</v>
      </c>
      <c r="AB74" s="11">
        <v>74739000</v>
      </c>
      <c r="AC74" s="11"/>
      <c r="AD74" s="11"/>
      <c r="AE74" s="11"/>
      <c r="AF74" s="11"/>
      <c r="AG74" s="11"/>
      <c r="AH74" s="11"/>
      <c r="AI74" s="11"/>
      <c r="AJ74" s="11">
        <v>12893000</v>
      </c>
      <c r="AK74" s="11">
        <v>47040000</v>
      </c>
      <c r="AL74" s="11">
        <v>93526000</v>
      </c>
      <c r="AM74" s="11">
        <v>11262000</v>
      </c>
      <c r="AN74" s="11"/>
      <c r="AO74" s="7">
        <v>1557000</v>
      </c>
      <c r="AP74" s="7">
        <v>30496000</v>
      </c>
      <c r="AQ74" s="7">
        <v>109059000</v>
      </c>
      <c r="AR74" s="7">
        <v>339000</v>
      </c>
      <c r="AS74" s="7"/>
      <c r="AT74" s="7">
        <v>39987000</v>
      </c>
      <c r="AU74" s="7">
        <v>167621000</v>
      </c>
      <c r="AV74" s="7">
        <v>392877000</v>
      </c>
      <c r="AW74" s="7">
        <v>55923000</v>
      </c>
      <c r="AX74" s="7"/>
      <c r="AY74" s="11"/>
      <c r="AZ74" s="11"/>
      <c r="BA74" s="11"/>
      <c r="BB74" s="11"/>
      <c r="BC74" s="11"/>
      <c r="BD74" s="7">
        <v>18985000</v>
      </c>
      <c r="BE74" s="7">
        <v>1133000</v>
      </c>
      <c r="BF74" s="7">
        <v>421000</v>
      </c>
      <c r="BG74" s="7">
        <v>1553000</v>
      </c>
      <c r="BH74" s="7"/>
      <c r="BI74" s="11"/>
      <c r="BJ74" s="11"/>
      <c r="BK74" s="11"/>
      <c r="BL74" s="11"/>
      <c r="BM74" s="11"/>
      <c r="BN74" s="11">
        <v>60529000</v>
      </c>
      <c r="BO74" s="11">
        <v>199250000</v>
      </c>
      <c r="BP74" s="11">
        <v>502357000</v>
      </c>
      <c r="BQ74" s="11">
        <v>57815000</v>
      </c>
      <c r="BR74" s="11"/>
      <c r="BS74" s="11">
        <v>73422000</v>
      </c>
      <c r="BT74" s="11">
        <v>246290000</v>
      </c>
      <c r="BU74" s="11">
        <v>595883000</v>
      </c>
      <c r="BV74" s="11">
        <v>69077000</v>
      </c>
      <c r="BW74" s="11"/>
      <c r="BX74" s="7"/>
      <c r="BY74" s="7"/>
      <c r="BZ74" s="7"/>
      <c r="CA74" s="7"/>
      <c r="CB74" s="7"/>
      <c r="CC74" s="11"/>
      <c r="CD74" s="11"/>
      <c r="CE74" s="11"/>
      <c r="CF74" s="11"/>
      <c r="CG74" s="11"/>
      <c r="CH74" s="7"/>
      <c r="CI74" s="7"/>
      <c r="CJ74" s="7"/>
      <c r="CK74" s="7"/>
      <c r="CL74" s="7"/>
      <c r="CM74" s="11">
        <v>20000</v>
      </c>
      <c r="CN74" s="11">
        <v>38524000</v>
      </c>
      <c r="CO74" s="11">
        <v>49250000</v>
      </c>
      <c r="CP74" s="11">
        <v>49699000</v>
      </c>
      <c r="CQ74" s="11"/>
      <c r="CR74" s="11"/>
      <c r="CS74" s="11"/>
      <c r="CT74" s="11"/>
      <c r="CU74" s="11"/>
      <c r="CV74" s="11"/>
      <c r="CW74" s="11">
        <v>11277000</v>
      </c>
      <c r="CX74" s="11">
        <v>28823000</v>
      </c>
      <c r="CY74" s="11">
        <v>70283000</v>
      </c>
      <c r="CZ74" s="11">
        <v>1367000</v>
      </c>
      <c r="DA74" s="11"/>
      <c r="DB74" s="11">
        <v>11277000</v>
      </c>
      <c r="DC74" s="11">
        <v>28823000</v>
      </c>
      <c r="DD74" s="11">
        <v>70283000</v>
      </c>
      <c r="DE74" s="11">
        <v>1367000</v>
      </c>
      <c r="DF74" s="11"/>
      <c r="DG74" s="7">
        <v>447000</v>
      </c>
      <c r="DH74" s="7">
        <v>1282000</v>
      </c>
      <c r="DI74" s="7">
        <v>4001000</v>
      </c>
      <c r="DJ74" s="7">
        <v>7116000</v>
      </c>
      <c r="DK74" s="7"/>
      <c r="DL74" s="7">
        <v>61678000</v>
      </c>
      <c r="DM74" s="7">
        <v>94245000</v>
      </c>
      <c r="DN74" s="7">
        <v>202879000</v>
      </c>
      <c r="DO74" s="7">
        <v>10895000</v>
      </c>
      <c r="DP74" s="7"/>
      <c r="DQ74" s="11"/>
      <c r="DR74" s="11"/>
      <c r="DS74" s="11"/>
      <c r="DT74" s="11"/>
      <c r="DU74" s="11"/>
      <c r="DV74" s="11"/>
      <c r="DW74" s="11">
        <v>83416000</v>
      </c>
      <c r="DX74" s="11">
        <v>269470000</v>
      </c>
      <c r="DY74" s="11"/>
      <c r="DZ74" s="11"/>
      <c r="EA74" s="11">
        <v>62125000</v>
      </c>
      <c r="EB74" s="11">
        <v>178943000</v>
      </c>
      <c r="EC74" s="11">
        <v>476350000</v>
      </c>
      <c r="ED74" s="11">
        <v>18011000</v>
      </c>
      <c r="EE74" s="11"/>
      <c r="EF74" s="7">
        <v>103441000</v>
      </c>
      <c r="EG74" s="7">
        <v>134381000</v>
      </c>
      <c r="EH74" s="7">
        <v>260155000</v>
      </c>
      <c r="EI74" s="7">
        <v>505987000</v>
      </c>
      <c r="EJ74" s="7"/>
      <c r="EK74" s="7">
        <v>103077000</v>
      </c>
      <c r="EL74" s="7">
        <v>102004000</v>
      </c>
      <c r="EM74" s="7">
        <v>265371000</v>
      </c>
      <c r="EN74" s="7">
        <v>506028000</v>
      </c>
      <c r="EO74" s="7"/>
      <c r="EP74" s="7"/>
      <c r="EQ74" s="7"/>
      <c r="ER74" s="7"/>
      <c r="ES74" s="7"/>
      <c r="ET74" s="7"/>
      <c r="EU74" s="7"/>
      <c r="EV74" s="7"/>
      <c r="EW74" s="7"/>
      <c r="EX74" s="7"/>
      <c r="EY74" s="7"/>
      <c r="EZ74" s="11"/>
      <c r="FA74" s="11"/>
      <c r="FB74" s="11"/>
      <c r="FC74" s="11"/>
      <c r="FD74" s="11"/>
      <c r="FE74" s="11"/>
      <c r="FF74" s="11"/>
      <c r="FG74" s="11"/>
      <c r="FH74" s="11"/>
      <c r="FI74" s="11"/>
      <c r="FJ74" s="11"/>
      <c r="FK74" s="11">
        <v>3000</v>
      </c>
      <c r="FL74" s="11">
        <v>37000</v>
      </c>
      <c r="FM74" s="11"/>
      <c r="FN74" s="11"/>
      <c r="FO74" s="7"/>
      <c r="FP74" s="7">
        <v>93000</v>
      </c>
      <c r="FQ74" s="7">
        <v>5367000</v>
      </c>
      <c r="FR74" s="7">
        <v>882000</v>
      </c>
      <c r="FS74" s="7"/>
      <c r="FT74" s="7">
        <v>379000</v>
      </c>
      <c r="FU74" s="7">
        <v>975000</v>
      </c>
      <c r="FV74" s="7">
        <v>8412000</v>
      </c>
      <c r="FW74" s="7">
        <v>393000</v>
      </c>
      <c r="FX74" s="7"/>
      <c r="FY74" s="11"/>
      <c r="FZ74" s="11">
        <v>-7012000</v>
      </c>
      <c r="GA74" s="11">
        <v>2428000</v>
      </c>
      <c r="GB74" s="11">
        <v>90000</v>
      </c>
      <c r="GC74" s="11"/>
      <c r="GD74" s="7">
        <v>-15000</v>
      </c>
      <c r="GE74" s="7">
        <v>38504000</v>
      </c>
      <c r="GF74" s="7">
        <v>-10726000</v>
      </c>
      <c r="GG74" s="7">
        <v>358000</v>
      </c>
      <c r="GH74" s="7"/>
    </row>
    <row r="75" spans="1:190" ht="26.25" x14ac:dyDescent="0.25">
      <c r="A75" s="4">
        <v>74</v>
      </c>
      <c r="B75" s="5" t="s">
        <v>382</v>
      </c>
      <c r="C75" s="9" t="s">
        <v>383</v>
      </c>
      <c r="D75" s="7">
        <v>18</v>
      </c>
      <c r="E75" s="6" t="s">
        <v>384</v>
      </c>
      <c r="F75" s="11">
        <v>10812527</v>
      </c>
      <c r="G75" s="11">
        <v>17812054</v>
      </c>
      <c r="H75" s="11">
        <v>15546969</v>
      </c>
      <c r="I75" s="11">
        <v>6846349</v>
      </c>
      <c r="J75" s="11"/>
      <c r="K75" s="11">
        <v>191818445</v>
      </c>
      <c r="L75" s="11">
        <v>160223630</v>
      </c>
      <c r="M75" s="11">
        <v>179763418</v>
      </c>
      <c r="N75" s="11">
        <v>86135356</v>
      </c>
      <c r="O75" s="11">
        <v>75905991</v>
      </c>
      <c r="P75" s="7">
        <v>11124000</v>
      </c>
      <c r="Q75" s="7">
        <v>25313000</v>
      </c>
      <c r="R75" s="7">
        <v>32916000</v>
      </c>
      <c r="S75" s="7">
        <v>12340000</v>
      </c>
      <c r="T75" s="7">
        <v>4154000</v>
      </c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>
        <v>11124000</v>
      </c>
      <c r="AK75" s="11">
        <v>25313000</v>
      </c>
      <c r="AL75" s="11">
        <v>32916000</v>
      </c>
      <c r="AM75" s="11">
        <v>12340000</v>
      </c>
      <c r="AN75" s="11">
        <v>115426000</v>
      </c>
      <c r="AO75" s="7">
        <v>175621000</v>
      </c>
      <c r="AP75" s="7">
        <v>311603000</v>
      </c>
      <c r="AQ75" s="7">
        <v>626056000</v>
      </c>
      <c r="AR75" s="7">
        <v>866477000</v>
      </c>
      <c r="AS75" s="7"/>
      <c r="AT75" s="7">
        <v>376301000</v>
      </c>
      <c r="AU75" s="7">
        <v>400596000</v>
      </c>
      <c r="AV75" s="7">
        <v>433257000</v>
      </c>
      <c r="AW75" s="7">
        <v>331430000</v>
      </c>
      <c r="AX75" s="7">
        <v>95094000</v>
      </c>
      <c r="AY75" s="11">
        <v>266558000</v>
      </c>
      <c r="AZ75" s="11">
        <v>411619000</v>
      </c>
      <c r="BA75" s="11">
        <v>455183000</v>
      </c>
      <c r="BB75" s="11">
        <v>622086000</v>
      </c>
      <c r="BC75" s="11">
        <v>574281000</v>
      </c>
      <c r="BD75" s="7">
        <v>13667000</v>
      </c>
      <c r="BE75" s="7">
        <v>14985000</v>
      </c>
      <c r="BF75" s="7">
        <v>4330000</v>
      </c>
      <c r="BG75" s="7">
        <v>9575000</v>
      </c>
      <c r="BH75" s="7">
        <v>63774000</v>
      </c>
      <c r="BI75" s="11">
        <v>49008000</v>
      </c>
      <c r="BJ75" s="11">
        <v>51708000</v>
      </c>
      <c r="BK75" s="11">
        <v>61388000</v>
      </c>
      <c r="BL75" s="11">
        <v>60746000</v>
      </c>
      <c r="BM75" s="11">
        <v>1018000</v>
      </c>
      <c r="BN75" s="11">
        <v>882766000</v>
      </c>
      <c r="BO75" s="11">
        <v>1192563000</v>
      </c>
      <c r="BP75" s="11">
        <v>1583738000</v>
      </c>
      <c r="BQ75" s="11">
        <v>1892741000</v>
      </c>
      <c r="BR75" s="11">
        <v>735166000</v>
      </c>
      <c r="BS75" s="11">
        <v>893890000</v>
      </c>
      <c r="BT75" s="11">
        <v>1217876000</v>
      </c>
      <c r="BU75" s="11">
        <v>1616654000</v>
      </c>
      <c r="BV75" s="11">
        <v>1905081000</v>
      </c>
      <c r="BW75" s="11">
        <v>850592000</v>
      </c>
      <c r="BX75" s="7">
        <v>500000</v>
      </c>
      <c r="BY75" s="7">
        <v>500000</v>
      </c>
      <c r="BZ75" s="7">
        <v>500000</v>
      </c>
      <c r="CA75" s="7">
        <v>500000</v>
      </c>
      <c r="CB75" s="7">
        <v>500000</v>
      </c>
      <c r="CC75" s="11"/>
      <c r="CD75" s="11"/>
      <c r="CE75" s="11"/>
      <c r="CF75" s="11"/>
      <c r="CG75" s="11"/>
      <c r="CH75" s="7">
        <v>121941000</v>
      </c>
      <c r="CI75" s="7">
        <v>253971000</v>
      </c>
      <c r="CJ75" s="7">
        <v>296636000</v>
      </c>
      <c r="CK75" s="7">
        <v>329842000</v>
      </c>
      <c r="CL75" s="7">
        <v>-822445000</v>
      </c>
      <c r="CM75" s="11">
        <v>122441000</v>
      </c>
      <c r="CN75" s="11">
        <v>254471000</v>
      </c>
      <c r="CO75" s="11">
        <v>297136000</v>
      </c>
      <c r="CP75" s="11">
        <v>330342000</v>
      </c>
      <c r="CQ75" s="11">
        <v>-821945000</v>
      </c>
      <c r="CR75" s="11">
        <v>532917000</v>
      </c>
      <c r="CS75" s="11">
        <v>455797000</v>
      </c>
      <c r="CT75" s="11">
        <v>865736000</v>
      </c>
      <c r="CU75" s="11">
        <v>1182029000</v>
      </c>
      <c r="CV75" s="11">
        <v>1139201000</v>
      </c>
      <c r="CW75" s="11"/>
      <c r="CX75" s="11"/>
      <c r="CY75" s="11"/>
      <c r="CZ75" s="11"/>
      <c r="DA75" s="11"/>
      <c r="DB75" s="11">
        <v>532917000</v>
      </c>
      <c r="DC75" s="11">
        <v>455797000</v>
      </c>
      <c r="DD75" s="11">
        <v>865736000</v>
      </c>
      <c r="DE75" s="11">
        <v>1182029000</v>
      </c>
      <c r="DF75" s="11">
        <v>1139201000</v>
      </c>
      <c r="DG75" s="7">
        <v>31706000</v>
      </c>
      <c r="DH75" s="7">
        <v>33290000</v>
      </c>
      <c r="DI75" s="7">
        <v>39393000</v>
      </c>
      <c r="DJ75" s="7">
        <v>45939000</v>
      </c>
      <c r="DK75" s="7">
        <v>168833000</v>
      </c>
      <c r="DL75" s="7">
        <v>206826000</v>
      </c>
      <c r="DM75" s="7">
        <v>474318000</v>
      </c>
      <c r="DN75" s="7">
        <v>414016000</v>
      </c>
      <c r="DO75" s="7">
        <v>346771000</v>
      </c>
      <c r="DP75" s="7">
        <v>364503000</v>
      </c>
      <c r="DQ75" s="11"/>
      <c r="DR75" s="11"/>
      <c r="DS75" s="11">
        <v>373000</v>
      </c>
      <c r="DT75" s="11"/>
      <c r="DU75" s="11"/>
      <c r="DV75" s="11"/>
      <c r="DW75" s="11"/>
      <c r="DX75" s="11"/>
      <c r="DY75" s="11"/>
      <c r="DZ75" s="11"/>
      <c r="EA75" s="11">
        <v>238532000</v>
      </c>
      <c r="EB75" s="11">
        <v>507608000</v>
      </c>
      <c r="EC75" s="11">
        <v>453782000</v>
      </c>
      <c r="ED75" s="11">
        <v>392710000</v>
      </c>
      <c r="EE75" s="11">
        <v>533336000</v>
      </c>
      <c r="EF75" s="7">
        <v>2148293000</v>
      </c>
      <c r="EG75" s="7">
        <v>2557546000</v>
      </c>
      <c r="EH75" s="7">
        <v>2251574000</v>
      </c>
      <c r="EI75" s="7">
        <v>1765759000</v>
      </c>
      <c r="EJ75" s="7">
        <v>1055578000</v>
      </c>
      <c r="EK75" s="7">
        <v>1943662000</v>
      </c>
      <c r="EL75" s="7">
        <v>2303088000</v>
      </c>
      <c r="EM75" s="7">
        <v>2011850000</v>
      </c>
      <c r="EN75" s="7">
        <v>1511407000</v>
      </c>
      <c r="EO75" s="7">
        <v>1023101000</v>
      </c>
      <c r="EP75" s="7"/>
      <c r="EQ75" s="7"/>
      <c r="ER75" s="7"/>
      <c r="ES75" s="7"/>
      <c r="ET75" s="7"/>
      <c r="EU75" s="7">
        <v>114889000</v>
      </c>
      <c r="EV75" s="7">
        <v>160185000</v>
      </c>
      <c r="EW75" s="7">
        <v>170150000</v>
      </c>
      <c r="EX75" s="7">
        <v>140109000</v>
      </c>
      <c r="EY75" s="7">
        <v>104352000</v>
      </c>
      <c r="EZ75" s="11"/>
      <c r="FA75" s="11"/>
      <c r="FB75" s="11"/>
      <c r="FC75" s="11"/>
      <c r="FD75" s="11"/>
      <c r="FE75" s="11">
        <v>337000</v>
      </c>
      <c r="FF75" s="11"/>
      <c r="FG75" s="11"/>
      <c r="FH75" s="11"/>
      <c r="FI75" s="11">
        <v>1000</v>
      </c>
      <c r="FJ75" s="11">
        <v>44195000</v>
      </c>
      <c r="FK75" s="11">
        <v>41096000</v>
      </c>
      <c r="FL75" s="11">
        <v>54741000</v>
      </c>
      <c r="FM75" s="11">
        <v>88321000</v>
      </c>
      <c r="FN75" s="11">
        <v>155352000</v>
      </c>
      <c r="FO75" s="7">
        <v>968726000</v>
      </c>
      <c r="FP75" s="7">
        <v>1201805000</v>
      </c>
      <c r="FQ75" s="7">
        <v>291717000</v>
      </c>
      <c r="FR75" s="7">
        <v>68763000</v>
      </c>
      <c r="FS75" s="7">
        <v>67460000</v>
      </c>
      <c r="FT75" s="7">
        <v>962317000</v>
      </c>
      <c r="FU75" s="7">
        <v>1108690000</v>
      </c>
      <c r="FV75" s="7">
        <v>247354000</v>
      </c>
      <c r="FW75" s="7">
        <v>52471000</v>
      </c>
      <c r="FX75" s="7">
        <v>1118853000</v>
      </c>
      <c r="FY75" s="11">
        <v>-11130000</v>
      </c>
      <c r="FZ75" s="11">
        <v>-13438000</v>
      </c>
      <c r="GA75" s="11">
        <v>-12872000</v>
      </c>
      <c r="GB75" s="11">
        <v>-9008000</v>
      </c>
      <c r="GC75" s="11">
        <v>111269000</v>
      </c>
      <c r="GD75" s="7">
        <v>41156000</v>
      </c>
      <c r="GE75" s="7">
        <v>132028000</v>
      </c>
      <c r="GF75" s="7">
        <v>42972000</v>
      </c>
      <c r="GG75" s="7">
        <v>33206000</v>
      </c>
      <c r="GH75" s="7">
        <v>-1167348000</v>
      </c>
    </row>
    <row r="76" spans="1:190" x14ac:dyDescent="0.25">
      <c r="A76" s="4">
        <v>75</v>
      </c>
      <c r="B76" s="5" t="s">
        <v>385</v>
      </c>
      <c r="C76" s="9" t="s">
        <v>386</v>
      </c>
      <c r="D76" s="7">
        <v>22</v>
      </c>
      <c r="E76" s="6" t="s">
        <v>190</v>
      </c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7"/>
      <c r="Q76" s="7"/>
      <c r="R76" s="7"/>
      <c r="S76" s="7"/>
      <c r="T76" s="7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>
        <v>3127000</v>
      </c>
      <c r="AK76" s="11">
        <v>3121000</v>
      </c>
      <c r="AL76" s="11">
        <v>3115000</v>
      </c>
      <c r="AM76" s="11">
        <v>3109000</v>
      </c>
      <c r="AN76" s="11"/>
      <c r="AO76" s="7"/>
      <c r="AP76" s="7"/>
      <c r="AQ76" s="7"/>
      <c r="AR76" s="7"/>
      <c r="AS76" s="7"/>
      <c r="AT76" s="7">
        <v>15000</v>
      </c>
      <c r="AU76" s="7">
        <v>37000</v>
      </c>
      <c r="AV76" s="7"/>
      <c r="AW76" s="7"/>
      <c r="AX76" s="7"/>
      <c r="AY76" s="11"/>
      <c r="AZ76" s="11"/>
      <c r="BA76" s="11"/>
      <c r="BB76" s="11"/>
      <c r="BC76" s="11"/>
      <c r="BD76" s="7">
        <v>1207000</v>
      </c>
      <c r="BE76" s="7">
        <v>1038000</v>
      </c>
      <c r="BF76" s="7">
        <v>931000</v>
      </c>
      <c r="BG76" s="7">
        <v>764000</v>
      </c>
      <c r="BH76" s="7">
        <v>676000</v>
      </c>
      <c r="BI76" s="11"/>
      <c r="BJ76" s="11"/>
      <c r="BK76" s="11"/>
      <c r="BL76" s="11"/>
      <c r="BM76" s="11"/>
      <c r="BN76" s="11">
        <v>1222000</v>
      </c>
      <c r="BO76" s="11">
        <v>1079000</v>
      </c>
      <c r="BP76" s="11">
        <v>931000</v>
      </c>
      <c r="BQ76" s="11">
        <v>764000</v>
      </c>
      <c r="BR76" s="11">
        <v>676000</v>
      </c>
      <c r="BS76" s="11">
        <v>4349000</v>
      </c>
      <c r="BT76" s="11">
        <v>4200000</v>
      </c>
      <c r="BU76" s="11">
        <v>4046000</v>
      </c>
      <c r="BV76" s="11">
        <v>3873000</v>
      </c>
      <c r="BW76" s="11">
        <v>676000</v>
      </c>
      <c r="BX76" s="7">
        <v>10000</v>
      </c>
      <c r="BY76" s="7">
        <v>10000</v>
      </c>
      <c r="BZ76" s="7">
        <v>10000</v>
      </c>
      <c r="CA76" s="7">
        <v>10000</v>
      </c>
      <c r="CB76" s="7">
        <v>10000</v>
      </c>
      <c r="CC76" s="11"/>
      <c r="CD76" s="11"/>
      <c r="CE76" s="11"/>
      <c r="CF76" s="11"/>
      <c r="CG76" s="11"/>
      <c r="CH76" s="7">
        <v>-20150000</v>
      </c>
      <c r="CI76" s="7">
        <v>-20332000</v>
      </c>
      <c r="CJ76" s="7">
        <v>-20476000</v>
      </c>
      <c r="CK76" s="7">
        <v>-20716000</v>
      </c>
      <c r="CL76" s="7">
        <v>-23923000</v>
      </c>
      <c r="CM76" s="11">
        <v>-20140000</v>
      </c>
      <c r="CN76" s="11">
        <v>-20322000</v>
      </c>
      <c r="CO76" s="11">
        <v>-20466000</v>
      </c>
      <c r="CP76" s="11">
        <v>-20706000</v>
      </c>
      <c r="CQ76" s="11">
        <v>-23913000</v>
      </c>
      <c r="CR76" s="11">
        <v>20731000</v>
      </c>
      <c r="CS76" s="11"/>
      <c r="CT76" s="11"/>
      <c r="CU76" s="11"/>
      <c r="CV76" s="11"/>
      <c r="CW76" s="11"/>
      <c r="CX76" s="11"/>
      <c r="CY76" s="11"/>
      <c r="CZ76" s="11"/>
      <c r="DA76" s="11"/>
      <c r="DB76" s="11">
        <v>20731000</v>
      </c>
      <c r="DC76" s="11"/>
      <c r="DD76" s="11"/>
      <c r="DE76" s="11"/>
      <c r="DF76" s="11"/>
      <c r="DG76" s="7">
        <v>3129000</v>
      </c>
      <c r="DH76" s="7">
        <v>23860000</v>
      </c>
      <c r="DI76" s="7">
        <v>23860000</v>
      </c>
      <c r="DJ76" s="7">
        <v>23860000</v>
      </c>
      <c r="DK76" s="7">
        <v>23860000</v>
      </c>
      <c r="DL76" s="7">
        <v>591000</v>
      </c>
      <c r="DM76" s="7">
        <v>624000</v>
      </c>
      <c r="DN76" s="7">
        <v>652000</v>
      </c>
      <c r="DO76" s="7">
        <v>719000</v>
      </c>
      <c r="DP76" s="7">
        <v>729000</v>
      </c>
      <c r="DQ76" s="11">
        <v>38000</v>
      </c>
      <c r="DR76" s="11">
        <v>38000</v>
      </c>
      <c r="DS76" s="11"/>
      <c r="DT76" s="11"/>
      <c r="DU76" s="11"/>
      <c r="DV76" s="11"/>
      <c r="DW76" s="11"/>
      <c r="DX76" s="11"/>
      <c r="DY76" s="11"/>
      <c r="DZ76" s="11"/>
      <c r="EA76" s="11">
        <v>3758000</v>
      </c>
      <c r="EB76" s="11">
        <v>24522000</v>
      </c>
      <c r="EC76" s="11">
        <v>24512000</v>
      </c>
      <c r="ED76" s="11">
        <v>24579000</v>
      </c>
      <c r="EE76" s="11">
        <v>24589000</v>
      </c>
      <c r="EF76" s="7">
        <v>4850000</v>
      </c>
      <c r="EG76" s="7"/>
      <c r="EH76" s="7"/>
      <c r="EI76" s="7"/>
      <c r="EJ76" s="7"/>
      <c r="EK76" s="7">
        <v>4530000</v>
      </c>
      <c r="EL76" s="7"/>
      <c r="EM76" s="7"/>
      <c r="EN76" s="7"/>
      <c r="EO76" s="7"/>
      <c r="EP76" s="7">
        <v>173000</v>
      </c>
      <c r="EQ76" s="7">
        <v>25000</v>
      </c>
      <c r="ER76" s="7"/>
      <c r="ES76" s="7"/>
      <c r="ET76" s="7"/>
      <c r="EU76" s="7">
        <v>493000</v>
      </c>
      <c r="EV76" s="7">
        <v>167000</v>
      </c>
      <c r="EW76" s="7">
        <v>120000</v>
      </c>
      <c r="EX76" s="7">
        <v>170000</v>
      </c>
      <c r="EY76" s="7">
        <v>129000</v>
      </c>
      <c r="EZ76" s="11"/>
      <c r="FA76" s="11"/>
      <c r="FB76" s="11"/>
      <c r="FC76" s="11"/>
      <c r="FD76" s="11"/>
      <c r="FE76" s="11"/>
      <c r="FF76" s="11"/>
      <c r="FG76" s="11"/>
      <c r="FH76" s="11"/>
      <c r="FI76" s="11"/>
      <c r="FJ76" s="11"/>
      <c r="FK76" s="11"/>
      <c r="FL76" s="11"/>
      <c r="FM76" s="11"/>
      <c r="FN76" s="11"/>
      <c r="FO76" s="7">
        <v>27000</v>
      </c>
      <c r="FP76" s="7"/>
      <c r="FQ76" s="7"/>
      <c r="FR76" s="7">
        <v>67000</v>
      </c>
      <c r="FS76" s="7">
        <v>42000</v>
      </c>
      <c r="FT76" s="7">
        <v>31000</v>
      </c>
      <c r="FU76" s="7">
        <v>16000</v>
      </c>
      <c r="FV76" s="7">
        <v>24000</v>
      </c>
      <c r="FW76" s="7">
        <v>137000</v>
      </c>
      <c r="FX76" s="7">
        <v>1000</v>
      </c>
      <c r="FY76" s="11">
        <v>62000</v>
      </c>
      <c r="FZ76" s="11">
        <v>26000</v>
      </c>
      <c r="GA76" s="11"/>
      <c r="GB76" s="11"/>
      <c r="GC76" s="11"/>
      <c r="GD76" s="7">
        <v>-288000</v>
      </c>
      <c r="GE76" s="7">
        <v>-182000</v>
      </c>
      <c r="GF76" s="7">
        <v>-144000</v>
      </c>
      <c r="GG76" s="7">
        <v>-240000</v>
      </c>
      <c r="GH76" s="7">
        <v>-88000</v>
      </c>
    </row>
    <row r="77" spans="1:190" x14ac:dyDescent="0.25">
      <c r="A77" s="4">
        <v>76</v>
      </c>
      <c r="B77" s="5" t="s">
        <v>387</v>
      </c>
      <c r="C77" s="9" t="s">
        <v>388</v>
      </c>
      <c r="D77" s="7">
        <v>9</v>
      </c>
      <c r="E77" s="6" t="s">
        <v>318</v>
      </c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7"/>
      <c r="Q77" s="7"/>
      <c r="R77" s="7"/>
      <c r="S77" s="7"/>
      <c r="T77" s="7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7"/>
      <c r="AP77" s="7"/>
      <c r="AQ77" s="7"/>
      <c r="AR77" s="7"/>
      <c r="AS77" s="7"/>
      <c r="AT77" s="7">
        <v>7771000</v>
      </c>
      <c r="AU77" s="7">
        <v>15581000</v>
      </c>
      <c r="AV77" s="7">
        <v>15475000</v>
      </c>
      <c r="AW77" s="7"/>
      <c r="AX77" s="7"/>
      <c r="AY77" s="11"/>
      <c r="AZ77" s="11"/>
      <c r="BA77" s="11"/>
      <c r="BB77" s="11"/>
      <c r="BC77" s="11"/>
      <c r="BD77" s="7"/>
      <c r="BE77" s="7">
        <v>3023000</v>
      </c>
      <c r="BF77" s="7">
        <v>787000</v>
      </c>
      <c r="BG77" s="7"/>
      <c r="BH77" s="7"/>
      <c r="BI77" s="11"/>
      <c r="BJ77" s="11"/>
      <c r="BK77" s="11"/>
      <c r="BL77" s="11"/>
      <c r="BM77" s="11"/>
      <c r="BN77" s="11">
        <v>7771000</v>
      </c>
      <c r="BO77" s="11">
        <v>18604000</v>
      </c>
      <c r="BP77" s="11">
        <v>16262000</v>
      </c>
      <c r="BQ77" s="11"/>
      <c r="BR77" s="11"/>
      <c r="BS77" s="11">
        <v>7771000</v>
      </c>
      <c r="BT77" s="11">
        <v>18604000</v>
      </c>
      <c r="BU77" s="11">
        <v>16263000</v>
      </c>
      <c r="BV77" s="11"/>
      <c r="BW77" s="11"/>
      <c r="BX77" s="7"/>
      <c r="BY77" s="7"/>
      <c r="BZ77" s="7"/>
      <c r="CA77" s="7"/>
      <c r="CB77" s="7"/>
      <c r="CC77" s="11"/>
      <c r="CD77" s="11"/>
      <c r="CE77" s="11"/>
      <c r="CF77" s="11"/>
      <c r="CG77" s="11"/>
      <c r="CH77" s="7"/>
      <c r="CI77" s="7"/>
      <c r="CJ77" s="7"/>
      <c r="CK77" s="7"/>
      <c r="CL77" s="7"/>
      <c r="CM77" s="11">
        <v>-27821000</v>
      </c>
      <c r="CN77" s="11">
        <v>-31121000</v>
      </c>
      <c r="CO77" s="11">
        <v>-31800000</v>
      </c>
      <c r="CP77" s="11"/>
      <c r="CQ77" s="11"/>
      <c r="CR77" s="11"/>
      <c r="CS77" s="11"/>
      <c r="CT77" s="11"/>
      <c r="CU77" s="11"/>
      <c r="CV77" s="11"/>
      <c r="CW77" s="11"/>
      <c r="CX77" s="11"/>
      <c r="CY77" s="11"/>
      <c r="CZ77" s="11"/>
      <c r="DA77" s="11"/>
      <c r="DB77" s="11"/>
      <c r="DC77" s="11"/>
      <c r="DD77" s="11"/>
      <c r="DE77" s="11"/>
      <c r="DF77" s="11"/>
      <c r="DG77" s="7"/>
      <c r="DH77" s="7"/>
      <c r="DI77" s="7"/>
      <c r="DJ77" s="7"/>
      <c r="DK77" s="7"/>
      <c r="DL77" s="7">
        <v>35592000</v>
      </c>
      <c r="DM77" s="7">
        <v>49725000</v>
      </c>
      <c r="DN77" s="7">
        <v>48063000</v>
      </c>
      <c r="DO77" s="7"/>
      <c r="DP77" s="7"/>
      <c r="DQ77" s="11"/>
      <c r="DR77" s="11"/>
      <c r="DS77" s="11"/>
      <c r="DT77" s="11"/>
      <c r="DU77" s="11"/>
      <c r="DV77" s="11"/>
      <c r="DW77" s="11"/>
      <c r="DX77" s="11"/>
      <c r="DY77" s="11"/>
      <c r="DZ77" s="11"/>
      <c r="EA77" s="11">
        <v>35592000</v>
      </c>
      <c r="EB77" s="11">
        <v>49725000</v>
      </c>
      <c r="EC77" s="11">
        <v>48063000</v>
      </c>
      <c r="ED77" s="11"/>
      <c r="EE77" s="11"/>
      <c r="EF77" s="7"/>
      <c r="EG77" s="7"/>
      <c r="EH77" s="7"/>
      <c r="EI77" s="7"/>
      <c r="EJ77" s="7"/>
      <c r="EK77" s="7"/>
      <c r="EL77" s="7"/>
      <c r="EM77" s="7"/>
      <c r="EN77" s="7"/>
      <c r="EO77" s="7"/>
      <c r="EP77" s="7"/>
      <c r="EQ77" s="7"/>
      <c r="ER77" s="7"/>
      <c r="ES77" s="7"/>
      <c r="ET77" s="7"/>
      <c r="EU77" s="7"/>
      <c r="EV77" s="7"/>
      <c r="EW77" s="7"/>
      <c r="EX77" s="7"/>
      <c r="EY77" s="7"/>
      <c r="EZ77" s="11"/>
      <c r="FA77" s="11"/>
      <c r="FB77" s="11"/>
      <c r="FC77" s="11"/>
      <c r="FD77" s="11"/>
      <c r="FE77" s="11"/>
      <c r="FF77" s="11"/>
      <c r="FG77" s="11"/>
      <c r="FH77" s="11"/>
      <c r="FI77" s="11"/>
      <c r="FJ77" s="11"/>
      <c r="FK77" s="11"/>
      <c r="FL77" s="11"/>
      <c r="FM77" s="11"/>
      <c r="FN77" s="11"/>
      <c r="FO77" s="7"/>
      <c r="FP77" s="7"/>
      <c r="FQ77" s="7"/>
      <c r="FR77" s="7"/>
      <c r="FS77" s="7"/>
      <c r="FT77" s="7">
        <v>8595000</v>
      </c>
      <c r="FU77" s="7">
        <v>949000</v>
      </c>
      <c r="FV77" s="7">
        <v>680000</v>
      </c>
      <c r="FW77" s="7"/>
      <c r="FX77" s="7"/>
      <c r="FY77" s="11"/>
      <c r="FZ77" s="11"/>
      <c r="GA77" s="11"/>
      <c r="GB77" s="11"/>
      <c r="GC77" s="11"/>
      <c r="GD77" s="7">
        <v>-8595000</v>
      </c>
      <c r="GE77" s="7">
        <v>-949000</v>
      </c>
      <c r="GF77" s="7">
        <v>-680000</v>
      </c>
      <c r="GG77" s="7"/>
      <c r="GH77" s="7"/>
    </row>
    <row r="78" spans="1:190" ht="26.25" x14ac:dyDescent="0.25">
      <c r="A78" s="4">
        <v>77</v>
      </c>
      <c r="B78" s="5" t="s">
        <v>389</v>
      </c>
      <c r="C78" s="9" t="s">
        <v>390</v>
      </c>
      <c r="D78" s="7">
        <v>18</v>
      </c>
      <c r="E78" s="6" t="s">
        <v>204</v>
      </c>
      <c r="F78" s="11"/>
      <c r="G78" s="11"/>
      <c r="H78" s="11"/>
      <c r="I78" s="11"/>
      <c r="J78" s="11"/>
      <c r="K78" s="11">
        <v>126177</v>
      </c>
      <c r="L78" s="11"/>
      <c r="M78" s="11"/>
      <c r="N78" s="11"/>
      <c r="O78" s="11"/>
      <c r="P78" s="7"/>
      <c r="Q78" s="7"/>
      <c r="R78" s="7"/>
      <c r="S78" s="7"/>
      <c r="T78" s="7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7"/>
      <c r="AP78" s="7"/>
      <c r="AQ78" s="7"/>
      <c r="AR78" s="7"/>
      <c r="AS78" s="7"/>
      <c r="AT78" s="7">
        <v>29978000</v>
      </c>
      <c r="AU78" s="7">
        <v>40222000</v>
      </c>
      <c r="AV78" s="7">
        <v>39642000</v>
      </c>
      <c r="AW78" s="7">
        <v>37340000</v>
      </c>
      <c r="AX78" s="7">
        <v>35920000</v>
      </c>
      <c r="AY78" s="11"/>
      <c r="AZ78" s="11"/>
      <c r="BA78" s="11"/>
      <c r="BB78" s="11"/>
      <c r="BC78" s="11"/>
      <c r="BD78" s="7">
        <v>1755000</v>
      </c>
      <c r="BE78" s="7">
        <v>1582000</v>
      </c>
      <c r="BF78" s="7">
        <v>1776000</v>
      </c>
      <c r="BG78" s="7">
        <v>1333000</v>
      </c>
      <c r="BH78" s="7">
        <v>563000</v>
      </c>
      <c r="BI78" s="11"/>
      <c r="BJ78" s="11"/>
      <c r="BK78" s="11"/>
      <c r="BL78" s="11"/>
      <c r="BM78" s="11"/>
      <c r="BN78" s="11">
        <v>31733000</v>
      </c>
      <c r="BO78" s="11">
        <v>41804000</v>
      </c>
      <c r="BP78" s="11">
        <v>41418000</v>
      </c>
      <c r="BQ78" s="11">
        <v>38673000</v>
      </c>
      <c r="BR78" s="11">
        <v>36483000</v>
      </c>
      <c r="BS78" s="11">
        <v>31733000</v>
      </c>
      <c r="BT78" s="11">
        <v>41804000</v>
      </c>
      <c r="BU78" s="11">
        <v>41418000</v>
      </c>
      <c r="BV78" s="11">
        <v>38673000</v>
      </c>
      <c r="BW78" s="11">
        <v>36483000</v>
      </c>
      <c r="BX78" s="7">
        <v>10000</v>
      </c>
      <c r="BY78" s="7">
        <v>10000</v>
      </c>
      <c r="BZ78" s="7">
        <v>10000</v>
      </c>
      <c r="CA78" s="7">
        <v>10000</v>
      </c>
      <c r="CB78" s="7">
        <v>10000</v>
      </c>
      <c r="CC78" s="11"/>
      <c r="CD78" s="11"/>
      <c r="CE78" s="11"/>
      <c r="CF78" s="11"/>
      <c r="CG78" s="11"/>
      <c r="CH78" s="7">
        <v>-67998000</v>
      </c>
      <c r="CI78" s="7">
        <v>-13291000</v>
      </c>
      <c r="CJ78" s="7">
        <v>-13291000</v>
      </c>
      <c r="CK78" s="7">
        <v>-13291000</v>
      </c>
      <c r="CL78" s="7">
        <v>-13291000</v>
      </c>
      <c r="CM78" s="11">
        <v>-67988000</v>
      </c>
      <c r="CN78" s="11">
        <v>-13281000</v>
      </c>
      <c r="CO78" s="11">
        <v>-13281000</v>
      </c>
      <c r="CP78" s="11">
        <v>-13281000</v>
      </c>
      <c r="CQ78" s="11">
        <v>-13281000</v>
      </c>
      <c r="CR78" s="11"/>
      <c r="CS78" s="11"/>
      <c r="CT78" s="11"/>
      <c r="CU78" s="11"/>
      <c r="CV78" s="11"/>
      <c r="CW78" s="11"/>
      <c r="CX78" s="11"/>
      <c r="CY78" s="11"/>
      <c r="CZ78" s="11"/>
      <c r="DA78" s="11"/>
      <c r="DB78" s="11"/>
      <c r="DC78" s="11"/>
      <c r="DD78" s="11"/>
      <c r="DE78" s="11"/>
      <c r="DF78" s="11"/>
      <c r="DG78" s="7">
        <v>99721000</v>
      </c>
      <c r="DH78" s="7"/>
      <c r="DI78" s="7"/>
      <c r="DJ78" s="7"/>
      <c r="DK78" s="7"/>
      <c r="DL78" s="7"/>
      <c r="DM78" s="7">
        <v>55085000</v>
      </c>
      <c r="DN78" s="7">
        <v>54699000</v>
      </c>
      <c r="DO78" s="7">
        <v>51954000</v>
      </c>
      <c r="DP78" s="7">
        <v>49764000</v>
      </c>
      <c r="DQ78" s="11"/>
      <c r="DR78" s="11"/>
      <c r="DS78" s="11"/>
      <c r="DT78" s="11"/>
      <c r="DU78" s="11"/>
      <c r="DV78" s="11"/>
      <c r="DW78" s="11"/>
      <c r="DX78" s="11"/>
      <c r="DY78" s="11"/>
      <c r="DZ78" s="11"/>
      <c r="EA78" s="11">
        <v>99721000</v>
      </c>
      <c r="EB78" s="11">
        <v>55085000</v>
      </c>
      <c r="EC78" s="11">
        <v>54699000</v>
      </c>
      <c r="ED78" s="11">
        <v>51954000</v>
      </c>
      <c r="EE78" s="11">
        <v>49764000</v>
      </c>
      <c r="EF78" s="7"/>
      <c r="EG78" s="7"/>
      <c r="EH78" s="7"/>
      <c r="EI78" s="7"/>
      <c r="EJ78" s="7"/>
      <c r="EK78" s="7"/>
      <c r="EL78" s="7"/>
      <c r="EM78" s="7"/>
      <c r="EN78" s="7"/>
      <c r="EO78" s="7"/>
      <c r="EP78" s="7"/>
      <c r="EQ78" s="7"/>
      <c r="ER78" s="7"/>
      <c r="ES78" s="7"/>
      <c r="ET78" s="7"/>
      <c r="EU78" s="7"/>
      <c r="EV78" s="7">
        <v>1105000</v>
      </c>
      <c r="EW78" s="7"/>
      <c r="EX78" s="7"/>
      <c r="EY78" s="7"/>
      <c r="EZ78" s="11"/>
      <c r="FA78" s="11"/>
      <c r="FB78" s="11"/>
      <c r="FC78" s="11"/>
      <c r="FD78" s="11"/>
      <c r="FE78" s="11"/>
      <c r="FF78" s="11"/>
      <c r="FG78" s="11"/>
      <c r="FH78" s="11"/>
      <c r="FI78" s="11"/>
      <c r="FJ78" s="11"/>
      <c r="FK78" s="11"/>
      <c r="FL78" s="11"/>
      <c r="FM78" s="11"/>
      <c r="FN78" s="11"/>
      <c r="FO78" s="7"/>
      <c r="FP78" s="7"/>
      <c r="FQ78" s="7"/>
      <c r="FR78" s="7"/>
      <c r="FS78" s="7"/>
      <c r="FT78" s="7">
        <v>373000</v>
      </c>
      <c r="FU78" s="7"/>
      <c r="FV78" s="7"/>
      <c r="FW78" s="7"/>
      <c r="FX78" s="7"/>
      <c r="FY78" s="11"/>
      <c r="FZ78" s="11"/>
      <c r="GA78" s="11"/>
      <c r="GB78" s="11"/>
      <c r="GC78" s="11"/>
      <c r="GD78" s="7">
        <v>-373000</v>
      </c>
      <c r="GE78" s="7">
        <v>-1105000</v>
      </c>
      <c r="GF78" s="7"/>
      <c r="GG78" s="7"/>
      <c r="GH78" s="7"/>
    </row>
    <row r="79" spans="1:190" x14ac:dyDescent="0.25">
      <c r="A79" s="4">
        <v>78</v>
      </c>
      <c r="B79" s="5" t="s">
        <v>391</v>
      </c>
      <c r="C79" s="9" t="s">
        <v>392</v>
      </c>
      <c r="D79" s="7">
        <v>18</v>
      </c>
      <c r="E79" s="6" t="s">
        <v>393</v>
      </c>
      <c r="F79" s="11"/>
      <c r="G79" s="11">
        <v>39259</v>
      </c>
      <c r="H79" s="11"/>
      <c r="I79" s="11"/>
      <c r="J79" s="11"/>
      <c r="K79" s="11">
        <v>70233</v>
      </c>
      <c r="L79" s="11">
        <v>2344389</v>
      </c>
      <c r="M79" s="11">
        <v>3301796</v>
      </c>
      <c r="N79" s="11">
        <v>659959</v>
      </c>
      <c r="O79" s="11"/>
      <c r="P79" s="7">
        <v>37161000</v>
      </c>
      <c r="Q79" s="7">
        <v>36738000</v>
      </c>
      <c r="R79" s="7">
        <v>22919000</v>
      </c>
      <c r="S79" s="7">
        <v>22824000</v>
      </c>
      <c r="T79" s="7"/>
      <c r="U79" s="11">
        <v>44789000</v>
      </c>
      <c r="V79" s="11"/>
      <c r="W79" s="11"/>
      <c r="X79" s="11"/>
      <c r="Y79" s="11"/>
      <c r="Z79" s="11"/>
      <c r="AA79" s="11"/>
      <c r="AB79" s="11"/>
      <c r="AC79" s="11"/>
      <c r="AD79" s="11"/>
      <c r="AE79" s="11">
        <v>6907000</v>
      </c>
      <c r="AF79" s="11">
        <v>6907000</v>
      </c>
      <c r="AG79" s="11">
        <v>9022000</v>
      </c>
      <c r="AH79" s="11">
        <v>8884000</v>
      </c>
      <c r="AI79" s="11">
        <v>863000</v>
      </c>
      <c r="AJ79" s="11">
        <v>88857000</v>
      </c>
      <c r="AK79" s="11">
        <v>43645000</v>
      </c>
      <c r="AL79" s="11">
        <v>38097000</v>
      </c>
      <c r="AM79" s="11">
        <v>37864000</v>
      </c>
      <c r="AN79" s="11">
        <v>863000</v>
      </c>
      <c r="AO79" s="7">
        <v>21919000</v>
      </c>
      <c r="AP79" s="7">
        <v>10008000</v>
      </c>
      <c r="AQ79" s="7">
        <v>3897000</v>
      </c>
      <c r="AR79" s="7">
        <v>2108000</v>
      </c>
      <c r="AS79" s="7">
        <v>14000</v>
      </c>
      <c r="AT79" s="7">
        <v>19937000</v>
      </c>
      <c r="AU79" s="7">
        <v>44891000</v>
      </c>
      <c r="AV79" s="7">
        <v>26682000</v>
      </c>
      <c r="AW79" s="7">
        <v>25305000</v>
      </c>
      <c r="AX79" s="7">
        <v>57987000</v>
      </c>
      <c r="AY79" s="11">
        <v>9981000</v>
      </c>
      <c r="AZ79" s="11">
        <v>10000</v>
      </c>
      <c r="BA79" s="11"/>
      <c r="BB79" s="11"/>
      <c r="BC79" s="11"/>
      <c r="BD79" s="7">
        <v>172000</v>
      </c>
      <c r="BE79" s="7">
        <v>21000</v>
      </c>
      <c r="BF79" s="7">
        <v>36000</v>
      </c>
      <c r="BG79" s="7">
        <v>2690000</v>
      </c>
      <c r="BH79" s="7">
        <v>11086000</v>
      </c>
      <c r="BI79" s="11">
        <v>21000</v>
      </c>
      <c r="BJ79" s="11">
        <v>10000</v>
      </c>
      <c r="BK79" s="11">
        <v>12000</v>
      </c>
      <c r="BL79" s="11"/>
      <c r="BM79" s="11"/>
      <c r="BN79" s="11">
        <v>59687000</v>
      </c>
      <c r="BO79" s="11">
        <v>54941000</v>
      </c>
      <c r="BP79" s="11">
        <v>30628000</v>
      </c>
      <c r="BQ79" s="11">
        <v>30103000</v>
      </c>
      <c r="BR79" s="11">
        <v>69087000</v>
      </c>
      <c r="BS79" s="11">
        <v>148544000</v>
      </c>
      <c r="BT79" s="11">
        <v>98586000</v>
      </c>
      <c r="BU79" s="11">
        <v>68725000</v>
      </c>
      <c r="BV79" s="11">
        <v>67967000</v>
      </c>
      <c r="BW79" s="11">
        <v>69950000</v>
      </c>
      <c r="BX79" s="7">
        <v>25000</v>
      </c>
      <c r="BY79" s="7">
        <v>25000</v>
      </c>
      <c r="BZ79" s="7">
        <v>25000</v>
      </c>
      <c r="CA79" s="7">
        <v>25000</v>
      </c>
      <c r="CB79" s="7">
        <v>25000</v>
      </c>
      <c r="CC79" s="11">
        <v>34671000</v>
      </c>
      <c r="CD79" s="11">
        <v>34671000</v>
      </c>
      <c r="CE79" s="11">
        <v>21231000</v>
      </c>
      <c r="CF79" s="11">
        <v>21231000</v>
      </c>
      <c r="CG79" s="11">
        <v>21231000</v>
      </c>
      <c r="CH79" s="7">
        <v>-116310000</v>
      </c>
      <c r="CI79" s="7">
        <v>-117503000</v>
      </c>
      <c r="CJ79" s="7">
        <v>-130802000</v>
      </c>
      <c r="CK79" s="7">
        <v>-130879000</v>
      </c>
      <c r="CL79" s="7">
        <v>-129519000</v>
      </c>
      <c r="CM79" s="11">
        <v>-45414000</v>
      </c>
      <c r="CN79" s="11">
        <v>-46607000</v>
      </c>
      <c r="CO79" s="11">
        <v>-73346000</v>
      </c>
      <c r="CP79" s="11">
        <v>-73423000</v>
      </c>
      <c r="CQ79" s="11">
        <v>-72063000</v>
      </c>
      <c r="CR79" s="11"/>
      <c r="CS79" s="11">
        <v>29693000</v>
      </c>
      <c r="CT79" s="11">
        <v>29693000</v>
      </c>
      <c r="CU79" s="11">
        <v>27733000</v>
      </c>
      <c r="CV79" s="11">
        <v>24975000</v>
      </c>
      <c r="CW79" s="11"/>
      <c r="CX79" s="11"/>
      <c r="CY79" s="11"/>
      <c r="CZ79" s="11"/>
      <c r="DA79" s="11"/>
      <c r="DB79" s="11"/>
      <c r="DC79" s="11">
        <v>29693000</v>
      </c>
      <c r="DD79" s="11">
        <v>29693000</v>
      </c>
      <c r="DE79" s="11">
        <v>27733000</v>
      </c>
      <c r="DF79" s="11">
        <v>24975000</v>
      </c>
      <c r="DG79" s="7">
        <v>76452000</v>
      </c>
      <c r="DH79" s="7">
        <v>51409000</v>
      </c>
      <c r="DI79" s="7">
        <v>55850000</v>
      </c>
      <c r="DJ79" s="7">
        <v>56238000</v>
      </c>
      <c r="DK79" s="7">
        <v>56238000</v>
      </c>
      <c r="DL79" s="7">
        <v>117506000</v>
      </c>
      <c r="DM79" s="7">
        <v>64091000</v>
      </c>
      <c r="DN79" s="7">
        <v>56528000</v>
      </c>
      <c r="DO79" s="7">
        <v>57419000</v>
      </c>
      <c r="DP79" s="7">
        <v>60800000</v>
      </c>
      <c r="DQ79" s="11"/>
      <c r="DR79" s="11"/>
      <c r="DS79" s="11"/>
      <c r="DT79" s="11"/>
      <c r="DU79" s="11"/>
      <c r="DV79" s="11"/>
      <c r="DW79" s="11"/>
      <c r="DX79" s="11"/>
      <c r="DY79" s="11"/>
      <c r="DZ79" s="11"/>
      <c r="EA79" s="11">
        <v>193958000</v>
      </c>
      <c r="EB79" s="11">
        <v>115500000</v>
      </c>
      <c r="EC79" s="11">
        <v>112378000</v>
      </c>
      <c r="ED79" s="11">
        <v>113657000</v>
      </c>
      <c r="EE79" s="11">
        <v>117038000</v>
      </c>
      <c r="EF79" s="7">
        <v>66749000</v>
      </c>
      <c r="EG79" s="7">
        <v>302535000</v>
      </c>
      <c r="EH79" s="7">
        <v>53204000</v>
      </c>
      <c r="EI79" s="7">
        <v>5126000</v>
      </c>
      <c r="EJ79" s="7">
        <v>3131000</v>
      </c>
      <c r="EK79" s="7">
        <v>78808000</v>
      </c>
      <c r="EL79" s="7">
        <v>290189000</v>
      </c>
      <c r="EM79" s="7">
        <v>50749000</v>
      </c>
      <c r="EN79" s="7">
        <v>4938000</v>
      </c>
      <c r="EO79" s="7">
        <v>2492000</v>
      </c>
      <c r="EP79" s="7"/>
      <c r="EQ79" s="7"/>
      <c r="ER79" s="7"/>
      <c r="ES79" s="7"/>
      <c r="ET79" s="7">
        <v>2000</v>
      </c>
      <c r="EU79" s="7">
        <v>3911000</v>
      </c>
      <c r="EV79" s="7">
        <v>4625000</v>
      </c>
      <c r="EW79" s="7">
        <v>3410000</v>
      </c>
      <c r="EX79" s="7">
        <v>2369000</v>
      </c>
      <c r="EY79" s="7">
        <v>1874000</v>
      </c>
      <c r="EZ79" s="11"/>
      <c r="FA79" s="11"/>
      <c r="FB79" s="11"/>
      <c r="FC79" s="11"/>
      <c r="FD79" s="11"/>
      <c r="FE79" s="11">
        <v>121000</v>
      </c>
      <c r="FF79" s="11">
        <v>87000</v>
      </c>
      <c r="FG79" s="11"/>
      <c r="FH79" s="11"/>
      <c r="FI79" s="11"/>
      <c r="FJ79" s="11">
        <v>9432000</v>
      </c>
      <c r="FK79" s="11">
        <v>7602000</v>
      </c>
      <c r="FL79" s="11">
        <v>4702000</v>
      </c>
      <c r="FM79" s="11">
        <v>388000</v>
      </c>
      <c r="FN79" s="11"/>
      <c r="FO79" s="7">
        <v>1178000</v>
      </c>
      <c r="FP79" s="7">
        <v>37000</v>
      </c>
      <c r="FQ79" s="7">
        <v>10000</v>
      </c>
      <c r="FR79" s="7">
        <v>6973000</v>
      </c>
      <c r="FS79" s="7">
        <v>44148000</v>
      </c>
      <c r="FT79" s="7">
        <v>1248000</v>
      </c>
      <c r="FU79" s="7">
        <v>1426000</v>
      </c>
      <c r="FV79" s="7">
        <v>7651000</v>
      </c>
      <c r="FW79" s="7">
        <v>4483000</v>
      </c>
      <c r="FX79" s="7">
        <v>40749000</v>
      </c>
      <c r="FY79" s="11"/>
      <c r="FZ79" s="11"/>
      <c r="GA79" s="11"/>
      <c r="GB79" s="11"/>
      <c r="GC79" s="11">
        <v>-802000</v>
      </c>
      <c r="GD79" s="7">
        <v>-26368000</v>
      </c>
      <c r="GE79" s="7">
        <v>-1193000</v>
      </c>
      <c r="GF79" s="7">
        <v>-13299000</v>
      </c>
      <c r="GG79" s="7">
        <v>-79000</v>
      </c>
      <c r="GH79" s="7">
        <v>1360000</v>
      </c>
    </row>
    <row r="80" spans="1:190" x14ac:dyDescent="0.25">
      <c r="A80" s="4">
        <v>79</v>
      </c>
      <c r="B80" s="5" t="s">
        <v>394</v>
      </c>
      <c r="C80" s="9" t="s">
        <v>395</v>
      </c>
      <c r="D80" s="7">
        <v>32</v>
      </c>
      <c r="E80" s="6" t="s">
        <v>396</v>
      </c>
      <c r="F80" s="11">
        <v>151454</v>
      </c>
      <c r="G80" s="11"/>
      <c r="H80" s="11">
        <v>978362</v>
      </c>
      <c r="I80" s="11">
        <v>2616109</v>
      </c>
      <c r="J80" s="11">
        <v>118150</v>
      </c>
      <c r="K80" s="11">
        <v>13361371</v>
      </c>
      <c r="L80" s="11">
        <v>159619</v>
      </c>
      <c r="M80" s="11">
        <v>1281836</v>
      </c>
      <c r="N80" s="11"/>
      <c r="O80" s="11"/>
      <c r="P80" s="7">
        <v>50332000</v>
      </c>
      <c r="Q80" s="7">
        <v>21264000</v>
      </c>
      <c r="R80" s="7">
        <v>8123000</v>
      </c>
      <c r="S80" s="7"/>
      <c r="T80" s="7"/>
      <c r="U80" s="11"/>
      <c r="V80" s="11"/>
      <c r="W80" s="11"/>
      <c r="X80" s="11"/>
      <c r="Y80" s="11"/>
      <c r="Z80" s="11"/>
      <c r="AA80" s="11"/>
      <c r="AB80" s="11">
        <v>5225000</v>
      </c>
      <c r="AC80" s="11"/>
      <c r="AD80" s="11"/>
      <c r="AE80" s="11"/>
      <c r="AF80" s="11"/>
      <c r="AG80" s="11"/>
      <c r="AH80" s="11"/>
      <c r="AI80" s="11"/>
      <c r="AJ80" s="11">
        <v>61409000</v>
      </c>
      <c r="AK80" s="11">
        <v>40589000</v>
      </c>
      <c r="AL80" s="11">
        <v>13348000</v>
      </c>
      <c r="AM80" s="11"/>
      <c r="AN80" s="11"/>
      <c r="AO80" s="7">
        <v>56451000</v>
      </c>
      <c r="AP80" s="7">
        <v>39145000</v>
      </c>
      <c r="AQ80" s="7">
        <v>117000</v>
      </c>
      <c r="AR80" s="7"/>
      <c r="AS80" s="7"/>
      <c r="AT80" s="7">
        <v>177539000</v>
      </c>
      <c r="AU80" s="7">
        <v>182346000</v>
      </c>
      <c r="AV80" s="7">
        <v>188389000</v>
      </c>
      <c r="AW80" s="7"/>
      <c r="AX80" s="7"/>
      <c r="AY80" s="11">
        <v>70000</v>
      </c>
      <c r="AZ80" s="11">
        <v>70000</v>
      </c>
      <c r="BA80" s="11"/>
      <c r="BB80" s="11"/>
      <c r="BC80" s="11"/>
      <c r="BD80" s="7"/>
      <c r="BE80" s="7">
        <v>5571000</v>
      </c>
      <c r="BF80" s="7">
        <v>2784000</v>
      </c>
      <c r="BG80" s="7"/>
      <c r="BH80" s="7"/>
      <c r="BI80" s="11">
        <v>1202000</v>
      </c>
      <c r="BJ80" s="11">
        <v>151000</v>
      </c>
      <c r="BK80" s="11"/>
      <c r="BL80" s="11"/>
      <c r="BM80" s="11"/>
      <c r="BN80" s="11">
        <v>236574000</v>
      </c>
      <c r="BO80" s="11">
        <v>228594000</v>
      </c>
      <c r="BP80" s="11">
        <v>191290000</v>
      </c>
      <c r="BQ80" s="11"/>
      <c r="BR80" s="11"/>
      <c r="BS80" s="11">
        <v>297983000</v>
      </c>
      <c r="BT80" s="11">
        <v>269183000</v>
      </c>
      <c r="BU80" s="11">
        <v>204639000</v>
      </c>
      <c r="BV80" s="11"/>
      <c r="BW80" s="11"/>
      <c r="BX80" s="7">
        <v>2000000</v>
      </c>
      <c r="BY80" s="7">
        <v>2000000</v>
      </c>
      <c r="BZ80" s="7"/>
      <c r="CA80" s="7"/>
      <c r="CB80" s="7"/>
      <c r="CC80" s="11">
        <v>8421000</v>
      </c>
      <c r="CD80" s="11">
        <v>8421000</v>
      </c>
      <c r="CE80" s="11"/>
      <c r="CF80" s="11"/>
      <c r="CG80" s="11"/>
      <c r="CH80" s="7">
        <v>-2589000</v>
      </c>
      <c r="CI80" s="7">
        <v>-24177000</v>
      </c>
      <c r="CJ80" s="7"/>
      <c r="CK80" s="7"/>
      <c r="CL80" s="7"/>
      <c r="CM80" s="11">
        <v>7832000</v>
      </c>
      <c r="CN80" s="11">
        <v>-13756000</v>
      </c>
      <c r="CO80" s="11">
        <v>-49175000</v>
      </c>
      <c r="CP80" s="11"/>
      <c r="CQ80" s="11"/>
      <c r="CR80" s="11">
        <v>119815000</v>
      </c>
      <c r="CS80" s="11">
        <v>102414000</v>
      </c>
      <c r="CT80" s="11">
        <v>71728000</v>
      </c>
      <c r="CU80" s="11"/>
      <c r="CV80" s="11"/>
      <c r="CW80" s="11">
        <v>6892000</v>
      </c>
      <c r="CX80" s="11">
        <v>1028000</v>
      </c>
      <c r="CY80" s="11">
        <v>2055000</v>
      </c>
      <c r="CZ80" s="11"/>
      <c r="DA80" s="11"/>
      <c r="DB80" s="11">
        <v>138793000</v>
      </c>
      <c r="DC80" s="11">
        <v>105946000</v>
      </c>
      <c r="DD80" s="11">
        <v>73783000</v>
      </c>
      <c r="DE80" s="11"/>
      <c r="DF80" s="11"/>
      <c r="DG80" s="7"/>
      <c r="DH80" s="7"/>
      <c r="DI80" s="7"/>
      <c r="DJ80" s="7"/>
      <c r="DK80" s="7"/>
      <c r="DL80" s="7">
        <v>151357000</v>
      </c>
      <c r="DM80" s="7">
        <v>176993000</v>
      </c>
      <c r="DN80" s="7">
        <v>180031000</v>
      </c>
      <c r="DO80" s="7"/>
      <c r="DP80" s="7"/>
      <c r="DQ80" s="11"/>
      <c r="DR80" s="11"/>
      <c r="DS80" s="11"/>
      <c r="DT80" s="11"/>
      <c r="DU80" s="11"/>
      <c r="DV80" s="11"/>
      <c r="DW80" s="11"/>
      <c r="DX80" s="11"/>
      <c r="DY80" s="11"/>
      <c r="DZ80" s="11"/>
      <c r="EA80" s="11">
        <v>151357000</v>
      </c>
      <c r="EB80" s="11">
        <v>176993000</v>
      </c>
      <c r="EC80" s="11">
        <v>180031000</v>
      </c>
      <c r="ED80" s="11"/>
      <c r="EE80" s="11"/>
      <c r="EF80" s="7">
        <v>53701000</v>
      </c>
      <c r="EG80" s="7">
        <v>4554000</v>
      </c>
      <c r="EH80" s="7"/>
      <c r="EI80" s="7"/>
      <c r="EJ80" s="7"/>
      <c r="EK80" s="7">
        <v>57483000</v>
      </c>
      <c r="EL80" s="7">
        <v>14610000</v>
      </c>
      <c r="EM80" s="7">
        <v>4351000</v>
      </c>
      <c r="EN80" s="7"/>
      <c r="EO80" s="7"/>
      <c r="EP80" s="7"/>
      <c r="EQ80" s="7"/>
      <c r="ER80" s="7"/>
      <c r="ES80" s="7"/>
      <c r="ET80" s="7"/>
      <c r="EU80" s="7">
        <v>5913000</v>
      </c>
      <c r="EV80" s="7">
        <v>16653000</v>
      </c>
      <c r="EW80" s="7"/>
      <c r="EX80" s="7"/>
      <c r="EY80" s="7"/>
      <c r="EZ80" s="11"/>
      <c r="FA80" s="11"/>
      <c r="FB80" s="11"/>
      <c r="FC80" s="11"/>
      <c r="FD80" s="11"/>
      <c r="FE80" s="11"/>
      <c r="FF80" s="11"/>
      <c r="FG80" s="11"/>
      <c r="FH80" s="11"/>
      <c r="FI80" s="11"/>
      <c r="FJ80" s="11">
        <v>618000</v>
      </c>
      <c r="FK80" s="11"/>
      <c r="FL80" s="11"/>
      <c r="FM80" s="11"/>
      <c r="FN80" s="11"/>
      <c r="FO80" s="7">
        <v>67955000</v>
      </c>
      <c r="FP80" s="7">
        <v>24768000</v>
      </c>
      <c r="FQ80" s="7">
        <v>67600000</v>
      </c>
      <c r="FR80" s="7"/>
      <c r="FS80" s="7"/>
      <c r="FT80" s="7">
        <v>60231000</v>
      </c>
      <c r="FU80" s="7">
        <v>29095000</v>
      </c>
      <c r="FV80" s="7">
        <v>92202000</v>
      </c>
      <c r="FW80" s="7"/>
      <c r="FX80" s="7"/>
      <c r="FY80" s="11"/>
      <c r="FZ80" s="11">
        <v>5351000</v>
      </c>
      <c r="GA80" s="11">
        <v>6466000</v>
      </c>
      <c r="GB80" s="11"/>
      <c r="GC80" s="11"/>
      <c r="GD80" s="7">
        <v>-2589000</v>
      </c>
      <c r="GE80" s="7">
        <v>-21588000</v>
      </c>
      <c r="GF80" s="7">
        <v>-35419000</v>
      </c>
      <c r="GG80" s="7"/>
      <c r="GH80" s="7"/>
    </row>
    <row r="81" spans="1:190" x14ac:dyDescent="0.25">
      <c r="A81" s="4">
        <v>80</v>
      </c>
      <c r="B81" s="5" t="s">
        <v>397</v>
      </c>
      <c r="C81" s="9" t="s">
        <v>398</v>
      </c>
      <c r="D81" s="7">
        <v>15</v>
      </c>
      <c r="E81" s="6" t="s">
        <v>399</v>
      </c>
      <c r="F81" s="11">
        <v>1177791</v>
      </c>
      <c r="G81" s="11">
        <v>1320471</v>
      </c>
      <c r="H81" s="11">
        <v>695479</v>
      </c>
      <c r="I81" s="11">
        <v>1935413</v>
      </c>
      <c r="J81" s="11"/>
      <c r="K81" s="11">
        <v>7923324</v>
      </c>
      <c r="L81" s="11">
        <v>6616405</v>
      </c>
      <c r="M81" s="11">
        <v>9726176</v>
      </c>
      <c r="N81" s="11">
        <v>12346663</v>
      </c>
      <c r="O81" s="11">
        <v>688942</v>
      </c>
      <c r="P81" s="7">
        <v>53882000</v>
      </c>
      <c r="Q81" s="7">
        <v>175642000</v>
      </c>
      <c r="R81" s="7">
        <v>195577000</v>
      </c>
      <c r="S81" s="7">
        <v>333466000</v>
      </c>
      <c r="T81" s="7">
        <v>303046000</v>
      </c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>
        <v>54938000</v>
      </c>
      <c r="AK81" s="11">
        <v>176592000</v>
      </c>
      <c r="AL81" s="11">
        <v>196477000</v>
      </c>
      <c r="AM81" s="11">
        <v>339816000</v>
      </c>
      <c r="AN81" s="11">
        <v>319346000</v>
      </c>
      <c r="AO81" s="7">
        <v>26524000</v>
      </c>
      <c r="AP81" s="7">
        <v>43961000</v>
      </c>
      <c r="AQ81" s="7">
        <v>95507000</v>
      </c>
      <c r="AR81" s="7">
        <v>134907000</v>
      </c>
      <c r="AS81" s="7">
        <v>23307000</v>
      </c>
      <c r="AT81" s="7">
        <v>20654000</v>
      </c>
      <c r="AU81" s="7">
        <v>35584000</v>
      </c>
      <c r="AV81" s="7">
        <v>15237000</v>
      </c>
      <c r="AW81" s="7">
        <v>69272000</v>
      </c>
      <c r="AX81" s="7">
        <v>111728000</v>
      </c>
      <c r="AY81" s="11">
        <v>1110000</v>
      </c>
      <c r="AZ81" s="11">
        <v>3523000</v>
      </c>
      <c r="BA81" s="11">
        <v>3007000</v>
      </c>
      <c r="BB81" s="11">
        <v>2643000</v>
      </c>
      <c r="BC81" s="11">
        <v>2175000</v>
      </c>
      <c r="BD81" s="7">
        <v>105000</v>
      </c>
      <c r="BE81" s="7">
        <v>127000</v>
      </c>
      <c r="BF81" s="7">
        <v>292000</v>
      </c>
      <c r="BG81" s="7">
        <v>1524000</v>
      </c>
      <c r="BH81" s="7">
        <v>1000</v>
      </c>
      <c r="BI81" s="11"/>
      <c r="BJ81" s="11"/>
      <c r="BK81" s="11"/>
      <c r="BL81" s="11">
        <v>238000</v>
      </c>
      <c r="BM81" s="11">
        <v>50000</v>
      </c>
      <c r="BN81" s="11">
        <v>55326000</v>
      </c>
      <c r="BO81" s="11">
        <v>94286000</v>
      </c>
      <c r="BP81" s="11">
        <v>124372000</v>
      </c>
      <c r="BQ81" s="11">
        <v>217894000</v>
      </c>
      <c r="BR81" s="11">
        <v>140627000</v>
      </c>
      <c r="BS81" s="11">
        <v>110264000</v>
      </c>
      <c r="BT81" s="11">
        <v>270878000</v>
      </c>
      <c r="BU81" s="11">
        <v>320849000</v>
      </c>
      <c r="BV81" s="11">
        <v>557710000</v>
      </c>
      <c r="BW81" s="11">
        <v>459973000</v>
      </c>
      <c r="BX81" s="7">
        <v>10000</v>
      </c>
      <c r="BY81" s="7">
        <v>10000</v>
      </c>
      <c r="BZ81" s="7">
        <v>10000</v>
      </c>
      <c r="CA81" s="7">
        <v>10000</v>
      </c>
      <c r="CB81" s="7">
        <v>10000</v>
      </c>
      <c r="CC81" s="11"/>
      <c r="CD81" s="11"/>
      <c r="CE81" s="11"/>
      <c r="CF81" s="11"/>
      <c r="CG81" s="11"/>
      <c r="CH81" s="7">
        <v>8353000</v>
      </c>
      <c r="CI81" s="7">
        <v>10913000</v>
      </c>
      <c r="CJ81" s="7">
        <v>21913000</v>
      </c>
      <c r="CK81" s="7">
        <v>24381000</v>
      </c>
      <c r="CL81" s="7">
        <v>-145222000</v>
      </c>
      <c r="CM81" s="11">
        <v>8363000</v>
      </c>
      <c r="CN81" s="11">
        <v>10923000</v>
      </c>
      <c r="CO81" s="11">
        <v>21923000</v>
      </c>
      <c r="CP81" s="11">
        <v>24391000</v>
      </c>
      <c r="CQ81" s="11">
        <v>-145212000</v>
      </c>
      <c r="CR81" s="11"/>
      <c r="CS81" s="11"/>
      <c r="CT81" s="11">
        <v>138380000</v>
      </c>
      <c r="CU81" s="11">
        <v>262756000</v>
      </c>
      <c r="CV81" s="11">
        <v>268006000</v>
      </c>
      <c r="CW81" s="11"/>
      <c r="CX81" s="11"/>
      <c r="CY81" s="11"/>
      <c r="CZ81" s="11"/>
      <c r="DA81" s="11"/>
      <c r="DB81" s="11">
        <v>70000</v>
      </c>
      <c r="DC81" s="11"/>
      <c r="DD81" s="11">
        <v>138380000</v>
      </c>
      <c r="DE81" s="11">
        <v>262756000</v>
      </c>
      <c r="DF81" s="11">
        <v>268006000</v>
      </c>
      <c r="DG81" s="7">
        <v>12707000</v>
      </c>
      <c r="DH81" s="7">
        <v>140343000</v>
      </c>
      <c r="DI81" s="7">
        <v>1158000</v>
      </c>
      <c r="DJ81" s="7">
        <v>7702000</v>
      </c>
      <c r="DK81" s="7">
        <v>12747000</v>
      </c>
      <c r="DL81" s="7">
        <v>74124000</v>
      </c>
      <c r="DM81" s="7">
        <v>97869000</v>
      </c>
      <c r="DN81" s="7">
        <v>139388000</v>
      </c>
      <c r="DO81" s="7">
        <v>209782000</v>
      </c>
      <c r="DP81" s="7">
        <v>302264000</v>
      </c>
      <c r="DQ81" s="11">
        <v>15000000</v>
      </c>
      <c r="DR81" s="11">
        <v>21743000</v>
      </c>
      <c r="DS81" s="11">
        <v>20000000</v>
      </c>
      <c r="DT81" s="11">
        <v>20000000</v>
      </c>
      <c r="DU81" s="11">
        <v>20000000</v>
      </c>
      <c r="DV81" s="11"/>
      <c r="DW81" s="11"/>
      <c r="DX81" s="11"/>
      <c r="DY81" s="11">
        <v>33080000</v>
      </c>
      <c r="DZ81" s="11">
        <v>2168000</v>
      </c>
      <c r="EA81" s="11">
        <v>101831000</v>
      </c>
      <c r="EB81" s="11">
        <v>259955000</v>
      </c>
      <c r="EC81" s="11">
        <v>160546000</v>
      </c>
      <c r="ED81" s="11">
        <v>270563000</v>
      </c>
      <c r="EE81" s="11">
        <v>337179000</v>
      </c>
      <c r="EF81" s="7">
        <v>98235000</v>
      </c>
      <c r="EG81" s="7">
        <v>118347000</v>
      </c>
      <c r="EH81" s="7">
        <v>225414000</v>
      </c>
      <c r="EI81" s="7">
        <v>204459000</v>
      </c>
      <c r="EJ81" s="7">
        <v>30181000</v>
      </c>
      <c r="EK81" s="7">
        <v>83284000</v>
      </c>
      <c r="EL81" s="7">
        <v>91221000</v>
      </c>
      <c r="EM81" s="7">
        <v>183550000</v>
      </c>
      <c r="EN81" s="7">
        <v>173359000</v>
      </c>
      <c r="EO81" s="7">
        <v>51401000</v>
      </c>
      <c r="EP81" s="7">
        <v>4272000</v>
      </c>
      <c r="EQ81" s="7"/>
      <c r="ER81" s="7"/>
      <c r="ES81" s="7"/>
      <c r="ET81" s="7"/>
      <c r="EU81" s="7">
        <v>6671000</v>
      </c>
      <c r="EV81" s="7">
        <v>15874000</v>
      </c>
      <c r="EW81" s="7">
        <v>13592000</v>
      </c>
      <c r="EX81" s="7">
        <v>9114000</v>
      </c>
      <c r="EY81" s="7">
        <v>13806000</v>
      </c>
      <c r="EZ81" s="11"/>
      <c r="FA81" s="11"/>
      <c r="FB81" s="11"/>
      <c r="FC81" s="11"/>
      <c r="FD81" s="11"/>
      <c r="FE81" s="11">
        <v>36000</v>
      </c>
      <c r="FF81" s="11">
        <v>221000</v>
      </c>
      <c r="FG81" s="11">
        <v>284000</v>
      </c>
      <c r="FH81" s="11">
        <v>240000</v>
      </c>
      <c r="FI81" s="11">
        <v>85000</v>
      </c>
      <c r="FJ81" s="11">
        <v>135000</v>
      </c>
      <c r="FK81" s="11">
        <v>6386000</v>
      </c>
      <c r="FL81" s="11">
        <v>14787000</v>
      </c>
      <c r="FM81" s="11">
        <v>18240000</v>
      </c>
      <c r="FN81" s="11">
        <v>9768000</v>
      </c>
      <c r="FO81" s="7">
        <v>1591000</v>
      </c>
      <c r="FP81" s="7">
        <v>683000</v>
      </c>
      <c r="FQ81" s="7">
        <v>1749000</v>
      </c>
      <c r="FR81" s="7">
        <v>5537000</v>
      </c>
      <c r="FS81" s="7">
        <v>53915000</v>
      </c>
      <c r="FT81" s="7">
        <v>1090000</v>
      </c>
      <c r="FU81" s="7">
        <v>2491000</v>
      </c>
      <c r="FV81" s="7">
        <v>1737000</v>
      </c>
      <c r="FW81" s="7">
        <v>7056000</v>
      </c>
      <c r="FX81" s="7">
        <v>178810000</v>
      </c>
      <c r="FY81" s="11"/>
      <c r="FZ81" s="11">
        <v>-732000</v>
      </c>
      <c r="GA81" s="11">
        <v>-2780000</v>
      </c>
      <c r="GB81" s="11"/>
      <c r="GC81" s="11"/>
      <c r="GD81" s="7">
        <v>4410000</v>
      </c>
      <c r="GE81" s="7">
        <v>2547000</v>
      </c>
      <c r="GF81" s="7">
        <v>11001000</v>
      </c>
      <c r="GG81" s="7">
        <v>2467000</v>
      </c>
      <c r="GH81" s="7">
        <v>-169604000</v>
      </c>
    </row>
    <row r="82" spans="1:190" ht="26.25" x14ac:dyDescent="0.25">
      <c r="A82" s="4">
        <v>81</v>
      </c>
      <c r="B82" s="5" t="s">
        <v>400</v>
      </c>
      <c r="C82" s="9" t="s">
        <v>401</v>
      </c>
      <c r="D82" s="7">
        <v>10</v>
      </c>
      <c r="E82" s="6" t="s">
        <v>303</v>
      </c>
      <c r="F82" s="11">
        <v>2796571</v>
      </c>
      <c r="G82" s="11">
        <v>1808455</v>
      </c>
      <c r="H82" s="11">
        <v>324</v>
      </c>
      <c r="I82" s="11"/>
      <c r="J82" s="11"/>
      <c r="K82" s="11">
        <v>7414111</v>
      </c>
      <c r="L82" s="11">
        <v>5952640</v>
      </c>
      <c r="M82" s="11">
        <v>1521342</v>
      </c>
      <c r="N82" s="11"/>
      <c r="O82" s="11"/>
      <c r="P82" s="7">
        <v>48074000</v>
      </c>
      <c r="Q82" s="7">
        <v>37243000</v>
      </c>
      <c r="R82" s="7"/>
      <c r="S82" s="7"/>
      <c r="T82" s="7">
        <v>10000</v>
      </c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>
        <v>48074000</v>
      </c>
      <c r="AK82" s="11">
        <v>37243000</v>
      </c>
      <c r="AL82" s="11"/>
      <c r="AM82" s="11"/>
      <c r="AN82" s="11">
        <v>10000</v>
      </c>
      <c r="AO82" s="7"/>
      <c r="AP82" s="7"/>
      <c r="AQ82" s="7"/>
      <c r="AR82" s="7"/>
      <c r="AS82" s="7"/>
      <c r="AT82" s="7">
        <v>50868000</v>
      </c>
      <c r="AU82" s="7">
        <v>18456000</v>
      </c>
      <c r="AV82" s="7"/>
      <c r="AW82" s="7"/>
      <c r="AX82" s="7"/>
      <c r="AY82" s="11"/>
      <c r="AZ82" s="11"/>
      <c r="BA82" s="11"/>
      <c r="BB82" s="11"/>
      <c r="BC82" s="11"/>
      <c r="BD82" s="7">
        <v>4199000</v>
      </c>
      <c r="BE82" s="7">
        <v>5485000</v>
      </c>
      <c r="BF82" s="7">
        <v>10000</v>
      </c>
      <c r="BG82" s="7"/>
      <c r="BH82" s="7"/>
      <c r="BI82" s="11"/>
      <c r="BJ82" s="11"/>
      <c r="BK82" s="11"/>
      <c r="BL82" s="11"/>
      <c r="BM82" s="11"/>
      <c r="BN82" s="11">
        <v>55067000</v>
      </c>
      <c r="BO82" s="11">
        <v>23941000</v>
      </c>
      <c r="BP82" s="11">
        <v>10000</v>
      </c>
      <c r="BQ82" s="11"/>
      <c r="BR82" s="11"/>
      <c r="BS82" s="11">
        <v>103141000</v>
      </c>
      <c r="BT82" s="11">
        <v>61184000</v>
      </c>
      <c r="BU82" s="11">
        <v>10000</v>
      </c>
      <c r="BV82" s="11"/>
      <c r="BW82" s="11">
        <v>10000</v>
      </c>
      <c r="BX82" s="7"/>
      <c r="BY82" s="7"/>
      <c r="BZ82" s="7"/>
      <c r="CA82" s="7"/>
      <c r="CB82" s="7"/>
      <c r="CC82" s="11"/>
      <c r="CD82" s="11"/>
      <c r="CE82" s="11"/>
      <c r="CF82" s="11"/>
      <c r="CG82" s="11"/>
      <c r="CH82" s="7"/>
      <c r="CI82" s="7"/>
      <c r="CJ82" s="7"/>
      <c r="CK82" s="7"/>
      <c r="CL82" s="7"/>
      <c r="CM82" s="11">
        <v>3800000</v>
      </c>
      <c r="CN82" s="11">
        <v>1136000</v>
      </c>
      <c r="CO82" s="11">
        <v>10000</v>
      </c>
      <c r="CP82" s="11"/>
      <c r="CQ82" s="11">
        <v>10000</v>
      </c>
      <c r="CR82" s="11"/>
      <c r="CS82" s="11"/>
      <c r="CT82" s="11"/>
      <c r="CU82" s="11"/>
      <c r="CV82" s="11"/>
      <c r="CW82" s="11">
        <v>41701000</v>
      </c>
      <c r="CX82" s="11">
        <v>50620000</v>
      </c>
      <c r="CY82" s="11"/>
      <c r="CZ82" s="11"/>
      <c r="DA82" s="11"/>
      <c r="DB82" s="11">
        <v>41701000</v>
      </c>
      <c r="DC82" s="11">
        <v>50620000</v>
      </c>
      <c r="DD82" s="11"/>
      <c r="DE82" s="11"/>
      <c r="DF82" s="11"/>
      <c r="DG82" s="7"/>
      <c r="DH82" s="7"/>
      <c r="DI82" s="7"/>
      <c r="DJ82" s="7"/>
      <c r="DK82" s="7"/>
      <c r="DL82" s="7">
        <v>57009000</v>
      </c>
      <c r="DM82" s="7">
        <v>8536000</v>
      </c>
      <c r="DN82" s="7"/>
      <c r="DO82" s="7"/>
      <c r="DP82" s="7"/>
      <c r="DQ82" s="11"/>
      <c r="DR82" s="11"/>
      <c r="DS82" s="11"/>
      <c r="DT82" s="11"/>
      <c r="DU82" s="11"/>
      <c r="DV82" s="11">
        <v>631000</v>
      </c>
      <c r="DW82" s="11">
        <v>892000</v>
      </c>
      <c r="DX82" s="11"/>
      <c r="DY82" s="11"/>
      <c r="DZ82" s="11"/>
      <c r="EA82" s="11">
        <v>57640000</v>
      </c>
      <c r="EB82" s="11">
        <v>9428000</v>
      </c>
      <c r="EC82" s="11"/>
      <c r="ED82" s="11"/>
      <c r="EE82" s="11"/>
      <c r="EF82" s="7">
        <v>94629000</v>
      </c>
      <c r="EG82" s="7">
        <v>103260000</v>
      </c>
      <c r="EH82" s="7">
        <v>8100000</v>
      </c>
      <c r="EI82" s="7"/>
      <c r="EJ82" s="7"/>
      <c r="EK82" s="7">
        <v>60082000</v>
      </c>
      <c r="EL82" s="7">
        <v>64236000</v>
      </c>
      <c r="EM82" s="7">
        <v>8100000</v>
      </c>
      <c r="EN82" s="7"/>
      <c r="EO82" s="7"/>
      <c r="EP82" s="7"/>
      <c r="EQ82" s="7"/>
      <c r="ER82" s="7"/>
      <c r="ES82" s="7"/>
      <c r="ET82" s="7"/>
      <c r="EU82" s="7"/>
      <c r="EV82" s="7"/>
      <c r="EW82" s="7"/>
      <c r="EX82" s="7"/>
      <c r="EY82" s="7"/>
      <c r="EZ82" s="11"/>
      <c r="FA82" s="11"/>
      <c r="FB82" s="11"/>
      <c r="FC82" s="11"/>
      <c r="FD82" s="11"/>
      <c r="FE82" s="11"/>
      <c r="FF82" s="11"/>
      <c r="FG82" s="11"/>
      <c r="FH82" s="11"/>
      <c r="FI82" s="11"/>
      <c r="FJ82" s="11"/>
      <c r="FK82" s="11"/>
      <c r="FL82" s="11"/>
      <c r="FM82" s="11"/>
      <c r="FN82" s="11"/>
      <c r="FO82" s="7">
        <v>1200000</v>
      </c>
      <c r="FP82" s="7">
        <v>166000</v>
      </c>
      <c r="FQ82" s="7"/>
      <c r="FR82" s="7"/>
      <c r="FS82" s="7"/>
      <c r="FT82" s="7">
        <v>31010000</v>
      </c>
      <c r="FU82" s="7">
        <v>33560000</v>
      </c>
      <c r="FV82" s="7"/>
      <c r="FW82" s="7"/>
      <c r="FX82" s="7"/>
      <c r="FY82" s="11">
        <v>947000</v>
      </c>
      <c r="FZ82" s="11">
        <v>1126000</v>
      </c>
      <c r="GA82" s="11"/>
      <c r="GB82" s="11"/>
      <c r="GC82" s="11"/>
      <c r="GD82" s="7">
        <v>3790000</v>
      </c>
      <c r="GE82" s="7">
        <v>4504000</v>
      </c>
      <c r="GF82" s="7"/>
      <c r="GG82" s="7"/>
      <c r="GH82" s="7"/>
    </row>
    <row r="83" spans="1:190" x14ac:dyDescent="0.25">
      <c r="A83" s="4">
        <v>82</v>
      </c>
      <c r="B83" s="5" t="s">
        <v>402</v>
      </c>
      <c r="C83" s="9" t="s">
        <v>403</v>
      </c>
      <c r="D83" s="7">
        <v>14</v>
      </c>
      <c r="E83" s="6" t="s">
        <v>404</v>
      </c>
      <c r="F83" s="11">
        <v>277037</v>
      </c>
      <c r="G83" s="11">
        <v>488322</v>
      </c>
      <c r="H83" s="11">
        <v>714730</v>
      </c>
      <c r="I83" s="11"/>
      <c r="J83" s="11">
        <v>35872</v>
      </c>
      <c r="K83" s="11">
        <v>1282998</v>
      </c>
      <c r="L83" s="11">
        <v>2372327</v>
      </c>
      <c r="M83" s="11">
        <v>638597</v>
      </c>
      <c r="N83" s="11">
        <v>717711</v>
      </c>
      <c r="O83" s="11">
        <v>2357991</v>
      </c>
      <c r="P83" s="7">
        <v>7065000</v>
      </c>
      <c r="Q83" s="7">
        <v>13004000</v>
      </c>
      <c r="R83" s="7">
        <v>7318000</v>
      </c>
      <c r="S83" s="7">
        <v>1635000</v>
      </c>
      <c r="T83" s="7">
        <v>383000</v>
      </c>
      <c r="U83" s="11"/>
      <c r="V83" s="11"/>
      <c r="W83" s="11"/>
      <c r="X83" s="11"/>
      <c r="Y83" s="11"/>
      <c r="Z83" s="11">
        <v>1105000</v>
      </c>
      <c r="AA83" s="11">
        <v>1105000</v>
      </c>
      <c r="AB83" s="11">
        <v>1105000</v>
      </c>
      <c r="AC83" s="11"/>
      <c r="AD83" s="11"/>
      <c r="AE83" s="11"/>
      <c r="AF83" s="11"/>
      <c r="AG83" s="11"/>
      <c r="AH83" s="11"/>
      <c r="AI83" s="11"/>
      <c r="AJ83" s="11">
        <v>8356000</v>
      </c>
      <c r="AK83" s="11">
        <v>14109000</v>
      </c>
      <c r="AL83" s="11">
        <v>8423000</v>
      </c>
      <c r="AM83" s="11">
        <v>1635000</v>
      </c>
      <c r="AN83" s="11">
        <v>383000</v>
      </c>
      <c r="AO83" s="7">
        <v>39210000</v>
      </c>
      <c r="AP83" s="7">
        <v>65329000</v>
      </c>
      <c r="AQ83" s="7">
        <v>37482000</v>
      </c>
      <c r="AR83" s="7">
        <v>6258000</v>
      </c>
      <c r="AS83" s="7"/>
      <c r="AT83" s="7">
        <v>17501000</v>
      </c>
      <c r="AU83" s="7">
        <v>37350000</v>
      </c>
      <c r="AV83" s="7">
        <v>28533000</v>
      </c>
      <c r="AW83" s="7">
        <v>25450000</v>
      </c>
      <c r="AX83" s="7">
        <v>13055000</v>
      </c>
      <c r="AY83" s="11"/>
      <c r="AZ83" s="11"/>
      <c r="BA83" s="11"/>
      <c r="BB83" s="11"/>
      <c r="BC83" s="11"/>
      <c r="BD83" s="7">
        <v>1024000</v>
      </c>
      <c r="BE83" s="7">
        <v>146000</v>
      </c>
      <c r="BF83" s="7">
        <v>65000</v>
      </c>
      <c r="BG83" s="7">
        <v>16000</v>
      </c>
      <c r="BH83" s="7">
        <v>1000</v>
      </c>
      <c r="BI83" s="11">
        <v>2631000</v>
      </c>
      <c r="BJ83" s="11">
        <v>1905000</v>
      </c>
      <c r="BK83" s="11">
        <v>190000</v>
      </c>
      <c r="BL83" s="11">
        <v>149000</v>
      </c>
      <c r="BM83" s="11"/>
      <c r="BN83" s="11">
        <v>60367000</v>
      </c>
      <c r="BO83" s="11">
        <v>104730000</v>
      </c>
      <c r="BP83" s="11">
        <v>66270000</v>
      </c>
      <c r="BQ83" s="11">
        <v>31873000</v>
      </c>
      <c r="BR83" s="11">
        <v>13056000</v>
      </c>
      <c r="BS83" s="11">
        <v>68723000</v>
      </c>
      <c r="BT83" s="11">
        <v>118839000</v>
      </c>
      <c r="BU83" s="11">
        <v>74693000</v>
      </c>
      <c r="BV83" s="11">
        <v>33507000</v>
      </c>
      <c r="BW83" s="11">
        <v>13439000</v>
      </c>
      <c r="BX83" s="7">
        <v>10000</v>
      </c>
      <c r="BY83" s="7">
        <v>10000</v>
      </c>
      <c r="BZ83" s="7">
        <v>10000</v>
      </c>
      <c r="CA83" s="7">
        <v>10000</v>
      </c>
      <c r="CB83" s="7">
        <v>10000</v>
      </c>
      <c r="CC83" s="11"/>
      <c r="CD83" s="11"/>
      <c r="CE83" s="11"/>
      <c r="CF83" s="11"/>
      <c r="CG83" s="11"/>
      <c r="CH83" s="7">
        <v>1238000</v>
      </c>
      <c r="CI83" s="7">
        <v>280000</v>
      </c>
      <c r="CJ83" s="7">
        <v>1410000</v>
      </c>
      <c r="CK83" s="7">
        <v>1231000</v>
      </c>
      <c r="CL83" s="7">
        <v>934000</v>
      </c>
      <c r="CM83" s="11">
        <v>1248000</v>
      </c>
      <c r="CN83" s="11">
        <v>290000</v>
      </c>
      <c r="CO83" s="11">
        <v>1420000</v>
      </c>
      <c r="CP83" s="11">
        <v>1241000</v>
      </c>
      <c r="CQ83" s="11">
        <v>944000</v>
      </c>
      <c r="CR83" s="11"/>
      <c r="CS83" s="11"/>
      <c r="CT83" s="11"/>
      <c r="CU83" s="11"/>
      <c r="CV83" s="11">
        <v>311000</v>
      </c>
      <c r="CW83" s="11">
        <v>6972000</v>
      </c>
      <c r="CX83" s="11">
        <v>10434000</v>
      </c>
      <c r="CY83" s="11">
        <v>2881000</v>
      </c>
      <c r="CZ83" s="11">
        <v>1938000</v>
      </c>
      <c r="DA83" s="11"/>
      <c r="DB83" s="11">
        <v>7241000</v>
      </c>
      <c r="DC83" s="11">
        <v>10556000</v>
      </c>
      <c r="DD83" s="11">
        <v>3003000</v>
      </c>
      <c r="DE83" s="11">
        <v>1938000</v>
      </c>
      <c r="DF83" s="11">
        <v>311000</v>
      </c>
      <c r="DG83" s="7">
        <v>1784000</v>
      </c>
      <c r="DH83" s="7">
        <v>2312000</v>
      </c>
      <c r="DI83" s="7">
        <v>2312000</v>
      </c>
      <c r="DJ83" s="7">
        <v>1341000</v>
      </c>
      <c r="DK83" s="7">
        <v>1174000</v>
      </c>
      <c r="DL83" s="7">
        <v>58450000</v>
      </c>
      <c r="DM83" s="7">
        <v>105681000</v>
      </c>
      <c r="DN83" s="7">
        <v>67958000</v>
      </c>
      <c r="DO83" s="7">
        <v>28987000</v>
      </c>
      <c r="DP83" s="7">
        <v>11010000</v>
      </c>
      <c r="DQ83" s="11"/>
      <c r="DR83" s="11"/>
      <c r="DS83" s="11"/>
      <c r="DT83" s="11"/>
      <c r="DU83" s="11"/>
      <c r="DV83" s="11"/>
      <c r="DW83" s="11"/>
      <c r="DX83" s="11"/>
      <c r="DY83" s="11"/>
      <c r="DZ83" s="11"/>
      <c r="EA83" s="11">
        <v>60234000</v>
      </c>
      <c r="EB83" s="11">
        <v>107993000</v>
      </c>
      <c r="EC83" s="11">
        <v>70270000</v>
      </c>
      <c r="ED83" s="11">
        <v>30328000</v>
      </c>
      <c r="EE83" s="11">
        <v>12184000</v>
      </c>
      <c r="EF83" s="7">
        <v>95047000</v>
      </c>
      <c r="EG83" s="7">
        <v>199888000</v>
      </c>
      <c r="EH83" s="7">
        <v>66970000</v>
      </c>
      <c r="EI83" s="7">
        <v>20482000</v>
      </c>
      <c r="EJ83" s="7">
        <v>7933000</v>
      </c>
      <c r="EK83" s="7">
        <v>42039000</v>
      </c>
      <c r="EL83" s="7">
        <v>136121000</v>
      </c>
      <c r="EM83" s="7">
        <v>64095000</v>
      </c>
      <c r="EN83" s="7">
        <v>12907000</v>
      </c>
      <c r="EO83" s="7">
        <v>5636000</v>
      </c>
      <c r="EP83" s="7">
        <v>46993000</v>
      </c>
      <c r="EQ83" s="7">
        <v>46163000</v>
      </c>
      <c r="ER83" s="7">
        <v>3095000</v>
      </c>
      <c r="ES83" s="7">
        <v>770000</v>
      </c>
      <c r="ET83" s="7">
        <v>2242000</v>
      </c>
      <c r="EU83" s="7">
        <v>5177000</v>
      </c>
      <c r="EV83" s="7">
        <v>15499000</v>
      </c>
      <c r="EW83" s="7">
        <v>8216000</v>
      </c>
      <c r="EX83" s="7">
        <v>9023000</v>
      </c>
      <c r="EY83" s="7">
        <v>1688000</v>
      </c>
      <c r="EZ83" s="11"/>
      <c r="FA83" s="11"/>
      <c r="FB83" s="11"/>
      <c r="FC83" s="11"/>
      <c r="FD83" s="11"/>
      <c r="FE83" s="11"/>
      <c r="FF83" s="11"/>
      <c r="FG83" s="11"/>
      <c r="FH83" s="11"/>
      <c r="FI83" s="11"/>
      <c r="FJ83" s="11">
        <v>7000</v>
      </c>
      <c r="FK83" s="11">
        <v>4438000</v>
      </c>
      <c r="FL83" s="11">
        <v>34000</v>
      </c>
      <c r="FM83" s="11"/>
      <c r="FN83" s="11"/>
      <c r="FO83" s="7">
        <v>692000</v>
      </c>
      <c r="FP83" s="7">
        <v>4262000</v>
      </c>
      <c r="FQ83" s="7">
        <v>14254000</v>
      </c>
      <c r="FR83" s="7">
        <v>2709000</v>
      </c>
      <c r="FS83" s="7">
        <v>1604000</v>
      </c>
      <c r="FT83" s="7">
        <v>1263000</v>
      </c>
      <c r="FU83" s="7">
        <v>2747000</v>
      </c>
      <c r="FV83" s="7">
        <v>4371000</v>
      </c>
      <c r="FW83" s="7">
        <v>670000</v>
      </c>
      <c r="FX83" s="7">
        <v>268000</v>
      </c>
      <c r="FY83" s="11">
        <v>-144000</v>
      </c>
      <c r="FZ83" s="11">
        <v>-295000</v>
      </c>
      <c r="GA83" s="11">
        <v>-257000</v>
      </c>
      <c r="GB83" s="11"/>
      <c r="GC83" s="11"/>
      <c r="GD83" s="7">
        <v>138000</v>
      </c>
      <c r="GE83" s="7">
        <v>-968000</v>
      </c>
      <c r="GF83" s="7">
        <v>1130000</v>
      </c>
      <c r="GG83" s="7">
        <v>-179000</v>
      </c>
      <c r="GH83" s="7">
        <v>-297000</v>
      </c>
    </row>
    <row r="84" spans="1:190" ht="26.25" x14ac:dyDescent="0.25">
      <c r="A84" s="4">
        <v>83</v>
      </c>
      <c r="B84" s="5" t="s">
        <v>405</v>
      </c>
      <c r="C84" s="9" t="s">
        <v>406</v>
      </c>
      <c r="D84" s="7">
        <v>20</v>
      </c>
      <c r="E84" s="6" t="s">
        <v>204</v>
      </c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7"/>
      <c r="Q84" s="7"/>
      <c r="R84" s="7"/>
      <c r="S84" s="7"/>
      <c r="T84" s="7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7"/>
      <c r="AP84" s="7"/>
      <c r="AQ84" s="7"/>
      <c r="AR84" s="7"/>
      <c r="AS84" s="7"/>
      <c r="AT84" s="7">
        <v>29931000</v>
      </c>
      <c r="AU84" s="7">
        <v>26551000</v>
      </c>
      <c r="AV84" s="7">
        <v>25385000</v>
      </c>
      <c r="AW84" s="7">
        <v>23563000</v>
      </c>
      <c r="AX84" s="7">
        <v>21295000</v>
      </c>
      <c r="AY84" s="11"/>
      <c r="AZ84" s="11"/>
      <c r="BA84" s="11"/>
      <c r="BB84" s="11"/>
      <c r="BC84" s="11"/>
      <c r="BD84" s="7">
        <v>104000</v>
      </c>
      <c r="BE84" s="7">
        <v>1088000</v>
      </c>
      <c r="BF84" s="7">
        <v>345000</v>
      </c>
      <c r="BG84" s="7">
        <v>27000</v>
      </c>
      <c r="BH84" s="7">
        <v>82000</v>
      </c>
      <c r="BI84" s="11"/>
      <c r="BJ84" s="11"/>
      <c r="BK84" s="11"/>
      <c r="BL84" s="11"/>
      <c r="BM84" s="11"/>
      <c r="BN84" s="11">
        <v>30035000</v>
      </c>
      <c r="BO84" s="11">
        <v>27639000</v>
      </c>
      <c r="BP84" s="11">
        <v>25730000</v>
      </c>
      <c r="BQ84" s="11">
        <v>23590000</v>
      </c>
      <c r="BR84" s="11">
        <v>21377000</v>
      </c>
      <c r="BS84" s="11">
        <v>30035000</v>
      </c>
      <c r="BT84" s="11">
        <v>27639000</v>
      </c>
      <c r="BU84" s="11">
        <v>25730000</v>
      </c>
      <c r="BV84" s="11">
        <v>23590000</v>
      </c>
      <c r="BW84" s="11">
        <v>21377000</v>
      </c>
      <c r="BX84" s="7"/>
      <c r="BY84" s="7"/>
      <c r="BZ84" s="7"/>
      <c r="CA84" s="7"/>
      <c r="CB84" s="7"/>
      <c r="CC84" s="11"/>
      <c r="CD84" s="11"/>
      <c r="CE84" s="11"/>
      <c r="CF84" s="11"/>
      <c r="CG84" s="11"/>
      <c r="CH84" s="7"/>
      <c r="CI84" s="7"/>
      <c r="CJ84" s="7"/>
      <c r="CK84" s="7"/>
      <c r="CL84" s="7"/>
      <c r="CM84" s="11">
        <v>-23808000</v>
      </c>
      <c r="CN84" s="11">
        <v>-25321000</v>
      </c>
      <c r="CO84" s="11">
        <v>-26435000</v>
      </c>
      <c r="CP84" s="11">
        <v>-27001000</v>
      </c>
      <c r="CQ84" s="11">
        <v>-27372000</v>
      </c>
      <c r="CR84" s="11"/>
      <c r="CS84" s="11"/>
      <c r="CT84" s="11"/>
      <c r="CU84" s="11"/>
      <c r="CV84" s="11"/>
      <c r="CW84" s="11"/>
      <c r="CX84" s="11"/>
      <c r="CY84" s="11"/>
      <c r="CZ84" s="11"/>
      <c r="DA84" s="11"/>
      <c r="DB84" s="11"/>
      <c r="DC84" s="11"/>
      <c r="DD84" s="11"/>
      <c r="DE84" s="11"/>
      <c r="DF84" s="11"/>
      <c r="DG84" s="7"/>
      <c r="DH84" s="7"/>
      <c r="DI84" s="7"/>
      <c r="DJ84" s="7"/>
      <c r="DK84" s="7"/>
      <c r="DL84" s="7">
        <v>53843000</v>
      </c>
      <c r="DM84" s="7">
        <v>52960000</v>
      </c>
      <c r="DN84" s="7">
        <v>52165000</v>
      </c>
      <c r="DO84" s="7">
        <v>50591000</v>
      </c>
      <c r="DP84" s="7">
        <v>48749000</v>
      </c>
      <c r="DQ84" s="11"/>
      <c r="DR84" s="11"/>
      <c r="DS84" s="11"/>
      <c r="DT84" s="11"/>
      <c r="DU84" s="11"/>
      <c r="DV84" s="11"/>
      <c r="DW84" s="11"/>
      <c r="DX84" s="11"/>
      <c r="DY84" s="11"/>
      <c r="DZ84" s="11"/>
      <c r="EA84" s="11">
        <v>53843000</v>
      </c>
      <c r="EB84" s="11">
        <v>52960000</v>
      </c>
      <c r="EC84" s="11">
        <v>52165000</v>
      </c>
      <c r="ED84" s="11">
        <v>50591000</v>
      </c>
      <c r="EE84" s="11">
        <v>48749000</v>
      </c>
      <c r="EF84" s="7">
        <v>111000</v>
      </c>
      <c r="EG84" s="7"/>
      <c r="EH84" s="7"/>
      <c r="EI84" s="7"/>
      <c r="EJ84" s="7"/>
      <c r="EK84" s="7">
        <v>127000</v>
      </c>
      <c r="EL84" s="7"/>
      <c r="EM84" s="7"/>
      <c r="EN84" s="7"/>
      <c r="EO84" s="7"/>
      <c r="EP84" s="7"/>
      <c r="EQ84" s="7"/>
      <c r="ER84" s="7"/>
      <c r="ES84" s="7"/>
      <c r="ET84" s="7"/>
      <c r="EU84" s="7"/>
      <c r="EV84" s="7"/>
      <c r="EW84" s="7"/>
      <c r="EX84" s="7"/>
      <c r="EY84" s="7"/>
      <c r="EZ84" s="11"/>
      <c r="FA84" s="11"/>
      <c r="FB84" s="11"/>
      <c r="FC84" s="11"/>
      <c r="FD84" s="11"/>
      <c r="FE84" s="11"/>
      <c r="FF84" s="11"/>
      <c r="FG84" s="11"/>
      <c r="FH84" s="11"/>
      <c r="FI84" s="11"/>
      <c r="FJ84" s="11"/>
      <c r="FK84" s="11"/>
      <c r="FL84" s="11"/>
      <c r="FM84" s="11"/>
      <c r="FN84" s="11"/>
      <c r="FO84" s="7"/>
      <c r="FP84" s="7"/>
      <c r="FQ84" s="7"/>
      <c r="FR84" s="7"/>
      <c r="FS84" s="7"/>
      <c r="FT84" s="7">
        <v>9587000</v>
      </c>
      <c r="FU84" s="7">
        <v>1513000</v>
      </c>
      <c r="FV84" s="7">
        <v>1114000</v>
      </c>
      <c r="FW84" s="7">
        <v>566000</v>
      </c>
      <c r="FX84" s="7">
        <v>371000</v>
      </c>
      <c r="FY84" s="11">
        <v>68000</v>
      </c>
      <c r="FZ84" s="11"/>
      <c r="GA84" s="11"/>
      <c r="GB84" s="11"/>
      <c r="GC84" s="11"/>
      <c r="GD84" s="7">
        <v>-9671000</v>
      </c>
      <c r="GE84" s="7">
        <v>-1513000</v>
      </c>
      <c r="GF84" s="7">
        <v>-1114000</v>
      </c>
      <c r="GG84" s="7">
        <v>-566000</v>
      </c>
      <c r="GH84" s="7">
        <v>-371000</v>
      </c>
    </row>
    <row r="85" spans="1:190" x14ac:dyDescent="0.25">
      <c r="A85" s="4">
        <v>84</v>
      </c>
      <c r="B85" s="5" t="s">
        <v>407</v>
      </c>
      <c r="C85" s="9" t="s">
        <v>408</v>
      </c>
      <c r="D85" s="7">
        <v>25</v>
      </c>
      <c r="E85" s="6" t="s">
        <v>409</v>
      </c>
      <c r="F85" s="11"/>
      <c r="G85" s="11"/>
      <c r="H85" s="11"/>
      <c r="I85" s="11">
        <v>13927553</v>
      </c>
      <c r="J85" s="11"/>
      <c r="K85" s="11"/>
      <c r="L85" s="11">
        <v>114033449</v>
      </c>
      <c r="M85" s="11">
        <v>183017000</v>
      </c>
      <c r="N85" s="11">
        <v>57030441</v>
      </c>
      <c r="O85" s="11"/>
      <c r="P85" s="7">
        <v>159990000</v>
      </c>
      <c r="Q85" s="7">
        <v>159678000</v>
      </c>
      <c r="R85" s="7">
        <v>64000</v>
      </c>
      <c r="S85" s="7">
        <v>64000</v>
      </c>
      <c r="T85" s="7">
        <v>64000</v>
      </c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>
        <v>159990000</v>
      </c>
      <c r="AK85" s="11">
        <v>159678000</v>
      </c>
      <c r="AL85" s="11">
        <v>64000</v>
      </c>
      <c r="AM85" s="11">
        <v>64000</v>
      </c>
      <c r="AN85" s="11">
        <v>64000</v>
      </c>
      <c r="AO85" s="7">
        <v>57139000</v>
      </c>
      <c r="AP85" s="7">
        <v>36717000</v>
      </c>
      <c r="AQ85" s="7">
        <v>28240000</v>
      </c>
      <c r="AR85" s="7">
        <v>24874000</v>
      </c>
      <c r="AS85" s="7">
        <v>4245000</v>
      </c>
      <c r="AT85" s="7">
        <v>558738000</v>
      </c>
      <c r="AU85" s="7">
        <v>509638000</v>
      </c>
      <c r="AV85" s="7">
        <v>452620000</v>
      </c>
      <c r="AW85" s="7">
        <v>236132000</v>
      </c>
      <c r="AX85" s="7">
        <v>76854000</v>
      </c>
      <c r="AY85" s="11"/>
      <c r="AZ85" s="11"/>
      <c r="BA85" s="11"/>
      <c r="BB85" s="11"/>
      <c r="BC85" s="11"/>
      <c r="BD85" s="7">
        <v>32000</v>
      </c>
      <c r="BE85" s="7">
        <v>32000</v>
      </c>
      <c r="BF85" s="7">
        <v>32000</v>
      </c>
      <c r="BG85" s="7">
        <v>122000</v>
      </c>
      <c r="BH85" s="7">
        <v>208000</v>
      </c>
      <c r="BI85" s="11">
        <v>1826000</v>
      </c>
      <c r="BJ85" s="11">
        <v>1826000</v>
      </c>
      <c r="BK85" s="11">
        <v>1826000</v>
      </c>
      <c r="BL85" s="11">
        <v>1826000</v>
      </c>
      <c r="BM85" s="11">
        <v>1526000</v>
      </c>
      <c r="BN85" s="11">
        <v>618007000</v>
      </c>
      <c r="BO85" s="11">
        <v>548308000</v>
      </c>
      <c r="BP85" s="11">
        <v>482813000</v>
      </c>
      <c r="BQ85" s="11">
        <v>262971000</v>
      </c>
      <c r="BR85" s="11">
        <v>82833000</v>
      </c>
      <c r="BS85" s="11">
        <v>777997000</v>
      </c>
      <c r="BT85" s="11">
        <v>707986000</v>
      </c>
      <c r="BU85" s="11">
        <v>482877000</v>
      </c>
      <c r="BV85" s="11">
        <v>263035000</v>
      </c>
      <c r="BW85" s="11">
        <v>82897000</v>
      </c>
      <c r="BX85" s="7">
        <v>210108000</v>
      </c>
      <c r="BY85" s="7">
        <v>210108000</v>
      </c>
      <c r="BZ85" s="7">
        <v>210108000</v>
      </c>
      <c r="CA85" s="7">
        <v>210108000</v>
      </c>
      <c r="CB85" s="7">
        <v>210108000</v>
      </c>
      <c r="CC85" s="11">
        <v>137000</v>
      </c>
      <c r="CD85" s="11">
        <v>137000</v>
      </c>
      <c r="CE85" s="11">
        <v>137000</v>
      </c>
      <c r="CF85" s="11">
        <v>137000</v>
      </c>
      <c r="CG85" s="11">
        <v>137000</v>
      </c>
      <c r="CH85" s="7">
        <v>-5063307000</v>
      </c>
      <c r="CI85" s="7">
        <v>-5084850000</v>
      </c>
      <c r="CJ85" s="7">
        <v>-5139023000</v>
      </c>
      <c r="CK85" s="7">
        <v>-4639525000</v>
      </c>
      <c r="CL85" s="7">
        <v>-4781947000</v>
      </c>
      <c r="CM85" s="11">
        <v>-4848684000</v>
      </c>
      <c r="CN85" s="11">
        <v>-4870227000</v>
      </c>
      <c r="CO85" s="11">
        <v>-4924400000</v>
      </c>
      <c r="CP85" s="11">
        <v>-4424902000</v>
      </c>
      <c r="CQ85" s="11">
        <v>-4567324000</v>
      </c>
      <c r="CR85" s="11"/>
      <c r="CS85" s="11"/>
      <c r="CT85" s="11"/>
      <c r="CU85" s="11"/>
      <c r="CV85" s="11"/>
      <c r="CW85" s="11"/>
      <c r="CX85" s="11"/>
      <c r="CY85" s="11"/>
      <c r="CZ85" s="11"/>
      <c r="DA85" s="11"/>
      <c r="DB85" s="11">
        <v>2483000</v>
      </c>
      <c r="DC85" s="11">
        <v>2482000</v>
      </c>
      <c r="DD85" s="11">
        <v>2482000</v>
      </c>
      <c r="DE85" s="11">
        <v>2483000</v>
      </c>
      <c r="DF85" s="11">
        <v>2483000</v>
      </c>
      <c r="DG85" s="7">
        <v>90026000</v>
      </c>
      <c r="DH85" s="7">
        <v>90026000</v>
      </c>
      <c r="DI85" s="7">
        <v>90026000</v>
      </c>
      <c r="DJ85" s="7">
        <v>90026000</v>
      </c>
      <c r="DK85" s="7">
        <v>90026000</v>
      </c>
      <c r="DL85" s="7">
        <v>5495479000</v>
      </c>
      <c r="DM85" s="7">
        <v>5437254000</v>
      </c>
      <c r="DN85" s="7">
        <v>5260474000</v>
      </c>
      <c r="DO85" s="7">
        <v>4535288000</v>
      </c>
      <c r="DP85" s="7">
        <v>4491727000</v>
      </c>
      <c r="DQ85" s="11"/>
      <c r="DR85" s="11"/>
      <c r="DS85" s="11"/>
      <c r="DT85" s="11"/>
      <c r="DU85" s="11"/>
      <c r="DV85" s="11"/>
      <c r="DW85" s="11"/>
      <c r="DX85" s="11"/>
      <c r="DY85" s="11"/>
      <c r="DZ85" s="11"/>
      <c r="EA85" s="11">
        <v>5624198000</v>
      </c>
      <c r="EB85" s="11">
        <v>5575731000</v>
      </c>
      <c r="EC85" s="11">
        <v>5404795000</v>
      </c>
      <c r="ED85" s="11">
        <v>4685454000</v>
      </c>
      <c r="EE85" s="11">
        <v>4647738000</v>
      </c>
      <c r="EF85" s="7">
        <v>492000</v>
      </c>
      <c r="EG85" s="7">
        <v>11438000</v>
      </c>
      <c r="EH85" s="7">
        <v>3478000</v>
      </c>
      <c r="EI85" s="7">
        <v>350000</v>
      </c>
      <c r="EJ85" s="7">
        <v>9411000</v>
      </c>
      <c r="EK85" s="7">
        <v>1819000</v>
      </c>
      <c r="EL85" s="7">
        <v>25205000</v>
      </c>
      <c r="EM85" s="7">
        <v>8476000</v>
      </c>
      <c r="EN85" s="7">
        <v>3366000</v>
      </c>
      <c r="EO85" s="7">
        <v>19275000</v>
      </c>
      <c r="EP85" s="7"/>
      <c r="EQ85" s="7"/>
      <c r="ER85" s="7"/>
      <c r="ES85" s="7"/>
      <c r="ET85" s="7"/>
      <c r="EU85" s="7"/>
      <c r="EV85" s="7"/>
      <c r="EW85" s="7"/>
      <c r="EX85" s="7"/>
      <c r="EY85" s="7"/>
      <c r="EZ85" s="11"/>
      <c r="FA85" s="11"/>
      <c r="FB85" s="11"/>
      <c r="FC85" s="11"/>
      <c r="FD85" s="11"/>
      <c r="FE85" s="11"/>
      <c r="FF85" s="11"/>
      <c r="FG85" s="11"/>
      <c r="FH85" s="11"/>
      <c r="FI85" s="11"/>
      <c r="FJ85" s="11"/>
      <c r="FK85" s="11"/>
      <c r="FL85" s="11"/>
      <c r="FM85" s="11"/>
      <c r="FN85" s="11"/>
      <c r="FO85" s="7">
        <v>16000</v>
      </c>
      <c r="FP85" s="7">
        <v>67804000</v>
      </c>
      <c r="FQ85" s="7">
        <v>133088000</v>
      </c>
      <c r="FR85" s="7">
        <v>519141000</v>
      </c>
      <c r="FS85" s="7">
        <v>199963000</v>
      </c>
      <c r="FT85" s="7">
        <v>8221000</v>
      </c>
      <c r="FU85" s="7">
        <v>31620000</v>
      </c>
      <c r="FV85" s="7">
        <v>158127000</v>
      </c>
      <c r="FW85" s="7">
        <v>16627000</v>
      </c>
      <c r="FX85" s="7">
        <v>332520000</v>
      </c>
      <c r="FY85" s="11"/>
      <c r="FZ85" s="11"/>
      <c r="GA85" s="11"/>
      <c r="GB85" s="11"/>
      <c r="GC85" s="11"/>
      <c r="GD85" s="7">
        <v>-43714000</v>
      </c>
      <c r="GE85" s="7">
        <v>-21543000</v>
      </c>
      <c r="GF85" s="7">
        <v>-54173000</v>
      </c>
      <c r="GG85" s="7">
        <v>499498000</v>
      </c>
      <c r="GH85" s="7">
        <v>-142422000</v>
      </c>
    </row>
    <row r="86" spans="1:190" x14ac:dyDescent="0.25">
      <c r="A86" s="4">
        <v>85</v>
      </c>
      <c r="B86" s="5" t="s">
        <v>410</v>
      </c>
      <c r="C86" s="9" t="s">
        <v>411</v>
      </c>
      <c r="D86" s="7">
        <v>11</v>
      </c>
      <c r="E86" s="6" t="s">
        <v>412</v>
      </c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7"/>
      <c r="Q86" s="7"/>
      <c r="R86" s="7"/>
      <c r="S86" s="7"/>
      <c r="T86" s="7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11"/>
      <c r="AZ86" s="11"/>
      <c r="BA86" s="11"/>
      <c r="BB86" s="11"/>
      <c r="BC86" s="11"/>
      <c r="BD86" s="7"/>
      <c r="BE86" s="7"/>
      <c r="BF86" s="7">
        <v>254000</v>
      </c>
      <c r="BG86" s="7"/>
      <c r="BH86" s="7"/>
      <c r="BI86" s="11"/>
      <c r="BJ86" s="11"/>
      <c r="BK86" s="11"/>
      <c r="BL86" s="11"/>
      <c r="BM86" s="11"/>
      <c r="BN86" s="11"/>
      <c r="BO86" s="11"/>
      <c r="BP86" s="11">
        <v>254000</v>
      </c>
      <c r="BQ86" s="11"/>
      <c r="BR86" s="11"/>
      <c r="BS86" s="11"/>
      <c r="BT86" s="11"/>
      <c r="BU86" s="11">
        <v>254000</v>
      </c>
      <c r="BV86" s="11"/>
      <c r="BW86" s="11"/>
      <c r="BX86" s="7"/>
      <c r="BY86" s="7"/>
      <c r="BZ86" s="7"/>
      <c r="CA86" s="7"/>
      <c r="CB86" s="7"/>
      <c r="CC86" s="11"/>
      <c r="CD86" s="11"/>
      <c r="CE86" s="11"/>
      <c r="CF86" s="11"/>
      <c r="CG86" s="11"/>
      <c r="CH86" s="7"/>
      <c r="CI86" s="7"/>
      <c r="CJ86" s="7"/>
      <c r="CK86" s="7"/>
      <c r="CL86" s="7"/>
      <c r="CM86" s="11">
        <v>-13140000</v>
      </c>
      <c r="CN86" s="11">
        <v>-13140000</v>
      </c>
      <c r="CO86" s="11">
        <v>-13641000</v>
      </c>
      <c r="CP86" s="11">
        <v>-13899000</v>
      </c>
      <c r="CQ86" s="11">
        <v>-14259000</v>
      </c>
      <c r="CR86" s="11"/>
      <c r="CS86" s="11"/>
      <c r="CT86" s="11"/>
      <c r="CU86" s="11"/>
      <c r="CV86" s="11"/>
      <c r="CW86" s="11"/>
      <c r="CX86" s="11"/>
      <c r="CY86" s="11"/>
      <c r="CZ86" s="11"/>
      <c r="DA86" s="11"/>
      <c r="DB86" s="11"/>
      <c r="DC86" s="11"/>
      <c r="DD86" s="11"/>
      <c r="DE86" s="11"/>
      <c r="DF86" s="11"/>
      <c r="DG86" s="7"/>
      <c r="DH86" s="7"/>
      <c r="DI86" s="7"/>
      <c r="DJ86" s="7"/>
      <c r="DK86" s="7"/>
      <c r="DL86" s="7">
        <v>13140000</v>
      </c>
      <c r="DM86" s="7">
        <v>13140000</v>
      </c>
      <c r="DN86" s="7">
        <v>13895000</v>
      </c>
      <c r="DO86" s="7">
        <v>13899000</v>
      </c>
      <c r="DP86" s="7">
        <v>14259000</v>
      </c>
      <c r="DQ86" s="11"/>
      <c r="DR86" s="11"/>
      <c r="DS86" s="11"/>
      <c r="DT86" s="11"/>
      <c r="DU86" s="11"/>
      <c r="DV86" s="11"/>
      <c r="DW86" s="11"/>
      <c r="DX86" s="11"/>
      <c r="DY86" s="11"/>
      <c r="DZ86" s="11"/>
      <c r="EA86" s="11">
        <v>13140000</v>
      </c>
      <c r="EB86" s="11">
        <v>13140000</v>
      </c>
      <c r="EC86" s="11">
        <v>13895000</v>
      </c>
      <c r="ED86" s="11">
        <v>13899000</v>
      </c>
      <c r="EE86" s="11">
        <v>14259000</v>
      </c>
      <c r="EF86" s="7"/>
      <c r="EG86" s="7"/>
      <c r="EH86" s="7"/>
      <c r="EI86" s="7"/>
      <c r="EJ86" s="7"/>
      <c r="EK86" s="7"/>
      <c r="EL86" s="7"/>
      <c r="EM86" s="7"/>
      <c r="EN86" s="7"/>
      <c r="EO86" s="7"/>
      <c r="EP86" s="7"/>
      <c r="EQ86" s="7"/>
      <c r="ER86" s="7"/>
      <c r="ES86" s="7"/>
      <c r="ET86" s="7"/>
      <c r="EU86" s="7"/>
      <c r="EV86" s="7"/>
      <c r="EW86" s="7"/>
      <c r="EX86" s="7"/>
      <c r="EY86" s="7"/>
      <c r="EZ86" s="11"/>
      <c r="FA86" s="11"/>
      <c r="FB86" s="11"/>
      <c r="FC86" s="11"/>
      <c r="FD86" s="11"/>
      <c r="FE86" s="11"/>
      <c r="FF86" s="11"/>
      <c r="FG86" s="11"/>
      <c r="FH86" s="11"/>
      <c r="FI86" s="11"/>
      <c r="FJ86" s="11"/>
      <c r="FK86" s="11"/>
      <c r="FL86" s="11"/>
      <c r="FM86" s="11"/>
      <c r="FN86" s="11"/>
      <c r="FO86" s="7"/>
      <c r="FP86" s="7"/>
      <c r="FQ86" s="7"/>
      <c r="FR86" s="7"/>
      <c r="FS86" s="7"/>
      <c r="FT86" s="7"/>
      <c r="FU86" s="7"/>
      <c r="FV86" s="7"/>
      <c r="FW86" s="7"/>
      <c r="FX86" s="7"/>
      <c r="FY86" s="11"/>
      <c r="FZ86" s="11"/>
      <c r="GA86" s="11"/>
      <c r="GB86" s="11"/>
      <c r="GC86" s="11"/>
      <c r="GD86" s="7"/>
      <c r="GE86" s="7"/>
      <c r="GF86" s="7"/>
      <c r="GG86" s="7"/>
      <c r="GH86" s="7"/>
    </row>
    <row r="87" spans="1:190" ht="26.25" x14ac:dyDescent="0.25">
      <c r="A87" s="4">
        <v>86</v>
      </c>
      <c r="B87" s="5" t="s">
        <v>413</v>
      </c>
      <c r="C87" s="9" t="s">
        <v>414</v>
      </c>
      <c r="D87" s="7">
        <v>25</v>
      </c>
      <c r="E87" s="6" t="s">
        <v>415</v>
      </c>
      <c r="F87" s="11"/>
      <c r="G87" s="11">
        <v>134843</v>
      </c>
      <c r="H87" s="11"/>
      <c r="I87" s="11"/>
      <c r="J87" s="11"/>
      <c r="K87" s="11">
        <v>646402</v>
      </c>
      <c r="L87" s="11"/>
      <c r="M87" s="11"/>
      <c r="N87" s="11"/>
      <c r="O87" s="11"/>
      <c r="P87" s="7">
        <v>44884000</v>
      </c>
      <c r="Q87" s="7">
        <v>3126000</v>
      </c>
      <c r="R87" s="7">
        <v>3124000</v>
      </c>
      <c r="S87" s="7">
        <v>3122000</v>
      </c>
      <c r="T87" s="7">
        <v>3120000</v>
      </c>
      <c r="U87" s="11"/>
      <c r="V87" s="11"/>
      <c r="W87" s="11"/>
      <c r="X87" s="11"/>
      <c r="Y87" s="11"/>
      <c r="Z87" s="11">
        <v>129961000</v>
      </c>
      <c r="AA87" s="11">
        <v>129961000</v>
      </c>
      <c r="AB87" s="11">
        <v>129961000</v>
      </c>
      <c r="AC87" s="11">
        <v>125047000</v>
      </c>
      <c r="AD87" s="11">
        <v>125047000</v>
      </c>
      <c r="AE87" s="11">
        <v>1362000</v>
      </c>
      <c r="AF87" s="11">
        <v>1362000</v>
      </c>
      <c r="AG87" s="11">
        <v>1362000</v>
      </c>
      <c r="AH87" s="11">
        <v>1362000</v>
      </c>
      <c r="AI87" s="11">
        <v>1362000</v>
      </c>
      <c r="AJ87" s="11">
        <v>346665000</v>
      </c>
      <c r="AK87" s="11">
        <v>304907000</v>
      </c>
      <c r="AL87" s="11">
        <v>304905000</v>
      </c>
      <c r="AM87" s="11">
        <v>299989000</v>
      </c>
      <c r="AN87" s="11">
        <v>299987000</v>
      </c>
      <c r="AO87" s="7">
        <v>332660000</v>
      </c>
      <c r="AP87" s="7">
        <v>327623000</v>
      </c>
      <c r="AQ87" s="7">
        <v>271348000</v>
      </c>
      <c r="AR87" s="7">
        <v>235636000</v>
      </c>
      <c r="AS87" s="7">
        <v>235636000</v>
      </c>
      <c r="AT87" s="7">
        <v>1544265000</v>
      </c>
      <c r="AU87" s="7">
        <v>1522381000</v>
      </c>
      <c r="AV87" s="7">
        <v>1454858000</v>
      </c>
      <c r="AW87" s="7">
        <v>1448260000</v>
      </c>
      <c r="AX87" s="7">
        <v>1448260000</v>
      </c>
      <c r="AY87" s="11">
        <v>463000</v>
      </c>
      <c r="AZ87" s="11">
        <v>463000</v>
      </c>
      <c r="BA87" s="11">
        <v>463000</v>
      </c>
      <c r="BB87" s="11">
        <v>463000</v>
      </c>
      <c r="BC87" s="11">
        <v>463000</v>
      </c>
      <c r="BD87" s="7">
        <v>29529000</v>
      </c>
      <c r="BE87" s="7">
        <v>59995000</v>
      </c>
      <c r="BF87" s="7">
        <v>39489000</v>
      </c>
      <c r="BG87" s="7">
        <v>33155000</v>
      </c>
      <c r="BH87" s="7">
        <v>23368000</v>
      </c>
      <c r="BI87" s="11">
        <v>467262000</v>
      </c>
      <c r="BJ87" s="11">
        <v>37280000</v>
      </c>
      <c r="BK87" s="11">
        <v>37982000</v>
      </c>
      <c r="BL87" s="11">
        <v>37982000</v>
      </c>
      <c r="BM87" s="11">
        <v>37982000</v>
      </c>
      <c r="BN87" s="11">
        <v>2375109000</v>
      </c>
      <c r="BO87" s="11">
        <v>1948672000</v>
      </c>
      <c r="BP87" s="11">
        <v>1805070000</v>
      </c>
      <c r="BQ87" s="11">
        <v>1756426000</v>
      </c>
      <c r="BR87" s="11">
        <v>1746639000</v>
      </c>
      <c r="BS87" s="11">
        <v>2721774000</v>
      </c>
      <c r="BT87" s="11">
        <v>2253579000</v>
      </c>
      <c r="BU87" s="11">
        <v>2109975000</v>
      </c>
      <c r="BV87" s="11">
        <v>2056415000</v>
      </c>
      <c r="BW87" s="11">
        <v>2046626000</v>
      </c>
      <c r="BX87" s="7">
        <v>70000000</v>
      </c>
      <c r="BY87" s="7">
        <v>70000000</v>
      </c>
      <c r="BZ87" s="7">
        <v>70000000</v>
      </c>
      <c r="CA87" s="7">
        <v>70000000</v>
      </c>
      <c r="CB87" s="7">
        <v>70000000</v>
      </c>
      <c r="CC87" s="11">
        <v>70671000</v>
      </c>
      <c r="CD87" s="11">
        <v>70671000</v>
      </c>
      <c r="CE87" s="11">
        <v>70671000</v>
      </c>
      <c r="CF87" s="11">
        <v>70671000</v>
      </c>
      <c r="CG87" s="11">
        <v>70671000</v>
      </c>
      <c r="CH87" s="7">
        <v>194514000</v>
      </c>
      <c r="CI87" s="7">
        <v>-248925000</v>
      </c>
      <c r="CJ87" s="7">
        <v>-380653000</v>
      </c>
      <c r="CK87" s="7">
        <v>-436034000</v>
      </c>
      <c r="CL87" s="7">
        <v>-438631000</v>
      </c>
      <c r="CM87" s="11">
        <v>345685000</v>
      </c>
      <c r="CN87" s="11">
        <v>-97754000</v>
      </c>
      <c r="CO87" s="11">
        <v>-229482000</v>
      </c>
      <c r="CP87" s="11">
        <v>-284863000</v>
      </c>
      <c r="CQ87" s="11">
        <v>-287460000</v>
      </c>
      <c r="CR87" s="11"/>
      <c r="CS87" s="11"/>
      <c r="CT87" s="11"/>
      <c r="CU87" s="11"/>
      <c r="CV87" s="11"/>
      <c r="CW87" s="11"/>
      <c r="CX87" s="11"/>
      <c r="CY87" s="11"/>
      <c r="CZ87" s="11"/>
      <c r="DA87" s="11"/>
      <c r="DB87" s="11"/>
      <c r="DC87" s="11"/>
      <c r="DD87" s="11"/>
      <c r="DE87" s="11"/>
      <c r="DF87" s="11"/>
      <c r="DG87" s="7">
        <v>1187063000</v>
      </c>
      <c r="DH87" s="7">
        <v>1182811000</v>
      </c>
      <c r="DI87" s="7">
        <v>1175022000</v>
      </c>
      <c r="DJ87" s="7">
        <v>1175022000</v>
      </c>
      <c r="DK87" s="7">
        <v>1168216000</v>
      </c>
      <c r="DL87" s="7">
        <v>1189026000</v>
      </c>
      <c r="DM87" s="7">
        <v>1168522000</v>
      </c>
      <c r="DN87" s="7">
        <v>1164435000</v>
      </c>
      <c r="DO87" s="7">
        <v>1166256000</v>
      </c>
      <c r="DP87" s="7">
        <v>1165870000</v>
      </c>
      <c r="DQ87" s="11"/>
      <c r="DR87" s="11"/>
      <c r="DS87" s="11"/>
      <c r="DT87" s="11"/>
      <c r="DU87" s="11"/>
      <c r="DV87" s="11"/>
      <c r="DW87" s="11"/>
      <c r="DX87" s="11"/>
      <c r="DY87" s="11"/>
      <c r="DZ87" s="11"/>
      <c r="EA87" s="11">
        <v>2376089000</v>
      </c>
      <c r="EB87" s="11">
        <v>2351333000</v>
      </c>
      <c r="EC87" s="11">
        <v>2339457000</v>
      </c>
      <c r="ED87" s="11">
        <v>2341278000</v>
      </c>
      <c r="EE87" s="11">
        <v>2334086000</v>
      </c>
      <c r="EF87" s="7">
        <v>21373000</v>
      </c>
      <c r="EG87" s="7">
        <v>45922000</v>
      </c>
      <c r="EH87" s="7">
        <v>9000000</v>
      </c>
      <c r="EI87" s="7"/>
      <c r="EJ87" s="7"/>
      <c r="EK87" s="7">
        <v>29630000</v>
      </c>
      <c r="EL87" s="7">
        <v>40890000</v>
      </c>
      <c r="EM87" s="7">
        <v>123520000</v>
      </c>
      <c r="EN87" s="7"/>
      <c r="EO87" s="7"/>
      <c r="EP87" s="7"/>
      <c r="EQ87" s="7"/>
      <c r="ER87" s="7"/>
      <c r="ES87" s="7"/>
      <c r="ET87" s="7"/>
      <c r="EU87" s="7"/>
      <c r="EV87" s="7"/>
      <c r="EW87" s="7"/>
      <c r="EX87" s="7"/>
      <c r="EY87" s="7"/>
      <c r="EZ87" s="11"/>
      <c r="FA87" s="11"/>
      <c r="FB87" s="11"/>
      <c r="FC87" s="11"/>
      <c r="FD87" s="11"/>
      <c r="FE87" s="11"/>
      <c r="FF87" s="11">
        <v>152000</v>
      </c>
      <c r="FG87" s="11"/>
      <c r="FH87" s="11"/>
      <c r="FI87" s="11"/>
      <c r="FJ87" s="11"/>
      <c r="FK87" s="11">
        <v>27000</v>
      </c>
      <c r="FL87" s="11"/>
      <c r="FM87" s="11"/>
      <c r="FN87" s="11"/>
      <c r="FO87" s="7">
        <v>6477000</v>
      </c>
      <c r="FP87" s="7">
        <v>53000</v>
      </c>
      <c r="FQ87" s="7">
        <v>674000</v>
      </c>
      <c r="FR87" s="7">
        <v>10769000</v>
      </c>
      <c r="FS87" s="7">
        <v>206000</v>
      </c>
      <c r="FT87" s="7">
        <v>30074000</v>
      </c>
      <c r="FU87" s="7">
        <v>448649000</v>
      </c>
      <c r="FV87" s="7">
        <v>17882000</v>
      </c>
      <c r="FW87" s="7">
        <v>66150000</v>
      </c>
      <c r="FX87" s="7">
        <v>2803000</v>
      </c>
      <c r="FY87" s="11"/>
      <c r="FZ87" s="11"/>
      <c r="GA87" s="11"/>
      <c r="GB87" s="11"/>
      <c r="GC87" s="11"/>
      <c r="GD87" s="7">
        <v>-31854000</v>
      </c>
      <c r="GE87" s="7">
        <v>-443439000</v>
      </c>
      <c r="GF87" s="7">
        <v>-131728000</v>
      </c>
      <c r="GG87" s="7">
        <v>-55381000</v>
      </c>
      <c r="GH87" s="7">
        <v>-2597000</v>
      </c>
    </row>
    <row r="88" spans="1:190" x14ac:dyDescent="0.25">
      <c r="A88" s="4">
        <v>87</v>
      </c>
      <c r="B88" s="5" t="s">
        <v>416</v>
      </c>
      <c r="C88" s="9" t="s">
        <v>417</v>
      </c>
      <c r="D88" s="7">
        <v>11</v>
      </c>
      <c r="E88" s="6" t="s">
        <v>318</v>
      </c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7">
        <v>103000</v>
      </c>
      <c r="Q88" s="7">
        <v>103000</v>
      </c>
      <c r="R88" s="7">
        <v>103000</v>
      </c>
      <c r="S88" s="7">
        <v>103000</v>
      </c>
      <c r="T88" s="7">
        <v>103000</v>
      </c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>
        <v>7236000</v>
      </c>
      <c r="AK88" s="11">
        <v>7236000</v>
      </c>
      <c r="AL88" s="11">
        <v>7236000</v>
      </c>
      <c r="AM88" s="11">
        <v>7236000</v>
      </c>
      <c r="AN88" s="11">
        <v>7236000</v>
      </c>
      <c r="AO88" s="7"/>
      <c r="AP88" s="7"/>
      <c r="AQ88" s="7"/>
      <c r="AR88" s="7"/>
      <c r="AS88" s="7"/>
      <c r="AT88" s="7">
        <v>24187000</v>
      </c>
      <c r="AU88" s="7">
        <v>22198000</v>
      </c>
      <c r="AV88" s="7">
        <v>7356000</v>
      </c>
      <c r="AW88" s="7">
        <v>6881000</v>
      </c>
      <c r="AX88" s="7">
        <v>6881000</v>
      </c>
      <c r="AY88" s="11"/>
      <c r="AZ88" s="11"/>
      <c r="BA88" s="11"/>
      <c r="BB88" s="11"/>
      <c r="BC88" s="11"/>
      <c r="BD88" s="7"/>
      <c r="BE88" s="7">
        <v>2641000</v>
      </c>
      <c r="BF88" s="7">
        <v>3232000</v>
      </c>
      <c r="BG88" s="7">
        <v>2197000</v>
      </c>
      <c r="BH88" s="7">
        <v>2197000</v>
      </c>
      <c r="BI88" s="11"/>
      <c r="BJ88" s="11"/>
      <c r="BK88" s="11"/>
      <c r="BL88" s="11"/>
      <c r="BM88" s="11"/>
      <c r="BN88" s="11">
        <v>24494000</v>
      </c>
      <c r="BO88" s="11">
        <v>25146000</v>
      </c>
      <c r="BP88" s="11">
        <v>10895000</v>
      </c>
      <c r="BQ88" s="11">
        <v>9385000</v>
      </c>
      <c r="BR88" s="11">
        <v>9385000</v>
      </c>
      <c r="BS88" s="11">
        <v>31730000</v>
      </c>
      <c r="BT88" s="11">
        <v>32382000</v>
      </c>
      <c r="BU88" s="11">
        <v>18131000</v>
      </c>
      <c r="BV88" s="11">
        <v>16621000</v>
      </c>
      <c r="BW88" s="11">
        <v>16621000</v>
      </c>
      <c r="BX88" s="7">
        <v>10000</v>
      </c>
      <c r="BY88" s="7">
        <v>10000</v>
      </c>
      <c r="BZ88" s="7">
        <v>10000</v>
      </c>
      <c r="CA88" s="7">
        <v>10000</v>
      </c>
      <c r="CB88" s="7">
        <v>10000</v>
      </c>
      <c r="CC88" s="11"/>
      <c r="CD88" s="11"/>
      <c r="CE88" s="11"/>
      <c r="CF88" s="11"/>
      <c r="CG88" s="11"/>
      <c r="CH88" s="7">
        <v>-38594000</v>
      </c>
      <c r="CI88" s="7">
        <v>-39359000</v>
      </c>
      <c r="CJ88" s="7">
        <v>-40199000</v>
      </c>
      <c r="CK88" s="7">
        <v>-40559000</v>
      </c>
      <c r="CL88" s="7">
        <v>-40559000</v>
      </c>
      <c r="CM88" s="11">
        <v>-38584000</v>
      </c>
      <c r="CN88" s="11">
        <v>-39349000</v>
      </c>
      <c r="CO88" s="11">
        <v>-40189000</v>
      </c>
      <c r="CP88" s="11">
        <v>-40549000</v>
      </c>
      <c r="CQ88" s="11">
        <v>-40549000</v>
      </c>
      <c r="CR88" s="11">
        <v>543000</v>
      </c>
      <c r="CS88" s="11">
        <v>543000</v>
      </c>
      <c r="CT88" s="11">
        <v>543000</v>
      </c>
      <c r="CU88" s="11">
        <v>543000</v>
      </c>
      <c r="CV88" s="11">
        <v>543000</v>
      </c>
      <c r="CW88" s="11"/>
      <c r="CX88" s="11"/>
      <c r="CY88" s="11"/>
      <c r="CZ88" s="11"/>
      <c r="DA88" s="11"/>
      <c r="DB88" s="11">
        <v>543000</v>
      </c>
      <c r="DC88" s="11">
        <v>543000</v>
      </c>
      <c r="DD88" s="11">
        <v>543000</v>
      </c>
      <c r="DE88" s="11">
        <v>543000</v>
      </c>
      <c r="DF88" s="11">
        <v>543000</v>
      </c>
      <c r="DG88" s="7"/>
      <c r="DH88" s="7"/>
      <c r="DI88" s="7"/>
      <c r="DJ88" s="7"/>
      <c r="DK88" s="7"/>
      <c r="DL88" s="7">
        <v>69219000</v>
      </c>
      <c r="DM88" s="7">
        <v>70636000</v>
      </c>
      <c r="DN88" s="7">
        <v>57225000</v>
      </c>
      <c r="DO88" s="7">
        <v>56075000</v>
      </c>
      <c r="DP88" s="7">
        <v>56075000</v>
      </c>
      <c r="DQ88" s="11"/>
      <c r="DR88" s="11"/>
      <c r="DS88" s="11"/>
      <c r="DT88" s="11"/>
      <c r="DU88" s="11"/>
      <c r="DV88" s="11"/>
      <c r="DW88" s="11"/>
      <c r="DX88" s="11"/>
      <c r="DY88" s="11"/>
      <c r="DZ88" s="11"/>
      <c r="EA88" s="11">
        <v>69771000</v>
      </c>
      <c r="EB88" s="11">
        <v>71188000</v>
      </c>
      <c r="EC88" s="11">
        <v>57777000</v>
      </c>
      <c r="ED88" s="11">
        <v>56627000</v>
      </c>
      <c r="EE88" s="11">
        <v>56627000</v>
      </c>
      <c r="EF88" s="7"/>
      <c r="EG88" s="7"/>
      <c r="EH88" s="7"/>
      <c r="EI88" s="7"/>
      <c r="EJ88" s="7"/>
      <c r="EK88" s="7"/>
      <c r="EL88" s="7"/>
      <c r="EM88" s="7"/>
      <c r="EN88" s="7"/>
      <c r="EO88" s="7"/>
      <c r="EP88" s="7"/>
      <c r="EQ88" s="7"/>
      <c r="ER88" s="7"/>
      <c r="ES88" s="7"/>
      <c r="ET88" s="7"/>
      <c r="EU88" s="7"/>
      <c r="EV88" s="7"/>
      <c r="EW88" s="7"/>
      <c r="EX88" s="7"/>
      <c r="EY88" s="7"/>
      <c r="EZ88" s="11"/>
      <c r="FA88" s="11"/>
      <c r="FB88" s="11"/>
      <c r="FC88" s="11"/>
      <c r="FD88" s="11"/>
      <c r="FE88" s="11">
        <v>27000</v>
      </c>
      <c r="FF88" s="11"/>
      <c r="FG88" s="11"/>
      <c r="FH88" s="11"/>
      <c r="FI88" s="11"/>
      <c r="FJ88" s="11">
        <v>16000</v>
      </c>
      <c r="FK88" s="11"/>
      <c r="FL88" s="11"/>
      <c r="FM88" s="11"/>
      <c r="FN88" s="11"/>
      <c r="FO88" s="7"/>
      <c r="FP88" s="7"/>
      <c r="FQ88" s="7"/>
      <c r="FR88" s="7"/>
      <c r="FS88" s="7"/>
      <c r="FT88" s="7">
        <v>2791000</v>
      </c>
      <c r="FU88" s="7">
        <v>765000</v>
      </c>
      <c r="FV88" s="7">
        <v>840000</v>
      </c>
      <c r="FW88" s="7">
        <v>360000</v>
      </c>
      <c r="FX88" s="7"/>
      <c r="FY88" s="11"/>
      <c r="FZ88" s="11"/>
      <c r="GA88" s="11"/>
      <c r="GB88" s="11"/>
      <c r="GC88" s="11"/>
      <c r="GD88" s="7">
        <v>-2780000</v>
      </c>
      <c r="GE88" s="7">
        <v>-765000</v>
      </c>
      <c r="GF88" s="7">
        <v>-840000</v>
      </c>
      <c r="GG88" s="7">
        <v>-360000</v>
      </c>
      <c r="GH88" s="7"/>
    </row>
    <row r="89" spans="1:190" ht="26.25" x14ac:dyDescent="0.25">
      <c r="A89" s="4">
        <v>88</v>
      </c>
      <c r="B89" s="5" t="s">
        <v>418</v>
      </c>
      <c r="C89" s="9" t="s">
        <v>419</v>
      </c>
      <c r="D89" s="7">
        <v>19</v>
      </c>
      <c r="E89" s="6" t="s">
        <v>420</v>
      </c>
      <c r="F89" s="11"/>
      <c r="G89" s="11"/>
      <c r="H89" s="11"/>
      <c r="I89" s="11"/>
      <c r="J89" s="11"/>
      <c r="K89" s="11"/>
      <c r="L89" s="11">
        <v>439</v>
      </c>
      <c r="M89" s="11"/>
      <c r="N89" s="11"/>
      <c r="O89" s="11"/>
      <c r="P89" s="7"/>
      <c r="Q89" s="7"/>
      <c r="R89" s="7">
        <v>11838000</v>
      </c>
      <c r="S89" s="7">
        <v>11838000</v>
      </c>
      <c r="T89" s="7">
        <v>11838000</v>
      </c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>
        <v>11838000</v>
      </c>
      <c r="AM89" s="11">
        <v>11838000</v>
      </c>
      <c r="AN89" s="11">
        <v>11838000</v>
      </c>
      <c r="AO89" s="7"/>
      <c r="AP89" s="7"/>
      <c r="AQ89" s="7"/>
      <c r="AR89" s="7"/>
      <c r="AS89" s="7"/>
      <c r="AT89" s="7">
        <v>2558000</v>
      </c>
      <c r="AU89" s="7">
        <v>2558000</v>
      </c>
      <c r="AV89" s="7">
        <v>2558000</v>
      </c>
      <c r="AW89" s="7">
        <v>2558000</v>
      </c>
      <c r="AX89" s="7">
        <v>2558000</v>
      </c>
      <c r="AY89" s="11"/>
      <c r="AZ89" s="11"/>
      <c r="BA89" s="11"/>
      <c r="BB89" s="11"/>
      <c r="BC89" s="11"/>
      <c r="BD89" s="7"/>
      <c r="BE89" s="7"/>
      <c r="BF89" s="7"/>
      <c r="BG89" s="7"/>
      <c r="BH89" s="7"/>
      <c r="BI89" s="11"/>
      <c r="BJ89" s="11"/>
      <c r="BK89" s="11"/>
      <c r="BL89" s="11"/>
      <c r="BM89" s="11"/>
      <c r="BN89" s="11">
        <v>2558000</v>
      </c>
      <c r="BO89" s="11">
        <v>2558000</v>
      </c>
      <c r="BP89" s="11">
        <v>2558000</v>
      </c>
      <c r="BQ89" s="11">
        <v>2558000</v>
      </c>
      <c r="BR89" s="11">
        <v>2558000</v>
      </c>
      <c r="BS89" s="11">
        <v>2558000</v>
      </c>
      <c r="BT89" s="11">
        <v>2558000</v>
      </c>
      <c r="BU89" s="11">
        <v>14396000</v>
      </c>
      <c r="BV89" s="11">
        <v>14396000</v>
      </c>
      <c r="BW89" s="11">
        <v>14396000</v>
      </c>
      <c r="BX89" s="7">
        <v>121031000</v>
      </c>
      <c r="BY89" s="7">
        <v>121031000</v>
      </c>
      <c r="BZ89" s="7">
        <v>121031000</v>
      </c>
      <c r="CA89" s="7">
        <v>121031000</v>
      </c>
      <c r="CB89" s="7">
        <v>121031000</v>
      </c>
      <c r="CC89" s="11"/>
      <c r="CD89" s="11"/>
      <c r="CE89" s="11"/>
      <c r="CF89" s="11"/>
      <c r="CG89" s="11"/>
      <c r="CH89" s="7">
        <v>-266006000</v>
      </c>
      <c r="CI89" s="7">
        <v>-267183000</v>
      </c>
      <c r="CJ89" s="7">
        <v>-255345000</v>
      </c>
      <c r="CK89" s="7">
        <v>-255345000</v>
      </c>
      <c r="CL89" s="7">
        <v>-257391000</v>
      </c>
      <c r="CM89" s="11">
        <v>-144975000</v>
      </c>
      <c r="CN89" s="11">
        <v>-146152000</v>
      </c>
      <c r="CO89" s="11">
        <v>-134314000</v>
      </c>
      <c r="CP89" s="11">
        <v>-134314000</v>
      </c>
      <c r="CQ89" s="11">
        <v>-136360000</v>
      </c>
      <c r="CR89" s="11"/>
      <c r="CS89" s="11"/>
      <c r="CT89" s="11"/>
      <c r="CU89" s="11"/>
      <c r="CV89" s="11"/>
      <c r="CW89" s="11"/>
      <c r="CX89" s="11"/>
      <c r="CY89" s="11"/>
      <c r="CZ89" s="11"/>
      <c r="DA89" s="11"/>
      <c r="DB89" s="11"/>
      <c r="DC89" s="11"/>
      <c r="DD89" s="11"/>
      <c r="DE89" s="11"/>
      <c r="DF89" s="11"/>
      <c r="DG89" s="7"/>
      <c r="DH89" s="7"/>
      <c r="DI89" s="7"/>
      <c r="DJ89" s="7"/>
      <c r="DK89" s="7"/>
      <c r="DL89" s="7">
        <v>147533000</v>
      </c>
      <c r="DM89" s="7">
        <v>148710000</v>
      </c>
      <c r="DN89" s="7">
        <v>148710000</v>
      </c>
      <c r="DO89" s="7">
        <v>148710000</v>
      </c>
      <c r="DP89" s="7">
        <v>150756000</v>
      </c>
      <c r="DQ89" s="11"/>
      <c r="DR89" s="11"/>
      <c r="DS89" s="11"/>
      <c r="DT89" s="11"/>
      <c r="DU89" s="11"/>
      <c r="DV89" s="11"/>
      <c r="DW89" s="11"/>
      <c r="DX89" s="11"/>
      <c r="DY89" s="11"/>
      <c r="DZ89" s="11"/>
      <c r="EA89" s="11">
        <v>147533000</v>
      </c>
      <c r="EB89" s="11">
        <v>148710000</v>
      </c>
      <c r="EC89" s="11">
        <v>148710000</v>
      </c>
      <c r="ED89" s="11">
        <v>148710000</v>
      </c>
      <c r="EE89" s="11">
        <v>150756000</v>
      </c>
      <c r="EF89" s="7">
        <v>18993000</v>
      </c>
      <c r="EG89" s="7"/>
      <c r="EH89" s="7"/>
      <c r="EI89" s="7"/>
      <c r="EJ89" s="7"/>
      <c r="EK89" s="7"/>
      <c r="EL89" s="7"/>
      <c r="EM89" s="7"/>
      <c r="EN89" s="7"/>
      <c r="EO89" s="7"/>
      <c r="EP89" s="7"/>
      <c r="EQ89" s="7"/>
      <c r="ER89" s="7"/>
      <c r="ES89" s="7"/>
      <c r="ET89" s="7"/>
      <c r="EU89" s="7"/>
      <c r="EV89" s="7"/>
      <c r="EW89" s="7"/>
      <c r="EX89" s="7"/>
      <c r="EY89" s="7"/>
      <c r="EZ89" s="11"/>
      <c r="FA89" s="11"/>
      <c r="FB89" s="11"/>
      <c r="FC89" s="11"/>
      <c r="FD89" s="11"/>
      <c r="FE89" s="11"/>
      <c r="FF89" s="11"/>
      <c r="FG89" s="11"/>
      <c r="FH89" s="11"/>
      <c r="FI89" s="11"/>
      <c r="FJ89" s="11"/>
      <c r="FK89" s="11"/>
      <c r="FL89" s="11"/>
      <c r="FM89" s="11"/>
      <c r="FN89" s="11"/>
      <c r="FO89" s="7"/>
      <c r="FP89" s="7"/>
      <c r="FQ89" s="7"/>
      <c r="FR89" s="7"/>
      <c r="FS89" s="7"/>
      <c r="FT89" s="7">
        <v>18996000</v>
      </c>
      <c r="FU89" s="7">
        <v>1187000</v>
      </c>
      <c r="FV89" s="7">
        <v>1320000</v>
      </c>
      <c r="FW89" s="7">
        <v>1320000</v>
      </c>
      <c r="FX89" s="7">
        <v>1320000</v>
      </c>
      <c r="FY89" s="11"/>
      <c r="FZ89" s="11"/>
      <c r="GA89" s="11"/>
      <c r="GB89" s="11"/>
      <c r="GC89" s="11"/>
      <c r="GD89" s="7">
        <v>-3000</v>
      </c>
      <c r="GE89" s="7">
        <v>-1187000</v>
      </c>
      <c r="GF89" s="7">
        <v>-1320000</v>
      </c>
      <c r="GG89" s="7">
        <v>-1320000</v>
      </c>
      <c r="GH89" s="7">
        <v>-1320000</v>
      </c>
    </row>
    <row r="90" spans="1:190" ht="26.25" x14ac:dyDescent="0.25">
      <c r="A90" s="4">
        <v>89</v>
      </c>
      <c r="B90" s="5" t="s">
        <v>421</v>
      </c>
      <c r="C90" s="9" t="s">
        <v>422</v>
      </c>
      <c r="D90" s="7">
        <v>24</v>
      </c>
      <c r="E90" s="6" t="s">
        <v>423</v>
      </c>
      <c r="F90" s="11">
        <v>3185079</v>
      </c>
      <c r="G90" s="11">
        <v>5610604</v>
      </c>
      <c r="H90" s="11">
        <v>3285773</v>
      </c>
      <c r="I90" s="11">
        <v>5106549</v>
      </c>
      <c r="J90" s="11">
        <v>2953965</v>
      </c>
      <c r="K90" s="11">
        <v>74984846</v>
      </c>
      <c r="L90" s="11">
        <v>51449987</v>
      </c>
      <c r="M90" s="11">
        <v>47001196</v>
      </c>
      <c r="N90" s="11">
        <v>58323809</v>
      </c>
      <c r="O90" s="11">
        <v>52883953</v>
      </c>
      <c r="P90" s="7">
        <v>14016000</v>
      </c>
      <c r="Q90" s="7">
        <v>14759000</v>
      </c>
      <c r="R90" s="7">
        <v>282944000</v>
      </c>
      <c r="S90" s="7">
        <v>439288000</v>
      </c>
      <c r="T90" s="7">
        <v>370661000</v>
      </c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>
        <v>3748000</v>
      </c>
      <c r="AF90" s="11">
        <v>2348000</v>
      </c>
      <c r="AG90" s="11">
        <v>1855000</v>
      </c>
      <c r="AH90" s="11">
        <v>1585000</v>
      </c>
      <c r="AI90" s="11">
        <v>677000</v>
      </c>
      <c r="AJ90" s="11">
        <v>17865000</v>
      </c>
      <c r="AK90" s="11">
        <v>17184000</v>
      </c>
      <c r="AL90" s="11">
        <v>284854000</v>
      </c>
      <c r="AM90" s="11">
        <v>440909000</v>
      </c>
      <c r="AN90" s="11">
        <v>371356000</v>
      </c>
      <c r="AO90" s="7">
        <v>591313000</v>
      </c>
      <c r="AP90" s="7">
        <v>618765000</v>
      </c>
      <c r="AQ90" s="7">
        <v>592607000</v>
      </c>
      <c r="AR90" s="7">
        <v>586718000</v>
      </c>
      <c r="AS90" s="7">
        <v>338042000</v>
      </c>
      <c r="AT90" s="7">
        <v>76543000</v>
      </c>
      <c r="AU90" s="7">
        <v>58086000</v>
      </c>
      <c r="AV90" s="7">
        <v>53439000</v>
      </c>
      <c r="AW90" s="7">
        <v>55332000</v>
      </c>
      <c r="AX90" s="7">
        <v>45934000</v>
      </c>
      <c r="AY90" s="11"/>
      <c r="AZ90" s="11"/>
      <c r="BA90" s="11"/>
      <c r="BB90" s="11"/>
      <c r="BC90" s="11"/>
      <c r="BD90" s="7">
        <v>12162000</v>
      </c>
      <c r="BE90" s="7">
        <v>23876000</v>
      </c>
      <c r="BF90" s="7">
        <v>25167000</v>
      </c>
      <c r="BG90" s="7">
        <v>31468000</v>
      </c>
      <c r="BH90" s="7">
        <v>27697000</v>
      </c>
      <c r="BI90" s="11">
        <v>27196000</v>
      </c>
      <c r="BJ90" s="11">
        <v>26926000</v>
      </c>
      <c r="BK90" s="11">
        <v>29004000</v>
      </c>
      <c r="BL90" s="11">
        <v>29379000</v>
      </c>
      <c r="BM90" s="11">
        <v>25315000</v>
      </c>
      <c r="BN90" s="11">
        <v>707266000</v>
      </c>
      <c r="BO90" s="11">
        <v>727820000</v>
      </c>
      <c r="BP90" s="11">
        <v>700249000</v>
      </c>
      <c r="BQ90" s="11">
        <v>703154000</v>
      </c>
      <c r="BR90" s="11">
        <v>437037000</v>
      </c>
      <c r="BS90" s="11">
        <v>725131000</v>
      </c>
      <c r="BT90" s="11">
        <v>745004000</v>
      </c>
      <c r="BU90" s="11">
        <v>985103000</v>
      </c>
      <c r="BV90" s="11">
        <v>1144063000</v>
      </c>
      <c r="BW90" s="11">
        <v>808393000</v>
      </c>
      <c r="BX90" s="7">
        <v>20000</v>
      </c>
      <c r="BY90" s="7">
        <v>20000</v>
      </c>
      <c r="BZ90" s="7">
        <v>20000</v>
      </c>
      <c r="CA90" s="7">
        <v>20000</v>
      </c>
      <c r="CB90" s="7">
        <v>20000</v>
      </c>
      <c r="CC90" s="11"/>
      <c r="CD90" s="11"/>
      <c r="CE90" s="11"/>
      <c r="CF90" s="11"/>
      <c r="CG90" s="11"/>
      <c r="CH90" s="7">
        <v>145367000</v>
      </c>
      <c r="CI90" s="7">
        <v>163395000</v>
      </c>
      <c r="CJ90" s="7">
        <v>174867000</v>
      </c>
      <c r="CK90" s="7">
        <v>185627000</v>
      </c>
      <c r="CL90" s="7">
        <v>-99926000</v>
      </c>
      <c r="CM90" s="11">
        <v>145387000</v>
      </c>
      <c r="CN90" s="11">
        <v>163415000</v>
      </c>
      <c r="CO90" s="11">
        <v>174887000</v>
      </c>
      <c r="CP90" s="11">
        <v>185647000</v>
      </c>
      <c r="CQ90" s="11">
        <v>-99906000</v>
      </c>
      <c r="CR90" s="11">
        <v>128313000</v>
      </c>
      <c r="CS90" s="11">
        <v>75000000</v>
      </c>
      <c r="CT90" s="11">
        <v>95072000</v>
      </c>
      <c r="CU90" s="11">
        <v>105000000</v>
      </c>
      <c r="CV90" s="11">
        <v>137283000</v>
      </c>
      <c r="CW90" s="11">
        <v>49000</v>
      </c>
      <c r="CX90" s="11">
        <v>449000</v>
      </c>
      <c r="CY90" s="11">
        <v>269654000</v>
      </c>
      <c r="CZ90" s="11">
        <v>398933000</v>
      </c>
      <c r="DA90" s="11">
        <v>331300000</v>
      </c>
      <c r="DB90" s="11">
        <v>128362000</v>
      </c>
      <c r="DC90" s="11">
        <v>75449000</v>
      </c>
      <c r="DD90" s="11">
        <v>364726000</v>
      </c>
      <c r="DE90" s="11">
        <v>503933000</v>
      </c>
      <c r="DF90" s="11">
        <v>468583000</v>
      </c>
      <c r="DG90" s="7">
        <v>5627000</v>
      </c>
      <c r="DH90" s="7">
        <v>42211000</v>
      </c>
      <c r="DI90" s="7"/>
      <c r="DJ90" s="7"/>
      <c r="DK90" s="7">
        <v>5300000</v>
      </c>
      <c r="DL90" s="7">
        <v>445755000</v>
      </c>
      <c r="DM90" s="7">
        <v>463929000</v>
      </c>
      <c r="DN90" s="7">
        <v>445490000</v>
      </c>
      <c r="DO90" s="7">
        <v>454484000</v>
      </c>
      <c r="DP90" s="7">
        <v>434417000</v>
      </c>
      <c r="DQ90" s="11"/>
      <c r="DR90" s="11"/>
      <c r="DS90" s="11"/>
      <c r="DT90" s="11"/>
      <c r="DU90" s="11"/>
      <c r="DV90" s="11"/>
      <c r="DW90" s="11"/>
      <c r="DX90" s="11"/>
      <c r="DY90" s="11"/>
      <c r="DZ90" s="11"/>
      <c r="EA90" s="11">
        <v>451382000</v>
      </c>
      <c r="EB90" s="11">
        <v>506140000</v>
      </c>
      <c r="EC90" s="11">
        <v>445490000</v>
      </c>
      <c r="ED90" s="11">
        <v>454484000</v>
      </c>
      <c r="EE90" s="11">
        <v>439717000</v>
      </c>
      <c r="EF90" s="7">
        <v>1046987000</v>
      </c>
      <c r="EG90" s="7">
        <v>941381000</v>
      </c>
      <c r="EH90" s="7">
        <v>858086000</v>
      </c>
      <c r="EI90" s="7">
        <v>752211000</v>
      </c>
      <c r="EJ90" s="7">
        <v>591349000</v>
      </c>
      <c r="EK90" s="7">
        <v>665981000</v>
      </c>
      <c r="EL90" s="7">
        <v>583857000</v>
      </c>
      <c r="EM90" s="7">
        <v>504924000</v>
      </c>
      <c r="EN90" s="7">
        <v>381565000</v>
      </c>
      <c r="EO90" s="7">
        <v>374650000</v>
      </c>
      <c r="EP90" s="7">
        <v>329316000</v>
      </c>
      <c r="EQ90" s="7">
        <v>317518000</v>
      </c>
      <c r="ER90" s="7">
        <v>307990000</v>
      </c>
      <c r="ES90" s="7">
        <v>313832000</v>
      </c>
      <c r="ET90" s="7">
        <v>356823000</v>
      </c>
      <c r="EU90" s="7"/>
      <c r="EV90" s="7"/>
      <c r="EW90" s="7"/>
      <c r="EX90" s="7"/>
      <c r="EY90" s="7"/>
      <c r="EZ90" s="11"/>
      <c r="FA90" s="11"/>
      <c r="FB90" s="11"/>
      <c r="FC90" s="11"/>
      <c r="FD90" s="11"/>
      <c r="FE90" s="11">
        <v>274000</v>
      </c>
      <c r="FF90" s="11">
        <v>73000</v>
      </c>
      <c r="FG90" s="11">
        <v>686000</v>
      </c>
      <c r="FH90" s="11">
        <v>112000</v>
      </c>
      <c r="FI90" s="11"/>
      <c r="FJ90" s="11">
        <v>11207000</v>
      </c>
      <c r="FK90" s="11">
        <v>10155000</v>
      </c>
      <c r="FL90" s="11">
        <v>16481000</v>
      </c>
      <c r="FM90" s="11">
        <v>15360000</v>
      </c>
      <c r="FN90" s="11">
        <v>30303000</v>
      </c>
      <c r="FO90" s="7">
        <v>26004000</v>
      </c>
      <c r="FP90" s="7">
        <v>56678000</v>
      </c>
      <c r="FQ90" s="7">
        <v>35914000</v>
      </c>
      <c r="FR90" s="7">
        <v>6352000</v>
      </c>
      <c r="FS90" s="7">
        <v>16282000</v>
      </c>
      <c r="FT90" s="7">
        <v>48994000</v>
      </c>
      <c r="FU90" s="7">
        <v>64448000</v>
      </c>
      <c r="FV90" s="7">
        <v>43067000</v>
      </c>
      <c r="FW90" s="7">
        <v>32677000</v>
      </c>
      <c r="FX90" s="7">
        <v>131408000</v>
      </c>
      <c r="FY90" s="11">
        <v>-4976000</v>
      </c>
      <c r="FZ90" s="11">
        <v>-4126000</v>
      </c>
      <c r="GA90" s="11">
        <v>-5252000</v>
      </c>
      <c r="GB90" s="11">
        <v>-4481000</v>
      </c>
      <c r="GC90" s="11"/>
      <c r="GD90" s="7">
        <v>12791000</v>
      </c>
      <c r="GE90" s="7">
        <v>18028000</v>
      </c>
      <c r="GF90" s="7">
        <v>16972000</v>
      </c>
      <c r="GG90" s="7">
        <v>10760000</v>
      </c>
      <c r="GH90" s="7">
        <v>-285553000</v>
      </c>
    </row>
    <row r="91" spans="1:190" x14ac:dyDescent="0.25">
      <c r="A91" s="4">
        <v>90</v>
      </c>
      <c r="B91" s="5" t="s">
        <v>424</v>
      </c>
      <c r="C91" s="9" t="s">
        <v>425</v>
      </c>
      <c r="D91" s="7">
        <v>5</v>
      </c>
      <c r="E91" s="6" t="s">
        <v>363</v>
      </c>
      <c r="F91" s="11">
        <v>609122</v>
      </c>
      <c r="G91" s="11">
        <v>498347</v>
      </c>
      <c r="H91" s="11">
        <v>303956</v>
      </c>
      <c r="I91" s="11"/>
      <c r="J91" s="11">
        <v>186405</v>
      </c>
      <c r="K91" s="11">
        <v>30431</v>
      </c>
      <c r="L91" s="11">
        <v>2451984</v>
      </c>
      <c r="M91" s="11">
        <v>266480</v>
      </c>
      <c r="N91" s="11">
        <v>1979156</v>
      </c>
      <c r="O91" s="11">
        <v>5266197</v>
      </c>
      <c r="P91" s="7">
        <v>1487000</v>
      </c>
      <c r="Q91" s="7">
        <v>1200000</v>
      </c>
      <c r="R91" s="7">
        <v>913000</v>
      </c>
      <c r="S91" s="7">
        <v>5320000</v>
      </c>
      <c r="T91" s="7">
        <v>2797000</v>
      </c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>
        <v>29283000</v>
      </c>
      <c r="AH91" s="11">
        <v>6057000</v>
      </c>
      <c r="AI91" s="11"/>
      <c r="AJ91" s="11">
        <v>1487000</v>
      </c>
      <c r="AK91" s="11">
        <v>1200000</v>
      </c>
      <c r="AL91" s="11">
        <v>30196000</v>
      </c>
      <c r="AM91" s="11">
        <v>11377000</v>
      </c>
      <c r="AN91" s="11">
        <v>2797000</v>
      </c>
      <c r="AO91" s="7">
        <v>17743000</v>
      </c>
      <c r="AP91" s="7">
        <v>168287000</v>
      </c>
      <c r="AQ91" s="7">
        <v>236688000</v>
      </c>
      <c r="AR91" s="7">
        <v>124090000</v>
      </c>
      <c r="AS91" s="7">
        <v>13640000</v>
      </c>
      <c r="AT91" s="7">
        <v>52115000</v>
      </c>
      <c r="AU91" s="7">
        <v>149659000</v>
      </c>
      <c r="AV91" s="7">
        <v>1000000</v>
      </c>
      <c r="AW91" s="7">
        <v>6914000</v>
      </c>
      <c r="AX91" s="7">
        <v>131742000</v>
      </c>
      <c r="AY91" s="11">
        <v>6368000</v>
      </c>
      <c r="AZ91" s="11">
        <v>7321000</v>
      </c>
      <c r="BA91" s="11">
        <v>250000</v>
      </c>
      <c r="BB91" s="11"/>
      <c r="BC91" s="11">
        <v>327000</v>
      </c>
      <c r="BD91" s="7">
        <v>416000</v>
      </c>
      <c r="BE91" s="7">
        <v>12459000</v>
      </c>
      <c r="BF91" s="7">
        <v>7404000</v>
      </c>
      <c r="BG91" s="7">
        <v>12074000</v>
      </c>
      <c r="BH91" s="7">
        <v>436000</v>
      </c>
      <c r="BI91" s="11">
        <v>9000</v>
      </c>
      <c r="BJ91" s="11">
        <v>13245000</v>
      </c>
      <c r="BK91" s="11">
        <v>38142000</v>
      </c>
      <c r="BL91" s="11">
        <v>5172000</v>
      </c>
      <c r="BM91" s="11"/>
      <c r="BN91" s="11">
        <v>77708000</v>
      </c>
      <c r="BO91" s="11">
        <v>352704000</v>
      </c>
      <c r="BP91" s="11">
        <v>284270000</v>
      </c>
      <c r="BQ91" s="11">
        <v>151027000</v>
      </c>
      <c r="BR91" s="11">
        <v>146144000</v>
      </c>
      <c r="BS91" s="11">
        <v>79195000</v>
      </c>
      <c r="BT91" s="11">
        <v>353905000</v>
      </c>
      <c r="BU91" s="11">
        <v>314466000</v>
      </c>
      <c r="BV91" s="11">
        <v>162404000</v>
      </c>
      <c r="BW91" s="11">
        <v>148941000</v>
      </c>
      <c r="BX91" s="7">
        <v>20000</v>
      </c>
      <c r="BY91" s="7">
        <v>20000</v>
      </c>
      <c r="BZ91" s="7">
        <v>20000</v>
      </c>
      <c r="CA91" s="7">
        <v>20000</v>
      </c>
      <c r="CB91" s="7">
        <v>20000</v>
      </c>
      <c r="CC91" s="11"/>
      <c r="CD91" s="11"/>
      <c r="CE91" s="11"/>
      <c r="CF91" s="11"/>
      <c r="CG91" s="11"/>
      <c r="CH91" s="7">
        <v>3114000</v>
      </c>
      <c r="CI91" s="7">
        <v>3515000</v>
      </c>
      <c r="CJ91" s="7">
        <v>4740000</v>
      </c>
      <c r="CK91" s="7">
        <v>7216000</v>
      </c>
      <c r="CL91" s="7">
        <v>12627000</v>
      </c>
      <c r="CM91" s="11">
        <v>3134000</v>
      </c>
      <c r="CN91" s="11">
        <v>3535000</v>
      </c>
      <c r="CO91" s="11">
        <v>4760000</v>
      </c>
      <c r="CP91" s="11">
        <v>7236000</v>
      </c>
      <c r="CQ91" s="11">
        <v>12647000</v>
      </c>
      <c r="CR91" s="11"/>
      <c r="CS91" s="11"/>
      <c r="CT91" s="11"/>
      <c r="CU91" s="11"/>
      <c r="CV91" s="11"/>
      <c r="CW91" s="11">
        <v>58126000</v>
      </c>
      <c r="CX91" s="11">
        <v>169784000</v>
      </c>
      <c r="CY91" s="11">
        <v>110254000</v>
      </c>
      <c r="CZ91" s="11">
        <v>28881000</v>
      </c>
      <c r="DA91" s="11"/>
      <c r="DB91" s="11">
        <v>58126000</v>
      </c>
      <c r="DC91" s="11">
        <v>169784000</v>
      </c>
      <c r="DD91" s="11">
        <v>110254000</v>
      </c>
      <c r="DE91" s="11">
        <v>28881000</v>
      </c>
      <c r="DF91" s="11"/>
      <c r="DG91" s="7"/>
      <c r="DH91" s="7"/>
      <c r="DI91" s="7"/>
      <c r="DJ91" s="7"/>
      <c r="DK91" s="7"/>
      <c r="DL91" s="7">
        <v>17935000</v>
      </c>
      <c r="DM91" s="7">
        <v>180586000</v>
      </c>
      <c r="DN91" s="7">
        <v>199453000</v>
      </c>
      <c r="DO91" s="7">
        <v>126287000</v>
      </c>
      <c r="DP91" s="7">
        <v>136295000</v>
      </c>
      <c r="DQ91" s="11"/>
      <c r="DR91" s="11"/>
      <c r="DS91" s="11"/>
      <c r="DT91" s="11"/>
      <c r="DU91" s="11"/>
      <c r="DV91" s="11"/>
      <c r="DW91" s="11"/>
      <c r="DX91" s="11"/>
      <c r="DY91" s="11"/>
      <c r="DZ91" s="11"/>
      <c r="EA91" s="11">
        <v>17935000</v>
      </c>
      <c r="EB91" s="11">
        <v>180586000</v>
      </c>
      <c r="EC91" s="11">
        <v>199453000</v>
      </c>
      <c r="ED91" s="11">
        <v>126287000</v>
      </c>
      <c r="EE91" s="11">
        <v>136295000</v>
      </c>
      <c r="EF91" s="7">
        <v>44333000</v>
      </c>
      <c r="EG91" s="7">
        <v>102261000</v>
      </c>
      <c r="EH91" s="7">
        <v>211994000</v>
      </c>
      <c r="EI91" s="7">
        <v>325800000</v>
      </c>
      <c r="EJ91" s="7">
        <v>47524000</v>
      </c>
      <c r="EK91" s="7">
        <v>37152000</v>
      </c>
      <c r="EL91" s="7">
        <v>50912000</v>
      </c>
      <c r="EM91" s="7">
        <v>117149000</v>
      </c>
      <c r="EN91" s="7">
        <v>216388000</v>
      </c>
      <c r="EO91" s="7">
        <v>11419000</v>
      </c>
      <c r="EP91" s="7"/>
      <c r="EQ91" s="7"/>
      <c r="ER91" s="7"/>
      <c r="ES91" s="7"/>
      <c r="ET91" s="7"/>
      <c r="EU91" s="7">
        <v>6274000</v>
      </c>
      <c r="EV91" s="7">
        <v>46795000</v>
      </c>
      <c r="EW91" s="7">
        <v>96712000</v>
      </c>
      <c r="EX91" s="7">
        <v>103251000</v>
      </c>
      <c r="EY91" s="7">
        <v>36299000</v>
      </c>
      <c r="EZ91" s="11"/>
      <c r="FA91" s="11"/>
      <c r="FB91" s="11"/>
      <c r="FC91" s="11"/>
      <c r="FD91" s="11"/>
      <c r="FE91" s="11"/>
      <c r="FF91" s="11"/>
      <c r="FG91" s="11"/>
      <c r="FH91" s="11"/>
      <c r="FI91" s="11"/>
      <c r="FJ91" s="11"/>
      <c r="FK91" s="11"/>
      <c r="FL91" s="11"/>
      <c r="FM91" s="11"/>
      <c r="FN91" s="11"/>
      <c r="FO91" s="7">
        <v>29291000</v>
      </c>
      <c r="FP91" s="7">
        <v>7933000</v>
      </c>
      <c r="FQ91" s="7">
        <v>6682000</v>
      </c>
      <c r="FR91" s="7">
        <v>3792000</v>
      </c>
      <c r="FS91" s="7">
        <v>676000</v>
      </c>
      <c r="FT91" s="7">
        <v>26306000</v>
      </c>
      <c r="FU91" s="7">
        <v>11985000</v>
      </c>
      <c r="FV91" s="7">
        <v>3285000</v>
      </c>
      <c r="FW91" s="7">
        <v>6858000</v>
      </c>
      <c r="FX91" s="7">
        <v>128000</v>
      </c>
      <c r="FY91" s="11">
        <v>-778000</v>
      </c>
      <c r="FZ91" s="11">
        <v>-100000</v>
      </c>
      <c r="GA91" s="11">
        <v>-306000</v>
      </c>
      <c r="GB91" s="11">
        <v>-619000</v>
      </c>
      <c r="GC91" s="11">
        <v>-71000</v>
      </c>
      <c r="GD91" s="7">
        <v>3114000</v>
      </c>
      <c r="GE91" s="7">
        <v>402000</v>
      </c>
      <c r="GF91" s="7">
        <v>1224000</v>
      </c>
      <c r="GG91" s="7">
        <v>2476000</v>
      </c>
      <c r="GH91" s="7">
        <v>283000</v>
      </c>
    </row>
    <row r="92" spans="1:190" ht="26.25" x14ac:dyDescent="0.25">
      <c r="A92" s="4">
        <v>91</v>
      </c>
      <c r="B92" s="5" t="s">
        <v>426</v>
      </c>
      <c r="C92" s="9" t="s">
        <v>427</v>
      </c>
      <c r="D92" s="7">
        <v>33</v>
      </c>
      <c r="E92" s="6" t="s">
        <v>195</v>
      </c>
      <c r="F92" s="11">
        <v>600</v>
      </c>
      <c r="G92" s="11">
        <v>242</v>
      </c>
      <c r="H92" s="11"/>
      <c r="I92" s="11"/>
      <c r="J92" s="11">
        <v>71874</v>
      </c>
      <c r="K92" s="11">
        <v>1077060</v>
      </c>
      <c r="L92" s="11">
        <v>227240</v>
      </c>
      <c r="M92" s="11">
        <v>428619</v>
      </c>
      <c r="N92" s="11">
        <v>2691</v>
      </c>
      <c r="O92" s="11">
        <v>334899</v>
      </c>
      <c r="P92" s="7">
        <v>374303000</v>
      </c>
      <c r="Q92" s="7">
        <v>354156000</v>
      </c>
      <c r="R92" s="7">
        <v>337254000</v>
      </c>
      <c r="S92" s="7">
        <v>241143000</v>
      </c>
      <c r="T92" s="7">
        <v>120881000</v>
      </c>
      <c r="U92" s="11"/>
      <c r="V92" s="11"/>
      <c r="W92" s="11"/>
      <c r="X92" s="11"/>
      <c r="Y92" s="11"/>
      <c r="Z92" s="11">
        <v>180043000</v>
      </c>
      <c r="AA92" s="11">
        <v>180010000</v>
      </c>
      <c r="AB92" s="11">
        <v>180010000</v>
      </c>
      <c r="AC92" s="11"/>
      <c r="AD92" s="11"/>
      <c r="AE92" s="11"/>
      <c r="AF92" s="11"/>
      <c r="AG92" s="11"/>
      <c r="AH92" s="11"/>
      <c r="AI92" s="11"/>
      <c r="AJ92" s="11">
        <v>554346000</v>
      </c>
      <c r="AK92" s="11">
        <v>534166000</v>
      </c>
      <c r="AL92" s="11">
        <v>517264000</v>
      </c>
      <c r="AM92" s="11">
        <v>241143000</v>
      </c>
      <c r="AN92" s="11">
        <v>120881000</v>
      </c>
      <c r="AO92" s="7">
        <v>78127000</v>
      </c>
      <c r="AP92" s="7">
        <v>68695000</v>
      </c>
      <c r="AQ92" s="7">
        <v>104474000</v>
      </c>
      <c r="AR92" s="7">
        <v>14662000</v>
      </c>
      <c r="AS92" s="7">
        <v>10017000</v>
      </c>
      <c r="AT92" s="7">
        <v>34633000</v>
      </c>
      <c r="AU92" s="7">
        <v>3552000</v>
      </c>
      <c r="AV92" s="7">
        <v>6165000</v>
      </c>
      <c r="AW92" s="7">
        <v>1564000</v>
      </c>
      <c r="AX92" s="7">
        <v>398000</v>
      </c>
      <c r="AY92" s="11">
        <v>119580000</v>
      </c>
      <c r="AZ92" s="11">
        <v>119580000</v>
      </c>
      <c r="BA92" s="11">
        <v>119580000</v>
      </c>
      <c r="BB92" s="11">
        <v>33000</v>
      </c>
      <c r="BC92" s="11"/>
      <c r="BD92" s="7">
        <v>134000</v>
      </c>
      <c r="BE92" s="7">
        <v>1242000</v>
      </c>
      <c r="BF92" s="7">
        <v>306000</v>
      </c>
      <c r="BG92" s="7">
        <v>1298000</v>
      </c>
      <c r="BH92" s="7">
        <v>20895000</v>
      </c>
      <c r="BI92" s="11">
        <v>5966000</v>
      </c>
      <c r="BJ92" s="11">
        <v>10000</v>
      </c>
      <c r="BK92" s="11">
        <v>13000</v>
      </c>
      <c r="BL92" s="11"/>
      <c r="BM92" s="11"/>
      <c r="BN92" s="11">
        <v>238448000</v>
      </c>
      <c r="BO92" s="11">
        <v>193078000</v>
      </c>
      <c r="BP92" s="11">
        <v>230539000</v>
      </c>
      <c r="BQ92" s="11">
        <v>17557000</v>
      </c>
      <c r="BR92" s="11">
        <v>31310000</v>
      </c>
      <c r="BS92" s="11">
        <v>792794000</v>
      </c>
      <c r="BT92" s="11">
        <v>727244000</v>
      </c>
      <c r="BU92" s="11">
        <v>747802000</v>
      </c>
      <c r="BV92" s="11">
        <v>258700000</v>
      </c>
      <c r="BW92" s="11">
        <v>152191000</v>
      </c>
      <c r="BX92" s="7">
        <v>246358000</v>
      </c>
      <c r="BY92" s="7">
        <v>246358000</v>
      </c>
      <c r="BZ92" s="7">
        <v>246358000</v>
      </c>
      <c r="CA92" s="7">
        <v>246358000</v>
      </c>
      <c r="CB92" s="7">
        <v>246358000</v>
      </c>
      <c r="CC92" s="11"/>
      <c r="CD92" s="11"/>
      <c r="CE92" s="11"/>
      <c r="CF92" s="11"/>
      <c r="CG92" s="11"/>
      <c r="CH92" s="7">
        <v>131155000</v>
      </c>
      <c r="CI92" s="7">
        <v>98337000</v>
      </c>
      <c r="CJ92" s="7">
        <v>108430000</v>
      </c>
      <c r="CK92" s="7">
        <v>-356628000</v>
      </c>
      <c r="CL92" s="7">
        <v>-449501000</v>
      </c>
      <c r="CM92" s="11">
        <v>389393000</v>
      </c>
      <c r="CN92" s="11">
        <v>356575000</v>
      </c>
      <c r="CO92" s="11">
        <v>366668000</v>
      </c>
      <c r="CP92" s="11">
        <v>-98390000</v>
      </c>
      <c r="CQ92" s="11">
        <v>-191263000</v>
      </c>
      <c r="CR92" s="11">
        <v>121591000</v>
      </c>
      <c r="CS92" s="11">
        <v>120306000</v>
      </c>
      <c r="CT92" s="11">
        <v>120306000</v>
      </c>
      <c r="CU92" s="11"/>
      <c r="CV92" s="11"/>
      <c r="CW92" s="11"/>
      <c r="CX92" s="11"/>
      <c r="CY92" s="11"/>
      <c r="CZ92" s="11"/>
      <c r="DA92" s="11"/>
      <c r="DB92" s="11">
        <v>121591000</v>
      </c>
      <c r="DC92" s="11">
        <v>120306000</v>
      </c>
      <c r="DD92" s="11">
        <v>120306000</v>
      </c>
      <c r="DE92" s="11"/>
      <c r="DF92" s="11"/>
      <c r="DG92" s="7">
        <v>78760000</v>
      </c>
      <c r="DH92" s="7">
        <v>55446000</v>
      </c>
      <c r="DI92" s="7">
        <v>55446000</v>
      </c>
      <c r="DJ92" s="7"/>
      <c r="DK92" s="7"/>
      <c r="DL92" s="7">
        <v>203050000</v>
      </c>
      <c r="DM92" s="7">
        <v>194916000</v>
      </c>
      <c r="DN92" s="7">
        <v>205382000</v>
      </c>
      <c r="DO92" s="7">
        <v>357090000</v>
      </c>
      <c r="DP92" s="7">
        <v>343454000</v>
      </c>
      <c r="DQ92" s="11"/>
      <c r="DR92" s="11"/>
      <c r="DS92" s="11"/>
      <c r="DT92" s="11"/>
      <c r="DU92" s="11"/>
      <c r="DV92" s="11"/>
      <c r="DW92" s="11"/>
      <c r="DX92" s="11"/>
      <c r="DY92" s="11"/>
      <c r="DZ92" s="11"/>
      <c r="EA92" s="11">
        <v>281810000</v>
      </c>
      <c r="EB92" s="11">
        <v>250362000</v>
      </c>
      <c r="EC92" s="11">
        <v>260828000</v>
      </c>
      <c r="ED92" s="11">
        <v>357090000</v>
      </c>
      <c r="EE92" s="11">
        <v>343454000</v>
      </c>
      <c r="EF92" s="7">
        <v>131908000</v>
      </c>
      <c r="EG92" s="7">
        <v>115565000</v>
      </c>
      <c r="EH92" s="7">
        <v>57798000</v>
      </c>
      <c r="EI92" s="7">
        <v>17191000</v>
      </c>
      <c r="EJ92" s="7">
        <v>2700000</v>
      </c>
      <c r="EK92" s="7">
        <v>125976000</v>
      </c>
      <c r="EL92" s="7">
        <v>152127000</v>
      </c>
      <c r="EM92" s="7">
        <v>44797000</v>
      </c>
      <c r="EN92" s="7">
        <v>11687000</v>
      </c>
      <c r="EO92" s="7"/>
      <c r="EP92" s="7"/>
      <c r="EQ92" s="7"/>
      <c r="ER92" s="7"/>
      <c r="ES92" s="7"/>
      <c r="ET92" s="7"/>
      <c r="EU92" s="7"/>
      <c r="EV92" s="7"/>
      <c r="EW92" s="7">
        <v>2504000</v>
      </c>
      <c r="EX92" s="7">
        <v>1462000</v>
      </c>
      <c r="EY92" s="7"/>
      <c r="EZ92" s="11"/>
      <c r="FA92" s="11"/>
      <c r="FB92" s="11"/>
      <c r="FC92" s="11"/>
      <c r="FD92" s="11"/>
      <c r="FE92" s="11"/>
      <c r="FF92" s="11"/>
      <c r="FG92" s="11"/>
      <c r="FH92" s="11"/>
      <c r="FI92" s="11"/>
      <c r="FJ92" s="11">
        <v>24495000</v>
      </c>
      <c r="FK92" s="11">
        <v>1120000</v>
      </c>
      <c r="FL92" s="11"/>
      <c r="FM92" s="11"/>
      <c r="FN92" s="11"/>
      <c r="FO92" s="7">
        <v>18727000</v>
      </c>
      <c r="FP92" s="7">
        <v>13054000</v>
      </c>
      <c r="FQ92" s="7"/>
      <c r="FR92" s="7">
        <v>2100000</v>
      </c>
      <c r="FS92" s="7">
        <v>32696000</v>
      </c>
      <c r="FT92" s="7">
        <v>1302000</v>
      </c>
      <c r="FU92" s="7">
        <v>8189000</v>
      </c>
      <c r="FV92" s="7">
        <v>405000</v>
      </c>
      <c r="FW92" s="7">
        <v>493000</v>
      </c>
      <c r="FX92" s="7">
        <v>145130000</v>
      </c>
      <c r="FY92" s="11"/>
      <c r="FZ92" s="11"/>
      <c r="GA92" s="11"/>
      <c r="GB92" s="11"/>
      <c r="GC92" s="11"/>
      <c r="GD92" s="7">
        <v>-1138000</v>
      </c>
      <c r="GE92" s="7">
        <v>-32817000</v>
      </c>
      <c r="GF92" s="7">
        <v>10092000</v>
      </c>
      <c r="GG92" s="7">
        <v>5649000</v>
      </c>
      <c r="GH92" s="7">
        <v>-109734000</v>
      </c>
    </row>
    <row r="93" spans="1:190" ht="51.75" x14ac:dyDescent="0.25">
      <c r="A93" s="4">
        <v>92</v>
      </c>
      <c r="B93" s="5" t="s">
        <v>428</v>
      </c>
      <c r="C93" s="9" t="s">
        <v>429</v>
      </c>
      <c r="D93" s="7">
        <v>32</v>
      </c>
      <c r="E93" s="6" t="s">
        <v>430</v>
      </c>
      <c r="F93" s="11">
        <v>13062098</v>
      </c>
      <c r="G93" s="11">
        <v>8772799</v>
      </c>
      <c r="H93" s="11">
        <v>1936258</v>
      </c>
      <c r="I93" s="11"/>
      <c r="J93" s="11">
        <v>3774834</v>
      </c>
      <c r="K93" s="11"/>
      <c r="L93" s="11">
        <v>135518944</v>
      </c>
      <c r="M93" s="11">
        <v>285884470</v>
      </c>
      <c r="N93" s="11">
        <v>8426257</v>
      </c>
      <c r="O93" s="11">
        <v>35361814</v>
      </c>
      <c r="P93" s="7">
        <v>198330000</v>
      </c>
      <c r="Q93" s="7">
        <v>156999000</v>
      </c>
      <c r="R93" s="7">
        <v>138579000</v>
      </c>
      <c r="S93" s="7"/>
      <c r="T93" s="7"/>
      <c r="U93" s="11"/>
      <c r="V93" s="11"/>
      <c r="W93" s="11"/>
      <c r="X93" s="11"/>
      <c r="Y93" s="11"/>
      <c r="Z93" s="11">
        <v>19500000</v>
      </c>
      <c r="AA93" s="11">
        <v>19500000</v>
      </c>
      <c r="AB93" s="11">
        <v>19500000</v>
      </c>
      <c r="AC93" s="11"/>
      <c r="AD93" s="11"/>
      <c r="AE93" s="11"/>
      <c r="AF93" s="11"/>
      <c r="AG93" s="11"/>
      <c r="AH93" s="11"/>
      <c r="AI93" s="11"/>
      <c r="AJ93" s="11">
        <v>229434000</v>
      </c>
      <c r="AK93" s="11">
        <v>177713000</v>
      </c>
      <c r="AL93" s="11">
        <v>177903000</v>
      </c>
      <c r="AM93" s="11"/>
      <c r="AN93" s="11"/>
      <c r="AO93" s="7">
        <v>3388562000</v>
      </c>
      <c r="AP93" s="7">
        <v>846489000</v>
      </c>
      <c r="AQ93" s="7">
        <v>600421000</v>
      </c>
      <c r="AR93" s="7"/>
      <c r="AS93" s="7"/>
      <c r="AT93" s="7">
        <v>14857882000</v>
      </c>
      <c r="AU93" s="7">
        <v>16923024000</v>
      </c>
      <c r="AV93" s="7">
        <v>3602373000</v>
      </c>
      <c r="AW93" s="7"/>
      <c r="AX93" s="7"/>
      <c r="AY93" s="11">
        <v>660081000</v>
      </c>
      <c r="AZ93" s="11">
        <v>19510000</v>
      </c>
      <c r="BA93" s="11">
        <v>5465000</v>
      </c>
      <c r="BB93" s="11"/>
      <c r="BC93" s="11"/>
      <c r="BD93" s="7">
        <v>44224000</v>
      </c>
      <c r="BE93" s="7">
        <v>23066000</v>
      </c>
      <c r="BF93" s="7">
        <v>103185000</v>
      </c>
      <c r="BG93" s="7"/>
      <c r="BH93" s="7"/>
      <c r="BI93" s="11">
        <v>73722000</v>
      </c>
      <c r="BJ93" s="11">
        <v>147778000</v>
      </c>
      <c r="BK93" s="11">
        <v>181458000</v>
      </c>
      <c r="BL93" s="11"/>
      <c r="BM93" s="11"/>
      <c r="BN93" s="11">
        <v>19034224000</v>
      </c>
      <c r="BO93" s="11">
        <v>17960149000</v>
      </c>
      <c r="BP93" s="11">
        <v>4492902000</v>
      </c>
      <c r="BQ93" s="11"/>
      <c r="BR93" s="11"/>
      <c r="BS93" s="11">
        <v>19263658000</v>
      </c>
      <c r="BT93" s="11">
        <v>18137862000</v>
      </c>
      <c r="BU93" s="11">
        <v>4670805000</v>
      </c>
      <c r="BV93" s="11"/>
      <c r="BW93" s="11"/>
      <c r="BX93" s="7">
        <v>7000</v>
      </c>
      <c r="BY93" s="7">
        <v>7000</v>
      </c>
      <c r="BZ93" s="7">
        <v>7000</v>
      </c>
      <c r="CA93" s="7"/>
      <c r="CB93" s="7"/>
      <c r="CC93" s="11">
        <v>13939000</v>
      </c>
      <c r="CD93" s="11">
        <v>13939000</v>
      </c>
      <c r="CE93" s="11">
        <v>13939000</v>
      </c>
      <c r="CF93" s="11"/>
      <c r="CG93" s="11"/>
      <c r="CH93" s="7">
        <v>1218163000</v>
      </c>
      <c r="CI93" s="7">
        <v>1207582000</v>
      </c>
      <c r="CJ93" s="7">
        <v>1204812000</v>
      </c>
      <c r="CK93" s="7"/>
      <c r="CL93" s="7"/>
      <c r="CM93" s="11">
        <v>1232325000</v>
      </c>
      <c r="CN93" s="11">
        <v>1221744000</v>
      </c>
      <c r="CO93" s="11">
        <v>1218974000</v>
      </c>
      <c r="CP93" s="11"/>
      <c r="CQ93" s="11"/>
      <c r="CR93" s="11">
        <v>86242000</v>
      </c>
      <c r="CS93" s="11"/>
      <c r="CT93" s="11"/>
      <c r="CU93" s="11"/>
      <c r="CV93" s="11"/>
      <c r="CW93" s="11"/>
      <c r="CX93" s="11"/>
      <c r="CY93" s="11"/>
      <c r="CZ93" s="11"/>
      <c r="DA93" s="11"/>
      <c r="DB93" s="11">
        <v>86249000</v>
      </c>
      <c r="DC93" s="11">
        <v>7000</v>
      </c>
      <c r="DD93" s="11">
        <v>28594000</v>
      </c>
      <c r="DE93" s="11"/>
      <c r="DF93" s="11"/>
      <c r="DG93" s="7">
        <v>2330775000</v>
      </c>
      <c r="DH93" s="7">
        <v>1684073000</v>
      </c>
      <c r="DI93" s="7">
        <v>1690935000</v>
      </c>
      <c r="DJ93" s="7"/>
      <c r="DK93" s="7"/>
      <c r="DL93" s="7">
        <v>15602742000</v>
      </c>
      <c r="DM93" s="7">
        <v>15231757000</v>
      </c>
      <c r="DN93" s="7">
        <v>1732302000</v>
      </c>
      <c r="DO93" s="7"/>
      <c r="DP93" s="7"/>
      <c r="DQ93" s="11"/>
      <c r="DR93" s="11"/>
      <c r="DS93" s="11"/>
      <c r="DT93" s="11"/>
      <c r="DU93" s="11"/>
      <c r="DV93" s="11"/>
      <c r="DW93" s="11">
        <v>281000</v>
      </c>
      <c r="DX93" s="11"/>
      <c r="DY93" s="11"/>
      <c r="DZ93" s="11"/>
      <c r="EA93" s="11">
        <v>17945084000</v>
      </c>
      <c r="EB93" s="11">
        <v>16916111000</v>
      </c>
      <c r="EC93" s="11">
        <v>3423237000</v>
      </c>
      <c r="ED93" s="11"/>
      <c r="EE93" s="11"/>
      <c r="EF93" s="7">
        <v>5527706000</v>
      </c>
      <c r="EG93" s="7">
        <v>4548439000</v>
      </c>
      <c r="EH93" s="7">
        <v>1204798000</v>
      </c>
      <c r="EI93" s="7"/>
      <c r="EJ93" s="7"/>
      <c r="EK93" s="7">
        <v>5116159000</v>
      </c>
      <c r="EL93" s="7">
        <v>4149345000</v>
      </c>
      <c r="EM93" s="7">
        <v>1092947000</v>
      </c>
      <c r="EN93" s="7"/>
      <c r="EO93" s="7"/>
      <c r="EP93" s="7">
        <v>109560000</v>
      </c>
      <c r="EQ93" s="7">
        <v>52959000</v>
      </c>
      <c r="ER93" s="7">
        <v>14745000</v>
      </c>
      <c r="ES93" s="7"/>
      <c r="ET93" s="7"/>
      <c r="EU93" s="7"/>
      <c r="EV93" s="7">
        <v>34824000</v>
      </c>
      <c r="EW93" s="7">
        <v>31360000</v>
      </c>
      <c r="EX93" s="7"/>
      <c r="EY93" s="7"/>
      <c r="EZ93" s="11"/>
      <c r="FA93" s="11"/>
      <c r="FB93" s="11"/>
      <c r="FC93" s="11"/>
      <c r="FD93" s="11"/>
      <c r="FE93" s="11">
        <v>32094000</v>
      </c>
      <c r="FF93" s="11">
        <v>16797000</v>
      </c>
      <c r="FG93" s="11">
        <v>1111000</v>
      </c>
      <c r="FH93" s="11"/>
      <c r="FI93" s="11"/>
      <c r="FJ93" s="11">
        <v>211234000</v>
      </c>
      <c r="FK93" s="11">
        <v>127483000</v>
      </c>
      <c r="FL93" s="11">
        <v>9613000</v>
      </c>
      <c r="FM93" s="11"/>
      <c r="FN93" s="11"/>
      <c r="FO93" s="7">
        <v>1385171000</v>
      </c>
      <c r="FP93" s="7">
        <v>678637000</v>
      </c>
      <c r="FQ93" s="7">
        <v>372324000</v>
      </c>
      <c r="FR93" s="7"/>
      <c r="FS93" s="7"/>
      <c r="FT93" s="7">
        <v>1460256000</v>
      </c>
      <c r="FU93" s="7">
        <v>883210000</v>
      </c>
      <c r="FV93" s="7">
        <v>419023000</v>
      </c>
      <c r="FW93" s="7"/>
      <c r="FX93" s="7"/>
      <c r="FY93" s="11">
        <v>-20629000</v>
      </c>
      <c r="FZ93" s="11">
        <v>-6502000</v>
      </c>
      <c r="GA93" s="11">
        <v>-9827000</v>
      </c>
      <c r="GB93" s="11"/>
      <c r="GC93" s="11"/>
      <c r="GD93" s="7">
        <v>27133000</v>
      </c>
      <c r="GE93" s="7">
        <v>-10450000</v>
      </c>
      <c r="GF93" s="7">
        <v>628000</v>
      </c>
      <c r="GG93" s="7"/>
      <c r="GH93" s="7"/>
    </row>
    <row r="94" spans="1:190" ht="26.25" x14ac:dyDescent="0.25">
      <c r="A94" s="4">
        <v>93</v>
      </c>
      <c r="B94" s="5" t="s">
        <v>431</v>
      </c>
      <c r="C94" s="9" t="s">
        <v>432</v>
      </c>
      <c r="D94" s="7">
        <v>32</v>
      </c>
      <c r="E94" s="6" t="s">
        <v>433</v>
      </c>
      <c r="F94" s="11">
        <v>719431</v>
      </c>
      <c r="G94" s="11">
        <v>1723591</v>
      </c>
      <c r="H94" s="11">
        <v>3042514</v>
      </c>
      <c r="I94" s="11">
        <v>20320726</v>
      </c>
      <c r="J94" s="11"/>
      <c r="K94" s="11">
        <v>6300427</v>
      </c>
      <c r="L94" s="11">
        <v>19564187</v>
      </c>
      <c r="M94" s="11">
        <v>32655157</v>
      </c>
      <c r="N94" s="11">
        <v>2413915</v>
      </c>
      <c r="O94" s="11"/>
      <c r="P94" s="7">
        <v>1551000</v>
      </c>
      <c r="Q94" s="7">
        <v>4480000</v>
      </c>
      <c r="R94" s="7">
        <v>2155000</v>
      </c>
      <c r="S94" s="7">
        <v>1200000</v>
      </c>
      <c r="T94" s="7"/>
      <c r="U94" s="11"/>
      <c r="V94" s="11"/>
      <c r="W94" s="11"/>
      <c r="X94" s="11"/>
      <c r="Y94" s="11"/>
      <c r="Z94" s="11">
        <v>214000</v>
      </c>
      <c r="AA94" s="11">
        <v>145000</v>
      </c>
      <c r="AB94" s="11">
        <v>95000</v>
      </c>
      <c r="AC94" s="11">
        <v>1000</v>
      </c>
      <c r="AD94" s="11"/>
      <c r="AE94" s="11"/>
      <c r="AF94" s="11"/>
      <c r="AG94" s="11"/>
      <c r="AH94" s="11"/>
      <c r="AI94" s="11"/>
      <c r="AJ94" s="11">
        <v>1765000</v>
      </c>
      <c r="AK94" s="11">
        <v>4625000</v>
      </c>
      <c r="AL94" s="11">
        <v>2250000</v>
      </c>
      <c r="AM94" s="11">
        <v>1201000</v>
      </c>
      <c r="AN94" s="11"/>
      <c r="AO94" s="7">
        <v>250358000</v>
      </c>
      <c r="AP94" s="7">
        <v>217253000</v>
      </c>
      <c r="AQ94" s="7">
        <v>123074000</v>
      </c>
      <c r="AR94" s="7">
        <v>310000</v>
      </c>
      <c r="AS94" s="7"/>
      <c r="AT94" s="7">
        <v>52258000</v>
      </c>
      <c r="AU94" s="7">
        <v>43419000</v>
      </c>
      <c r="AV94" s="7">
        <v>99736000</v>
      </c>
      <c r="AW94" s="7">
        <v>74650000</v>
      </c>
      <c r="AX94" s="7"/>
      <c r="AY94" s="11"/>
      <c r="AZ94" s="11"/>
      <c r="BA94" s="11"/>
      <c r="BB94" s="11"/>
      <c r="BC94" s="11"/>
      <c r="BD94" s="7">
        <v>4404000</v>
      </c>
      <c r="BE94" s="7">
        <v>7540000</v>
      </c>
      <c r="BF94" s="7">
        <v>1600000</v>
      </c>
      <c r="BG94" s="7">
        <v>334000</v>
      </c>
      <c r="BH94" s="7"/>
      <c r="BI94" s="11"/>
      <c r="BJ94" s="11"/>
      <c r="BK94" s="11"/>
      <c r="BL94" s="11"/>
      <c r="BM94" s="11"/>
      <c r="BN94" s="11">
        <v>307020000</v>
      </c>
      <c r="BO94" s="11">
        <v>268212000</v>
      </c>
      <c r="BP94" s="11">
        <v>224410000</v>
      </c>
      <c r="BQ94" s="11">
        <v>75294000</v>
      </c>
      <c r="BR94" s="11"/>
      <c r="BS94" s="11">
        <v>308785000</v>
      </c>
      <c r="BT94" s="11">
        <v>272837000</v>
      </c>
      <c r="BU94" s="11">
        <v>226661000</v>
      </c>
      <c r="BV94" s="11">
        <v>76495000</v>
      </c>
      <c r="BW94" s="11"/>
      <c r="BX94" s="7"/>
      <c r="BY94" s="7"/>
      <c r="BZ94" s="7"/>
      <c r="CA94" s="7"/>
      <c r="CB94" s="7"/>
      <c r="CC94" s="11"/>
      <c r="CD94" s="11"/>
      <c r="CE94" s="11"/>
      <c r="CF94" s="11"/>
      <c r="CG94" s="11"/>
      <c r="CH94" s="7"/>
      <c r="CI94" s="7"/>
      <c r="CJ94" s="7"/>
      <c r="CK94" s="7"/>
      <c r="CL94" s="7"/>
      <c r="CM94" s="11">
        <v>93569000</v>
      </c>
      <c r="CN94" s="11">
        <v>95614000</v>
      </c>
      <c r="CO94" s="11">
        <v>96887000</v>
      </c>
      <c r="CP94" s="11">
        <v>-110884000</v>
      </c>
      <c r="CQ94" s="11"/>
      <c r="CR94" s="11"/>
      <c r="CS94" s="11"/>
      <c r="CT94" s="11"/>
      <c r="CU94" s="11"/>
      <c r="CV94" s="11"/>
      <c r="CW94" s="11"/>
      <c r="CX94" s="11"/>
      <c r="CY94" s="11"/>
      <c r="CZ94" s="11">
        <v>178000</v>
      </c>
      <c r="DA94" s="11"/>
      <c r="DB94" s="11"/>
      <c r="DC94" s="11"/>
      <c r="DD94" s="11"/>
      <c r="DE94" s="11">
        <v>178000</v>
      </c>
      <c r="DF94" s="11"/>
      <c r="DG94" s="7">
        <v>45035000</v>
      </c>
      <c r="DH94" s="7">
        <v>31095000</v>
      </c>
      <c r="DI94" s="7">
        <v>1375000</v>
      </c>
      <c r="DJ94" s="7">
        <v>1377000</v>
      </c>
      <c r="DK94" s="7"/>
      <c r="DL94" s="7">
        <v>170181000</v>
      </c>
      <c r="DM94" s="7">
        <v>146128000</v>
      </c>
      <c r="DN94" s="7">
        <v>128399000</v>
      </c>
      <c r="DO94" s="7">
        <v>185824000</v>
      </c>
      <c r="DP94" s="7"/>
      <c r="DQ94" s="11"/>
      <c r="DR94" s="11"/>
      <c r="DS94" s="11"/>
      <c r="DT94" s="11"/>
      <c r="DU94" s="11"/>
      <c r="DV94" s="11"/>
      <c r="DW94" s="11"/>
      <c r="DX94" s="11"/>
      <c r="DY94" s="11"/>
      <c r="DZ94" s="11"/>
      <c r="EA94" s="11">
        <v>215216000</v>
      </c>
      <c r="EB94" s="11">
        <v>177223000</v>
      </c>
      <c r="EC94" s="11">
        <v>129774000</v>
      </c>
      <c r="ED94" s="11">
        <v>187201000</v>
      </c>
      <c r="EE94" s="11"/>
      <c r="EF94" s="7">
        <v>319376000</v>
      </c>
      <c r="EG94" s="7">
        <v>324907000</v>
      </c>
      <c r="EH94" s="7">
        <v>371634000</v>
      </c>
      <c r="EI94" s="7">
        <v>6275000</v>
      </c>
      <c r="EJ94" s="7"/>
      <c r="EK94" s="7">
        <v>306854000</v>
      </c>
      <c r="EL94" s="7">
        <v>324505000</v>
      </c>
      <c r="EM94" s="7">
        <v>351997000</v>
      </c>
      <c r="EN94" s="7">
        <v>115651000</v>
      </c>
      <c r="EO94" s="7"/>
      <c r="EP94" s="7"/>
      <c r="EQ94" s="7"/>
      <c r="ER94" s="7"/>
      <c r="ES94" s="7"/>
      <c r="ET94" s="7"/>
      <c r="EU94" s="7"/>
      <c r="EV94" s="7"/>
      <c r="EW94" s="7"/>
      <c r="EX94" s="7"/>
      <c r="EY94" s="7"/>
      <c r="EZ94" s="11"/>
      <c r="FA94" s="11"/>
      <c r="FB94" s="11"/>
      <c r="FC94" s="11"/>
      <c r="FD94" s="11"/>
      <c r="FE94" s="11"/>
      <c r="FF94" s="11"/>
      <c r="FG94" s="11"/>
      <c r="FH94" s="11"/>
      <c r="FI94" s="11"/>
      <c r="FJ94" s="11">
        <v>720000</v>
      </c>
      <c r="FK94" s="11">
        <v>2037000</v>
      </c>
      <c r="FL94" s="11">
        <v>786000</v>
      </c>
      <c r="FM94" s="11">
        <v>2000</v>
      </c>
      <c r="FN94" s="11"/>
      <c r="FO94" s="7">
        <v>3370000</v>
      </c>
      <c r="FP94" s="7">
        <v>19517000</v>
      </c>
      <c r="FQ94" s="7">
        <v>6528000</v>
      </c>
      <c r="FR94" s="7">
        <v>403000</v>
      </c>
      <c r="FS94" s="7"/>
      <c r="FT94" s="7">
        <v>3509000</v>
      </c>
      <c r="FU94" s="7">
        <v>14435000</v>
      </c>
      <c r="FV94" s="7">
        <v>24106000</v>
      </c>
      <c r="FW94" s="7">
        <v>97326000</v>
      </c>
      <c r="FX94" s="7"/>
      <c r="FY94" s="11">
        <v>2520000</v>
      </c>
      <c r="FZ94" s="11">
        <v>1402000</v>
      </c>
      <c r="GA94" s="11"/>
      <c r="GB94" s="11">
        <v>1470000</v>
      </c>
      <c r="GC94" s="11"/>
      <c r="GD94" s="7">
        <v>9143000</v>
      </c>
      <c r="GE94" s="7">
        <v>2045000</v>
      </c>
      <c r="GF94" s="7">
        <v>1273000</v>
      </c>
      <c r="GG94" s="7">
        <v>-207771000</v>
      </c>
      <c r="GH94" s="7"/>
    </row>
    <row r="95" spans="1:190" x14ac:dyDescent="0.25">
      <c r="A95" s="4">
        <v>94</v>
      </c>
      <c r="B95" s="5" t="s">
        <v>434</v>
      </c>
      <c r="C95" s="9" t="s">
        <v>435</v>
      </c>
      <c r="D95" s="7">
        <v>13</v>
      </c>
      <c r="E95" s="6" t="s">
        <v>436</v>
      </c>
      <c r="F95" s="11"/>
      <c r="G95" s="11"/>
      <c r="H95" s="11"/>
      <c r="I95" s="11"/>
      <c r="J95" s="11"/>
      <c r="K95" s="11">
        <v>855149</v>
      </c>
      <c r="L95" s="11">
        <v>79030</v>
      </c>
      <c r="M95" s="11"/>
      <c r="N95" s="11"/>
      <c r="O95" s="11"/>
      <c r="P95" s="7">
        <v>3624804000</v>
      </c>
      <c r="Q95" s="7">
        <v>7068000</v>
      </c>
      <c r="R95" s="7">
        <v>49000</v>
      </c>
      <c r="S95" s="7">
        <v>49000</v>
      </c>
      <c r="T95" s="7">
        <v>49000</v>
      </c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>
        <v>4160432000</v>
      </c>
      <c r="AK95" s="11">
        <v>7221000</v>
      </c>
      <c r="AL95" s="11">
        <v>283000</v>
      </c>
      <c r="AM95" s="11">
        <v>174000</v>
      </c>
      <c r="AN95" s="11">
        <v>174000</v>
      </c>
      <c r="AO95" s="7">
        <v>450077000</v>
      </c>
      <c r="AP95" s="7">
        <v>382318000</v>
      </c>
      <c r="AQ95" s="7"/>
      <c r="AR95" s="7"/>
      <c r="AS95" s="7"/>
      <c r="AT95" s="7"/>
      <c r="AU95" s="7"/>
      <c r="AV95" s="7">
        <v>252117000</v>
      </c>
      <c r="AW95" s="7">
        <v>251186000</v>
      </c>
      <c r="AX95" s="7">
        <v>1675000</v>
      </c>
      <c r="AY95" s="11"/>
      <c r="AZ95" s="11"/>
      <c r="BA95" s="11"/>
      <c r="BB95" s="11"/>
      <c r="BC95" s="11"/>
      <c r="BD95" s="7"/>
      <c r="BE95" s="7">
        <v>71571000</v>
      </c>
      <c r="BF95" s="7">
        <v>74771000</v>
      </c>
      <c r="BG95" s="7"/>
      <c r="BH95" s="7"/>
      <c r="BI95" s="11">
        <v>80732000</v>
      </c>
      <c r="BJ95" s="11"/>
      <c r="BK95" s="11"/>
      <c r="BL95" s="11"/>
      <c r="BM95" s="11"/>
      <c r="BN95" s="11">
        <v>530811000</v>
      </c>
      <c r="BO95" s="11">
        <v>453778000</v>
      </c>
      <c r="BP95" s="11">
        <v>326887000</v>
      </c>
      <c r="BQ95" s="11">
        <v>251186000</v>
      </c>
      <c r="BR95" s="11">
        <v>1675000</v>
      </c>
      <c r="BS95" s="11">
        <v>4691243000</v>
      </c>
      <c r="BT95" s="11">
        <v>460999000</v>
      </c>
      <c r="BU95" s="11">
        <v>327170000</v>
      </c>
      <c r="BV95" s="11">
        <v>251360000</v>
      </c>
      <c r="BW95" s="11">
        <v>1849000</v>
      </c>
      <c r="BX95" s="7">
        <v>100000</v>
      </c>
      <c r="BY95" s="7">
        <v>100000</v>
      </c>
      <c r="BZ95" s="7">
        <v>100000</v>
      </c>
      <c r="CA95" s="7">
        <v>100000</v>
      </c>
      <c r="CB95" s="7">
        <v>100000</v>
      </c>
      <c r="CC95" s="11"/>
      <c r="CD95" s="11"/>
      <c r="CE95" s="11"/>
      <c r="CF95" s="11"/>
      <c r="CG95" s="11"/>
      <c r="CH95" s="7">
        <v>-3467255000</v>
      </c>
      <c r="CI95" s="7">
        <v>-4065423000</v>
      </c>
      <c r="CJ95" s="7">
        <v>-894107000</v>
      </c>
      <c r="CK95" s="7">
        <v>-1420229000</v>
      </c>
      <c r="CL95" s="7">
        <v>-1729194000</v>
      </c>
      <c r="CM95" s="11">
        <v>-2267155000</v>
      </c>
      <c r="CN95" s="11">
        <v>-2865323000</v>
      </c>
      <c r="CO95" s="11">
        <v>-894007000</v>
      </c>
      <c r="CP95" s="11">
        <v>-1420129000</v>
      </c>
      <c r="CQ95" s="11">
        <v>-1729094000</v>
      </c>
      <c r="CR95" s="11">
        <v>5268916000</v>
      </c>
      <c r="CS95" s="11">
        <v>1800761000</v>
      </c>
      <c r="CT95" s="11"/>
      <c r="CU95" s="11"/>
      <c r="CV95" s="11"/>
      <c r="CW95" s="11"/>
      <c r="CX95" s="11"/>
      <c r="CY95" s="11"/>
      <c r="CZ95" s="11"/>
      <c r="DA95" s="11"/>
      <c r="DB95" s="11">
        <v>5420837000</v>
      </c>
      <c r="DC95" s="11">
        <v>1800761000</v>
      </c>
      <c r="DD95" s="11"/>
      <c r="DE95" s="11"/>
      <c r="DF95" s="11"/>
      <c r="DG95" s="7">
        <v>698978000</v>
      </c>
      <c r="DH95" s="7">
        <v>698978000</v>
      </c>
      <c r="DI95" s="7"/>
      <c r="DJ95" s="7"/>
      <c r="DK95" s="7"/>
      <c r="DL95" s="7">
        <v>838584000</v>
      </c>
      <c r="DM95" s="7">
        <v>826583000</v>
      </c>
      <c r="DN95" s="7">
        <v>1221177000</v>
      </c>
      <c r="DO95" s="7">
        <v>1671489000</v>
      </c>
      <c r="DP95" s="7">
        <v>1730943000</v>
      </c>
      <c r="DQ95" s="11"/>
      <c r="DR95" s="11"/>
      <c r="DS95" s="11"/>
      <c r="DT95" s="11"/>
      <c r="DU95" s="11"/>
      <c r="DV95" s="11"/>
      <c r="DW95" s="11"/>
      <c r="DX95" s="11"/>
      <c r="DY95" s="11"/>
      <c r="DZ95" s="11"/>
      <c r="EA95" s="11">
        <v>1537562000</v>
      </c>
      <c r="EB95" s="11">
        <v>1525561000</v>
      </c>
      <c r="EC95" s="11">
        <v>1221177000</v>
      </c>
      <c r="ED95" s="11">
        <v>1671489000</v>
      </c>
      <c r="EE95" s="11">
        <v>1730943000</v>
      </c>
      <c r="EF95" s="7">
        <v>1893000</v>
      </c>
      <c r="EG95" s="7"/>
      <c r="EH95" s="7"/>
      <c r="EI95" s="7"/>
      <c r="EJ95" s="7"/>
      <c r="EK95" s="7">
        <v>24991000</v>
      </c>
      <c r="EL95" s="7"/>
      <c r="EM95" s="7"/>
      <c r="EN95" s="7"/>
      <c r="EO95" s="7"/>
      <c r="EP95" s="7"/>
      <c r="EQ95" s="7"/>
      <c r="ER95" s="7"/>
      <c r="ES95" s="7"/>
      <c r="ET95" s="7"/>
      <c r="EU95" s="7"/>
      <c r="EV95" s="7"/>
      <c r="EW95" s="7"/>
      <c r="EX95" s="7"/>
      <c r="EY95" s="7"/>
      <c r="EZ95" s="11"/>
      <c r="FA95" s="11"/>
      <c r="FB95" s="11"/>
      <c r="FC95" s="11"/>
      <c r="FD95" s="11"/>
      <c r="FE95" s="11"/>
      <c r="FF95" s="11">
        <v>1000</v>
      </c>
      <c r="FG95" s="11"/>
      <c r="FH95" s="11"/>
      <c r="FI95" s="11"/>
      <c r="FJ95" s="11">
        <v>84063000</v>
      </c>
      <c r="FK95" s="11"/>
      <c r="FL95" s="11"/>
      <c r="FM95" s="11"/>
      <c r="FN95" s="11"/>
      <c r="FO95" s="7">
        <v>338849000</v>
      </c>
      <c r="FP95" s="7">
        <v>1727137000</v>
      </c>
      <c r="FQ95" s="7">
        <v>116000</v>
      </c>
      <c r="FR95" s="7"/>
      <c r="FS95" s="7"/>
      <c r="FT95" s="7">
        <v>771022000</v>
      </c>
      <c r="FU95" s="7">
        <v>3551869000</v>
      </c>
      <c r="FV95" s="7">
        <v>4455000</v>
      </c>
      <c r="FW95" s="7"/>
      <c r="FX95" s="7"/>
      <c r="FY95" s="11"/>
      <c r="FZ95" s="11"/>
      <c r="GA95" s="11"/>
      <c r="GB95" s="11"/>
      <c r="GC95" s="11"/>
      <c r="GD95" s="7">
        <v>-539334000</v>
      </c>
      <c r="GE95" s="7">
        <v>-1824731000</v>
      </c>
      <c r="GF95" s="7">
        <v>-4339000</v>
      </c>
      <c r="GG95" s="7"/>
      <c r="GH95" s="7"/>
    </row>
    <row r="96" spans="1:190" ht="26.25" x14ac:dyDescent="0.25">
      <c r="A96" s="4">
        <v>95</v>
      </c>
      <c r="B96" s="5" t="s">
        <v>437</v>
      </c>
      <c r="C96" s="9" t="s">
        <v>438</v>
      </c>
      <c r="D96" s="7">
        <v>5</v>
      </c>
      <c r="E96" s="6" t="s">
        <v>201</v>
      </c>
      <c r="F96" s="11">
        <v>2515</v>
      </c>
      <c r="G96" s="11">
        <v>53034</v>
      </c>
      <c r="H96" s="11">
        <v>211783</v>
      </c>
      <c r="I96" s="11">
        <v>1322280</v>
      </c>
      <c r="J96" s="11">
        <v>321223</v>
      </c>
      <c r="K96" s="11">
        <v>139176</v>
      </c>
      <c r="L96" s="11">
        <v>258290</v>
      </c>
      <c r="M96" s="11">
        <v>2677830</v>
      </c>
      <c r="N96" s="11">
        <v>6355336</v>
      </c>
      <c r="O96" s="11">
        <v>4688233</v>
      </c>
      <c r="P96" s="7">
        <v>86000</v>
      </c>
      <c r="Q96" s="7">
        <v>10157000</v>
      </c>
      <c r="R96" s="7">
        <v>8598000</v>
      </c>
      <c r="S96" s="7">
        <v>6314000</v>
      </c>
      <c r="T96" s="7">
        <v>70000</v>
      </c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>
        <v>86000</v>
      </c>
      <c r="AK96" s="11">
        <v>10157000</v>
      </c>
      <c r="AL96" s="11">
        <v>8598000</v>
      </c>
      <c r="AM96" s="11">
        <v>6314000</v>
      </c>
      <c r="AN96" s="11">
        <v>70000</v>
      </c>
      <c r="AO96" s="7">
        <v>2355000</v>
      </c>
      <c r="AP96" s="7">
        <v>14378000</v>
      </c>
      <c r="AQ96" s="7">
        <v>14704000</v>
      </c>
      <c r="AR96" s="7">
        <v>77380000</v>
      </c>
      <c r="AS96" s="7">
        <v>105438000</v>
      </c>
      <c r="AT96" s="7">
        <v>5831000</v>
      </c>
      <c r="AU96" s="7">
        <v>12763000</v>
      </c>
      <c r="AV96" s="7">
        <v>21132000</v>
      </c>
      <c r="AW96" s="7">
        <v>38150000</v>
      </c>
      <c r="AX96" s="7">
        <v>37134000</v>
      </c>
      <c r="AY96" s="11"/>
      <c r="AZ96" s="11"/>
      <c r="BA96" s="11"/>
      <c r="BB96" s="11"/>
      <c r="BC96" s="11"/>
      <c r="BD96" s="7">
        <v>1560000</v>
      </c>
      <c r="BE96" s="7">
        <v>67000</v>
      </c>
      <c r="BF96" s="7">
        <v>11434000</v>
      </c>
      <c r="BG96" s="7">
        <v>1889000</v>
      </c>
      <c r="BH96" s="7">
        <v>89000</v>
      </c>
      <c r="BI96" s="11"/>
      <c r="BJ96" s="11"/>
      <c r="BK96" s="11"/>
      <c r="BL96" s="11"/>
      <c r="BM96" s="11"/>
      <c r="BN96" s="11">
        <v>9746000</v>
      </c>
      <c r="BO96" s="11">
        <v>27208000</v>
      </c>
      <c r="BP96" s="11">
        <v>47270000</v>
      </c>
      <c r="BQ96" s="11">
        <v>117419000</v>
      </c>
      <c r="BR96" s="11">
        <v>142661000</v>
      </c>
      <c r="BS96" s="11">
        <v>9832000</v>
      </c>
      <c r="BT96" s="11">
        <v>37365000</v>
      </c>
      <c r="BU96" s="11">
        <v>55868000</v>
      </c>
      <c r="BV96" s="11">
        <v>123733000</v>
      </c>
      <c r="BW96" s="11">
        <v>142731000</v>
      </c>
      <c r="BX96" s="7"/>
      <c r="BY96" s="7"/>
      <c r="BZ96" s="7"/>
      <c r="CA96" s="7"/>
      <c r="CB96" s="7"/>
      <c r="CC96" s="11"/>
      <c r="CD96" s="11"/>
      <c r="CE96" s="11"/>
      <c r="CF96" s="11"/>
      <c r="CG96" s="11"/>
      <c r="CH96" s="7"/>
      <c r="CI96" s="7"/>
      <c r="CJ96" s="7"/>
      <c r="CK96" s="7"/>
      <c r="CL96" s="7"/>
      <c r="CM96" s="11">
        <v>97000</v>
      </c>
      <c r="CN96" s="11">
        <v>1881000</v>
      </c>
      <c r="CO96" s="11">
        <v>16647000</v>
      </c>
      <c r="CP96" s="11">
        <v>20236000</v>
      </c>
      <c r="CQ96" s="11">
        <v>20783000</v>
      </c>
      <c r="CR96" s="11">
        <v>4000000</v>
      </c>
      <c r="CS96" s="11">
        <v>15915000</v>
      </c>
      <c r="CT96" s="11">
        <v>10665000</v>
      </c>
      <c r="CU96" s="11">
        <v>49388000</v>
      </c>
      <c r="CV96" s="11">
        <v>49211000</v>
      </c>
      <c r="CW96" s="11"/>
      <c r="CX96" s="11">
        <v>10419000</v>
      </c>
      <c r="CY96" s="11">
        <v>6366000</v>
      </c>
      <c r="CZ96" s="11"/>
      <c r="DA96" s="11"/>
      <c r="DB96" s="11">
        <v>4000000</v>
      </c>
      <c r="DC96" s="11">
        <v>26334000</v>
      </c>
      <c r="DD96" s="11">
        <v>17031000</v>
      </c>
      <c r="DE96" s="11">
        <v>49388000</v>
      </c>
      <c r="DF96" s="11">
        <v>49211000</v>
      </c>
      <c r="DG96" s="7">
        <v>650000</v>
      </c>
      <c r="DH96" s="7">
        <v>1373000</v>
      </c>
      <c r="DI96" s="7">
        <v>1370000</v>
      </c>
      <c r="DJ96" s="7"/>
      <c r="DK96" s="7"/>
      <c r="DL96" s="7">
        <v>5085000</v>
      </c>
      <c r="DM96" s="7">
        <v>7777000</v>
      </c>
      <c r="DN96" s="7">
        <v>20820000</v>
      </c>
      <c r="DO96" s="7">
        <v>54109000</v>
      </c>
      <c r="DP96" s="7">
        <v>72737000</v>
      </c>
      <c r="DQ96" s="11"/>
      <c r="DR96" s="11"/>
      <c r="DS96" s="11"/>
      <c r="DT96" s="11"/>
      <c r="DU96" s="11"/>
      <c r="DV96" s="11"/>
      <c r="DW96" s="11"/>
      <c r="DX96" s="11"/>
      <c r="DY96" s="11"/>
      <c r="DZ96" s="11"/>
      <c r="EA96" s="11">
        <v>5735000</v>
      </c>
      <c r="EB96" s="11">
        <v>9150000</v>
      </c>
      <c r="EC96" s="11">
        <v>22190000</v>
      </c>
      <c r="ED96" s="11">
        <v>54109000</v>
      </c>
      <c r="EE96" s="11">
        <v>72737000</v>
      </c>
      <c r="EF96" s="7">
        <v>28948000</v>
      </c>
      <c r="EG96" s="7">
        <v>47747000</v>
      </c>
      <c r="EH96" s="7">
        <v>93383000</v>
      </c>
      <c r="EI96" s="7">
        <v>133381000</v>
      </c>
      <c r="EJ96" s="7">
        <v>104332000</v>
      </c>
      <c r="EK96" s="7">
        <v>28781000</v>
      </c>
      <c r="EL96" s="7">
        <v>45487000</v>
      </c>
      <c r="EM96" s="7">
        <v>91694000</v>
      </c>
      <c r="EN96" s="7">
        <v>128465000</v>
      </c>
      <c r="EO96" s="7">
        <v>104154000</v>
      </c>
      <c r="EP96" s="7"/>
      <c r="EQ96" s="7"/>
      <c r="ER96" s="7"/>
      <c r="ES96" s="7"/>
      <c r="ET96" s="7"/>
      <c r="EU96" s="7"/>
      <c r="EV96" s="7"/>
      <c r="EW96" s="7"/>
      <c r="EX96" s="7"/>
      <c r="EY96" s="7"/>
      <c r="EZ96" s="11"/>
      <c r="FA96" s="11"/>
      <c r="FB96" s="11"/>
      <c r="FC96" s="11"/>
      <c r="FD96" s="11"/>
      <c r="FE96" s="11"/>
      <c r="FF96" s="11"/>
      <c r="FG96" s="11"/>
      <c r="FH96" s="11"/>
      <c r="FI96" s="11"/>
      <c r="FJ96" s="11"/>
      <c r="FK96" s="11">
        <v>157000</v>
      </c>
      <c r="FL96" s="11">
        <v>684000</v>
      </c>
      <c r="FM96" s="11">
        <v>1753000</v>
      </c>
      <c r="FN96" s="11">
        <v>5021000</v>
      </c>
      <c r="FO96" s="7"/>
      <c r="FP96" s="7"/>
      <c r="FQ96" s="7">
        <v>30000</v>
      </c>
      <c r="FR96" s="7">
        <v>3821000</v>
      </c>
      <c r="FS96" s="7">
        <v>22652000</v>
      </c>
      <c r="FT96" s="7">
        <v>61000</v>
      </c>
      <c r="FU96" s="7">
        <v>134000</v>
      </c>
      <c r="FV96" s="7">
        <v>603000</v>
      </c>
      <c r="FW96" s="7">
        <v>4068000</v>
      </c>
      <c r="FX96" s="7">
        <v>17060000</v>
      </c>
      <c r="FY96" s="11">
        <v>20000</v>
      </c>
      <c r="FZ96" s="11">
        <v>185000</v>
      </c>
      <c r="GA96" s="11">
        <v>223000</v>
      </c>
      <c r="GB96" s="11">
        <v>762000</v>
      </c>
      <c r="GC96" s="11">
        <v>549000</v>
      </c>
      <c r="GD96" s="7">
        <v>86000</v>
      </c>
      <c r="GE96" s="7">
        <v>1784000</v>
      </c>
      <c r="GF96" s="7">
        <v>209000</v>
      </c>
      <c r="GG96" s="7">
        <v>2154000</v>
      </c>
      <c r="GH96" s="7">
        <v>200000</v>
      </c>
    </row>
    <row r="97" spans="1:190" ht="26.25" x14ac:dyDescent="0.25">
      <c r="A97" s="4">
        <v>96</v>
      </c>
      <c r="B97" s="5" t="s">
        <v>439</v>
      </c>
      <c r="C97" s="9" t="s">
        <v>440</v>
      </c>
      <c r="D97" s="7">
        <v>13</v>
      </c>
      <c r="E97" s="6" t="s">
        <v>441</v>
      </c>
      <c r="F97" s="11"/>
      <c r="G97" s="11"/>
      <c r="H97" s="11"/>
      <c r="I97" s="11">
        <v>15435</v>
      </c>
      <c r="J97" s="11">
        <v>7</v>
      </c>
      <c r="K97" s="11">
        <v>31289</v>
      </c>
      <c r="L97" s="11"/>
      <c r="M97" s="11"/>
      <c r="N97" s="11">
        <v>688081</v>
      </c>
      <c r="O97" s="11">
        <v>978586</v>
      </c>
      <c r="P97" s="7"/>
      <c r="Q97" s="7"/>
      <c r="R97" s="7">
        <v>72524000</v>
      </c>
      <c r="S97" s="7">
        <v>72524000</v>
      </c>
      <c r="T97" s="7">
        <v>72524000</v>
      </c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>
        <v>72524000</v>
      </c>
      <c r="AM97" s="11">
        <v>72524000</v>
      </c>
      <c r="AN97" s="11">
        <v>72524000</v>
      </c>
      <c r="AO97" s="7"/>
      <c r="AP97" s="7"/>
      <c r="AQ97" s="7"/>
      <c r="AR97" s="7"/>
      <c r="AS97" s="7"/>
      <c r="AT97" s="7">
        <v>10013000</v>
      </c>
      <c r="AU97" s="7"/>
      <c r="AV97" s="7"/>
      <c r="AW97" s="7"/>
      <c r="AX97" s="7"/>
      <c r="AY97" s="11">
        <v>81851000</v>
      </c>
      <c r="AZ97" s="11"/>
      <c r="BA97" s="11"/>
      <c r="BB97" s="11"/>
      <c r="BC97" s="11"/>
      <c r="BD97" s="7">
        <v>220000</v>
      </c>
      <c r="BE97" s="7"/>
      <c r="BF97" s="7">
        <v>15000</v>
      </c>
      <c r="BG97" s="7"/>
      <c r="BH97" s="7">
        <v>628000</v>
      </c>
      <c r="BI97" s="11">
        <v>216846000</v>
      </c>
      <c r="BJ97" s="11">
        <v>298697000</v>
      </c>
      <c r="BK97" s="11">
        <v>226087000</v>
      </c>
      <c r="BL97" s="11"/>
      <c r="BM97" s="11"/>
      <c r="BN97" s="11">
        <v>308930000</v>
      </c>
      <c r="BO97" s="11">
        <v>298697000</v>
      </c>
      <c r="BP97" s="11">
        <v>226102000</v>
      </c>
      <c r="BQ97" s="11"/>
      <c r="BR97" s="11">
        <v>628000</v>
      </c>
      <c r="BS97" s="11">
        <v>308930000</v>
      </c>
      <c r="BT97" s="11">
        <v>298697000</v>
      </c>
      <c r="BU97" s="11">
        <v>298626000</v>
      </c>
      <c r="BV97" s="11">
        <v>72524000</v>
      </c>
      <c r="BW97" s="11">
        <v>73152000</v>
      </c>
      <c r="BX97" s="7">
        <v>20000</v>
      </c>
      <c r="BY97" s="7">
        <v>20000</v>
      </c>
      <c r="BZ97" s="7">
        <v>20000</v>
      </c>
      <c r="CA97" s="7">
        <v>20000</v>
      </c>
      <c r="CB97" s="7">
        <v>20000</v>
      </c>
      <c r="CC97" s="11"/>
      <c r="CD97" s="11"/>
      <c r="CE97" s="11"/>
      <c r="CF97" s="11"/>
      <c r="CG97" s="11"/>
      <c r="CH97" s="7">
        <v>-74194000</v>
      </c>
      <c r="CI97" s="7">
        <v>-84916000</v>
      </c>
      <c r="CJ97" s="7">
        <v>-85006000</v>
      </c>
      <c r="CK97" s="7">
        <v>-309596000</v>
      </c>
      <c r="CL97" s="7">
        <v>-308390000</v>
      </c>
      <c r="CM97" s="11">
        <v>-74174000</v>
      </c>
      <c r="CN97" s="11">
        <v>-84896000</v>
      </c>
      <c r="CO97" s="11">
        <v>-84986000</v>
      </c>
      <c r="CP97" s="11">
        <v>-309576000</v>
      </c>
      <c r="CQ97" s="11">
        <v>-308370000</v>
      </c>
      <c r="CR97" s="11">
        <v>70000000</v>
      </c>
      <c r="CS97" s="11">
        <v>76608000</v>
      </c>
      <c r="CT97" s="11">
        <v>76608000</v>
      </c>
      <c r="CU97" s="11">
        <v>76608000</v>
      </c>
      <c r="CV97" s="11">
        <v>76608000</v>
      </c>
      <c r="CW97" s="11"/>
      <c r="CX97" s="11"/>
      <c r="CY97" s="11"/>
      <c r="CZ97" s="11"/>
      <c r="DA97" s="11"/>
      <c r="DB97" s="11">
        <v>70000000</v>
      </c>
      <c r="DC97" s="11">
        <v>76608000</v>
      </c>
      <c r="DD97" s="11">
        <v>76608000</v>
      </c>
      <c r="DE97" s="11">
        <v>76608000</v>
      </c>
      <c r="DF97" s="11">
        <v>76608000</v>
      </c>
      <c r="DG97" s="7">
        <v>6608000</v>
      </c>
      <c r="DH97" s="7"/>
      <c r="DI97" s="7"/>
      <c r="DJ97" s="7"/>
      <c r="DK97" s="7"/>
      <c r="DL97" s="7">
        <v>306496000</v>
      </c>
      <c r="DM97" s="7">
        <v>306985000</v>
      </c>
      <c r="DN97" s="7">
        <v>307004000</v>
      </c>
      <c r="DO97" s="7">
        <v>305492000</v>
      </c>
      <c r="DP97" s="7">
        <v>304914000</v>
      </c>
      <c r="DQ97" s="11"/>
      <c r="DR97" s="11"/>
      <c r="DS97" s="11"/>
      <c r="DT97" s="11"/>
      <c r="DU97" s="11"/>
      <c r="DV97" s="11"/>
      <c r="DW97" s="11"/>
      <c r="DX97" s="11"/>
      <c r="DY97" s="11"/>
      <c r="DZ97" s="11"/>
      <c r="EA97" s="11">
        <v>313104000</v>
      </c>
      <c r="EB97" s="11">
        <v>306985000</v>
      </c>
      <c r="EC97" s="11">
        <v>307004000</v>
      </c>
      <c r="ED97" s="11">
        <v>305492000</v>
      </c>
      <c r="EE97" s="11">
        <v>304914000</v>
      </c>
      <c r="EF97" s="7"/>
      <c r="EG97" s="7"/>
      <c r="EH97" s="7"/>
      <c r="EI97" s="7"/>
      <c r="EJ97" s="7"/>
      <c r="EK97" s="7"/>
      <c r="EL97" s="7"/>
      <c r="EM97" s="7"/>
      <c r="EN97" s="7"/>
      <c r="EO97" s="7"/>
      <c r="EP97" s="7"/>
      <c r="EQ97" s="7"/>
      <c r="ER97" s="7"/>
      <c r="ES97" s="7"/>
      <c r="ET97" s="7"/>
      <c r="EU97" s="7">
        <v>3167000</v>
      </c>
      <c r="EV97" s="7"/>
      <c r="EW97" s="7"/>
      <c r="EX97" s="7"/>
      <c r="EY97" s="7"/>
      <c r="EZ97" s="11"/>
      <c r="FA97" s="11"/>
      <c r="FB97" s="11"/>
      <c r="FC97" s="11"/>
      <c r="FD97" s="11"/>
      <c r="FE97" s="11"/>
      <c r="FF97" s="11"/>
      <c r="FG97" s="11"/>
      <c r="FH97" s="11"/>
      <c r="FI97" s="11"/>
      <c r="FJ97" s="11"/>
      <c r="FK97" s="11"/>
      <c r="FL97" s="11"/>
      <c r="FM97" s="11"/>
      <c r="FN97" s="11"/>
      <c r="FO97" s="7">
        <v>8333000</v>
      </c>
      <c r="FP97" s="7"/>
      <c r="FQ97" s="7">
        <v>2944000</v>
      </c>
      <c r="FR97" s="7">
        <v>5795000</v>
      </c>
      <c r="FS97" s="7">
        <v>6061000</v>
      </c>
      <c r="FT97" s="7">
        <v>80695000</v>
      </c>
      <c r="FU97" s="7">
        <v>10722000</v>
      </c>
      <c r="FV97" s="7">
        <v>3016000</v>
      </c>
      <c r="FW97" s="7">
        <v>230010000</v>
      </c>
      <c r="FX97" s="7">
        <v>4533000</v>
      </c>
      <c r="FY97" s="11"/>
      <c r="FZ97" s="11"/>
      <c r="GA97" s="11">
        <v>-18000</v>
      </c>
      <c r="GB97" s="11">
        <v>-375000</v>
      </c>
      <c r="GC97" s="11">
        <v>-322000</v>
      </c>
      <c r="GD97" s="7">
        <v>-75529000</v>
      </c>
      <c r="GE97" s="7">
        <v>-10722000</v>
      </c>
      <c r="GF97" s="7">
        <v>-90000</v>
      </c>
      <c r="GG97" s="7">
        <v>-224590000</v>
      </c>
      <c r="GH97" s="7">
        <v>1206000</v>
      </c>
    </row>
    <row r="98" spans="1:190" x14ac:dyDescent="0.25">
      <c r="A98" s="4">
        <v>97</v>
      </c>
      <c r="B98" s="5" t="s">
        <v>442</v>
      </c>
      <c r="C98" s="9" t="s">
        <v>443</v>
      </c>
      <c r="D98" s="7">
        <v>34</v>
      </c>
      <c r="E98" s="6" t="s">
        <v>198</v>
      </c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7"/>
      <c r="Q98" s="7"/>
      <c r="R98" s="7"/>
      <c r="S98" s="7"/>
      <c r="T98" s="7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11"/>
      <c r="AZ98" s="11"/>
      <c r="BA98" s="11"/>
      <c r="BB98" s="11"/>
      <c r="BC98" s="11"/>
      <c r="BD98" s="7"/>
      <c r="BE98" s="7"/>
      <c r="BF98" s="7"/>
      <c r="BG98" s="7"/>
      <c r="BH98" s="7"/>
      <c r="BI98" s="11"/>
      <c r="BJ98" s="11"/>
      <c r="BK98" s="11"/>
      <c r="BL98" s="11"/>
      <c r="BM98" s="11"/>
      <c r="BN98" s="11"/>
      <c r="BO98" s="11"/>
      <c r="BP98" s="11"/>
      <c r="BQ98" s="11"/>
      <c r="BR98" s="11"/>
      <c r="BS98" s="11"/>
      <c r="BT98" s="11"/>
      <c r="BU98" s="11"/>
      <c r="BV98" s="11"/>
      <c r="BW98" s="11"/>
      <c r="BX98" s="7"/>
      <c r="BY98" s="7"/>
      <c r="BZ98" s="7"/>
      <c r="CA98" s="7"/>
      <c r="CB98" s="7"/>
      <c r="CC98" s="11"/>
      <c r="CD98" s="11"/>
      <c r="CE98" s="11"/>
      <c r="CF98" s="11"/>
      <c r="CG98" s="11"/>
      <c r="CH98" s="7"/>
      <c r="CI98" s="7"/>
      <c r="CJ98" s="7"/>
      <c r="CK98" s="7"/>
      <c r="CL98" s="7"/>
      <c r="CM98" s="11"/>
      <c r="CN98" s="11"/>
      <c r="CO98" s="11"/>
      <c r="CP98" s="11"/>
      <c r="CQ98" s="11"/>
      <c r="CR98" s="11"/>
      <c r="CS98" s="11"/>
      <c r="CT98" s="11"/>
      <c r="CU98" s="11"/>
      <c r="CV98" s="11"/>
      <c r="CW98" s="11"/>
      <c r="CX98" s="11"/>
      <c r="CY98" s="11"/>
      <c r="CZ98" s="11"/>
      <c r="DA98" s="11"/>
      <c r="DB98" s="11"/>
      <c r="DC98" s="11"/>
      <c r="DD98" s="11"/>
      <c r="DE98" s="11"/>
      <c r="DF98" s="11"/>
      <c r="DG98" s="7"/>
      <c r="DH98" s="7"/>
      <c r="DI98" s="7"/>
      <c r="DJ98" s="7"/>
      <c r="DK98" s="7"/>
      <c r="DL98" s="7"/>
      <c r="DM98" s="7"/>
      <c r="DN98" s="7"/>
      <c r="DO98" s="7"/>
      <c r="DP98" s="7"/>
      <c r="DQ98" s="11"/>
      <c r="DR98" s="11"/>
      <c r="DS98" s="11"/>
      <c r="DT98" s="11"/>
      <c r="DU98" s="11"/>
      <c r="DV98" s="11"/>
      <c r="DW98" s="11"/>
      <c r="DX98" s="11"/>
      <c r="DY98" s="11"/>
      <c r="DZ98" s="11"/>
      <c r="EA98" s="11"/>
      <c r="EB98" s="11"/>
      <c r="EC98" s="11"/>
      <c r="ED98" s="11"/>
      <c r="EE98" s="11"/>
      <c r="EF98" s="7"/>
      <c r="EG98" s="7"/>
      <c r="EH98" s="7"/>
      <c r="EI98" s="7"/>
      <c r="EJ98" s="7"/>
      <c r="EK98" s="7"/>
      <c r="EL98" s="7"/>
      <c r="EM98" s="7"/>
      <c r="EN98" s="7"/>
      <c r="EO98" s="7"/>
      <c r="EP98" s="7"/>
      <c r="EQ98" s="7"/>
      <c r="ER98" s="7"/>
      <c r="ES98" s="7"/>
      <c r="ET98" s="7"/>
      <c r="EU98" s="7"/>
      <c r="EV98" s="7"/>
      <c r="EW98" s="7"/>
      <c r="EX98" s="7"/>
      <c r="EY98" s="7"/>
      <c r="EZ98" s="11"/>
      <c r="FA98" s="11"/>
      <c r="FB98" s="11"/>
      <c r="FC98" s="11"/>
      <c r="FD98" s="11"/>
      <c r="FE98" s="11"/>
      <c r="FF98" s="11"/>
      <c r="FG98" s="11"/>
      <c r="FH98" s="11"/>
      <c r="FI98" s="11"/>
      <c r="FJ98" s="11"/>
      <c r="FK98" s="11"/>
      <c r="FL98" s="11"/>
      <c r="FM98" s="11"/>
      <c r="FN98" s="11"/>
      <c r="FO98" s="7"/>
      <c r="FP98" s="7"/>
      <c r="FQ98" s="7"/>
      <c r="FR98" s="7"/>
      <c r="FS98" s="7"/>
      <c r="FT98" s="7"/>
      <c r="FU98" s="7"/>
      <c r="FV98" s="7"/>
      <c r="FW98" s="7"/>
      <c r="FX98" s="7"/>
      <c r="FY98" s="11"/>
      <c r="FZ98" s="11"/>
      <c r="GA98" s="11"/>
      <c r="GB98" s="11"/>
      <c r="GC98" s="11"/>
      <c r="GD98" s="7"/>
      <c r="GE98" s="7"/>
      <c r="GF98" s="7"/>
      <c r="GG98" s="7"/>
      <c r="GH98" s="7"/>
    </row>
    <row r="99" spans="1:190" ht="26.25" x14ac:dyDescent="0.25">
      <c r="A99" s="4">
        <v>98</v>
      </c>
      <c r="B99" s="5" t="s">
        <v>444</v>
      </c>
      <c r="C99" s="9" t="s">
        <v>445</v>
      </c>
      <c r="D99" s="7">
        <v>14</v>
      </c>
      <c r="E99" s="6" t="s">
        <v>446</v>
      </c>
      <c r="F99" s="11"/>
      <c r="G99" s="11">
        <v>1006</v>
      </c>
      <c r="H99" s="11"/>
      <c r="I99" s="11"/>
      <c r="J99" s="11"/>
      <c r="K99" s="11">
        <v>1836297</v>
      </c>
      <c r="L99" s="11">
        <v>94</v>
      </c>
      <c r="M99" s="11"/>
      <c r="N99" s="11"/>
      <c r="O99" s="11"/>
      <c r="P99" s="7"/>
      <c r="Q99" s="7"/>
      <c r="R99" s="7"/>
      <c r="S99" s="7"/>
      <c r="T99" s="7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11"/>
      <c r="AZ99" s="11"/>
      <c r="BA99" s="11"/>
      <c r="BB99" s="11"/>
      <c r="BC99" s="11"/>
      <c r="BD99" s="7"/>
      <c r="BE99" s="7"/>
      <c r="BF99" s="7"/>
      <c r="BG99" s="7"/>
      <c r="BH99" s="7"/>
      <c r="BI99" s="11"/>
      <c r="BJ99" s="11"/>
      <c r="BK99" s="11"/>
      <c r="BL99" s="11"/>
      <c r="BM99" s="11"/>
      <c r="BN99" s="11"/>
      <c r="BO99" s="11"/>
      <c r="BP99" s="11"/>
      <c r="BQ99" s="11"/>
      <c r="BR99" s="11"/>
      <c r="BS99" s="11"/>
      <c r="BT99" s="11"/>
      <c r="BU99" s="11"/>
      <c r="BV99" s="11"/>
      <c r="BW99" s="11"/>
      <c r="BX99" s="7"/>
      <c r="BY99" s="7"/>
      <c r="BZ99" s="7"/>
      <c r="CA99" s="7"/>
      <c r="CB99" s="7"/>
      <c r="CC99" s="11"/>
      <c r="CD99" s="11"/>
      <c r="CE99" s="11"/>
      <c r="CF99" s="11"/>
      <c r="CG99" s="11"/>
      <c r="CH99" s="7"/>
      <c r="CI99" s="7"/>
      <c r="CJ99" s="7"/>
      <c r="CK99" s="7"/>
      <c r="CL99" s="7"/>
      <c r="CM99" s="11"/>
      <c r="CN99" s="11"/>
      <c r="CO99" s="11"/>
      <c r="CP99" s="11"/>
      <c r="CQ99" s="11"/>
      <c r="CR99" s="11"/>
      <c r="CS99" s="11"/>
      <c r="CT99" s="11"/>
      <c r="CU99" s="11"/>
      <c r="CV99" s="11"/>
      <c r="CW99" s="11"/>
      <c r="CX99" s="11"/>
      <c r="CY99" s="11"/>
      <c r="CZ99" s="11"/>
      <c r="DA99" s="11"/>
      <c r="DB99" s="11"/>
      <c r="DC99" s="11"/>
      <c r="DD99" s="11"/>
      <c r="DE99" s="11"/>
      <c r="DF99" s="11"/>
      <c r="DG99" s="7"/>
      <c r="DH99" s="7"/>
      <c r="DI99" s="7"/>
      <c r="DJ99" s="7"/>
      <c r="DK99" s="7"/>
      <c r="DL99" s="7"/>
      <c r="DM99" s="7"/>
      <c r="DN99" s="7"/>
      <c r="DO99" s="7"/>
      <c r="DP99" s="7"/>
      <c r="DQ99" s="11"/>
      <c r="DR99" s="11"/>
      <c r="DS99" s="11"/>
      <c r="DT99" s="11"/>
      <c r="DU99" s="11"/>
      <c r="DV99" s="11"/>
      <c r="DW99" s="11"/>
      <c r="DX99" s="11"/>
      <c r="DY99" s="11"/>
      <c r="DZ99" s="11"/>
      <c r="EA99" s="11"/>
      <c r="EB99" s="11"/>
      <c r="EC99" s="11"/>
      <c r="ED99" s="11"/>
      <c r="EE99" s="11"/>
      <c r="EF99" s="7"/>
      <c r="EG99" s="7"/>
      <c r="EH99" s="7"/>
      <c r="EI99" s="7"/>
      <c r="EJ99" s="7"/>
      <c r="EK99" s="7"/>
      <c r="EL99" s="7"/>
      <c r="EM99" s="7"/>
      <c r="EN99" s="7"/>
      <c r="EO99" s="7"/>
      <c r="EP99" s="7"/>
      <c r="EQ99" s="7"/>
      <c r="ER99" s="7"/>
      <c r="ES99" s="7"/>
      <c r="ET99" s="7"/>
      <c r="EU99" s="7"/>
      <c r="EV99" s="7"/>
      <c r="EW99" s="7"/>
      <c r="EX99" s="7"/>
      <c r="EY99" s="7"/>
      <c r="EZ99" s="11"/>
      <c r="FA99" s="11"/>
      <c r="FB99" s="11"/>
      <c r="FC99" s="11"/>
      <c r="FD99" s="11"/>
      <c r="FE99" s="11"/>
      <c r="FF99" s="11"/>
      <c r="FG99" s="11"/>
      <c r="FH99" s="11"/>
      <c r="FI99" s="11"/>
      <c r="FJ99" s="11"/>
      <c r="FK99" s="11"/>
      <c r="FL99" s="11"/>
      <c r="FM99" s="11"/>
      <c r="FN99" s="11"/>
      <c r="FO99" s="7"/>
      <c r="FP99" s="7"/>
      <c r="FQ99" s="7"/>
      <c r="FR99" s="7"/>
      <c r="FS99" s="7"/>
      <c r="FT99" s="7"/>
      <c r="FU99" s="7"/>
      <c r="FV99" s="7"/>
      <c r="FW99" s="7"/>
      <c r="FX99" s="7"/>
      <c r="FY99" s="11"/>
      <c r="FZ99" s="11"/>
      <c r="GA99" s="11"/>
      <c r="GB99" s="11"/>
      <c r="GC99" s="11"/>
      <c r="GD99" s="7"/>
      <c r="GE99" s="7"/>
      <c r="GF99" s="7"/>
      <c r="GG99" s="7"/>
      <c r="GH99" s="7"/>
    </row>
    <row r="100" spans="1:190" x14ac:dyDescent="0.25">
      <c r="A100" s="4">
        <v>99</v>
      </c>
      <c r="B100" s="5" t="s">
        <v>447</v>
      </c>
      <c r="C100" s="9" t="s">
        <v>448</v>
      </c>
      <c r="D100" s="7">
        <v>14</v>
      </c>
      <c r="E100" s="6" t="s">
        <v>318</v>
      </c>
      <c r="F100" s="11"/>
      <c r="G100" s="11"/>
      <c r="H100" s="11"/>
      <c r="I100" s="11"/>
      <c r="J100" s="11"/>
      <c r="K100" s="11">
        <v>51480</v>
      </c>
      <c r="L100" s="11">
        <v>144522</v>
      </c>
      <c r="M100" s="11">
        <v>12051</v>
      </c>
      <c r="N100" s="11"/>
      <c r="O100" s="11"/>
      <c r="P100" s="7"/>
      <c r="Q100" s="7"/>
      <c r="R100" s="7"/>
      <c r="S100" s="7"/>
      <c r="T100" s="7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7"/>
      <c r="AP100" s="7"/>
      <c r="AQ100" s="7"/>
      <c r="AR100" s="7"/>
      <c r="AS100" s="7"/>
      <c r="AT100" s="7">
        <v>70626000</v>
      </c>
      <c r="AU100" s="7">
        <v>111667000</v>
      </c>
      <c r="AV100" s="7">
        <v>120998000</v>
      </c>
      <c r="AW100" s="7">
        <v>117837000</v>
      </c>
      <c r="AX100" s="7">
        <v>115394000</v>
      </c>
      <c r="AY100" s="11"/>
      <c r="AZ100" s="11"/>
      <c r="BA100" s="11"/>
      <c r="BB100" s="11"/>
      <c r="BC100" s="11"/>
      <c r="BD100" s="7">
        <v>100000</v>
      </c>
      <c r="BE100" s="7">
        <v>455000</v>
      </c>
      <c r="BF100" s="7"/>
      <c r="BG100" s="7">
        <v>40000</v>
      </c>
      <c r="BH100" s="7"/>
      <c r="BI100" s="11"/>
      <c r="BJ100" s="11"/>
      <c r="BK100" s="11"/>
      <c r="BL100" s="11"/>
      <c r="BM100" s="11"/>
      <c r="BN100" s="11">
        <v>70726000</v>
      </c>
      <c r="BO100" s="11">
        <v>112122000</v>
      </c>
      <c r="BP100" s="11">
        <v>120998000</v>
      </c>
      <c r="BQ100" s="11">
        <v>117877000</v>
      </c>
      <c r="BR100" s="11">
        <v>115394000</v>
      </c>
      <c r="BS100" s="11">
        <v>70726000</v>
      </c>
      <c r="BT100" s="11">
        <v>112122000</v>
      </c>
      <c r="BU100" s="11">
        <v>120998000</v>
      </c>
      <c r="BV100" s="11">
        <v>117877000</v>
      </c>
      <c r="BW100" s="11">
        <v>115394000</v>
      </c>
      <c r="BX100" s="7">
        <v>10000</v>
      </c>
      <c r="BY100" s="7">
        <v>10000</v>
      </c>
      <c r="BZ100" s="7">
        <v>10000</v>
      </c>
      <c r="CA100" s="7">
        <v>10000</v>
      </c>
      <c r="CB100" s="7">
        <v>10000</v>
      </c>
      <c r="CC100" s="11"/>
      <c r="CD100" s="11"/>
      <c r="CE100" s="11"/>
      <c r="CF100" s="11"/>
      <c r="CG100" s="11"/>
      <c r="CH100" s="7">
        <v>1063000</v>
      </c>
      <c r="CI100" s="7">
        <v>1159000</v>
      </c>
      <c r="CJ100" s="7">
        <v>-801000</v>
      </c>
      <c r="CK100" s="7">
        <v>-2310000</v>
      </c>
      <c r="CL100" s="7">
        <v>-3569000</v>
      </c>
      <c r="CM100" s="11">
        <v>1073000</v>
      </c>
      <c r="CN100" s="11">
        <v>1169000</v>
      </c>
      <c r="CO100" s="11">
        <v>-791000</v>
      </c>
      <c r="CP100" s="11">
        <v>-2300000</v>
      </c>
      <c r="CQ100" s="11">
        <v>-3559000</v>
      </c>
      <c r="CR100" s="11"/>
      <c r="CS100" s="11"/>
      <c r="CT100" s="11"/>
      <c r="CU100" s="11"/>
      <c r="CV100" s="11"/>
      <c r="CW100" s="11"/>
      <c r="CX100" s="11"/>
      <c r="CY100" s="11"/>
      <c r="CZ100" s="11"/>
      <c r="DA100" s="11"/>
      <c r="DB100" s="11"/>
      <c r="DC100" s="11"/>
      <c r="DD100" s="11"/>
      <c r="DE100" s="11"/>
      <c r="DF100" s="11"/>
      <c r="DG100" s="7"/>
      <c r="DH100" s="7"/>
      <c r="DI100" s="7"/>
      <c r="DJ100" s="7"/>
      <c r="DK100" s="7"/>
      <c r="DL100" s="7">
        <v>69653000</v>
      </c>
      <c r="DM100" s="7">
        <v>110953000</v>
      </c>
      <c r="DN100" s="7">
        <v>121789000</v>
      </c>
      <c r="DO100" s="7">
        <v>120177000</v>
      </c>
      <c r="DP100" s="7">
        <v>118953000</v>
      </c>
      <c r="DQ100" s="11"/>
      <c r="DR100" s="11"/>
      <c r="DS100" s="11"/>
      <c r="DT100" s="11"/>
      <c r="DU100" s="11"/>
      <c r="DV100" s="11"/>
      <c r="DW100" s="11"/>
      <c r="DX100" s="11"/>
      <c r="DY100" s="11"/>
      <c r="DZ100" s="11"/>
      <c r="EA100" s="11">
        <v>69653000</v>
      </c>
      <c r="EB100" s="11">
        <v>110953000</v>
      </c>
      <c r="EC100" s="11">
        <v>121789000</v>
      </c>
      <c r="ED100" s="11">
        <v>120177000</v>
      </c>
      <c r="EE100" s="11">
        <v>118953000</v>
      </c>
      <c r="EF100" s="7"/>
      <c r="EG100" s="7"/>
      <c r="EH100" s="7">
        <v>56137000</v>
      </c>
      <c r="EI100" s="7">
        <v>161000</v>
      </c>
      <c r="EJ100" s="7"/>
      <c r="EK100" s="7"/>
      <c r="EL100" s="7"/>
      <c r="EM100" s="7">
        <v>57653000</v>
      </c>
      <c r="EN100" s="7"/>
      <c r="EO100" s="7"/>
      <c r="EP100" s="7"/>
      <c r="EQ100" s="7"/>
      <c r="ER100" s="7"/>
      <c r="ES100" s="7"/>
      <c r="ET100" s="7">
        <v>1231000</v>
      </c>
      <c r="EU100" s="7"/>
      <c r="EV100" s="7"/>
      <c r="EW100" s="7"/>
      <c r="EX100" s="7">
        <v>1701000</v>
      </c>
      <c r="EY100" s="7"/>
      <c r="EZ100" s="11"/>
      <c r="FA100" s="11"/>
      <c r="FB100" s="11"/>
      <c r="FC100" s="11"/>
      <c r="FD100" s="11"/>
      <c r="FE100" s="11"/>
      <c r="FF100" s="11"/>
      <c r="FG100" s="11"/>
      <c r="FH100" s="11"/>
      <c r="FI100" s="11"/>
      <c r="FJ100" s="11"/>
      <c r="FK100" s="11"/>
      <c r="FL100" s="11"/>
      <c r="FM100" s="11"/>
      <c r="FN100" s="11"/>
      <c r="FO100" s="7"/>
      <c r="FP100" s="7"/>
      <c r="FQ100" s="7"/>
      <c r="FR100" s="7">
        <v>62000</v>
      </c>
      <c r="FS100" s="7"/>
      <c r="FT100" s="7"/>
      <c r="FU100" s="7"/>
      <c r="FV100" s="7"/>
      <c r="FW100" s="7"/>
      <c r="FX100" s="7">
        <v>28000</v>
      </c>
      <c r="FY100" s="11"/>
      <c r="FZ100" s="11"/>
      <c r="GA100" s="11">
        <v>-444000</v>
      </c>
      <c r="GB100" s="11">
        <v>-31000</v>
      </c>
      <c r="GC100" s="11"/>
      <c r="GD100" s="7"/>
      <c r="GE100" s="7"/>
      <c r="GF100" s="7">
        <v>-1960000</v>
      </c>
      <c r="GG100" s="7">
        <v>-1509000</v>
      </c>
      <c r="GH100" s="7">
        <v>-1259000</v>
      </c>
    </row>
    <row r="101" spans="1:190" x14ac:dyDescent="0.25">
      <c r="A101" s="4">
        <v>100</v>
      </c>
      <c r="B101" s="5" t="s">
        <v>449</v>
      </c>
      <c r="C101" s="9" t="s">
        <v>450</v>
      </c>
      <c r="D101" s="7">
        <v>22</v>
      </c>
      <c r="E101" s="6" t="s">
        <v>451</v>
      </c>
      <c r="F101" s="11">
        <v>95330665</v>
      </c>
      <c r="G101" s="11"/>
      <c r="H101" s="11"/>
      <c r="I101" s="11"/>
      <c r="J101" s="11"/>
      <c r="K101" s="11">
        <v>12637485</v>
      </c>
      <c r="L101" s="11">
        <v>38648177</v>
      </c>
      <c r="M101" s="11">
        <v>7422932</v>
      </c>
      <c r="N101" s="11"/>
      <c r="O101" s="11"/>
      <c r="P101" s="7">
        <v>633546000</v>
      </c>
      <c r="Q101" s="7">
        <v>590821000</v>
      </c>
      <c r="R101" s="7">
        <v>444509000</v>
      </c>
      <c r="S101" s="7">
        <v>379098000</v>
      </c>
      <c r="T101" s="7">
        <v>372785000</v>
      </c>
      <c r="U101" s="11"/>
      <c r="V101" s="11"/>
      <c r="W101" s="11"/>
      <c r="X101" s="11"/>
      <c r="Y101" s="11"/>
      <c r="Z101" s="11">
        <v>444670000</v>
      </c>
      <c r="AA101" s="11">
        <v>350095000</v>
      </c>
      <c r="AB101" s="11">
        <v>327325000</v>
      </c>
      <c r="AC101" s="11">
        <v>327325000</v>
      </c>
      <c r="AD101" s="11">
        <v>327325000</v>
      </c>
      <c r="AE101" s="11">
        <v>189686000</v>
      </c>
      <c r="AF101" s="11">
        <v>191575000</v>
      </c>
      <c r="AG101" s="11">
        <v>181798000</v>
      </c>
      <c r="AH101" s="11">
        <v>182050000</v>
      </c>
      <c r="AI101" s="11"/>
      <c r="AJ101" s="11">
        <v>2111194000</v>
      </c>
      <c r="AK101" s="11">
        <v>2185942000</v>
      </c>
      <c r="AL101" s="11">
        <v>4983171000</v>
      </c>
      <c r="AM101" s="11">
        <v>4264093000</v>
      </c>
      <c r="AN101" s="11">
        <v>3656591000</v>
      </c>
      <c r="AO101" s="7">
        <v>18123730000</v>
      </c>
      <c r="AP101" s="7">
        <v>15562098000</v>
      </c>
      <c r="AQ101" s="7">
        <v>416510000</v>
      </c>
      <c r="AR101" s="7">
        <v>774000</v>
      </c>
      <c r="AS101" s="7">
        <v>774000</v>
      </c>
      <c r="AT101" s="7">
        <v>3924535000</v>
      </c>
      <c r="AU101" s="7">
        <v>4201342000</v>
      </c>
      <c r="AV101" s="7">
        <v>1668490000</v>
      </c>
      <c r="AW101" s="7">
        <v>1673314000</v>
      </c>
      <c r="AX101" s="7">
        <v>1208574000</v>
      </c>
      <c r="AY101" s="11">
        <v>196028000</v>
      </c>
      <c r="AZ101" s="11">
        <v>277348000</v>
      </c>
      <c r="BA101" s="11">
        <v>245748000</v>
      </c>
      <c r="BB101" s="11">
        <v>236801000</v>
      </c>
      <c r="BC101" s="11"/>
      <c r="BD101" s="7">
        <v>143697000</v>
      </c>
      <c r="BE101" s="7">
        <v>43761000</v>
      </c>
      <c r="BF101" s="7">
        <v>43460000</v>
      </c>
      <c r="BG101" s="7">
        <v>32126000</v>
      </c>
      <c r="BH101" s="7">
        <v>8840000</v>
      </c>
      <c r="BI101" s="11">
        <v>82838000</v>
      </c>
      <c r="BJ101" s="11">
        <v>46321000</v>
      </c>
      <c r="BK101" s="11">
        <v>73326000</v>
      </c>
      <c r="BL101" s="11">
        <v>73476000</v>
      </c>
      <c r="BM101" s="11"/>
      <c r="BN101" s="11">
        <v>22543529000</v>
      </c>
      <c r="BO101" s="11">
        <v>20134709000</v>
      </c>
      <c r="BP101" s="11">
        <v>2457291000</v>
      </c>
      <c r="BQ101" s="11">
        <v>2016516000</v>
      </c>
      <c r="BR101" s="11">
        <v>1218188000</v>
      </c>
      <c r="BS101" s="11">
        <v>24654723000</v>
      </c>
      <c r="BT101" s="11">
        <v>22320651000</v>
      </c>
      <c r="BU101" s="11">
        <v>7440462000</v>
      </c>
      <c r="BV101" s="11">
        <v>6280609000</v>
      </c>
      <c r="BW101" s="11">
        <v>4874779000</v>
      </c>
      <c r="BX101" s="7">
        <v>1574352000</v>
      </c>
      <c r="BY101" s="7">
        <v>1574352000</v>
      </c>
      <c r="BZ101" s="7">
        <v>1574352000</v>
      </c>
      <c r="CA101" s="7">
        <v>1574352000</v>
      </c>
      <c r="CB101" s="7">
        <v>1574352000</v>
      </c>
      <c r="CC101" s="11"/>
      <c r="CD101" s="11"/>
      <c r="CE101" s="11"/>
      <c r="CF101" s="11"/>
      <c r="CG101" s="11"/>
      <c r="CH101" s="7">
        <v>6481420000</v>
      </c>
      <c r="CI101" s="7">
        <v>2000516000</v>
      </c>
      <c r="CJ101" s="7">
        <v>-11637758000</v>
      </c>
      <c r="CK101" s="7">
        <v>-14713232000</v>
      </c>
      <c r="CL101" s="7">
        <v>-14778792000</v>
      </c>
      <c r="CM101" s="11">
        <v>9165201000</v>
      </c>
      <c r="CN101" s="11">
        <v>3574868000</v>
      </c>
      <c r="CO101" s="11">
        <v>-10063406000</v>
      </c>
      <c r="CP101" s="11">
        <v>-13138880000</v>
      </c>
      <c r="CQ101" s="11">
        <v>-13204440000</v>
      </c>
      <c r="CR101" s="11">
        <v>4837500000</v>
      </c>
      <c r="CS101" s="11">
        <v>5957003000</v>
      </c>
      <c r="CT101" s="11"/>
      <c r="CU101" s="11"/>
      <c r="CV101" s="11"/>
      <c r="CW101" s="11"/>
      <c r="CX101" s="11"/>
      <c r="CY101" s="11"/>
      <c r="CZ101" s="11"/>
      <c r="DA101" s="11"/>
      <c r="DB101" s="11">
        <v>4838902000</v>
      </c>
      <c r="DC101" s="11">
        <v>5958636000</v>
      </c>
      <c r="DD101" s="11"/>
      <c r="DE101" s="11"/>
      <c r="DF101" s="11"/>
      <c r="DG101" s="7">
        <v>3476438000</v>
      </c>
      <c r="DH101" s="7">
        <v>3879436000</v>
      </c>
      <c r="DI101" s="7">
        <v>10923707000</v>
      </c>
      <c r="DJ101" s="7">
        <v>4859029000</v>
      </c>
      <c r="DK101" s="7">
        <v>4859029000</v>
      </c>
      <c r="DL101" s="7">
        <v>5073286000</v>
      </c>
      <c r="DM101" s="7">
        <v>6848820000</v>
      </c>
      <c r="DN101" s="7">
        <v>3957423000</v>
      </c>
      <c r="DO101" s="7">
        <v>11939932000</v>
      </c>
      <c r="DP101" s="7">
        <v>13220190000</v>
      </c>
      <c r="DQ101" s="11"/>
      <c r="DR101" s="11"/>
      <c r="DS101" s="11"/>
      <c r="DT101" s="11"/>
      <c r="DU101" s="11"/>
      <c r="DV101" s="11">
        <v>2066690000</v>
      </c>
      <c r="DW101" s="11">
        <v>2023261000</v>
      </c>
      <c r="DX101" s="11">
        <v>2609479000</v>
      </c>
      <c r="DY101" s="11">
        <v>2617722000</v>
      </c>
      <c r="DZ101" s="11"/>
      <c r="EA101" s="11">
        <v>10650620000</v>
      </c>
      <c r="EB101" s="11">
        <v>12787147000</v>
      </c>
      <c r="EC101" s="11">
        <v>17503868000</v>
      </c>
      <c r="ED101" s="11">
        <v>19419489000</v>
      </c>
      <c r="EE101" s="11">
        <v>18079219000</v>
      </c>
      <c r="EF101" s="7">
        <v>7296907000</v>
      </c>
      <c r="EG101" s="7">
        <v>5513600000</v>
      </c>
      <c r="EH101" s="7">
        <v>1867457000</v>
      </c>
      <c r="EI101" s="7">
        <v>229520000</v>
      </c>
      <c r="EJ101" s="7">
        <v>55742000</v>
      </c>
      <c r="EK101" s="7">
        <v>4296596000</v>
      </c>
      <c r="EL101" s="7">
        <v>3484867000</v>
      </c>
      <c r="EM101" s="7">
        <v>2049018000</v>
      </c>
      <c r="EN101" s="7">
        <v>333205000</v>
      </c>
      <c r="EO101" s="7">
        <v>39267000</v>
      </c>
      <c r="EP101" s="7">
        <v>1860899000</v>
      </c>
      <c r="EQ101" s="7">
        <v>2028601000</v>
      </c>
      <c r="ER101" s="7">
        <v>1283469000</v>
      </c>
      <c r="ES101" s="7">
        <v>366961000</v>
      </c>
      <c r="ET101" s="7"/>
      <c r="EU101" s="7">
        <v>287995000</v>
      </c>
      <c r="EV101" s="7">
        <v>297497000</v>
      </c>
      <c r="EW101" s="7">
        <v>191962000</v>
      </c>
      <c r="EX101" s="7">
        <v>66031000</v>
      </c>
      <c r="EY101" s="7">
        <v>34234000</v>
      </c>
      <c r="EZ101" s="11"/>
      <c r="FA101" s="11"/>
      <c r="FB101" s="11"/>
      <c r="FC101" s="11"/>
      <c r="FD101" s="11"/>
      <c r="FE101" s="11">
        <v>58276000</v>
      </c>
      <c r="FF101" s="11">
        <v>33388000</v>
      </c>
      <c r="FG101" s="11">
        <v>19539000</v>
      </c>
      <c r="FH101" s="11"/>
      <c r="FI101" s="11"/>
      <c r="FJ101" s="11">
        <v>923317000</v>
      </c>
      <c r="FK101" s="11">
        <v>1115450000</v>
      </c>
      <c r="FL101" s="11">
        <v>935275000</v>
      </c>
      <c r="FM101" s="11">
        <v>381456000</v>
      </c>
      <c r="FN101" s="11">
        <v>81783000</v>
      </c>
      <c r="FO101" s="7">
        <v>465113000</v>
      </c>
      <c r="FP101" s="7">
        <v>2531376000</v>
      </c>
      <c r="FQ101" s="7">
        <v>2063179000</v>
      </c>
      <c r="FR101" s="7">
        <v>279514000</v>
      </c>
      <c r="FS101" s="7">
        <v>33982000</v>
      </c>
      <c r="FT101" s="7">
        <v>471811000</v>
      </c>
      <c r="FU101" s="7">
        <v>6547565000</v>
      </c>
      <c r="FV101" s="7">
        <v>16110339000</v>
      </c>
      <c r="FW101" s="7">
        <v>2387943000</v>
      </c>
      <c r="FX101" s="7"/>
      <c r="FY101" s="11">
        <v>-17002000</v>
      </c>
      <c r="FZ101" s="11">
        <v>1044322000</v>
      </c>
      <c r="GA101" s="11">
        <v>2978041000</v>
      </c>
      <c r="GB101" s="11">
        <v>143372000</v>
      </c>
      <c r="GC101" s="11"/>
      <c r="GD101" s="7">
        <v>-40383000</v>
      </c>
      <c r="GE101" s="7">
        <v>-4351294000</v>
      </c>
      <c r="GF101" s="7">
        <v>-13641847000</v>
      </c>
      <c r="GG101" s="7">
        <v>-2883190000</v>
      </c>
      <c r="GH101" s="7">
        <v>-65560000</v>
      </c>
    </row>
    <row r="102" spans="1:190" ht="26.25" x14ac:dyDescent="0.25">
      <c r="A102" s="4">
        <v>101</v>
      </c>
      <c r="B102" s="5" t="s">
        <v>452</v>
      </c>
      <c r="C102" s="9" t="s">
        <v>453</v>
      </c>
      <c r="D102" s="7">
        <v>14</v>
      </c>
      <c r="E102" s="6" t="s">
        <v>228</v>
      </c>
      <c r="F102" s="11">
        <v>24313</v>
      </c>
      <c r="G102" s="11">
        <v>163535</v>
      </c>
      <c r="H102" s="11">
        <v>283725</v>
      </c>
      <c r="I102" s="11"/>
      <c r="J102" s="11"/>
      <c r="K102" s="11">
        <v>14725470</v>
      </c>
      <c r="L102" s="11">
        <v>5277695</v>
      </c>
      <c r="M102" s="11">
        <v>1704258</v>
      </c>
      <c r="N102" s="11">
        <v>2785886</v>
      </c>
      <c r="O102" s="11">
        <v>3735048</v>
      </c>
      <c r="P102" s="7">
        <v>12598000</v>
      </c>
      <c r="Q102" s="7">
        <v>7011000</v>
      </c>
      <c r="R102" s="7">
        <v>6674000</v>
      </c>
      <c r="S102" s="7">
        <v>5123000</v>
      </c>
      <c r="T102" s="7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>
        <v>12612000</v>
      </c>
      <c r="AK102" s="11">
        <v>7022000</v>
      </c>
      <c r="AL102" s="11">
        <v>6681000</v>
      </c>
      <c r="AM102" s="11">
        <v>5127000</v>
      </c>
      <c r="AN102" s="11"/>
      <c r="AO102" s="7">
        <v>4594000</v>
      </c>
      <c r="AP102" s="7">
        <v>4322000</v>
      </c>
      <c r="AQ102" s="7">
        <v>6478000</v>
      </c>
      <c r="AR102" s="7">
        <v>6884000</v>
      </c>
      <c r="AS102" s="7"/>
      <c r="AT102" s="7">
        <v>31382000</v>
      </c>
      <c r="AU102" s="7">
        <v>9147000</v>
      </c>
      <c r="AV102" s="7">
        <v>22384000</v>
      </c>
      <c r="AW102" s="7">
        <v>23457000</v>
      </c>
      <c r="AX102" s="7">
        <v>11929000</v>
      </c>
      <c r="AY102" s="11"/>
      <c r="AZ102" s="11">
        <v>650000</v>
      </c>
      <c r="BA102" s="11"/>
      <c r="BB102" s="11"/>
      <c r="BC102" s="11"/>
      <c r="BD102" s="7">
        <v>481000</v>
      </c>
      <c r="BE102" s="7"/>
      <c r="BF102" s="7">
        <v>1583000</v>
      </c>
      <c r="BG102" s="7">
        <v>53000</v>
      </c>
      <c r="BH102" s="7"/>
      <c r="BI102" s="11">
        <v>649000</v>
      </c>
      <c r="BJ102" s="11">
        <v>16129000</v>
      </c>
      <c r="BK102" s="11">
        <v>483000</v>
      </c>
      <c r="BL102" s="11">
        <v>1299000</v>
      </c>
      <c r="BM102" s="11"/>
      <c r="BN102" s="11">
        <v>37106000</v>
      </c>
      <c r="BO102" s="11">
        <v>30248000</v>
      </c>
      <c r="BP102" s="11">
        <v>30928000</v>
      </c>
      <c r="BQ102" s="11">
        <v>31693000</v>
      </c>
      <c r="BR102" s="11">
        <v>11929000</v>
      </c>
      <c r="BS102" s="11">
        <v>49718000</v>
      </c>
      <c r="BT102" s="11">
        <v>37270000</v>
      </c>
      <c r="BU102" s="11">
        <v>37609000</v>
      </c>
      <c r="BV102" s="11">
        <v>36820000</v>
      </c>
      <c r="BW102" s="11">
        <v>11929000</v>
      </c>
      <c r="BX102" s="7">
        <v>100000</v>
      </c>
      <c r="BY102" s="7">
        <v>100000</v>
      </c>
      <c r="BZ102" s="7">
        <v>100000</v>
      </c>
      <c r="CA102" s="7">
        <v>100000</v>
      </c>
      <c r="CB102" s="7">
        <v>100000</v>
      </c>
      <c r="CC102" s="11"/>
      <c r="CD102" s="11"/>
      <c r="CE102" s="11"/>
      <c r="CF102" s="11"/>
      <c r="CG102" s="11"/>
      <c r="CH102" s="7">
        <v>30299000</v>
      </c>
      <c r="CI102" s="7">
        <v>30535000</v>
      </c>
      <c r="CJ102" s="7">
        <v>21479000</v>
      </c>
      <c r="CK102" s="7">
        <v>18080000</v>
      </c>
      <c r="CL102" s="7">
        <v>-650900000</v>
      </c>
      <c r="CM102" s="11">
        <v>30399000</v>
      </c>
      <c r="CN102" s="11">
        <v>30635000</v>
      </c>
      <c r="CO102" s="11">
        <v>21579000</v>
      </c>
      <c r="CP102" s="11">
        <v>18180000</v>
      </c>
      <c r="CQ102" s="11">
        <v>-650800000</v>
      </c>
      <c r="CR102" s="11"/>
      <c r="CS102" s="11"/>
      <c r="CT102" s="11">
        <v>4527000</v>
      </c>
      <c r="CU102" s="11">
        <v>3354000</v>
      </c>
      <c r="CV102" s="11"/>
      <c r="CW102" s="11"/>
      <c r="CX102" s="11"/>
      <c r="CY102" s="11"/>
      <c r="CZ102" s="11"/>
      <c r="DA102" s="11">
        <v>662729000</v>
      </c>
      <c r="DB102" s="11"/>
      <c r="DC102" s="11"/>
      <c r="DD102" s="11">
        <v>4527000</v>
      </c>
      <c r="DE102" s="11">
        <v>3354000</v>
      </c>
      <c r="DF102" s="11">
        <v>662729000</v>
      </c>
      <c r="DG102" s="7"/>
      <c r="DH102" s="7"/>
      <c r="DI102" s="7"/>
      <c r="DJ102" s="7">
        <v>2423000</v>
      </c>
      <c r="DK102" s="7"/>
      <c r="DL102" s="7">
        <v>19319000</v>
      </c>
      <c r="DM102" s="7">
        <v>6635000</v>
      </c>
      <c r="DN102" s="7">
        <v>11503000</v>
      </c>
      <c r="DO102" s="7">
        <v>12863000</v>
      </c>
      <c r="DP102" s="7"/>
      <c r="DQ102" s="11"/>
      <c r="DR102" s="11"/>
      <c r="DS102" s="11"/>
      <c r="DT102" s="11"/>
      <c r="DU102" s="11"/>
      <c r="DV102" s="11"/>
      <c r="DW102" s="11"/>
      <c r="DX102" s="11"/>
      <c r="DY102" s="11"/>
      <c r="DZ102" s="11"/>
      <c r="EA102" s="11">
        <v>19319000</v>
      </c>
      <c r="EB102" s="11">
        <v>6635000</v>
      </c>
      <c r="EC102" s="11">
        <v>11503000</v>
      </c>
      <c r="ED102" s="11">
        <v>15286000</v>
      </c>
      <c r="EE102" s="11"/>
      <c r="EF102" s="7">
        <v>70741000</v>
      </c>
      <c r="EG102" s="7">
        <v>27859000</v>
      </c>
      <c r="EH102" s="7">
        <v>16115000</v>
      </c>
      <c r="EI102" s="7">
        <v>30494000</v>
      </c>
      <c r="EJ102" s="7"/>
      <c r="EK102" s="7">
        <v>52459000</v>
      </c>
      <c r="EL102" s="7">
        <v>16038000</v>
      </c>
      <c r="EM102" s="7">
        <v>1118000</v>
      </c>
      <c r="EN102" s="7">
        <v>12055000</v>
      </c>
      <c r="EO102" s="7"/>
      <c r="EP102" s="7"/>
      <c r="EQ102" s="7"/>
      <c r="ER102" s="7">
        <v>660000</v>
      </c>
      <c r="ES102" s="7">
        <v>1300000</v>
      </c>
      <c r="ET102" s="7"/>
      <c r="EU102" s="7">
        <v>23188000</v>
      </c>
      <c r="EV102" s="7">
        <v>3835000</v>
      </c>
      <c r="EW102" s="7">
        <v>30837000</v>
      </c>
      <c r="EX102" s="7">
        <v>15407000</v>
      </c>
      <c r="EY102" s="7"/>
      <c r="EZ102" s="11"/>
      <c r="FA102" s="11"/>
      <c r="FB102" s="11"/>
      <c r="FC102" s="11"/>
      <c r="FD102" s="11"/>
      <c r="FE102" s="11">
        <v>16000</v>
      </c>
      <c r="FF102" s="11">
        <v>14000</v>
      </c>
      <c r="FG102" s="11">
        <v>48000</v>
      </c>
      <c r="FH102" s="11"/>
      <c r="FI102" s="11"/>
      <c r="FJ102" s="11">
        <v>170000</v>
      </c>
      <c r="FK102" s="11">
        <v>144000</v>
      </c>
      <c r="FL102" s="11">
        <v>49000</v>
      </c>
      <c r="FM102" s="11"/>
      <c r="FN102" s="11"/>
      <c r="FO102" s="7">
        <v>26373000</v>
      </c>
      <c r="FP102" s="7">
        <v>1921000</v>
      </c>
      <c r="FQ102" s="7">
        <v>7675000</v>
      </c>
      <c r="FR102" s="7"/>
      <c r="FS102" s="7"/>
      <c r="FT102" s="7">
        <v>18336000</v>
      </c>
      <c r="FU102" s="7">
        <v>6288000</v>
      </c>
      <c r="FV102" s="7">
        <v>2668000</v>
      </c>
      <c r="FW102" s="7">
        <v>3466000</v>
      </c>
      <c r="FX102" s="7"/>
      <c r="FY102" s="11">
        <v>-693000</v>
      </c>
      <c r="FZ102" s="11">
        <v>-253000</v>
      </c>
      <c r="GA102" s="11"/>
      <c r="GB102" s="11"/>
      <c r="GC102" s="11"/>
      <c r="GD102" s="7">
        <v>2284000</v>
      </c>
      <c r="GE102" s="7">
        <v>236000</v>
      </c>
      <c r="GF102" s="7">
        <v>-11494000</v>
      </c>
      <c r="GG102" s="7">
        <v>-1734000</v>
      </c>
      <c r="GH102" s="7"/>
    </row>
    <row r="103" spans="1:190" x14ac:dyDescent="0.25">
      <c r="A103" s="4">
        <v>102</v>
      </c>
      <c r="B103" s="5" t="s">
        <v>454</v>
      </c>
      <c r="C103" s="9" t="s">
        <v>455</v>
      </c>
      <c r="D103" s="7">
        <v>12</v>
      </c>
      <c r="E103" s="6" t="s">
        <v>190</v>
      </c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7"/>
      <c r="Q103" s="7"/>
      <c r="R103" s="7"/>
      <c r="S103" s="7"/>
      <c r="T103" s="7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7"/>
      <c r="AP103" s="7"/>
      <c r="AQ103" s="7"/>
      <c r="AR103" s="7"/>
      <c r="AS103" s="7"/>
      <c r="AT103" s="7"/>
      <c r="AU103" s="7">
        <v>17776000</v>
      </c>
      <c r="AV103" s="7">
        <v>12269000</v>
      </c>
      <c r="AW103" s="7">
        <v>11128000</v>
      </c>
      <c r="AX103" s="7">
        <v>10692000</v>
      </c>
      <c r="AY103" s="11"/>
      <c r="AZ103" s="11"/>
      <c r="BA103" s="11"/>
      <c r="BB103" s="11"/>
      <c r="BC103" s="11"/>
      <c r="BD103" s="7"/>
      <c r="BE103" s="7">
        <v>451000</v>
      </c>
      <c r="BF103" s="7">
        <v>944000</v>
      </c>
      <c r="BG103" s="7">
        <v>1080000</v>
      </c>
      <c r="BH103" s="7">
        <v>531000</v>
      </c>
      <c r="BI103" s="11"/>
      <c r="BJ103" s="11"/>
      <c r="BK103" s="11"/>
      <c r="BL103" s="11"/>
      <c r="BM103" s="11"/>
      <c r="BN103" s="11"/>
      <c r="BO103" s="11">
        <v>18227000</v>
      </c>
      <c r="BP103" s="11">
        <v>13213000</v>
      </c>
      <c r="BQ103" s="11">
        <v>12208000</v>
      </c>
      <c r="BR103" s="11">
        <v>11223000</v>
      </c>
      <c r="BS103" s="11"/>
      <c r="BT103" s="11">
        <v>18227000</v>
      </c>
      <c r="BU103" s="11">
        <v>13213000</v>
      </c>
      <c r="BV103" s="11">
        <v>12208000</v>
      </c>
      <c r="BW103" s="11">
        <v>11223000</v>
      </c>
      <c r="BX103" s="7"/>
      <c r="BY103" s="7"/>
      <c r="BZ103" s="7"/>
      <c r="CA103" s="7"/>
      <c r="CB103" s="7"/>
      <c r="CC103" s="11"/>
      <c r="CD103" s="11"/>
      <c r="CE103" s="11"/>
      <c r="CF103" s="11"/>
      <c r="CG103" s="11"/>
      <c r="CH103" s="7"/>
      <c r="CI103" s="7"/>
      <c r="CJ103" s="7">
        <v>-5912000</v>
      </c>
      <c r="CK103" s="7">
        <v>-6917000</v>
      </c>
      <c r="CL103" s="7">
        <v>-7902000</v>
      </c>
      <c r="CM103" s="11"/>
      <c r="CN103" s="11">
        <v>303000</v>
      </c>
      <c r="CO103" s="11">
        <v>-5609000</v>
      </c>
      <c r="CP103" s="11">
        <v>-6614000</v>
      </c>
      <c r="CQ103" s="11">
        <v>-7599000</v>
      </c>
      <c r="CR103" s="11"/>
      <c r="CS103" s="11"/>
      <c r="CT103" s="11"/>
      <c r="CU103" s="11"/>
      <c r="CV103" s="11"/>
      <c r="CW103" s="11"/>
      <c r="CX103" s="11"/>
      <c r="CY103" s="11"/>
      <c r="CZ103" s="11"/>
      <c r="DA103" s="11"/>
      <c r="DB103" s="11"/>
      <c r="DC103" s="11"/>
      <c r="DD103" s="11"/>
      <c r="DE103" s="11"/>
      <c r="DF103" s="11"/>
      <c r="DG103" s="7"/>
      <c r="DH103" s="7"/>
      <c r="DI103" s="7"/>
      <c r="DJ103" s="7"/>
      <c r="DK103" s="7"/>
      <c r="DL103" s="7"/>
      <c r="DM103" s="7">
        <v>17924000</v>
      </c>
      <c r="DN103" s="7">
        <v>18822000</v>
      </c>
      <c r="DO103" s="7">
        <v>18822000</v>
      </c>
      <c r="DP103" s="7">
        <v>18822000</v>
      </c>
      <c r="DQ103" s="11"/>
      <c r="DR103" s="11"/>
      <c r="DS103" s="11"/>
      <c r="DT103" s="11"/>
      <c r="DU103" s="11"/>
      <c r="DV103" s="11"/>
      <c r="DW103" s="11"/>
      <c r="DX103" s="11"/>
      <c r="DY103" s="11"/>
      <c r="DZ103" s="11"/>
      <c r="EA103" s="11"/>
      <c r="EB103" s="11">
        <v>17924000</v>
      </c>
      <c r="EC103" s="11">
        <v>18822000</v>
      </c>
      <c r="ED103" s="11">
        <v>18822000</v>
      </c>
      <c r="EE103" s="11">
        <v>18822000</v>
      </c>
      <c r="EF103" s="7"/>
      <c r="EG103" s="7"/>
      <c r="EH103" s="7"/>
      <c r="EI103" s="7"/>
      <c r="EJ103" s="7"/>
      <c r="EK103" s="7"/>
      <c r="EL103" s="7"/>
      <c r="EM103" s="7"/>
      <c r="EN103" s="7"/>
      <c r="EO103" s="7"/>
      <c r="EP103" s="7"/>
      <c r="EQ103" s="7"/>
      <c r="ER103" s="7"/>
      <c r="ES103" s="7"/>
      <c r="ET103" s="7"/>
      <c r="EU103" s="7"/>
      <c r="EV103" s="7"/>
      <c r="EW103" s="7"/>
      <c r="EX103" s="7"/>
      <c r="EY103" s="7"/>
      <c r="EZ103" s="11"/>
      <c r="FA103" s="11"/>
      <c r="FB103" s="11"/>
      <c r="FC103" s="11"/>
      <c r="FD103" s="11"/>
      <c r="FE103" s="11"/>
      <c r="FF103" s="11"/>
      <c r="FG103" s="11"/>
      <c r="FH103" s="11"/>
      <c r="FI103" s="11"/>
      <c r="FJ103" s="11"/>
      <c r="FK103" s="11"/>
      <c r="FL103" s="11"/>
      <c r="FM103" s="11"/>
      <c r="FN103" s="11"/>
      <c r="FO103" s="7"/>
      <c r="FP103" s="7"/>
      <c r="FQ103" s="7"/>
      <c r="FR103" s="7"/>
      <c r="FS103" s="7"/>
      <c r="FT103" s="7"/>
      <c r="FU103" s="7"/>
      <c r="FV103" s="7">
        <v>389000</v>
      </c>
      <c r="FW103" s="7">
        <v>595000</v>
      </c>
      <c r="FX103" s="7">
        <v>444000</v>
      </c>
      <c r="FY103" s="11"/>
      <c r="FZ103" s="11"/>
      <c r="GA103" s="11"/>
      <c r="GB103" s="11"/>
      <c r="GC103" s="11"/>
      <c r="GD103" s="7"/>
      <c r="GE103" s="7"/>
      <c r="GF103" s="7">
        <v>-389000</v>
      </c>
      <c r="GG103" s="7">
        <v>-595000</v>
      </c>
      <c r="GH103" s="7">
        <v>-444000</v>
      </c>
    </row>
    <row r="104" spans="1:190" ht="26.25" x14ac:dyDescent="0.25">
      <c r="A104" s="4">
        <v>103</v>
      </c>
      <c r="B104" s="5" t="s">
        <v>456</v>
      </c>
      <c r="C104" s="9" t="s">
        <v>457</v>
      </c>
      <c r="D104" s="7">
        <v>28</v>
      </c>
      <c r="E104" s="6" t="s">
        <v>252</v>
      </c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7"/>
      <c r="Q104" s="7"/>
      <c r="R104" s="7"/>
      <c r="S104" s="7"/>
      <c r="T104" s="7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7"/>
      <c r="AP104" s="7"/>
      <c r="AQ104" s="7"/>
      <c r="AR104" s="7"/>
      <c r="AS104" s="7"/>
      <c r="AT104" s="7">
        <v>22181000</v>
      </c>
      <c r="AU104" s="7">
        <v>19802000</v>
      </c>
      <c r="AV104" s="7"/>
      <c r="AW104" s="7"/>
      <c r="AX104" s="7"/>
      <c r="AY104" s="11">
        <v>2504000</v>
      </c>
      <c r="AZ104" s="11">
        <v>2504000</v>
      </c>
      <c r="BA104" s="11"/>
      <c r="BB104" s="11"/>
      <c r="BC104" s="11"/>
      <c r="BD104" s="7"/>
      <c r="BE104" s="7">
        <v>6000</v>
      </c>
      <c r="BF104" s="7"/>
      <c r="BG104" s="7"/>
      <c r="BH104" s="7"/>
      <c r="BI104" s="11"/>
      <c r="BJ104" s="11"/>
      <c r="BK104" s="11"/>
      <c r="BL104" s="11"/>
      <c r="BM104" s="11"/>
      <c r="BN104" s="11">
        <v>24685000</v>
      </c>
      <c r="BO104" s="11">
        <v>22312000</v>
      </c>
      <c r="BP104" s="11"/>
      <c r="BQ104" s="11"/>
      <c r="BR104" s="11"/>
      <c r="BS104" s="11">
        <v>24685000</v>
      </c>
      <c r="BT104" s="11">
        <v>22312000</v>
      </c>
      <c r="BU104" s="11"/>
      <c r="BV104" s="11"/>
      <c r="BW104" s="11"/>
      <c r="BX104" s="7">
        <v>17508000</v>
      </c>
      <c r="BY104" s="7">
        <v>17508000</v>
      </c>
      <c r="BZ104" s="7"/>
      <c r="CA104" s="7"/>
      <c r="CB104" s="7"/>
      <c r="CC104" s="11"/>
      <c r="CD104" s="11"/>
      <c r="CE104" s="11"/>
      <c r="CF104" s="11"/>
      <c r="CG104" s="11"/>
      <c r="CH104" s="7">
        <v>-19424000</v>
      </c>
      <c r="CI104" s="7">
        <v>-20965000</v>
      </c>
      <c r="CJ104" s="7"/>
      <c r="CK104" s="7"/>
      <c r="CL104" s="7"/>
      <c r="CM104" s="11">
        <v>-1916000</v>
      </c>
      <c r="CN104" s="11">
        <v>-3457000</v>
      </c>
      <c r="CO104" s="11"/>
      <c r="CP104" s="11"/>
      <c r="CQ104" s="11"/>
      <c r="CR104" s="11"/>
      <c r="CS104" s="11"/>
      <c r="CT104" s="11"/>
      <c r="CU104" s="11"/>
      <c r="CV104" s="11"/>
      <c r="CW104" s="11"/>
      <c r="CX104" s="11"/>
      <c r="CY104" s="11"/>
      <c r="CZ104" s="11"/>
      <c r="DA104" s="11"/>
      <c r="DB104" s="11"/>
      <c r="DC104" s="11"/>
      <c r="DD104" s="11"/>
      <c r="DE104" s="11"/>
      <c r="DF104" s="11"/>
      <c r="DG104" s="7"/>
      <c r="DH104" s="7"/>
      <c r="DI104" s="7"/>
      <c r="DJ104" s="7"/>
      <c r="DK104" s="7"/>
      <c r="DL104" s="7">
        <v>8609000</v>
      </c>
      <c r="DM104" s="7">
        <v>7841000</v>
      </c>
      <c r="DN104" s="7"/>
      <c r="DO104" s="7"/>
      <c r="DP104" s="7"/>
      <c r="DQ104" s="11"/>
      <c r="DR104" s="11"/>
      <c r="DS104" s="11"/>
      <c r="DT104" s="11"/>
      <c r="DU104" s="11"/>
      <c r="DV104" s="11">
        <v>17992000</v>
      </c>
      <c r="DW104" s="11">
        <v>17928000</v>
      </c>
      <c r="DX104" s="11"/>
      <c r="DY104" s="11"/>
      <c r="DZ104" s="11"/>
      <c r="EA104" s="11">
        <v>26601000</v>
      </c>
      <c r="EB104" s="11">
        <v>25769000</v>
      </c>
      <c r="EC104" s="11"/>
      <c r="ED104" s="11"/>
      <c r="EE104" s="11"/>
      <c r="EF104" s="7">
        <v>213000</v>
      </c>
      <c r="EG104" s="7"/>
      <c r="EH104" s="7"/>
      <c r="EI104" s="7"/>
      <c r="EJ104" s="7"/>
      <c r="EK104" s="7">
        <v>630000</v>
      </c>
      <c r="EL104" s="7"/>
      <c r="EM104" s="7"/>
      <c r="EN104" s="7"/>
      <c r="EO104" s="7"/>
      <c r="EP104" s="7"/>
      <c r="EQ104" s="7"/>
      <c r="ER104" s="7"/>
      <c r="ES104" s="7"/>
      <c r="ET104" s="7"/>
      <c r="EU104" s="7"/>
      <c r="EV104" s="7">
        <v>559000</v>
      </c>
      <c r="EW104" s="7"/>
      <c r="EX104" s="7"/>
      <c r="EY104" s="7"/>
      <c r="EZ104" s="11"/>
      <c r="FA104" s="11"/>
      <c r="FB104" s="11"/>
      <c r="FC104" s="11"/>
      <c r="FD104" s="11"/>
      <c r="FE104" s="11">
        <v>272000</v>
      </c>
      <c r="FF104" s="11">
        <v>272000</v>
      </c>
      <c r="FG104" s="11"/>
      <c r="FH104" s="11"/>
      <c r="FI104" s="11"/>
      <c r="FJ104" s="11"/>
      <c r="FK104" s="11"/>
      <c r="FL104" s="11"/>
      <c r="FM104" s="11"/>
      <c r="FN104" s="11"/>
      <c r="FO104" s="7">
        <v>41000</v>
      </c>
      <c r="FP104" s="7">
        <v>1291000</v>
      </c>
      <c r="FQ104" s="7"/>
      <c r="FR104" s="7"/>
      <c r="FS104" s="7"/>
      <c r="FT104" s="7">
        <v>5097000</v>
      </c>
      <c r="FU104" s="7">
        <v>2502000</v>
      </c>
      <c r="FV104" s="7"/>
      <c r="FW104" s="7"/>
      <c r="FX104" s="7"/>
      <c r="FY104" s="11"/>
      <c r="FZ104" s="11"/>
      <c r="GA104" s="11"/>
      <c r="GB104" s="11"/>
      <c r="GC104" s="11"/>
      <c r="GD104" s="7">
        <v>-5210000</v>
      </c>
      <c r="GE104" s="7">
        <v>-1541000</v>
      </c>
      <c r="GF104" s="7"/>
      <c r="GG104" s="7"/>
      <c r="GH104" s="7"/>
    </row>
    <row r="105" spans="1:190" x14ac:dyDescent="0.25">
      <c r="A105" s="4">
        <v>104</v>
      </c>
      <c r="B105" s="5" t="s">
        <v>458</v>
      </c>
      <c r="C105" s="9" t="s">
        <v>459</v>
      </c>
      <c r="D105" s="7">
        <v>14</v>
      </c>
      <c r="E105" s="6" t="s">
        <v>190</v>
      </c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7">
        <v>1133000</v>
      </c>
      <c r="Q105" s="7">
        <v>4486000</v>
      </c>
      <c r="R105" s="7">
        <v>3754000</v>
      </c>
      <c r="S105" s="7"/>
      <c r="T105" s="7">
        <v>2068000</v>
      </c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>
        <v>1133000</v>
      </c>
      <c r="AK105" s="11">
        <v>4486000</v>
      </c>
      <c r="AL105" s="11">
        <v>3754000</v>
      </c>
      <c r="AM105" s="11"/>
      <c r="AN105" s="11">
        <v>2068000</v>
      </c>
      <c r="AO105" s="7">
        <v>3799000</v>
      </c>
      <c r="AP105" s="7">
        <v>124000</v>
      </c>
      <c r="AQ105" s="7"/>
      <c r="AR105" s="7"/>
      <c r="AS105" s="7"/>
      <c r="AT105" s="7">
        <v>39273000</v>
      </c>
      <c r="AU105" s="7">
        <v>47008000</v>
      </c>
      <c r="AV105" s="7">
        <v>47008000</v>
      </c>
      <c r="AW105" s="7"/>
      <c r="AX105" s="7">
        <v>3992000</v>
      </c>
      <c r="AY105" s="11">
        <v>1500000</v>
      </c>
      <c r="AZ105" s="11">
        <v>1500000</v>
      </c>
      <c r="BA105" s="11">
        <v>1500000</v>
      </c>
      <c r="BB105" s="11"/>
      <c r="BC105" s="11"/>
      <c r="BD105" s="7">
        <v>2304000</v>
      </c>
      <c r="BE105" s="7"/>
      <c r="BF105" s="7"/>
      <c r="BG105" s="7"/>
      <c r="BH105" s="7"/>
      <c r="BI105" s="11"/>
      <c r="BJ105" s="11"/>
      <c r="BK105" s="11"/>
      <c r="BL105" s="11"/>
      <c r="BM105" s="11"/>
      <c r="BN105" s="11">
        <v>46876000</v>
      </c>
      <c r="BO105" s="11">
        <v>48632000</v>
      </c>
      <c r="BP105" s="11">
        <v>48508000</v>
      </c>
      <c r="BQ105" s="11"/>
      <c r="BR105" s="11">
        <v>3992000</v>
      </c>
      <c r="BS105" s="11">
        <v>48009000</v>
      </c>
      <c r="BT105" s="11">
        <v>53118000</v>
      </c>
      <c r="BU105" s="11">
        <v>52262000</v>
      </c>
      <c r="BV105" s="11"/>
      <c r="BW105" s="11">
        <v>6060000</v>
      </c>
      <c r="BX105" s="7">
        <v>3000000</v>
      </c>
      <c r="BY105" s="7">
        <v>3000000</v>
      </c>
      <c r="BZ105" s="7">
        <v>3000000</v>
      </c>
      <c r="CA105" s="7"/>
      <c r="CB105" s="7">
        <v>3000000</v>
      </c>
      <c r="CC105" s="11"/>
      <c r="CD105" s="11"/>
      <c r="CE105" s="11"/>
      <c r="CF105" s="11"/>
      <c r="CG105" s="11"/>
      <c r="CH105" s="7">
        <v>17331000</v>
      </c>
      <c r="CI105" s="7">
        <v>19602000</v>
      </c>
      <c r="CJ105" s="7">
        <v>18002000</v>
      </c>
      <c r="CK105" s="7"/>
      <c r="CL105" s="7">
        <v>-76068000</v>
      </c>
      <c r="CM105" s="11">
        <v>20331000</v>
      </c>
      <c r="CN105" s="11">
        <v>22602000</v>
      </c>
      <c r="CO105" s="11">
        <v>21002000</v>
      </c>
      <c r="CP105" s="11"/>
      <c r="CQ105" s="11">
        <v>-73068000</v>
      </c>
      <c r="CR105" s="11">
        <v>420000</v>
      </c>
      <c r="CS105" s="11">
        <v>19351000</v>
      </c>
      <c r="CT105" s="11">
        <v>19351000</v>
      </c>
      <c r="CU105" s="11"/>
      <c r="CV105" s="11"/>
      <c r="CW105" s="11"/>
      <c r="CX105" s="11"/>
      <c r="CY105" s="11"/>
      <c r="CZ105" s="11"/>
      <c r="DA105" s="11"/>
      <c r="DB105" s="11">
        <v>420000</v>
      </c>
      <c r="DC105" s="11">
        <v>19351000</v>
      </c>
      <c r="DD105" s="11">
        <v>19351000</v>
      </c>
      <c r="DE105" s="11"/>
      <c r="DF105" s="11"/>
      <c r="DG105" s="7">
        <v>17217000</v>
      </c>
      <c r="DH105" s="7">
        <v>3290000</v>
      </c>
      <c r="DI105" s="7">
        <v>4704000</v>
      </c>
      <c r="DJ105" s="7"/>
      <c r="DK105" s="7"/>
      <c r="DL105" s="7">
        <v>10041000</v>
      </c>
      <c r="DM105" s="7">
        <v>7875000</v>
      </c>
      <c r="DN105" s="7">
        <v>7205000</v>
      </c>
      <c r="DO105" s="7"/>
      <c r="DP105" s="7">
        <v>79128000</v>
      </c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>
        <v>27258000</v>
      </c>
      <c r="EB105" s="11">
        <v>11165000</v>
      </c>
      <c r="EC105" s="11">
        <v>11909000</v>
      </c>
      <c r="ED105" s="11"/>
      <c r="EE105" s="11">
        <v>79128000</v>
      </c>
      <c r="EF105" s="7">
        <v>26099000</v>
      </c>
      <c r="EG105" s="7">
        <v>3871000</v>
      </c>
      <c r="EH105" s="7"/>
      <c r="EI105" s="7"/>
      <c r="EJ105" s="7"/>
      <c r="EK105" s="7">
        <v>19343000</v>
      </c>
      <c r="EL105" s="7">
        <v>890000</v>
      </c>
      <c r="EM105" s="7"/>
      <c r="EN105" s="7"/>
      <c r="EO105" s="7"/>
      <c r="EP105" s="7"/>
      <c r="EQ105" s="7"/>
      <c r="ER105" s="7">
        <v>1481000</v>
      </c>
      <c r="ES105" s="7"/>
      <c r="ET105" s="7"/>
      <c r="EU105" s="7">
        <v>751000</v>
      </c>
      <c r="EV105" s="7">
        <v>710000</v>
      </c>
      <c r="EW105" s="7"/>
      <c r="EX105" s="7"/>
      <c r="EY105" s="7"/>
      <c r="EZ105" s="11"/>
      <c r="FA105" s="11"/>
      <c r="FB105" s="11"/>
      <c r="FC105" s="11"/>
      <c r="FD105" s="11"/>
      <c r="FE105" s="11"/>
      <c r="FF105" s="11"/>
      <c r="FG105" s="11"/>
      <c r="FH105" s="11"/>
      <c r="FI105" s="11"/>
      <c r="FJ105" s="11"/>
      <c r="FK105" s="11"/>
      <c r="FL105" s="11"/>
      <c r="FM105" s="11"/>
      <c r="FN105" s="11"/>
      <c r="FO105" s="7">
        <v>31775000</v>
      </c>
      <c r="FP105" s="7"/>
      <c r="FQ105" s="7"/>
      <c r="FR105" s="7"/>
      <c r="FS105" s="7"/>
      <c r="FT105" s="7">
        <v>29403000</v>
      </c>
      <c r="FU105" s="7"/>
      <c r="FV105" s="7">
        <v>118000</v>
      </c>
      <c r="FW105" s="7"/>
      <c r="FX105" s="7"/>
      <c r="FY105" s="11"/>
      <c r="FZ105" s="11"/>
      <c r="GA105" s="11"/>
      <c r="GB105" s="11"/>
      <c r="GC105" s="11"/>
      <c r="GD105" s="7">
        <v>8377000</v>
      </c>
      <c r="GE105" s="7">
        <v>2271000</v>
      </c>
      <c r="GF105" s="7">
        <v>-1599000</v>
      </c>
      <c r="GG105" s="7"/>
      <c r="GH105" s="7"/>
    </row>
    <row r="106" spans="1:190" ht="26.25" x14ac:dyDescent="0.25">
      <c r="A106" s="4">
        <v>105</v>
      </c>
      <c r="B106" s="5" t="s">
        <v>460</v>
      </c>
      <c r="C106" s="9" t="s">
        <v>461</v>
      </c>
      <c r="D106" s="7">
        <v>8</v>
      </c>
      <c r="E106" s="6" t="s">
        <v>462</v>
      </c>
      <c r="F106" s="11">
        <v>2211081</v>
      </c>
      <c r="G106" s="11">
        <v>1353785</v>
      </c>
      <c r="H106" s="11"/>
      <c r="I106" s="11"/>
      <c r="J106" s="11"/>
      <c r="K106" s="11">
        <v>1572588</v>
      </c>
      <c r="L106" s="11">
        <v>856397</v>
      </c>
      <c r="M106" s="11"/>
      <c r="N106" s="11"/>
      <c r="O106" s="11"/>
      <c r="P106" s="7">
        <v>83671000</v>
      </c>
      <c r="Q106" s="7"/>
      <c r="R106" s="7"/>
      <c r="S106" s="7"/>
      <c r="T106" s="7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>
        <v>83671000</v>
      </c>
      <c r="AK106" s="11"/>
      <c r="AL106" s="11"/>
      <c r="AM106" s="11"/>
      <c r="AN106" s="11"/>
      <c r="AO106" s="7">
        <v>728116000</v>
      </c>
      <c r="AP106" s="7"/>
      <c r="AQ106" s="7"/>
      <c r="AR106" s="7"/>
      <c r="AS106" s="7"/>
      <c r="AT106" s="7">
        <v>1354894000</v>
      </c>
      <c r="AU106" s="7"/>
      <c r="AV106" s="7"/>
      <c r="AW106" s="7"/>
      <c r="AX106" s="7"/>
      <c r="AY106" s="11"/>
      <c r="AZ106" s="11"/>
      <c r="BA106" s="11"/>
      <c r="BB106" s="11"/>
      <c r="BC106" s="11"/>
      <c r="BD106" s="7">
        <v>9321000</v>
      </c>
      <c r="BE106" s="7"/>
      <c r="BF106" s="7"/>
      <c r="BG106" s="7"/>
      <c r="BH106" s="7"/>
      <c r="BI106" s="11">
        <v>59030000</v>
      </c>
      <c r="BJ106" s="11"/>
      <c r="BK106" s="11"/>
      <c r="BL106" s="11"/>
      <c r="BM106" s="11"/>
      <c r="BN106" s="11">
        <v>2151682000</v>
      </c>
      <c r="BO106" s="11"/>
      <c r="BP106" s="11"/>
      <c r="BQ106" s="11"/>
      <c r="BR106" s="11"/>
      <c r="BS106" s="11">
        <v>2235353000</v>
      </c>
      <c r="BT106" s="11"/>
      <c r="BU106" s="11"/>
      <c r="BV106" s="11"/>
      <c r="BW106" s="11"/>
      <c r="BX106" s="7">
        <v>10000</v>
      </c>
      <c r="BY106" s="7"/>
      <c r="BZ106" s="7"/>
      <c r="CA106" s="7"/>
      <c r="CB106" s="7"/>
      <c r="CC106" s="11"/>
      <c r="CD106" s="11"/>
      <c r="CE106" s="11"/>
      <c r="CF106" s="11"/>
      <c r="CG106" s="11"/>
      <c r="CH106" s="7">
        <v>45552000</v>
      </c>
      <c r="CI106" s="7"/>
      <c r="CJ106" s="7"/>
      <c r="CK106" s="7"/>
      <c r="CL106" s="7"/>
      <c r="CM106" s="11">
        <v>45562000</v>
      </c>
      <c r="CN106" s="11"/>
      <c r="CO106" s="11"/>
      <c r="CP106" s="11"/>
      <c r="CQ106" s="11"/>
      <c r="CR106" s="11"/>
      <c r="CS106" s="11"/>
      <c r="CT106" s="11"/>
      <c r="CU106" s="11"/>
      <c r="CV106" s="11"/>
      <c r="CW106" s="11"/>
      <c r="CX106" s="11"/>
      <c r="CY106" s="11"/>
      <c r="CZ106" s="11"/>
      <c r="DA106" s="11"/>
      <c r="DB106" s="11">
        <v>337000</v>
      </c>
      <c r="DC106" s="11"/>
      <c r="DD106" s="11"/>
      <c r="DE106" s="11"/>
      <c r="DF106" s="11"/>
      <c r="DG106" s="7">
        <v>1257150000</v>
      </c>
      <c r="DH106" s="7"/>
      <c r="DI106" s="7"/>
      <c r="DJ106" s="7"/>
      <c r="DK106" s="7"/>
      <c r="DL106" s="7">
        <v>932303000</v>
      </c>
      <c r="DM106" s="7"/>
      <c r="DN106" s="7"/>
      <c r="DO106" s="7"/>
      <c r="DP106" s="7"/>
      <c r="DQ106" s="11"/>
      <c r="DR106" s="11"/>
      <c r="DS106" s="11"/>
      <c r="DT106" s="11"/>
      <c r="DU106" s="11"/>
      <c r="DV106" s="11"/>
      <c r="DW106" s="11"/>
      <c r="DX106" s="11"/>
      <c r="DY106" s="11"/>
      <c r="DZ106" s="11"/>
      <c r="EA106" s="11">
        <v>2189454000</v>
      </c>
      <c r="EB106" s="11"/>
      <c r="EC106" s="11"/>
      <c r="ED106" s="11"/>
      <c r="EE106" s="11"/>
      <c r="EF106" s="7">
        <v>1842726000</v>
      </c>
      <c r="EG106" s="7"/>
      <c r="EH106" s="7"/>
      <c r="EI106" s="7"/>
      <c r="EJ106" s="7"/>
      <c r="EK106" s="7">
        <v>1133488000</v>
      </c>
      <c r="EL106" s="7"/>
      <c r="EM106" s="7"/>
      <c r="EN106" s="7"/>
      <c r="EO106" s="7"/>
      <c r="EP106" s="7">
        <v>443515000</v>
      </c>
      <c r="EQ106" s="7"/>
      <c r="ER106" s="7"/>
      <c r="ES106" s="7"/>
      <c r="ET106" s="7"/>
      <c r="EU106" s="7"/>
      <c r="EV106" s="7"/>
      <c r="EW106" s="7"/>
      <c r="EX106" s="7"/>
      <c r="EY106" s="7"/>
      <c r="EZ106" s="11"/>
      <c r="FA106" s="11"/>
      <c r="FB106" s="11"/>
      <c r="FC106" s="11"/>
      <c r="FD106" s="11"/>
      <c r="FE106" s="11">
        <v>1000</v>
      </c>
      <c r="FF106" s="11"/>
      <c r="FG106" s="11"/>
      <c r="FH106" s="11"/>
      <c r="FI106" s="11"/>
      <c r="FJ106" s="11">
        <v>47998000</v>
      </c>
      <c r="FK106" s="11"/>
      <c r="FL106" s="11"/>
      <c r="FM106" s="11"/>
      <c r="FN106" s="11"/>
      <c r="FO106" s="7">
        <v>100328000</v>
      </c>
      <c r="FP106" s="7"/>
      <c r="FQ106" s="7"/>
      <c r="FR106" s="7"/>
      <c r="FS106" s="7"/>
      <c r="FT106" s="7">
        <v>306500000</v>
      </c>
      <c r="FU106" s="7"/>
      <c r="FV106" s="7"/>
      <c r="FW106" s="7"/>
      <c r="FX106" s="7"/>
      <c r="FY106" s="11">
        <v>-2466000</v>
      </c>
      <c r="FZ106" s="11"/>
      <c r="GA106" s="11"/>
      <c r="GB106" s="11"/>
      <c r="GC106" s="11"/>
      <c r="GD106" s="7">
        <v>9088000</v>
      </c>
      <c r="GE106" s="7"/>
      <c r="GF106" s="7"/>
      <c r="GG106" s="7"/>
      <c r="GH106" s="7"/>
    </row>
    <row r="107" spans="1:190" x14ac:dyDescent="0.25">
      <c r="A107" s="4">
        <v>106</v>
      </c>
      <c r="B107" s="5" t="s">
        <v>463</v>
      </c>
      <c r="C107" s="9" t="s">
        <v>464</v>
      </c>
      <c r="D107" s="7">
        <v>19</v>
      </c>
      <c r="E107" s="6" t="s">
        <v>190</v>
      </c>
      <c r="F107" s="11">
        <v>1733054</v>
      </c>
      <c r="G107" s="11">
        <v>548687</v>
      </c>
      <c r="H107" s="11">
        <v>281401</v>
      </c>
      <c r="I107" s="11">
        <v>601824</v>
      </c>
      <c r="J107" s="11"/>
      <c r="K107" s="11">
        <v>2532920</v>
      </c>
      <c r="L107" s="11">
        <v>3485512</v>
      </c>
      <c r="M107" s="11">
        <v>2410551</v>
      </c>
      <c r="N107" s="11"/>
      <c r="O107" s="11"/>
      <c r="P107" s="7">
        <v>22818000</v>
      </c>
      <c r="Q107" s="7">
        <v>54597000</v>
      </c>
      <c r="R107" s="7">
        <v>57804000</v>
      </c>
      <c r="S107" s="7"/>
      <c r="T107" s="7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>
        <v>22818000</v>
      </c>
      <c r="AK107" s="11">
        <v>54597000</v>
      </c>
      <c r="AL107" s="11">
        <v>57804000</v>
      </c>
      <c r="AM107" s="11"/>
      <c r="AN107" s="11"/>
      <c r="AO107" s="7">
        <v>58122000</v>
      </c>
      <c r="AP107" s="7">
        <v>181340000</v>
      </c>
      <c r="AQ107" s="7">
        <v>155940000</v>
      </c>
      <c r="AR107" s="7"/>
      <c r="AS107" s="7"/>
      <c r="AT107" s="7">
        <v>59459000</v>
      </c>
      <c r="AU107" s="7">
        <v>98936000</v>
      </c>
      <c r="AV107" s="7">
        <v>71288000</v>
      </c>
      <c r="AW107" s="7"/>
      <c r="AX107" s="7"/>
      <c r="AY107" s="11"/>
      <c r="AZ107" s="11"/>
      <c r="BA107" s="11"/>
      <c r="BB107" s="11"/>
      <c r="BC107" s="11"/>
      <c r="BD107" s="7">
        <v>4476000</v>
      </c>
      <c r="BE107" s="7">
        <v>1261000</v>
      </c>
      <c r="BF107" s="7"/>
      <c r="BG107" s="7"/>
      <c r="BH107" s="7"/>
      <c r="BI107" s="11"/>
      <c r="BJ107" s="11"/>
      <c r="BK107" s="11"/>
      <c r="BL107" s="11"/>
      <c r="BM107" s="11"/>
      <c r="BN107" s="11">
        <v>122057000</v>
      </c>
      <c r="BO107" s="11">
        <v>281537000</v>
      </c>
      <c r="BP107" s="11">
        <v>227228000</v>
      </c>
      <c r="BQ107" s="11"/>
      <c r="BR107" s="11"/>
      <c r="BS107" s="11">
        <v>144875000</v>
      </c>
      <c r="BT107" s="11">
        <v>336134000</v>
      </c>
      <c r="BU107" s="11">
        <v>285032000</v>
      </c>
      <c r="BV107" s="11"/>
      <c r="BW107" s="11"/>
      <c r="BX107" s="7">
        <v>30000</v>
      </c>
      <c r="BY107" s="7">
        <v>30000</v>
      </c>
      <c r="BZ107" s="7">
        <v>30000</v>
      </c>
      <c r="CA107" s="7"/>
      <c r="CB107" s="7"/>
      <c r="CC107" s="11"/>
      <c r="CD107" s="11"/>
      <c r="CE107" s="11"/>
      <c r="CF107" s="11"/>
      <c r="CG107" s="11"/>
      <c r="CH107" s="7">
        <v>28486000</v>
      </c>
      <c r="CI107" s="7">
        <v>27728000</v>
      </c>
      <c r="CJ107" s="7">
        <v>33119000</v>
      </c>
      <c r="CK107" s="7"/>
      <c r="CL107" s="7"/>
      <c r="CM107" s="11">
        <v>28516000</v>
      </c>
      <c r="CN107" s="11">
        <v>27758000</v>
      </c>
      <c r="CO107" s="11">
        <v>33149000</v>
      </c>
      <c r="CP107" s="11"/>
      <c r="CQ107" s="11"/>
      <c r="CR107" s="11">
        <v>87835000</v>
      </c>
      <c r="CS107" s="11">
        <v>88335000</v>
      </c>
      <c r="CT107" s="11">
        <v>80791000</v>
      </c>
      <c r="CU107" s="11"/>
      <c r="CV107" s="11"/>
      <c r="CW107" s="11">
        <v>936000</v>
      </c>
      <c r="CX107" s="11">
        <v>47729000</v>
      </c>
      <c r="CY107" s="11">
        <v>42482000</v>
      </c>
      <c r="CZ107" s="11"/>
      <c r="DA107" s="11"/>
      <c r="DB107" s="11">
        <v>90045000</v>
      </c>
      <c r="DC107" s="11">
        <v>136641000</v>
      </c>
      <c r="DD107" s="11">
        <v>123945000</v>
      </c>
      <c r="DE107" s="11"/>
      <c r="DF107" s="11"/>
      <c r="DG107" s="7"/>
      <c r="DH107" s="7">
        <v>3085000</v>
      </c>
      <c r="DI107" s="7"/>
      <c r="DJ107" s="7"/>
      <c r="DK107" s="7"/>
      <c r="DL107" s="7">
        <v>26314000</v>
      </c>
      <c r="DM107" s="7">
        <v>168650000</v>
      </c>
      <c r="DN107" s="7">
        <v>127938000</v>
      </c>
      <c r="DO107" s="7"/>
      <c r="DP107" s="7"/>
      <c r="DQ107" s="11"/>
      <c r="DR107" s="11"/>
      <c r="DS107" s="11"/>
      <c r="DT107" s="11"/>
      <c r="DU107" s="11"/>
      <c r="DV107" s="11"/>
      <c r="DW107" s="11"/>
      <c r="DX107" s="11"/>
      <c r="DY107" s="11"/>
      <c r="DZ107" s="11"/>
      <c r="EA107" s="11">
        <v>26314000</v>
      </c>
      <c r="EB107" s="11">
        <v>171735000</v>
      </c>
      <c r="EC107" s="11">
        <v>127938000</v>
      </c>
      <c r="ED107" s="11"/>
      <c r="EE107" s="11"/>
      <c r="EF107" s="7">
        <v>264237000</v>
      </c>
      <c r="EG107" s="7">
        <v>211842000</v>
      </c>
      <c r="EH107" s="7">
        <v>271311000</v>
      </c>
      <c r="EI107" s="7"/>
      <c r="EJ107" s="7"/>
      <c r="EK107" s="7">
        <v>255129000</v>
      </c>
      <c r="EL107" s="7">
        <v>190456000</v>
      </c>
      <c r="EM107" s="7">
        <v>257743000</v>
      </c>
      <c r="EN107" s="7"/>
      <c r="EO107" s="7"/>
      <c r="EP107" s="7"/>
      <c r="EQ107" s="7"/>
      <c r="ER107" s="7">
        <v>1067000</v>
      </c>
      <c r="ES107" s="7"/>
      <c r="ET107" s="7"/>
      <c r="EU107" s="7"/>
      <c r="EV107" s="7"/>
      <c r="EW107" s="7">
        <v>5763000</v>
      </c>
      <c r="EX107" s="7"/>
      <c r="EY107" s="7"/>
      <c r="EZ107" s="11"/>
      <c r="FA107" s="11"/>
      <c r="FB107" s="11"/>
      <c r="FC107" s="11"/>
      <c r="FD107" s="11"/>
      <c r="FE107" s="11"/>
      <c r="FF107" s="11"/>
      <c r="FG107" s="11"/>
      <c r="FH107" s="11"/>
      <c r="FI107" s="11"/>
      <c r="FJ107" s="11"/>
      <c r="FK107" s="11"/>
      <c r="FL107" s="11"/>
      <c r="FM107" s="11"/>
      <c r="FN107" s="11"/>
      <c r="FO107" s="7"/>
      <c r="FP107" s="7"/>
      <c r="FQ107" s="7"/>
      <c r="FR107" s="7"/>
      <c r="FS107" s="7"/>
      <c r="FT107" s="7"/>
      <c r="FU107" s="7">
        <v>16084000</v>
      </c>
      <c r="FV107" s="7"/>
      <c r="FW107" s="7"/>
      <c r="FX107" s="7"/>
      <c r="FY107" s="11">
        <v>-1822000</v>
      </c>
      <c r="FZ107" s="11">
        <v>-1060000</v>
      </c>
      <c r="GA107" s="11">
        <v>-1347000</v>
      </c>
      <c r="GB107" s="11"/>
      <c r="GC107" s="11"/>
      <c r="GD107" s="7">
        <v>7286000</v>
      </c>
      <c r="GE107" s="7">
        <v>4242000</v>
      </c>
      <c r="GF107" s="7">
        <v>5391000</v>
      </c>
      <c r="GG107" s="7"/>
      <c r="GH107" s="7"/>
    </row>
    <row r="108" spans="1:190" x14ac:dyDescent="0.25">
      <c r="A108" s="4">
        <v>107</v>
      </c>
      <c r="B108" s="5" t="s">
        <v>465</v>
      </c>
      <c r="C108" s="9" t="s">
        <v>466</v>
      </c>
      <c r="D108" s="7">
        <v>33</v>
      </c>
      <c r="E108" s="6" t="s">
        <v>467</v>
      </c>
      <c r="F108" s="11"/>
      <c r="G108" s="11"/>
      <c r="H108" s="11"/>
      <c r="I108" s="11"/>
      <c r="J108" s="11"/>
      <c r="K108" s="11">
        <v>358286</v>
      </c>
      <c r="L108" s="11"/>
      <c r="M108" s="11">
        <v>1709985</v>
      </c>
      <c r="N108" s="11">
        <v>11924378</v>
      </c>
      <c r="O108" s="11">
        <v>4863348</v>
      </c>
      <c r="P108" s="7">
        <v>58332000</v>
      </c>
      <c r="Q108" s="7">
        <v>40436000</v>
      </c>
      <c r="R108" s="7"/>
      <c r="S108" s="7"/>
      <c r="T108" s="7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>
        <v>73078000</v>
      </c>
      <c r="AK108" s="11">
        <v>53487000</v>
      </c>
      <c r="AL108" s="11"/>
      <c r="AM108" s="11"/>
      <c r="AN108" s="11"/>
      <c r="AO108" s="7">
        <v>6139000</v>
      </c>
      <c r="AP108" s="7">
        <v>6139000</v>
      </c>
      <c r="AQ108" s="7"/>
      <c r="AR108" s="7"/>
      <c r="AS108" s="7"/>
      <c r="AT108" s="7">
        <v>236076000</v>
      </c>
      <c r="AU108" s="7">
        <v>120964000</v>
      </c>
      <c r="AV108" s="7">
        <v>120964000</v>
      </c>
      <c r="AW108" s="7">
        <v>120964000</v>
      </c>
      <c r="AX108" s="7">
        <v>120964000</v>
      </c>
      <c r="AY108" s="11"/>
      <c r="AZ108" s="11"/>
      <c r="BA108" s="11"/>
      <c r="BB108" s="11"/>
      <c r="BC108" s="11"/>
      <c r="BD108" s="7">
        <v>29727000</v>
      </c>
      <c r="BE108" s="7">
        <v>23410000</v>
      </c>
      <c r="BF108" s="7">
        <v>79414000</v>
      </c>
      <c r="BG108" s="7">
        <v>127000</v>
      </c>
      <c r="BH108" s="7">
        <v>19284000</v>
      </c>
      <c r="BI108" s="11"/>
      <c r="BJ108" s="11"/>
      <c r="BK108" s="11"/>
      <c r="BL108" s="11"/>
      <c r="BM108" s="11"/>
      <c r="BN108" s="11">
        <v>271942000</v>
      </c>
      <c r="BO108" s="11">
        <v>150513000</v>
      </c>
      <c r="BP108" s="11">
        <v>200378000</v>
      </c>
      <c r="BQ108" s="11">
        <v>121091000</v>
      </c>
      <c r="BR108" s="11">
        <v>140248000</v>
      </c>
      <c r="BS108" s="11">
        <v>345020000</v>
      </c>
      <c r="BT108" s="11">
        <v>204000000</v>
      </c>
      <c r="BU108" s="11">
        <v>200378000</v>
      </c>
      <c r="BV108" s="11">
        <v>121091000</v>
      </c>
      <c r="BW108" s="11">
        <v>140248000</v>
      </c>
      <c r="BX108" s="7">
        <v>441632000</v>
      </c>
      <c r="BY108" s="7">
        <v>441632000</v>
      </c>
      <c r="BZ108" s="7">
        <v>441632000</v>
      </c>
      <c r="CA108" s="7">
        <v>441632000</v>
      </c>
      <c r="CB108" s="7">
        <v>441632000</v>
      </c>
      <c r="CC108" s="11">
        <v>23135000</v>
      </c>
      <c r="CD108" s="11">
        <v>23135000</v>
      </c>
      <c r="CE108" s="11">
        <v>23135000</v>
      </c>
      <c r="CF108" s="11"/>
      <c r="CG108" s="11"/>
      <c r="CH108" s="7">
        <v>-1669500000</v>
      </c>
      <c r="CI108" s="7">
        <v>-1889532000</v>
      </c>
      <c r="CJ108" s="7">
        <v>-1889532000</v>
      </c>
      <c r="CK108" s="7">
        <v>-1945684000</v>
      </c>
      <c r="CL108" s="7">
        <v>-1946044000</v>
      </c>
      <c r="CM108" s="11">
        <v>-1192967000</v>
      </c>
      <c r="CN108" s="11">
        <v>-1412999000</v>
      </c>
      <c r="CO108" s="11">
        <v>-1412999000</v>
      </c>
      <c r="CP108" s="11">
        <v>-1492286000</v>
      </c>
      <c r="CQ108" s="11">
        <v>-1492646000</v>
      </c>
      <c r="CR108" s="11">
        <v>1064844000</v>
      </c>
      <c r="CS108" s="11">
        <v>1066340000</v>
      </c>
      <c r="CT108" s="11">
        <v>1066340000</v>
      </c>
      <c r="CU108" s="11">
        <v>1066340000</v>
      </c>
      <c r="CV108" s="11">
        <v>1066340000</v>
      </c>
      <c r="CW108" s="11"/>
      <c r="CX108" s="11"/>
      <c r="CY108" s="11"/>
      <c r="CZ108" s="11"/>
      <c r="DA108" s="11"/>
      <c r="DB108" s="11">
        <v>1068568000</v>
      </c>
      <c r="DC108" s="11">
        <v>1069962000</v>
      </c>
      <c r="DD108" s="11">
        <v>1066340000</v>
      </c>
      <c r="DE108" s="11">
        <v>1066340000</v>
      </c>
      <c r="DF108" s="11">
        <v>1066340000</v>
      </c>
      <c r="DG108" s="7">
        <v>76949000</v>
      </c>
      <c r="DH108" s="7">
        <v>76949000</v>
      </c>
      <c r="DI108" s="7">
        <v>76949000</v>
      </c>
      <c r="DJ108" s="7">
        <v>76949000</v>
      </c>
      <c r="DK108" s="7">
        <v>76949000</v>
      </c>
      <c r="DL108" s="7">
        <v>392470000</v>
      </c>
      <c r="DM108" s="7">
        <v>470088000</v>
      </c>
      <c r="DN108" s="7">
        <v>470088000</v>
      </c>
      <c r="DO108" s="7">
        <v>470088000</v>
      </c>
      <c r="DP108" s="7">
        <v>489605000</v>
      </c>
      <c r="DQ108" s="11"/>
      <c r="DR108" s="11"/>
      <c r="DS108" s="11"/>
      <c r="DT108" s="11"/>
      <c r="DU108" s="11"/>
      <c r="DV108" s="11"/>
      <c r="DW108" s="11"/>
      <c r="DX108" s="11"/>
      <c r="DY108" s="11"/>
      <c r="DZ108" s="11"/>
      <c r="EA108" s="11">
        <v>469419000</v>
      </c>
      <c r="EB108" s="11">
        <v>547037000</v>
      </c>
      <c r="EC108" s="11">
        <v>547037000</v>
      </c>
      <c r="ED108" s="11">
        <v>547037000</v>
      </c>
      <c r="EE108" s="11">
        <v>566554000</v>
      </c>
      <c r="EF108" s="7">
        <v>146000</v>
      </c>
      <c r="EG108" s="7"/>
      <c r="EH108" s="7"/>
      <c r="EI108" s="7"/>
      <c r="EJ108" s="7"/>
      <c r="EK108" s="7">
        <v>6840000</v>
      </c>
      <c r="EL108" s="7">
        <v>3698000</v>
      </c>
      <c r="EM108" s="7"/>
      <c r="EN108" s="7"/>
      <c r="EO108" s="7"/>
      <c r="EP108" s="7"/>
      <c r="EQ108" s="7"/>
      <c r="ER108" s="7"/>
      <c r="ES108" s="7"/>
      <c r="ET108" s="7"/>
      <c r="EU108" s="7">
        <v>2926000</v>
      </c>
      <c r="EV108" s="7">
        <v>2825000</v>
      </c>
      <c r="EW108" s="7"/>
      <c r="EX108" s="7"/>
      <c r="EY108" s="7"/>
      <c r="EZ108" s="11"/>
      <c r="FA108" s="11"/>
      <c r="FB108" s="11"/>
      <c r="FC108" s="11"/>
      <c r="FD108" s="11"/>
      <c r="FE108" s="11"/>
      <c r="FF108" s="11"/>
      <c r="FG108" s="11"/>
      <c r="FH108" s="11"/>
      <c r="FI108" s="11"/>
      <c r="FJ108" s="11"/>
      <c r="FK108" s="11"/>
      <c r="FL108" s="11"/>
      <c r="FM108" s="11"/>
      <c r="FN108" s="11"/>
      <c r="FO108" s="7">
        <v>5107000</v>
      </c>
      <c r="FP108" s="7">
        <v>9013000</v>
      </c>
      <c r="FQ108" s="7"/>
      <c r="FR108" s="7"/>
      <c r="FS108" s="7"/>
      <c r="FT108" s="7">
        <v>4368000</v>
      </c>
      <c r="FU108" s="7">
        <v>220823000</v>
      </c>
      <c r="FV108" s="7"/>
      <c r="FW108" s="7">
        <v>56152000</v>
      </c>
      <c r="FX108" s="7">
        <v>360000</v>
      </c>
      <c r="FY108" s="11">
        <v>-7371000</v>
      </c>
      <c r="FZ108" s="11">
        <v>-1592000</v>
      </c>
      <c r="GA108" s="11"/>
      <c r="GB108" s="11"/>
      <c r="GC108" s="11"/>
      <c r="GD108" s="7">
        <v>-16990000</v>
      </c>
      <c r="GE108" s="7">
        <v>-220031000</v>
      </c>
      <c r="GF108" s="7"/>
      <c r="GG108" s="7">
        <v>-56152000</v>
      </c>
      <c r="GH108" s="7">
        <v>-360000</v>
      </c>
    </row>
    <row r="109" spans="1:190" ht="26.25" x14ac:dyDescent="0.25">
      <c r="A109" s="4">
        <v>108</v>
      </c>
      <c r="B109" s="5" t="s">
        <v>468</v>
      </c>
      <c r="C109" s="9" t="s">
        <v>469</v>
      </c>
      <c r="D109" s="7">
        <v>19</v>
      </c>
      <c r="E109" s="6" t="s">
        <v>470</v>
      </c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7"/>
      <c r="Q109" s="7"/>
      <c r="R109" s="7"/>
      <c r="S109" s="7"/>
      <c r="T109" s="7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11"/>
      <c r="AZ109" s="11"/>
      <c r="BA109" s="11"/>
      <c r="BB109" s="11"/>
      <c r="BC109" s="11"/>
      <c r="BD109" s="7"/>
      <c r="BE109" s="7"/>
      <c r="BF109" s="7"/>
      <c r="BG109" s="7"/>
      <c r="BH109" s="7"/>
      <c r="BI109" s="11"/>
      <c r="BJ109" s="11"/>
      <c r="BK109" s="11"/>
      <c r="BL109" s="11"/>
      <c r="BM109" s="11"/>
      <c r="BN109" s="11"/>
      <c r="BO109" s="11"/>
      <c r="BP109" s="11"/>
      <c r="BQ109" s="11"/>
      <c r="BR109" s="11"/>
      <c r="BS109" s="11"/>
      <c r="BT109" s="11"/>
      <c r="BU109" s="11"/>
      <c r="BV109" s="11"/>
      <c r="BW109" s="11"/>
      <c r="BX109" s="7"/>
      <c r="BY109" s="7"/>
      <c r="BZ109" s="7"/>
      <c r="CA109" s="7"/>
      <c r="CB109" s="7"/>
      <c r="CC109" s="11"/>
      <c r="CD109" s="11"/>
      <c r="CE109" s="11"/>
      <c r="CF109" s="11"/>
      <c r="CG109" s="11"/>
      <c r="CH109" s="7"/>
      <c r="CI109" s="7"/>
      <c r="CJ109" s="7"/>
      <c r="CK109" s="7"/>
      <c r="CL109" s="7"/>
      <c r="CM109" s="11"/>
      <c r="CN109" s="11"/>
      <c r="CO109" s="11"/>
      <c r="CP109" s="11"/>
      <c r="CQ109" s="11"/>
      <c r="CR109" s="11"/>
      <c r="CS109" s="11"/>
      <c r="CT109" s="11"/>
      <c r="CU109" s="11"/>
      <c r="CV109" s="11"/>
      <c r="CW109" s="11"/>
      <c r="CX109" s="11"/>
      <c r="CY109" s="11"/>
      <c r="CZ109" s="11"/>
      <c r="DA109" s="11"/>
      <c r="DB109" s="11"/>
      <c r="DC109" s="11"/>
      <c r="DD109" s="11"/>
      <c r="DE109" s="11"/>
      <c r="DF109" s="11"/>
      <c r="DG109" s="7"/>
      <c r="DH109" s="7"/>
      <c r="DI109" s="7"/>
      <c r="DJ109" s="7"/>
      <c r="DK109" s="7"/>
      <c r="DL109" s="7"/>
      <c r="DM109" s="7"/>
      <c r="DN109" s="7"/>
      <c r="DO109" s="7"/>
      <c r="DP109" s="7"/>
      <c r="DQ109" s="11"/>
      <c r="DR109" s="11"/>
      <c r="DS109" s="11"/>
      <c r="DT109" s="11"/>
      <c r="DU109" s="11"/>
      <c r="DV109" s="11"/>
      <c r="DW109" s="11"/>
      <c r="DX109" s="11"/>
      <c r="DY109" s="11"/>
      <c r="DZ109" s="11"/>
      <c r="EA109" s="11"/>
      <c r="EB109" s="11"/>
      <c r="EC109" s="11"/>
      <c r="ED109" s="11"/>
      <c r="EE109" s="11"/>
      <c r="EF109" s="7"/>
      <c r="EG109" s="7"/>
      <c r="EH109" s="7"/>
      <c r="EI109" s="7"/>
      <c r="EJ109" s="7"/>
      <c r="EK109" s="7"/>
      <c r="EL109" s="7"/>
      <c r="EM109" s="7"/>
      <c r="EN109" s="7"/>
      <c r="EO109" s="7"/>
      <c r="EP109" s="7"/>
      <c r="EQ109" s="7"/>
      <c r="ER109" s="7"/>
      <c r="ES109" s="7"/>
      <c r="ET109" s="7"/>
      <c r="EU109" s="7"/>
      <c r="EV109" s="7"/>
      <c r="EW109" s="7"/>
      <c r="EX109" s="7"/>
      <c r="EY109" s="7"/>
      <c r="EZ109" s="11"/>
      <c r="FA109" s="11"/>
      <c r="FB109" s="11"/>
      <c r="FC109" s="11"/>
      <c r="FD109" s="11"/>
      <c r="FE109" s="11"/>
      <c r="FF109" s="11"/>
      <c r="FG109" s="11"/>
      <c r="FH109" s="11"/>
      <c r="FI109" s="11"/>
      <c r="FJ109" s="11"/>
      <c r="FK109" s="11"/>
      <c r="FL109" s="11"/>
      <c r="FM109" s="11"/>
      <c r="FN109" s="11"/>
      <c r="FO109" s="7"/>
      <c r="FP109" s="7"/>
      <c r="FQ109" s="7"/>
      <c r="FR109" s="7"/>
      <c r="FS109" s="7"/>
      <c r="FT109" s="7"/>
      <c r="FU109" s="7"/>
      <c r="FV109" s="7"/>
      <c r="FW109" s="7"/>
      <c r="FX109" s="7"/>
      <c r="FY109" s="11"/>
      <c r="FZ109" s="11"/>
      <c r="GA109" s="11"/>
      <c r="GB109" s="11"/>
      <c r="GC109" s="11"/>
      <c r="GD109" s="7"/>
      <c r="GE109" s="7"/>
      <c r="GF109" s="7"/>
      <c r="GG109" s="7"/>
      <c r="GH109" s="7"/>
    </row>
    <row r="110" spans="1:190" x14ac:dyDescent="0.25">
      <c r="A110" s="4">
        <v>109</v>
      </c>
      <c r="B110" s="5" t="s">
        <v>471</v>
      </c>
      <c r="C110" s="9" t="s">
        <v>472</v>
      </c>
      <c r="D110" s="7">
        <v>33</v>
      </c>
      <c r="E110" s="6" t="s">
        <v>233</v>
      </c>
      <c r="F110" s="11">
        <v>1400</v>
      </c>
      <c r="G110" s="11">
        <v>1210</v>
      </c>
      <c r="H110" s="11"/>
      <c r="I110" s="11"/>
      <c r="J110" s="11"/>
      <c r="K110" s="11">
        <v>2504162</v>
      </c>
      <c r="L110" s="11">
        <v>158358</v>
      </c>
      <c r="M110" s="11">
        <v>214679</v>
      </c>
      <c r="N110" s="11"/>
      <c r="O110" s="11">
        <v>746155</v>
      </c>
      <c r="P110" s="7">
        <v>165453000</v>
      </c>
      <c r="Q110" s="7">
        <v>160754000</v>
      </c>
      <c r="R110" s="7">
        <v>160754000</v>
      </c>
      <c r="S110" s="7">
        <v>160754000</v>
      </c>
      <c r="T110" s="7">
        <v>47102000</v>
      </c>
      <c r="U110" s="11"/>
      <c r="V110" s="11"/>
      <c r="W110" s="11"/>
      <c r="X110" s="11"/>
      <c r="Y110" s="11"/>
      <c r="Z110" s="11">
        <v>83000</v>
      </c>
      <c r="AA110" s="11"/>
      <c r="AB110" s="11"/>
      <c r="AC110" s="11"/>
      <c r="AD110" s="11"/>
      <c r="AE110" s="11"/>
      <c r="AF110" s="11"/>
      <c r="AG110" s="11"/>
      <c r="AH110" s="11"/>
      <c r="AI110" s="11"/>
      <c r="AJ110" s="11">
        <v>165536000</v>
      </c>
      <c r="AK110" s="11">
        <v>160754000</v>
      </c>
      <c r="AL110" s="11">
        <v>160754000</v>
      </c>
      <c r="AM110" s="11">
        <v>160754000</v>
      </c>
      <c r="AN110" s="11">
        <v>47102000</v>
      </c>
      <c r="AO110" s="7">
        <v>54677000</v>
      </c>
      <c r="AP110" s="7">
        <v>49256000</v>
      </c>
      <c r="AQ110" s="7">
        <v>48761000</v>
      </c>
      <c r="AR110" s="7">
        <v>36728000</v>
      </c>
      <c r="AS110" s="7">
        <v>36728000</v>
      </c>
      <c r="AT110" s="7">
        <v>4780000</v>
      </c>
      <c r="AU110" s="7">
        <v>1324000</v>
      </c>
      <c r="AV110" s="7">
        <v>1324000</v>
      </c>
      <c r="AW110" s="7">
        <v>1324000</v>
      </c>
      <c r="AX110" s="7">
        <v>1324000</v>
      </c>
      <c r="AY110" s="11">
        <v>849000</v>
      </c>
      <c r="AZ110" s="11"/>
      <c r="BA110" s="11"/>
      <c r="BB110" s="11"/>
      <c r="BC110" s="11"/>
      <c r="BD110" s="7">
        <v>285000</v>
      </c>
      <c r="BE110" s="7">
        <v>823000</v>
      </c>
      <c r="BF110" s="7">
        <v>1429000</v>
      </c>
      <c r="BG110" s="7">
        <v>9966000</v>
      </c>
      <c r="BH110" s="7">
        <v>18223000</v>
      </c>
      <c r="BI110" s="11">
        <v>84000</v>
      </c>
      <c r="BJ110" s="11">
        <v>113000</v>
      </c>
      <c r="BK110" s="11"/>
      <c r="BL110" s="11"/>
      <c r="BM110" s="11"/>
      <c r="BN110" s="11">
        <v>60744000</v>
      </c>
      <c r="BO110" s="11">
        <v>51515000</v>
      </c>
      <c r="BP110" s="11">
        <v>51514000</v>
      </c>
      <c r="BQ110" s="11">
        <v>48018000</v>
      </c>
      <c r="BR110" s="11">
        <v>56275000</v>
      </c>
      <c r="BS110" s="11">
        <v>226280000</v>
      </c>
      <c r="BT110" s="11">
        <v>212269000</v>
      </c>
      <c r="BU110" s="11">
        <v>212268000</v>
      </c>
      <c r="BV110" s="11">
        <v>208772000</v>
      </c>
      <c r="BW110" s="11">
        <v>103377000</v>
      </c>
      <c r="BX110" s="7">
        <v>57778000</v>
      </c>
      <c r="BY110" s="7">
        <v>57778000</v>
      </c>
      <c r="BZ110" s="7">
        <v>57778000</v>
      </c>
      <c r="CA110" s="7">
        <v>57778000</v>
      </c>
      <c r="CB110" s="7">
        <v>57778000</v>
      </c>
      <c r="CC110" s="11">
        <v>14796000</v>
      </c>
      <c r="CD110" s="11">
        <v>14796000</v>
      </c>
      <c r="CE110" s="11">
        <v>14796000</v>
      </c>
      <c r="CF110" s="11">
        <v>14796000</v>
      </c>
      <c r="CG110" s="11">
        <v>14796000</v>
      </c>
      <c r="CH110" s="7">
        <v>-101075000</v>
      </c>
      <c r="CI110" s="7">
        <v>-178448000</v>
      </c>
      <c r="CJ110" s="7">
        <v>-178448000</v>
      </c>
      <c r="CK110" s="7">
        <v>-178448000</v>
      </c>
      <c r="CL110" s="7">
        <v>-185892000</v>
      </c>
      <c r="CM110" s="11">
        <v>-26548000</v>
      </c>
      <c r="CN110" s="11">
        <v>-103921000</v>
      </c>
      <c r="CO110" s="11">
        <v>-103922000</v>
      </c>
      <c r="CP110" s="11">
        <v>-103922000</v>
      </c>
      <c r="CQ110" s="11">
        <v>-111366000</v>
      </c>
      <c r="CR110" s="11">
        <v>107385000</v>
      </c>
      <c r="CS110" s="11">
        <v>105741000</v>
      </c>
      <c r="CT110" s="11">
        <v>105741000</v>
      </c>
      <c r="CU110" s="11">
        <v>105741000</v>
      </c>
      <c r="CV110" s="11">
        <v>7790000</v>
      </c>
      <c r="CW110" s="11"/>
      <c r="CX110" s="11"/>
      <c r="CY110" s="11"/>
      <c r="CZ110" s="11"/>
      <c r="DA110" s="11"/>
      <c r="DB110" s="11">
        <v>107385000</v>
      </c>
      <c r="DC110" s="11">
        <v>105741000</v>
      </c>
      <c r="DD110" s="11">
        <v>105741000</v>
      </c>
      <c r="DE110" s="11">
        <v>105741000</v>
      </c>
      <c r="DF110" s="11">
        <v>7790000</v>
      </c>
      <c r="DG110" s="7">
        <v>89750000</v>
      </c>
      <c r="DH110" s="7">
        <v>95619000</v>
      </c>
      <c r="DI110" s="7">
        <v>95619000</v>
      </c>
      <c r="DJ110" s="7">
        <v>95619000</v>
      </c>
      <c r="DK110" s="7">
        <v>95619000</v>
      </c>
      <c r="DL110" s="7">
        <v>55694000</v>
      </c>
      <c r="DM110" s="7">
        <v>114829000</v>
      </c>
      <c r="DN110" s="7">
        <v>114829000</v>
      </c>
      <c r="DO110" s="7">
        <v>111334000</v>
      </c>
      <c r="DP110" s="7">
        <v>111334000</v>
      </c>
      <c r="DQ110" s="11"/>
      <c r="DR110" s="11"/>
      <c r="DS110" s="11"/>
      <c r="DT110" s="11"/>
      <c r="DU110" s="11"/>
      <c r="DV110" s="11"/>
      <c r="DW110" s="11"/>
      <c r="DX110" s="11"/>
      <c r="DY110" s="11"/>
      <c r="DZ110" s="11"/>
      <c r="EA110" s="11">
        <v>145444000</v>
      </c>
      <c r="EB110" s="11">
        <v>210448000</v>
      </c>
      <c r="EC110" s="11">
        <v>210448000</v>
      </c>
      <c r="ED110" s="11">
        <v>206953000</v>
      </c>
      <c r="EE110" s="11">
        <v>206953000</v>
      </c>
      <c r="EF110" s="7">
        <v>68554000</v>
      </c>
      <c r="EG110" s="7">
        <v>81935000</v>
      </c>
      <c r="EH110" s="7">
        <v>29042000</v>
      </c>
      <c r="EI110" s="7">
        <v>13137000</v>
      </c>
      <c r="EJ110" s="7"/>
      <c r="EK110" s="7">
        <v>83748000</v>
      </c>
      <c r="EL110" s="7">
        <v>97682000</v>
      </c>
      <c r="EM110" s="7">
        <v>37783000</v>
      </c>
      <c r="EN110" s="7">
        <v>10444000</v>
      </c>
      <c r="EO110" s="7"/>
      <c r="EP110" s="7"/>
      <c r="EQ110" s="7"/>
      <c r="ER110" s="7">
        <v>1857000</v>
      </c>
      <c r="ES110" s="7"/>
      <c r="ET110" s="7"/>
      <c r="EU110" s="7"/>
      <c r="EV110" s="7">
        <v>8203000</v>
      </c>
      <c r="EW110" s="7"/>
      <c r="EX110" s="7">
        <v>1921000</v>
      </c>
      <c r="EY110" s="7"/>
      <c r="EZ110" s="11"/>
      <c r="FA110" s="11"/>
      <c r="FB110" s="11"/>
      <c r="FC110" s="11"/>
      <c r="FD110" s="11"/>
      <c r="FE110" s="11"/>
      <c r="FF110" s="11"/>
      <c r="FG110" s="11"/>
      <c r="FH110" s="11"/>
      <c r="FI110" s="11"/>
      <c r="FJ110" s="11">
        <v>12951000</v>
      </c>
      <c r="FK110" s="11">
        <v>1945000</v>
      </c>
      <c r="FL110" s="11"/>
      <c r="FM110" s="11"/>
      <c r="FN110" s="11"/>
      <c r="FO110" s="7">
        <v>6406000</v>
      </c>
      <c r="FP110" s="7">
        <v>7676000</v>
      </c>
      <c r="FQ110" s="7"/>
      <c r="FR110" s="7"/>
      <c r="FS110" s="7"/>
      <c r="FT110" s="7">
        <v>910000</v>
      </c>
      <c r="FU110" s="7">
        <v>2643000</v>
      </c>
      <c r="FV110" s="7"/>
      <c r="FW110" s="7">
        <v>72000</v>
      </c>
      <c r="FX110" s="7"/>
      <c r="FY110" s="11"/>
      <c r="FZ110" s="11"/>
      <c r="GA110" s="11"/>
      <c r="GB110" s="11"/>
      <c r="GC110" s="11"/>
      <c r="GD110" s="7">
        <v>-22649000</v>
      </c>
      <c r="GE110" s="7">
        <v>-20862000</v>
      </c>
      <c r="GF110" s="7">
        <v>-10598000</v>
      </c>
      <c r="GG110" s="7">
        <v>700000</v>
      </c>
      <c r="GH110" s="7"/>
    </row>
    <row r="111" spans="1:190" x14ac:dyDescent="0.25">
      <c r="A111" s="4">
        <v>110</v>
      </c>
      <c r="B111" s="5" t="s">
        <v>473</v>
      </c>
      <c r="C111" s="9" t="s">
        <v>474</v>
      </c>
      <c r="D111" s="7">
        <v>17</v>
      </c>
      <c r="E111" s="6" t="s">
        <v>475</v>
      </c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7">
        <v>5862000</v>
      </c>
      <c r="Q111" s="7"/>
      <c r="R111" s="7"/>
      <c r="S111" s="7"/>
      <c r="T111" s="7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>
        <v>5862000</v>
      </c>
      <c r="AK111" s="11"/>
      <c r="AL111" s="11"/>
      <c r="AM111" s="11"/>
      <c r="AN111" s="11"/>
      <c r="AO111" s="7">
        <v>1722000</v>
      </c>
      <c r="AP111" s="7">
        <v>1534000</v>
      </c>
      <c r="AQ111" s="7"/>
      <c r="AR111" s="7"/>
      <c r="AS111" s="7"/>
      <c r="AT111" s="7">
        <v>10130000</v>
      </c>
      <c r="AU111" s="7">
        <v>13126000</v>
      </c>
      <c r="AV111" s="7"/>
      <c r="AW111" s="7"/>
      <c r="AX111" s="7"/>
      <c r="AY111" s="11"/>
      <c r="AZ111" s="11"/>
      <c r="BA111" s="11"/>
      <c r="BB111" s="11"/>
      <c r="BC111" s="11"/>
      <c r="BD111" s="7"/>
      <c r="BE111" s="7"/>
      <c r="BF111" s="7"/>
      <c r="BG111" s="7"/>
      <c r="BH111" s="7"/>
      <c r="BI111" s="11"/>
      <c r="BJ111" s="11"/>
      <c r="BK111" s="11"/>
      <c r="BL111" s="11"/>
      <c r="BM111" s="11"/>
      <c r="BN111" s="11">
        <v>11852000</v>
      </c>
      <c r="BO111" s="11">
        <v>14660000</v>
      </c>
      <c r="BP111" s="11"/>
      <c r="BQ111" s="11"/>
      <c r="BR111" s="11"/>
      <c r="BS111" s="11">
        <v>17714000</v>
      </c>
      <c r="BT111" s="11">
        <v>14660000</v>
      </c>
      <c r="BU111" s="11"/>
      <c r="BV111" s="11"/>
      <c r="BW111" s="11"/>
      <c r="BX111" s="7"/>
      <c r="BY111" s="7"/>
      <c r="BZ111" s="7"/>
      <c r="CA111" s="7"/>
      <c r="CB111" s="7"/>
      <c r="CC111" s="11"/>
      <c r="CD111" s="11"/>
      <c r="CE111" s="11"/>
      <c r="CF111" s="11"/>
      <c r="CG111" s="11"/>
      <c r="CH111" s="7"/>
      <c r="CI111" s="7"/>
      <c r="CJ111" s="7"/>
      <c r="CK111" s="7"/>
      <c r="CL111" s="7"/>
      <c r="CM111" s="11">
        <v>4704000</v>
      </c>
      <c r="CN111" s="11">
        <v>3355000</v>
      </c>
      <c r="CO111" s="11"/>
      <c r="CP111" s="11"/>
      <c r="CQ111" s="11"/>
      <c r="CR111" s="11">
        <v>7826000</v>
      </c>
      <c r="CS111" s="11">
        <v>7430000</v>
      </c>
      <c r="CT111" s="11"/>
      <c r="CU111" s="11"/>
      <c r="CV111" s="11"/>
      <c r="CW111" s="11"/>
      <c r="CX111" s="11"/>
      <c r="CY111" s="11"/>
      <c r="CZ111" s="11"/>
      <c r="DA111" s="11"/>
      <c r="DB111" s="11">
        <v>7826000</v>
      </c>
      <c r="DC111" s="11">
        <v>7430000</v>
      </c>
      <c r="DD111" s="11"/>
      <c r="DE111" s="11"/>
      <c r="DF111" s="11"/>
      <c r="DG111" s="7"/>
      <c r="DH111" s="7"/>
      <c r="DI111" s="7"/>
      <c r="DJ111" s="7"/>
      <c r="DK111" s="7"/>
      <c r="DL111" s="7">
        <v>5184000</v>
      </c>
      <c r="DM111" s="7">
        <v>3875000</v>
      </c>
      <c r="DN111" s="7"/>
      <c r="DO111" s="7"/>
      <c r="DP111" s="7"/>
      <c r="DQ111" s="11"/>
      <c r="DR111" s="11"/>
      <c r="DS111" s="11"/>
      <c r="DT111" s="11"/>
      <c r="DU111" s="11"/>
      <c r="DV111" s="11"/>
      <c r="DW111" s="11"/>
      <c r="DX111" s="11"/>
      <c r="DY111" s="11"/>
      <c r="DZ111" s="11"/>
      <c r="EA111" s="11">
        <v>5184000</v>
      </c>
      <c r="EB111" s="11">
        <v>3875000</v>
      </c>
      <c r="EC111" s="11"/>
      <c r="ED111" s="11"/>
      <c r="EE111" s="11"/>
      <c r="EF111" s="7">
        <v>55229000</v>
      </c>
      <c r="EG111" s="7">
        <v>150000</v>
      </c>
      <c r="EH111" s="7"/>
      <c r="EI111" s="7"/>
      <c r="EJ111" s="7"/>
      <c r="EK111" s="7">
        <v>54443000</v>
      </c>
      <c r="EL111" s="7">
        <v>150000</v>
      </c>
      <c r="EM111" s="7"/>
      <c r="EN111" s="7"/>
      <c r="EO111" s="7"/>
      <c r="EP111" s="7"/>
      <c r="EQ111" s="7"/>
      <c r="ER111" s="7"/>
      <c r="ES111" s="7"/>
      <c r="ET111" s="7"/>
      <c r="EU111" s="7"/>
      <c r="EV111" s="7"/>
      <c r="EW111" s="7"/>
      <c r="EX111" s="7"/>
      <c r="EY111" s="7"/>
      <c r="EZ111" s="11"/>
      <c r="FA111" s="11"/>
      <c r="FB111" s="11"/>
      <c r="FC111" s="11"/>
      <c r="FD111" s="11"/>
      <c r="FE111" s="11"/>
      <c r="FF111" s="11"/>
      <c r="FG111" s="11"/>
      <c r="FH111" s="11"/>
      <c r="FI111" s="11"/>
      <c r="FJ111" s="11">
        <v>539000</v>
      </c>
      <c r="FK111" s="11"/>
      <c r="FL111" s="11"/>
      <c r="FM111" s="11"/>
      <c r="FN111" s="11"/>
      <c r="FO111" s="7"/>
      <c r="FP111" s="7"/>
      <c r="FQ111" s="7"/>
      <c r="FR111" s="7"/>
      <c r="FS111" s="7"/>
      <c r="FT111" s="7"/>
      <c r="FU111" s="7"/>
      <c r="FV111" s="7"/>
      <c r="FW111" s="7"/>
      <c r="FX111" s="7"/>
      <c r="FY111" s="11"/>
      <c r="FZ111" s="11"/>
      <c r="GA111" s="11"/>
      <c r="GB111" s="11"/>
      <c r="GC111" s="11"/>
      <c r="GD111" s="7">
        <v>247000</v>
      </c>
      <c r="GE111" s="7"/>
      <c r="GF111" s="7"/>
      <c r="GG111" s="7"/>
      <c r="GH111" s="7"/>
    </row>
    <row r="112" spans="1:190" x14ac:dyDescent="0.25">
      <c r="A112" s="4">
        <v>111</v>
      </c>
      <c r="B112" s="5" t="s">
        <v>476</v>
      </c>
      <c r="C112" s="9" t="s">
        <v>477</v>
      </c>
      <c r="D112" s="7">
        <v>10</v>
      </c>
      <c r="E112" s="6" t="s">
        <v>478</v>
      </c>
      <c r="F112" s="11">
        <v>31801</v>
      </c>
      <c r="G112" s="11">
        <v>51712</v>
      </c>
      <c r="H112" s="11">
        <v>15847</v>
      </c>
      <c r="I112" s="11"/>
      <c r="J112" s="11"/>
      <c r="K112" s="11">
        <v>162208</v>
      </c>
      <c r="L112" s="11">
        <v>67181</v>
      </c>
      <c r="M112" s="11">
        <v>24066</v>
      </c>
      <c r="N112" s="11">
        <v>15679</v>
      </c>
      <c r="O112" s="11"/>
      <c r="P112" s="7">
        <v>3337000</v>
      </c>
      <c r="Q112" s="7">
        <v>2847000</v>
      </c>
      <c r="R112" s="7">
        <v>1942000</v>
      </c>
      <c r="S112" s="7"/>
      <c r="T112" s="7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>
        <v>3337000</v>
      </c>
      <c r="AK112" s="11">
        <v>2847000</v>
      </c>
      <c r="AL112" s="11">
        <v>1942000</v>
      </c>
      <c r="AM112" s="11"/>
      <c r="AN112" s="11"/>
      <c r="AO112" s="7">
        <v>15102000</v>
      </c>
      <c r="AP112" s="7">
        <v>12985000</v>
      </c>
      <c r="AQ112" s="7">
        <v>8935000</v>
      </c>
      <c r="AR112" s="7"/>
      <c r="AS112" s="7"/>
      <c r="AT112" s="7">
        <v>3721000</v>
      </c>
      <c r="AU112" s="7">
        <v>2345000</v>
      </c>
      <c r="AV112" s="7">
        <v>1159000</v>
      </c>
      <c r="AW112" s="7"/>
      <c r="AX112" s="7"/>
      <c r="AY112" s="11"/>
      <c r="AZ112" s="11"/>
      <c r="BA112" s="11"/>
      <c r="BB112" s="11"/>
      <c r="BC112" s="11"/>
      <c r="BD112" s="7">
        <v>68000</v>
      </c>
      <c r="BE112" s="7">
        <v>163000</v>
      </c>
      <c r="BF112" s="7"/>
      <c r="BG112" s="7"/>
      <c r="BH112" s="7"/>
      <c r="BI112" s="11"/>
      <c r="BJ112" s="11"/>
      <c r="BK112" s="11"/>
      <c r="BL112" s="11"/>
      <c r="BM112" s="11"/>
      <c r="BN112" s="11">
        <v>18891000</v>
      </c>
      <c r="BO112" s="11">
        <v>15493000</v>
      </c>
      <c r="BP112" s="11">
        <v>10094000</v>
      </c>
      <c r="BQ112" s="11"/>
      <c r="BR112" s="11"/>
      <c r="BS112" s="11">
        <v>22228000</v>
      </c>
      <c r="BT112" s="11">
        <v>18340000</v>
      </c>
      <c r="BU112" s="11">
        <v>12036000</v>
      </c>
      <c r="BV112" s="11"/>
      <c r="BW112" s="11"/>
      <c r="BX112" s="7"/>
      <c r="BY112" s="7"/>
      <c r="BZ112" s="7"/>
      <c r="CA112" s="7"/>
      <c r="CB112" s="7"/>
      <c r="CC112" s="11"/>
      <c r="CD112" s="11"/>
      <c r="CE112" s="11"/>
      <c r="CF112" s="11"/>
      <c r="CG112" s="11"/>
      <c r="CH112" s="7"/>
      <c r="CI112" s="7"/>
      <c r="CJ112" s="7"/>
      <c r="CK112" s="7"/>
      <c r="CL112" s="7"/>
      <c r="CM112" s="11">
        <v>21756000</v>
      </c>
      <c r="CN112" s="11">
        <v>17942000</v>
      </c>
      <c r="CO112" s="11">
        <v>11819000</v>
      </c>
      <c r="CP112" s="11"/>
      <c r="CQ112" s="11"/>
      <c r="CR112" s="11"/>
      <c r="CS112" s="11"/>
      <c r="CT112" s="11"/>
      <c r="CU112" s="11"/>
      <c r="CV112" s="11"/>
      <c r="CW112" s="11"/>
      <c r="CX112" s="11"/>
      <c r="CY112" s="11"/>
      <c r="CZ112" s="11"/>
      <c r="DA112" s="11"/>
      <c r="DB112" s="11"/>
      <c r="DC112" s="11"/>
      <c r="DD112" s="11"/>
      <c r="DE112" s="11"/>
      <c r="DF112" s="11"/>
      <c r="DG112" s="7"/>
      <c r="DH112" s="7"/>
      <c r="DI112" s="7"/>
      <c r="DJ112" s="7"/>
      <c r="DK112" s="7"/>
      <c r="DL112" s="7">
        <v>472000</v>
      </c>
      <c r="DM112" s="7">
        <v>398000</v>
      </c>
      <c r="DN112" s="7">
        <v>217000</v>
      </c>
      <c r="DO112" s="7"/>
      <c r="DP112" s="7"/>
      <c r="DQ112" s="11"/>
      <c r="DR112" s="11"/>
      <c r="DS112" s="11"/>
      <c r="DT112" s="11"/>
      <c r="DU112" s="11"/>
      <c r="DV112" s="11"/>
      <c r="DW112" s="11"/>
      <c r="DX112" s="11"/>
      <c r="DY112" s="11"/>
      <c r="DZ112" s="11"/>
      <c r="EA112" s="11">
        <v>472000</v>
      </c>
      <c r="EB112" s="11">
        <v>398000</v>
      </c>
      <c r="EC112" s="11">
        <v>217000</v>
      </c>
      <c r="ED112" s="11"/>
      <c r="EE112" s="11"/>
      <c r="EF112" s="7">
        <v>47641000</v>
      </c>
      <c r="EG112" s="7">
        <v>17932000</v>
      </c>
      <c r="EH112" s="7">
        <v>8944000</v>
      </c>
      <c r="EI112" s="7"/>
      <c r="EJ112" s="7"/>
      <c r="EK112" s="7">
        <v>45881000</v>
      </c>
      <c r="EL112" s="7">
        <v>17736000</v>
      </c>
      <c r="EM112" s="7">
        <v>8913000</v>
      </c>
      <c r="EN112" s="7"/>
      <c r="EO112" s="7"/>
      <c r="EP112" s="7"/>
      <c r="EQ112" s="7"/>
      <c r="ER112" s="7"/>
      <c r="ES112" s="7"/>
      <c r="ET112" s="7"/>
      <c r="EU112" s="7"/>
      <c r="EV112" s="7"/>
      <c r="EW112" s="7"/>
      <c r="EX112" s="7"/>
      <c r="EY112" s="7"/>
      <c r="EZ112" s="11"/>
      <c r="FA112" s="11"/>
      <c r="FB112" s="11"/>
      <c r="FC112" s="11"/>
      <c r="FD112" s="11"/>
      <c r="FE112" s="11"/>
      <c r="FF112" s="11"/>
      <c r="FG112" s="11"/>
      <c r="FH112" s="11"/>
      <c r="FI112" s="11"/>
      <c r="FJ112" s="11"/>
      <c r="FK112" s="11"/>
      <c r="FL112" s="11"/>
      <c r="FM112" s="11"/>
      <c r="FN112" s="11"/>
      <c r="FO112" s="7">
        <v>5099000</v>
      </c>
      <c r="FP112" s="7">
        <v>115000</v>
      </c>
      <c r="FQ112" s="7">
        <v>68000</v>
      </c>
      <c r="FR112" s="7"/>
      <c r="FS112" s="7"/>
      <c r="FT112" s="7">
        <v>6563000</v>
      </c>
      <c r="FU112" s="7">
        <v>73000</v>
      </c>
      <c r="FV112" s="7">
        <v>42000</v>
      </c>
      <c r="FW112" s="7"/>
      <c r="FX112" s="7"/>
      <c r="FY112" s="11">
        <v>59000</v>
      </c>
      <c r="FZ112" s="11">
        <v>47000</v>
      </c>
      <c r="GA112" s="11">
        <v>11000</v>
      </c>
      <c r="GB112" s="11"/>
      <c r="GC112" s="11"/>
      <c r="GD112" s="7">
        <v>237000</v>
      </c>
      <c r="GE112" s="7">
        <v>191000</v>
      </c>
      <c r="GF112" s="7">
        <v>46000</v>
      </c>
      <c r="GG112" s="7"/>
      <c r="GH112" s="7"/>
    </row>
    <row r="113" spans="1:190" ht="26.25" x14ac:dyDescent="0.25">
      <c r="A113" s="4">
        <v>112</v>
      </c>
      <c r="B113" s="5" t="s">
        <v>479</v>
      </c>
      <c r="C113" s="9" t="s">
        <v>480</v>
      </c>
      <c r="D113" s="7">
        <v>6</v>
      </c>
      <c r="E113" s="6" t="s">
        <v>481</v>
      </c>
      <c r="F113" s="11">
        <v>186493</v>
      </c>
      <c r="G113" s="11"/>
      <c r="H113" s="11"/>
      <c r="I113" s="11">
        <v>19939</v>
      </c>
      <c r="J113" s="11"/>
      <c r="K113" s="11">
        <v>78293</v>
      </c>
      <c r="L113" s="11">
        <v>492206</v>
      </c>
      <c r="M113" s="11">
        <v>780540</v>
      </c>
      <c r="N113" s="11"/>
      <c r="O113" s="11"/>
      <c r="P113" s="7"/>
      <c r="Q113" s="7">
        <v>15751000</v>
      </c>
      <c r="R113" s="7"/>
      <c r="S113" s="7"/>
      <c r="T113" s="7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>
        <v>948000</v>
      </c>
      <c r="AK113" s="11">
        <v>16699000</v>
      </c>
      <c r="AL113" s="11"/>
      <c r="AM113" s="11"/>
      <c r="AN113" s="11"/>
      <c r="AO113" s="7">
        <v>152000</v>
      </c>
      <c r="AP113" s="7">
        <v>187000</v>
      </c>
      <c r="AQ113" s="7"/>
      <c r="AR113" s="7"/>
      <c r="AS113" s="7"/>
      <c r="AT113" s="7">
        <v>3184000</v>
      </c>
      <c r="AU113" s="7">
        <v>3372000</v>
      </c>
      <c r="AV113" s="7"/>
      <c r="AW113" s="7"/>
      <c r="AX113" s="7"/>
      <c r="AY113" s="11">
        <v>1269000</v>
      </c>
      <c r="AZ113" s="11">
        <v>879000</v>
      </c>
      <c r="BA113" s="11"/>
      <c r="BB113" s="11"/>
      <c r="BC113" s="11"/>
      <c r="BD113" s="7">
        <v>312000</v>
      </c>
      <c r="BE113" s="7">
        <v>59000</v>
      </c>
      <c r="BF113" s="7"/>
      <c r="BG113" s="7"/>
      <c r="BH113" s="7"/>
      <c r="BI113" s="11">
        <v>13000</v>
      </c>
      <c r="BJ113" s="11">
        <v>2619000</v>
      </c>
      <c r="BK113" s="11"/>
      <c r="BL113" s="11"/>
      <c r="BM113" s="11"/>
      <c r="BN113" s="11">
        <v>5398000</v>
      </c>
      <c r="BO113" s="11">
        <v>7139000</v>
      </c>
      <c r="BP113" s="11"/>
      <c r="BQ113" s="11"/>
      <c r="BR113" s="11"/>
      <c r="BS113" s="11">
        <v>6346000</v>
      </c>
      <c r="BT113" s="11">
        <v>23838000</v>
      </c>
      <c r="BU113" s="11"/>
      <c r="BV113" s="11"/>
      <c r="BW113" s="11"/>
      <c r="BX113" s="7">
        <v>10000</v>
      </c>
      <c r="BY113" s="7">
        <v>10000</v>
      </c>
      <c r="BZ113" s="7"/>
      <c r="CA113" s="7"/>
      <c r="CB113" s="7"/>
      <c r="CC113" s="11"/>
      <c r="CD113" s="11"/>
      <c r="CE113" s="11"/>
      <c r="CF113" s="11"/>
      <c r="CG113" s="11"/>
      <c r="CH113" s="7">
        <v>-3812000</v>
      </c>
      <c r="CI113" s="7">
        <v>-17555000</v>
      </c>
      <c r="CJ113" s="7"/>
      <c r="CK113" s="7"/>
      <c r="CL113" s="7"/>
      <c r="CM113" s="11">
        <v>-3802000</v>
      </c>
      <c r="CN113" s="11">
        <v>-17545000</v>
      </c>
      <c r="CO113" s="11"/>
      <c r="CP113" s="11"/>
      <c r="CQ113" s="11"/>
      <c r="CR113" s="11">
        <v>5558000</v>
      </c>
      <c r="CS113" s="11">
        <v>11620000</v>
      </c>
      <c r="CT113" s="11"/>
      <c r="CU113" s="11"/>
      <c r="CV113" s="11"/>
      <c r="CW113" s="11"/>
      <c r="CX113" s="11">
        <v>15713000</v>
      </c>
      <c r="CY113" s="11"/>
      <c r="CZ113" s="11"/>
      <c r="DA113" s="11"/>
      <c r="DB113" s="11">
        <v>5558000</v>
      </c>
      <c r="DC113" s="11">
        <v>27333000</v>
      </c>
      <c r="DD113" s="11"/>
      <c r="DE113" s="11"/>
      <c r="DF113" s="11"/>
      <c r="DG113" s="7"/>
      <c r="DH113" s="7"/>
      <c r="DI113" s="7"/>
      <c r="DJ113" s="7"/>
      <c r="DK113" s="7"/>
      <c r="DL113" s="7">
        <v>4590000</v>
      </c>
      <c r="DM113" s="7">
        <v>14050000</v>
      </c>
      <c r="DN113" s="7"/>
      <c r="DO113" s="7"/>
      <c r="DP113" s="7"/>
      <c r="DQ113" s="11"/>
      <c r="DR113" s="11"/>
      <c r="DS113" s="11"/>
      <c r="DT113" s="11"/>
      <c r="DU113" s="11"/>
      <c r="DV113" s="11"/>
      <c r="DW113" s="11"/>
      <c r="DX113" s="11"/>
      <c r="DY113" s="11"/>
      <c r="DZ113" s="11"/>
      <c r="EA113" s="11">
        <v>4590000</v>
      </c>
      <c r="EB113" s="11">
        <v>14050000</v>
      </c>
      <c r="EC113" s="11"/>
      <c r="ED113" s="11"/>
      <c r="EE113" s="11"/>
      <c r="EF113" s="7">
        <v>60515000</v>
      </c>
      <c r="EG113" s="7">
        <v>58252000</v>
      </c>
      <c r="EH113" s="7"/>
      <c r="EI113" s="7"/>
      <c r="EJ113" s="7"/>
      <c r="EK113" s="7">
        <v>55571000</v>
      </c>
      <c r="EL113" s="7">
        <v>45794000</v>
      </c>
      <c r="EM113" s="7"/>
      <c r="EN113" s="7"/>
      <c r="EO113" s="7"/>
      <c r="EP113" s="7">
        <v>9234000</v>
      </c>
      <c r="EQ113" s="7">
        <v>23475000</v>
      </c>
      <c r="ER113" s="7"/>
      <c r="ES113" s="7"/>
      <c r="ET113" s="7"/>
      <c r="EU113" s="7">
        <v>49000</v>
      </c>
      <c r="EV113" s="7">
        <v>271000</v>
      </c>
      <c r="EW113" s="7"/>
      <c r="EX113" s="7"/>
      <c r="EY113" s="7"/>
      <c r="EZ113" s="11"/>
      <c r="FA113" s="11"/>
      <c r="FB113" s="11"/>
      <c r="FC113" s="11"/>
      <c r="FD113" s="11"/>
      <c r="FE113" s="11"/>
      <c r="FF113" s="11"/>
      <c r="FG113" s="11"/>
      <c r="FH113" s="11"/>
      <c r="FI113" s="11"/>
      <c r="FJ113" s="11">
        <v>295000</v>
      </c>
      <c r="FK113" s="11">
        <v>1202000</v>
      </c>
      <c r="FL113" s="11"/>
      <c r="FM113" s="11"/>
      <c r="FN113" s="11"/>
      <c r="FO113" s="7"/>
      <c r="FP113" s="7">
        <v>101000</v>
      </c>
      <c r="FQ113" s="7"/>
      <c r="FR113" s="7"/>
      <c r="FS113" s="7"/>
      <c r="FT113" s="7">
        <v>125000</v>
      </c>
      <c r="FU113" s="7">
        <v>1344000</v>
      </c>
      <c r="FV113" s="7"/>
      <c r="FW113" s="7"/>
      <c r="FX113" s="7"/>
      <c r="FY113" s="11">
        <v>952000</v>
      </c>
      <c r="FZ113" s="11"/>
      <c r="GA113" s="11"/>
      <c r="GB113" s="11"/>
      <c r="GC113" s="11"/>
      <c r="GD113" s="7">
        <v>-3810000</v>
      </c>
      <c r="GE113" s="7">
        <v>-13733000</v>
      </c>
      <c r="GF113" s="7"/>
      <c r="GG113" s="7"/>
      <c r="GH113" s="7"/>
    </row>
    <row r="114" spans="1:190" x14ac:dyDescent="0.25">
      <c r="A114" s="4">
        <v>113</v>
      </c>
      <c r="B114" s="5" t="s">
        <v>482</v>
      </c>
      <c r="C114" s="9" t="s">
        <v>483</v>
      </c>
      <c r="D114" s="7">
        <v>25</v>
      </c>
      <c r="E114" s="6" t="s">
        <v>239</v>
      </c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7">
        <v>3951000</v>
      </c>
      <c r="Q114" s="7">
        <v>83000</v>
      </c>
      <c r="R114" s="7">
        <v>83000</v>
      </c>
      <c r="S114" s="7"/>
      <c r="T114" s="7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>
        <v>3951000</v>
      </c>
      <c r="AK114" s="11">
        <v>83000</v>
      </c>
      <c r="AL114" s="11">
        <v>83000</v>
      </c>
      <c r="AM114" s="11"/>
      <c r="AN114" s="11"/>
      <c r="AO114" s="7"/>
      <c r="AP114" s="7"/>
      <c r="AQ114" s="7"/>
      <c r="AR114" s="7"/>
      <c r="AS114" s="7"/>
      <c r="AT114" s="7">
        <v>1156000</v>
      </c>
      <c r="AU114" s="7">
        <v>1044000</v>
      </c>
      <c r="AV114" s="7">
        <v>1156000</v>
      </c>
      <c r="AW114" s="7">
        <v>2645000</v>
      </c>
      <c r="AX114" s="7">
        <v>2764000</v>
      </c>
      <c r="AY114" s="11"/>
      <c r="AZ114" s="11"/>
      <c r="BA114" s="11"/>
      <c r="BB114" s="11"/>
      <c r="BC114" s="11"/>
      <c r="BD114" s="7">
        <v>1749000</v>
      </c>
      <c r="BE114" s="7">
        <v>2382000</v>
      </c>
      <c r="BF114" s="7">
        <v>3195000</v>
      </c>
      <c r="BG114" s="7">
        <v>648000</v>
      </c>
      <c r="BH114" s="7">
        <v>194000</v>
      </c>
      <c r="BI114" s="11"/>
      <c r="BJ114" s="11"/>
      <c r="BK114" s="11"/>
      <c r="BL114" s="11"/>
      <c r="BM114" s="11"/>
      <c r="BN114" s="11">
        <v>2905000</v>
      </c>
      <c r="BO114" s="11">
        <v>3426000</v>
      </c>
      <c r="BP114" s="11">
        <v>4351000</v>
      </c>
      <c r="BQ114" s="11">
        <v>3293000</v>
      </c>
      <c r="BR114" s="11">
        <v>2958000</v>
      </c>
      <c r="BS114" s="11">
        <v>6856000</v>
      </c>
      <c r="BT114" s="11">
        <v>3509000</v>
      </c>
      <c r="BU114" s="11">
        <v>4434000</v>
      </c>
      <c r="BV114" s="11">
        <v>3293000</v>
      </c>
      <c r="BW114" s="11">
        <v>2958000</v>
      </c>
      <c r="BX114" s="7">
        <v>10000</v>
      </c>
      <c r="BY114" s="7">
        <v>10000</v>
      </c>
      <c r="BZ114" s="7">
        <v>10000</v>
      </c>
      <c r="CA114" s="7">
        <v>10000</v>
      </c>
      <c r="CB114" s="7">
        <v>10000</v>
      </c>
      <c r="CC114" s="11"/>
      <c r="CD114" s="11"/>
      <c r="CE114" s="11"/>
      <c r="CF114" s="11"/>
      <c r="CG114" s="11"/>
      <c r="CH114" s="7">
        <v>-56245000</v>
      </c>
      <c r="CI114" s="7">
        <v>-48412000</v>
      </c>
      <c r="CJ114" s="7">
        <v>-47278000</v>
      </c>
      <c r="CK114" s="7">
        <v>-46389000</v>
      </c>
      <c r="CL114" s="7">
        <v>-46354000</v>
      </c>
      <c r="CM114" s="11">
        <v>-56235000</v>
      </c>
      <c r="CN114" s="11">
        <v>-48402000</v>
      </c>
      <c r="CO114" s="11">
        <v>-47268000</v>
      </c>
      <c r="CP114" s="11">
        <v>-46379000</v>
      </c>
      <c r="CQ114" s="11">
        <v>-46344000</v>
      </c>
      <c r="CR114" s="11">
        <v>9246000</v>
      </c>
      <c r="CS114" s="11"/>
      <c r="CT114" s="11"/>
      <c r="CU114" s="11"/>
      <c r="CV114" s="11"/>
      <c r="CW114" s="11"/>
      <c r="CX114" s="11"/>
      <c r="CY114" s="11"/>
      <c r="CZ114" s="11"/>
      <c r="DA114" s="11"/>
      <c r="DB114" s="11">
        <v>9246000</v>
      </c>
      <c r="DC114" s="11"/>
      <c r="DD114" s="11"/>
      <c r="DE114" s="11"/>
      <c r="DF114" s="11"/>
      <c r="DG114" s="7">
        <v>730000</v>
      </c>
      <c r="DH114" s="7"/>
      <c r="DI114" s="7"/>
      <c r="DJ114" s="7"/>
      <c r="DK114" s="7"/>
      <c r="DL114" s="7">
        <v>53115000</v>
      </c>
      <c r="DM114" s="7">
        <v>51911000</v>
      </c>
      <c r="DN114" s="7">
        <v>51702000</v>
      </c>
      <c r="DO114" s="7">
        <v>49672000</v>
      </c>
      <c r="DP114" s="7">
        <v>49302000</v>
      </c>
      <c r="DQ114" s="11"/>
      <c r="DR114" s="11"/>
      <c r="DS114" s="11"/>
      <c r="DT114" s="11"/>
      <c r="DU114" s="11"/>
      <c r="DV114" s="11"/>
      <c r="DW114" s="11"/>
      <c r="DX114" s="11"/>
      <c r="DY114" s="11"/>
      <c r="DZ114" s="11"/>
      <c r="EA114" s="11">
        <v>53845000</v>
      </c>
      <c r="EB114" s="11">
        <v>51911000</v>
      </c>
      <c r="EC114" s="11">
        <v>51702000</v>
      </c>
      <c r="ED114" s="11">
        <v>49672000</v>
      </c>
      <c r="EE114" s="11">
        <v>49302000</v>
      </c>
      <c r="EF114" s="7">
        <v>3796000</v>
      </c>
      <c r="EG114" s="7">
        <v>4081000</v>
      </c>
      <c r="EH114" s="7">
        <v>1780000</v>
      </c>
      <c r="EI114" s="7"/>
      <c r="EJ114" s="7">
        <v>370000</v>
      </c>
      <c r="EK114" s="7"/>
      <c r="EL114" s="7"/>
      <c r="EM114" s="7"/>
      <c r="EN114" s="7"/>
      <c r="EO114" s="7"/>
      <c r="EP114" s="7"/>
      <c r="EQ114" s="7"/>
      <c r="ER114" s="7"/>
      <c r="ES114" s="7"/>
      <c r="ET114" s="7"/>
      <c r="EU114" s="7">
        <v>2406000</v>
      </c>
      <c r="EV114" s="7">
        <v>1038000</v>
      </c>
      <c r="EW114" s="7">
        <v>679000</v>
      </c>
      <c r="EX114" s="7">
        <v>454000</v>
      </c>
      <c r="EY114" s="7">
        <v>308000</v>
      </c>
      <c r="EZ114" s="11"/>
      <c r="FA114" s="11"/>
      <c r="FB114" s="11"/>
      <c r="FC114" s="11"/>
      <c r="FD114" s="11"/>
      <c r="FE114" s="11"/>
      <c r="FF114" s="11"/>
      <c r="FG114" s="11"/>
      <c r="FH114" s="11"/>
      <c r="FI114" s="11"/>
      <c r="FJ114" s="11"/>
      <c r="FK114" s="11"/>
      <c r="FL114" s="11"/>
      <c r="FM114" s="11"/>
      <c r="FN114" s="11"/>
      <c r="FO114" s="7"/>
      <c r="FP114" s="7"/>
      <c r="FQ114" s="7"/>
      <c r="FR114" s="7">
        <v>1362000</v>
      </c>
      <c r="FS114" s="7"/>
      <c r="FT114" s="7">
        <v>46000</v>
      </c>
      <c r="FU114" s="7">
        <v>33000</v>
      </c>
      <c r="FV114" s="7">
        <v>37000</v>
      </c>
      <c r="FW114" s="7">
        <v>19000</v>
      </c>
      <c r="FX114" s="7">
        <v>27000</v>
      </c>
      <c r="FY114" s="11">
        <v>-202000</v>
      </c>
      <c r="FZ114" s="11">
        <v>104000</v>
      </c>
      <c r="GA114" s="11">
        <v>70000</v>
      </c>
      <c r="GB114" s="11"/>
      <c r="GC114" s="11"/>
      <c r="GD114" s="7">
        <v>1142000</v>
      </c>
      <c r="GE114" s="7">
        <v>3114000</v>
      </c>
      <c r="GF114" s="7">
        <v>1134000</v>
      </c>
      <c r="GG114" s="7">
        <v>889000</v>
      </c>
      <c r="GH114" s="7">
        <v>35000</v>
      </c>
    </row>
    <row r="115" spans="1:190" ht="39" x14ac:dyDescent="0.25">
      <c r="A115" s="4">
        <v>114</v>
      </c>
      <c r="B115" s="5" t="s">
        <v>484</v>
      </c>
      <c r="C115" s="9" t="s">
        <v>485</v>
      </c>
      <c r="D115" s="7">
        <v>8</v>
      </c>
      <c r="E115" s="6" t="s">
        <v>249</v>
      </c>
      <c r="F115" s="11">
        <v>7318844</v>
      </c>
      <c r="G115" s="11">
        <v>8053855</v>
      </c>
      <c r="H115" s="11"/>
      <c r="I115" s="11"/>
      <c r="J115" s="11"/>
      <c r="K115" s="11">
        <v>6387325</v>
      </c>
      <c r="L115" s="11">
        <v>291186817</v>
      </c>
      <c r="M115" s="11">
        <v>56982523</v>
      </c>
      <c r="N115" s="11"/>
      <c r="O115" s="11"/>
      <c r="P115" s="7">
        <v>220074000</v>
      </c>
      <c r="Q115" s="7">
        <v>52191000</v>
      </c>
      <c r="R115" s="7">
        <v>34217000</v>
      </c>
      <c r="S115" s="7">
        <v>17974000</v>
      </c>
      <c r="T115" s="7">
        <v>17974000</v>
      </c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>
        <v>100017000</v>
      </c>
      <c r="AF115" s="11">
        <v>123293000</v>
      </c>
      <c r="AG115" s="11"/>
      <c r="AH115" s="11"/>
      <c r="AI115" s="11"/>
      <c r="AJ115" s="11">
        <v>320100000</v>
      </c>
      <c r="AK115" s="11">
        <v>377391000</v>
      </c>
      <c r="AL115" s="11">
        <v>107543000</v>
      </c>
      <c r="AM115" s="11">
        <v>17974000</v>
      </c>
      <c r="AN115" s="11">
        <v>17974000</v>
      </c>
      <c r="AO115" s="7">
        <v>3002589000</v>
      </c>
      <c r="AP115" s="7">
        <v>2378795000</v>
      </c>
      <c r="AQ115" s="7">
        <v>773493000</v>
      </c>
      <c r="AR115" s="7">
        <v>763493000</v>
      </c>
      <c r="AS115" s="7">
        <v>761493000</v>
      </c>
      <c r="AT115" s="7">
        <v>1582995000</v>
      </c>
      <c r="AU115" s="7">
        <v>1547653000</v>
      </c>
      <c r="AV115" s="7">
        <v>901436000</v>
      </c>
      <c r="AW115" s="7">
        <v>80919000</v>
      </c>
      <c r="AX115" s="7">
        <v>80919000</v>
      </c>
      <c r="AY115" s="11">
        <v>306354000</v>
      </c>
      <c r="AZ115" s="11">
        <v>341051000</v>
      </c>
      <c r="BA115" s="11"/>
      <c r="BB115" s="11"/>
      <c r="BC115" s="11"/>
      <c r="BD115" s="7">
        <v>481555000</v>
      </c>
      <c r="BE115" s="7">
        <v>550331000</v>
      </c>
      <c r="BF115" s="7"/>
      <c r="BG115" s="7">
        <v>12815000</v>
      </c>
      <c r="BH115" s="7">
        <v>47000</v>
      </c>
      <c r="BI115" s="11">
        <v>61019000</v>
      </c>
      <c r="BJ115" s="11">
        <v>23028000</v>
      </c>
      <c r="BK115" s="11"/>
      <c r="BL115" s="11"/>
      <c r="BM115" s="11"/>
      <c r="BN115" s="11">
        <v>5441922000</v>
      </c>
      <c r="BO115" s="11">
        <v>4894541000</v>
      </c>
      <c r="BP115" s="11">
        <v>1674929000</v>
      </c>
      <c r="BQ115" s="11">
        <v>857227000</v>
      </c>
      <c r="BR115" s="11">
        <v>842459000</v>
      </c>
      <c r="BS115" s="11">
        <v>5762022000</v>
      </c>
      <c r="BT115" s="11">
        <v>5271932000</v>
      </c>
      <c r="BU115" s="11">
        <v>1782472000</v>
      </c>
      <c r="BV115" s="11">
        <v>875201000</v>
      </c>
      <c r="BW115" s="11">
        <v>860433000</v>
      </c>
      <c r="BX115" s="7">
        <v>20000</v>
      </c>
      <c r="BY115" s="7">
        <v>20000</v>
      </c>
      <c r="BZ115" s="7">
        <v>20000</v>
      </c>
      <c r="CA115" s="7">
        <v>20000</v>
      </c>
      <c r="CB115" s="7">
        <v>20000</v>
      </c>
      <c r="CC115" s="11"/>
      <c r="CD115" s="11"/>
      <c r="CE115" s="11"/>
      <c r="CF115" s="11"/>
      <c r="CG115" s="11"/>
      <c r="CH115" s="7">
        <v>236705000</v>
      </c>
      <c r="CI115" s="7">
        <v>-507164000</v>
      </c>
      <c r="CJ115" s="7">
        <v>-1671570000</v>
      </c>
      <c r="CK115" s="7">
        <v>-3889762000</v>
      </c>
      <c r="CL115" s="7">
        <v>-3908476000</v>
      </c>
      <c r="CM115" s="11">
        <v>236725000</v>
      </c>
      <c r="CN115" s="11">
        <v>-507144000</v>
      </c>
      <c r="CO115" s="11">
        <v>-1671550000</v>
      </c>
      <c r="CP115" s="11">
        <v>-3889742000</v>
      </c>
      <c r="CQ115" s="11">
        <v>-3908456000</v>
      </c>
      <c r="CR115" s="11"/>
      <c r="CS115" s="11"/>
      <c r="CT115" s="11"/>
      <c r="CU115" s="11"/>
      <c r="CV115" s="11"/>
      <c r="CW115" s="11"/>
      <c r="CX115" s="11"/>
      <c r="CY115" s="11"/>
      <c r="CZ115" s="11"/>
      <c r="DA115" s="11"/>
      <c r="DB115" s="11">
        <v>2706000</v>
      </c>
      <c r="DC115" s="11">
        <v>1969000</v>
      </c>
      <c r="DD115" s="11"/>
      <c r="DE115" s="11"/>
      <c r="DF115" s="11"/>
      <c r="DG115" s="7">
        <v>751964000</v>
      </c>
      <c r="DH115" s="7">
        <v>1510742000</v>
      </c>
      <c r="DI115" s="7">
        <v>865458000</v>
      </c>
      <c r="DJ115" s="7">
        <v>3039105000</v>
      </c>
      <c r="DK115" s="7">
        <v>3039105000</v>
      </c>
      <c r="DL115" s="7">
        <v>4770627000</v>
      </c>
      <c r="DM115" s="7">
        <v>4211650000</v>
      </c>
      <c r="DN115" s="7">
        <v>2588564000</v>
      </c>
      <c r="DO115" s="7">
        <v>1725838000</v>
      </c>
      <c r="DP115" s="7">
        <v>1729784000</v>
      </c>
      <c r="DQ115" s="11"/>
      <c r="DR115" s="11"/>
      <c r="DS115" s="11"/>
      <c r="DT115" s="11"/>
      <c r="DU115" s="11"/>
      <c r="DV115" s="11"/>
      <c r="DW115" s="11"/>
      <c r="DX115" s="11"/>
      <c r="DY115" s="11"/>
      <c r="DZ115" s="11"/>
      <c r="EA115" s="11">
        <v>5522591000</v>
      </c>
      <c r="EB115" s="11">
        <v>5777106000</v>
      </c>
      <c r="EC115" s="11">
        <v>3454022000</v>
      </c>
      <c r="ED115" s="11">
        <v>4764943000</v>
      </c>
      <c r="EE115" s="11">
        <v>4768889000</v>
      </c>
      <c r="EF115" s="7">
        <v>11624287000</v>
      </c>
      <c r="EG115" s="7">
        <v>9939709000</v>
      </c>
      <c r="EH115" s="7">
        <v>1063592000</v>
      </c>
      <c r="EI115" s="7">
        <v>10371000</v>
      </c>
      <c r="EJ115" s="7">
        <v>4121000</v>
      </c>
      <c r="EK115" s="7">
        <v>8701033000</v>
      </c>
      <c r="EL115" s="7">
        <v>7097609000</v>
      </c>
      <c r="EM115" s="7">
        <v>972955000</v>
      </c>
      <c r="EN115" s="7">
        <v>35327000</v>
      </c>
      <c r="EO115" s="7">
        <v>2000000</v>
      </c>
      <c r="EP115" s="7">
        <v>2774188000</v>
      </c>
      <c r="EQ115" s="7">
        <v>3193428000</v>
      </c>
      <c r="ER115" s="7">
        <v>1255043000</v>
      </c>
      <c r="ES115" s="7">
        <v>24916000</v>
      </c>
      <c r="ET115" s="7">
        <v>20708000</v>
      </c>
      <c r="EU115" s="7"/>
      <c r="EV115" s="7"/>
      <c r="EW115" s="7"/>
      <c r="EX115" s="7"/>
      <c r="EY115" s="7"/>
      <c r="EZ115" s="11"/>
      <c r="FA115" s="11"/>
      <c r="FB115" s="11"/>
      <c r="FC115" s="11"/>
      <c r="FD115" s="11"/>
      <c r="FE115" s="11">
        <v>33136000</v>
      </c>
      <c r="FF115" s="11">
        <v>34698000</v>
      </c>
      <c r="FG115" s="11"/>
      <c r="FH115" s="11"/>
      <c r="FI115" s="11"/>
      <c r="FJ115" s="11">
        <v>96217000</v>
      </c>
      <c r="FK115" s="11">
        <v>109770000</v>
      </c>
      <c r="FL115" s="11"/>
      <c r="FM115" s="11"/>
      <c r="FN115" s="11"/>
      <c r="FO115" s="7">
        <v>1213642000</v>
      </c>
      <c r="FP115" s="7">
        <v>684906000</v>
      </c>
      <c r="FQ115" s="7"/>
      <c r="FR115" s="7"/>
      <c r="FS115" s="7"/>
      <c r="FT115" s="7">
        <v>1245046000</v>
      </c>
      <c r="FU115" s="7">
        <v>765791000</v>
      </c>
      <c r="FV115" s="7"/>
      <c r="FW115" s="7">
        <v>2168320000</v>
      </c>
      <c r="FX115" s="7">
        <v>147000</v>
      </c>
      <c r="FY115" s="11">
        <v>-13974000</v>
      </c>
      <c r="FZ115" s="11">
        <v>49430000</v>
      </c>
      <c r="GA115" s="11"/>
      <c r="GB115" s="11"/>
      <c r="GC115" s="11"/>
      <c r="GD115" s="7">
        <v>40592000</v>
      </c>
      <c r="GE115" s="7">
        <v>-387431000</v>
      </c>
      <c r="GF115" s="7">
        <v>-1164406000</v>
      </c>
      <c r="GG115" s="7">
        <v>-2218192000</v>
      </c>
      <c r="GH115" s="7">
        <v>-18734000</v>
      </c>
    </row>
    <row r="116" spans="1:190" ht="39" x14ac:dyDescent="0.25">
      <c r="A116" s="4">
        <v>115</v>
      </c>
      <c r="B116" s="5" t="s">
        <v>486</v>
      </c>
      <c r="C116" s="9" t="s">
        <v>487</v>
      </c>
      <c r="D116" s="7">
        <v>10</v>
      </c>
      <c r="E116" s="6" t="s">
        <v>488</v>
      </c>
      <c r="F116" s="11">
        <v>32476</v>
      </c>
      <c r="G116" s="11">
        <v>45585</v>
      </c>
      <c r="H116" s="11"/>
      <c r="I116" s="11"/>
      <c r="J116" s="11"/>
      <c r="K116" s="11">
        <v>257266</v>
      </c>
      <c r="L116" s="11">
        <v>56863</v>
      </c>
      <c r="M116" s="11">
        <v>11102</v>
      </c>
      <c r="N116" s="11"/>
      <c r="O116" s="11"/>
      <c r="P116" s="7"/>
      <c r="Q116" s="7"/>
      <c r="R116" s="7"/>
      <c r="S116" s="7"/>
      <c r="T116" s="7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7">
        <v>1620000</v>
      </c>
      <c r="AP116" s="7"/>
      <c r="AQ116" s="7"/>
      <c r="AR116" s="7"/>
      <c r="AS116" s="7"/>
      <c r="AT116" s="7">
        <v>24356000</v>
      </c>
      <c r="AU116" s="7"/>
      <c r="AV116" s="7"/>
      <c r="AW116" s="7"/>
      <c r="AX116" s="7"/>
      <c r="AY116" s="11">
        <v>110000</v>
      </c>
      <c r="AZ116" s="11"/>
      <c r="BA116" s="11"/>
      <c r="BB116" s="11"/>
      <c r="BC116" s="11"/>
      <c r="BD116" s="7">
        <v>3000</v>
      </c>
      <c r="BE116" s="7"/>
      <c r="BF116" s="7"/>
      <c r="BG116" s="7"/>
      <c r="BH116" s="7"/>
      <c r="BI116" s="11"/>
      <c r="BJ116" s="11"/>
      <c r="BK116" s="11"/>
      <c r="BL116" s="11"/>
      <c r="BM116" s="11"/>
      <c r="BN116" s="11">
        <v>26089000</v>
      </c>
      <c r="BO116" s="11"/>
      <c r="BP116" s="11"/>
      <c r="BQ116" s="11"/>
      <c r="BR116" s="11"/>
      <c r="BS116" s="11">
        <v>26089000</v>
      </c>
      <c r="BT116" s="11"/>
      <c r="BU116" s="11"/>
      <c r="BV116" s="11"/>
      <c r="BW116" s="11"/>
      <c r="BX116" s="7">
        <v>10000</v>
      </c>
      <c r="BY116" s="7"/>
      <c r="BZ116" s="7"/>
      <c r="CA116" s="7"/>
      <c r="CB116" s="7"/>
      <c r="CC116" s="11"/>
      <c r="CD116" s="11"/>
      <c r="CE116" s="11"/>
      <c r="CF116" s="11"/>
      <c r="CG116" s="11"/>
      <c r="CH116" s="7">
        <v>1951000</v>
      </c>
      <c r="CI116" s="7"/>
      <c r="CJ116" s="7"/>
      <c r="CK116" s="7"/>
      <c r="CL116" s="7"/>
      <c r="CM116" s="11">
        <v>1961000</v>
      </c>
      <c r="CN116" s="11"/>
      <c r="CO116" s="11"/>
      <c r="CP116" s="11"/>
      <c r="CQ116" s="11"/>
      <c r="CR116" s="11">
        <v>8000</v>
      </c>
      <c r="CS116" s="11"/>
      <c r="CT116" s="11"/>
      <c r="CU116" s="11"/>
      <c r="CV116" s="11"/>
      <c r="CW116" s="11">
        <v>2000</v>
      </c>
      <c r="CX116" s="11"/>
      <c r="CY116" s="11"/>
      <c r="CZ116" s="11"/>
      <c r="DA116" s="11"/>
      <c r="DB116" s="11">
        <v>10000</v>
      </c>
      <c r="DC116" s="11"/>
      <c r="DD116" s="11"/>
      <c r="DE116" s="11"/>
      <c r="DF116" s="11"/>
      <c r="DG116" s="7">
        <v>315000</v>
      </c>
      <c r="DH116" s="7"/>
      <c r="DI116" s="7"/>
      <c r="DJ116" s="7"/>
      <c r="DK116" s="7"/>
      <c r="DL116" s="7">
        <v>23803000</v>
      </c>
      <c r="DM116" s="7"/>
      <c r="DN116" s="7"/>
      <c r="DO116" s="7"/>
      <c r="DP116" s="7"/>
      <c r="DQ116" s="11"/>
      <c r="DR116" s="11"/>
      <c r="DS116" s="11"/>
      <c r="DT116" s="11"/>
      <c r="DU116" s="11"/>
      <c r="DV116" s="11"/>
      <c r="DW116" s="11"/>
      <c r="DX116" s="11"/>
      <c r="DY116" s="11"/>
      <c r="DZ116" s="11"/>
      <c r="EA116" s="11">
        <v>24118000</v>
      </c>
      <c r="EB116" s="11"/>
      <c r="EC116" s="11"/>
      <c r="ED116" s="11"/>
      <c r="EE116" s="11"/>
      <c r="EF116" s="7">
        <v>26580000</v>
      </c>
      <c r="EG116" s="7"/>
      <c r="EH116" s="7"/>
      <c r="EI116" s="7"/>
      <c r="EJ116" s="7"/>
      <c r="EK116" s="7">
        <v>26361000</v>
      </c>
      <c r="EL116" s="7"/>
      <c r="EM116" s="7"/>
      <c r="EN116" s="7"/>
      <c r="EO116" s="7"/>
      <c r="EP116" s="7"/>
      <c r="EQ116" s="7"/>
      <c r="ER116" s="7"/>
      <c r="ES116" s="7"/>
      <c r="ET116" s="7"/>
      <c r="EU116" s="7">
        <v>109000</v>
      </c>
      <c r="EV116" s="7"/>
      <c r="EW116" s="7"/>
      <c r="EX116" s="7"/>
      <c r="EY116" s="7"/>
      <c r="EZ116" s="11"/>
      <c r="FA116" s="11"/>
      <c r="FB116" s="11"/>
      <c r="FC116" s="11"/>
      <c r="FD116" s="11"/>
      <c r="FE116" s="11"/>
      <c r="FF116" s="11"/>
      <c r="FG116" s="11"/>
      <c r="FH116" s="11"/>
      <c r="FI116" s="11"/>
      <c r="FJ116" s="11"/>
      <c r="FK116" s="11"/>
      <c r="FL116" s="11"/>
      <c r="FM116" s="11"/>
      <c r="FN116" s="11"/>
      <c r="FO116" s="7"/>
      <c r="FP116" s="7"/>
      <c r="FQ116" s="7"/>
      <c r="FR116" s="7"/>
      <c r="FS116" s="7"/>
      <c r="FT116" s="7">
        <v>33000</v>
      </c>
      <c r="FU116" s="7"/>
      <c r="FV116" s="7"/>
      <c r="FW116" s="7"/>
      <c r="FX116" s="7"/>
      <c r="FY116" s="11">
        <v>-15000</v>
      </c>
      <c r="FZ116" s="11"/>
      <c r="GA116" s="11"/>
      <c r="GB116" s="11"/>
      <c r="GC116" s="11"/>
      <c r="GD116" s="7">
        <v>62000</v>
      </c>
      <c r="GE116" s="7"/>
      <c r="GF116" s="7"/>
      <c r="GG116" s="7"/>
      <c r="GH116" s="7"/>
    </row>
    <row r="117" spans="1:190" x14ac:dyDescent="0.25">
      <c r="A117" s="4">
        <v>116</v>
      </c>
      <c r="B117" s="5" t="s">
        <v>489</v>
      </c>
      <c r="C117" s="9" t="s">
        <v>490</v>
      </c>
      <c r="D117" s="7">
        <v>12</v>
      </c>
      <c r="E117" s="6" t="s">
        <v>491</v>
      </c>
      <c r="F117" s="11">
        <v>9024</v>
      </c>
      <c r="G117" s="11"/>
      <c r="H117" s="11">
        <v>716792</v>
      </c>
      <c r="I117" s="11"/>
      <c r="J117" s="11"/>
      <c r="K117" s="11">
        <v>1984352</v>
      </c>
      <c r="L117" s="11">
        <v>2478021</v>
      </c>
      <c r="M117" s="11">
        <v>5488514</v>
      </c>
      <c r="N117" s="11">
        <v>23637</v>
      </c>
      <c r="O117" s="11"/>
      <c r="P117" s="7">
        <v>2636000</v>
      </c>
      <c r="Q117" s="7">
        <v>1455000</v>
      </c>
      <c r="R117" s="7">
        <v>2550000</v>
      </c>
      <c r="S117" s="7">
        <v>2550000</v>
      </c>
      <c r="T117" s="7">
        <v>2350000</v>
      </c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>
        <v>840000</v>
      </c>
      <c r="AG117" s="11"/>
      <c r="AH117" s="11"/>
      <c r="AI117" s="11"/>
      <c r="AJ117" s="11">
        <v>2636000</v>
      </c>
      <c r="AK117" s="11">
        <v>2295000</v>
      </c>
      <c r="AL117" s="11">
        <v>2550000</v>
      </c>
      <c r="AM117" s="11">
        <v>2550000</v>
      </c>
      <c r="AN117" s="11">
        <v>2350000</v>
      </c>
      <c r="AO117" s="7">
        <v>10717000</v>
      </c>
      <c r="AP117" s="7">
        <v>6491000</v>
      </c>
      <c r="AQ117" s="7">
        <v>11893000</v>
      </c>
      <c r="AR117" s="7">
        <v>11893000</v>
      </c>
      <c r="AS117" s="7">
        <v>11893000</v>
      </c>
      <c r="AT117" s="7">
        <v>7496000</v>
      </c>
      <c r="AU117" s="7">
        <v>14884000</v>
      </c>
      <c r="AV117" s="7">
        <v>14573000</v>
      </c>
      <c r="AW117" s="7">
        <v>13694000</v>
      </c>
      <c r="AX117" s="7">
        <v>13694000</v>
      </c>
      <c r="AY117" s="11"/>
      <c r="AZ117" s="11"/>
      <c r="BA117" s="11"/>
      <c r="BB117" s="11"/>
      <c r="BC117" s="11"/>
      <c r="BD117" s="7">
        <v>306000</v>
      </c>
      <c r="BE117" s="7">
        <v>3670000</v>
      </c>
      <c r="BF117" s="7">
        <v>214000</v>
      </c>
      <c r="BG117" s="7">
        <v>4000</v>
      </c>
      <c r="BH117" s="7">
        <v>4000</v>
      </c>
      <c r="BI117" s="11"/>
      <c r="BJ117" s="11">
        <v>3974000</v>
      </c>
      <c r="BK117" s="11"/>
      <c r="BL117" s="11"/>
      <c r="BM117" s="11"/>
      <c r="BN117" s="11">
        <v>18520000</v>
      </c>
      <c r="BO117" s="11">
        <v>29020000</v>
      </c>
      <c r="BP117" s="11">
        <v>26684000</v>
      </c>
      <c r="BQ117" s="11">
        <v>25594000</v>
      </c>
      <c r="BR117" s="11">
        <v>25594000</v>
      </c>
      <c r="BS117" s="11">
        <v>21156000</v>
      </c>
      <c r="BT117" s="11">
        <v>31315000</v>
      </c>
      <c r="BU117" s="11">
        <v>29234000</v>
      </c>
      <c r="BV117" s="11">
        <v>28144000</v>
      </c>
      <c r="BW117" s="11">
        <v>27944000</v>
      </c>
      <c r="BX117" s="7">
        <v>10000</v>
      </c>
      <c r="BY117" s="7">
        <v>10000</v>
      </c>
      <c r="BZ117" s="7">
        <v>10000</v>
      </c>
      <c r="CA117" s="7">
        <v>10000</v>
      </c>
      <c r="CB117" s="7">
        <v>10000</v>
      </c>
      <c r="CC117" s="11"/>
      <c r="CD117" s="11"/>
      <c r="CE117" s="11"/>
      <c r="CF117" s="11"/>
      <c r="CG117" s="11"/>
      <c r="CH117" s="7">
        <v>-20441000</v>
      </c>
      <c r="CI117" s="7">
        <v>-25339000</v>
      </c>
      <c r="CJ117" s="7">
        <v>-22951000</v>
      </c>
      <c r="CK117" s="7">
        <v>-23017000</v>
      </c>
      <c r="CL117" s="7">
        <v>-23602000</v>
      </c>
      <c r="CM117" s="11">
        <v>-20431000</v>
      </c>
      <c r="CN117" s="11">
        <v>-25329000</v>
      </c>
      <c r="CO117" s="11">
        <v>-22941000</v>
      </c>
      <c r="CP117" s="11">
        <v>-23007000</v>
      </c>
      <c r="CQ117" s="11">
        <v>-23592000</v>
      </c>
      <c r="CR117" s="11">
        <v>19113000</v>
      </c>
      <c r="CS117" s="11">
        <v>28783000</v>
      </c>
      <c r="CT117" s="11">
        <v>20070000</v>
      </c>
      <c r="CU117" s="11">
        <v>20070000</v>
      </c>
      <c r="CV117" s="11">
        <v>20070000</v>
      </c>
      <c r="CW117" s="11"/>
      <c r="CX117" s="11"/>
      <c r="CY117" s="11">
        <v>12079000</v>
      </c>
      <c r="CZ117" s="11">
        <v>12079000</v>
      </c>
      <c r="DA117" s="11">
        <v>12079000</v>
      </c>
      <c r="DB117" s="11">
        <v>19113000</v>
      </c>
      <c r="DC117" s="11">
        <v>28783000</v>
      </c>
      <c r="DD117" s="11">
        <v>32149000</v>
      </c>
      <c r="DE117" s="11">
        <v>32149000</v>
      </c>
      <c r="DF117" s="11">
        <v>32149000</v>
      </c>
      <c r="DG117" s="7"/>
      <c r="DH117" s="7"/>
      <c r="DI117" s="7">
        <v>150000</v>
      </c>
      <c r="DJ117" s="7">
        <v>150000</v>
      </c>
      <c r="DK117" s="7">
        <v>150000</v>
      </c>
      <c r="DL117" s="7">
        <v>22474000</v>
      </c>
      <c r="DM117" s="7">
        <v>27861000</v>
      </c>
      <c r="DN117" s="7">
        <v>19876000</v>
      </c>
      <c r="DO117" s="7">
        <v>18852000</v>
      </c>
      <c r="DP117" s="7">
        <v>19237000</v>
      </c>
      <c r="DQ117" s="11"/>
      <c r="DR117" s="11"/>
      <c r="DS117" s="11"/>
      <c r="DT117" s="11"/>
      <c r="DU117" s="11"/>
      <c r="DV117" s="11"/>
      <c r="DW117" s="11"/>
      <c r="DX117" s="11"/>
      <c r="DY117" s="11"/>
      <c r="DZ117" s="11"/>
      <c r="EA117" s="11">
        <v>22474000</v>
      </c>
      <c r="EB117" s="11">
        <v>27861000</v>
      </c>
      <c r="EC117" s="11">
        <v>20026000</v>
      </c>
      <c r="ED117" s="11">
        <v>19002000</v>
      </c>
      <c r="EE117" s="11">
        <v>19387000</v>
      </c>
      <c r="EF117" s="7">
        <v>63111000</v>
      </c>
      <c r="EG117" s="7">
        <v>85212000</v>
      </c>
      <c r="EH117" s="7">
        <v>64795000</v>
      </c>
      <c r="EI117" s="7"/>
      <c r="EJ117" s="7"/>
      <c r="EK117" s="7">
        <v>53122000</v>
      </c>
      <c r="EL117" s="7">
        <v>72261000</v>
      </c>
      <c r="EM117" s="7">
        <v>52381000</v>
      </c>
      <c r="EN117" s="7"/>
      <c r="EO117" s="7"/>
      <c r="EP117" s="7"/>
      <c r="EQ117" s="7"/>
      <c r="ER117" s="7">
        <v>4957000</v>
      </c>
      <c r="ES117" s="7"/>
      <c r="ET117" s="7"/>
      <c r="EU117" s="7">
        <v>11962000</v>
      </c>
      <c r="EV117" s="7">
        <v>14013000</v>
      </c>
      <c r="EW117" s="7">
        <v>4417000</v>
      </c>
      <c r="EX117" s="7"/>
      <c r="EY117" s="7"/>
      <c r="EZ117" s="11"/>
      <c r="FA117" s="11"/>
      <c r="FB117" s="11"/>
      <c r="FC117" s="11"/>
      <c r="FD117" s="11"/>
      <c r="FE117" s="11"/>
      <c r="FF117" s="11"/>
      <c r="FG117" s="11"/>
      <c r="FH117" s="11"/>
      <c r="FI117" s="11"/>
      <c r="FJ117" s="11"/>
      <c r="FK117" s="11">
        <v>234000</v>
      </c>
      <c r="FL117" s="11">
        <v>123000</v>
      </c>
      <c r="FM117" s="11"/>
      <c r="FN117" s="11"/>
      <c r="FO117" s="7">
        <v>2208000</v>
      </c>
      <c r="FP117" s="7"/>
      <c r="FQ117" s="7">
        <v>1049000</v>
      </c>
      <c r="FR117" s="7"/>
      <c r="FS117" s="7"/>
      <c r="FT117" s="7">
        <v>698000</v>
      </c>
      <c r="FU117" s="7">
        <v>3602000</v>
      </c>
      <c r="FV117" s="7">
        <v>1120000</v>
      </c>
      <c r="FW117" s="7">
        <v>67000</v>
      </c>
      <c r="FX117" s="7">
        <v>585000</v>
      </c>
      <c r="FY117" s="11">
        <v>-1000</v>
      </c>
      <c r="FZ117" s="11">
        <v>-1000</v>
      </c>
      <c r="GA117" s="11">
        <v>-449000</v>
      </c>
      <c r="GB117" s="11"/>
      <c r="GC117" s="11"/>
      <c r="GD117" s="7">
        <v>-464000</v>
      </c>
      <c r="GE117" s="7">
        <v>-4899000</v>
      </c>
      <c r="GF117" s="7">
        <v>2397000</v>
      </c>
      <c r="GG117" s="7">
        <v>-67000</v>
      </c>
      <c r="GH117" s="7">
        <v>-585000</v>
      </c>
    </row>
    <row r="118" spans="1:190" x14ac:dyDescent="0.25">
      <c r="A118" s="4">
        <v>117</v>
      </c>
      <c r="B118" s="5" t="s">
        <v>492</v>
      </c>
      <c r="C118" s="9" t="s">
        <v>493</v>
      </c>
      <c r="D118" s="7">
        <v>33</v>
      </c>
      <c r="E118" s="6" t="s">
        <v>494</v>
      </c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7"/>
      <c r="Q118" s="7"/>
      <c r="R118" s="7"/>
      <c r="S118" s="7"/>
      <c r="T118" s="7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11"/>
      <c r="AZ118" s="11"/>
      <c r="BA118" s="11"/>
      <c r="BB118" s="11"/>
      <c r="BC118" s="11"/>
      <c r="BD118" s="7"/>
      <c r="BE118" s="7"/>
      <c r="BF118" s="7"/>
      <c r="BG118" s="7"/>
      <c r="BH118" s="7"/>
      <c r="BI118" s="11"/>
      <c r="BJ118" s="11"/>
      <c r="BK118" s="11"/>
      <c r="BL118" s="11"/>
      <c r="BM118" s="11"/>
      <c r="BN118" s="11"/>
      <c r="BO118" s="11"/>
      <c r="BP118" s="11"/>
      <c r="BQ118" s="11"/>
      <c r="BR118" s="11"/>
      <c r="BS118" s="11"/>
      <c r="BT118" s="11"/>
      <c r="BU118" s="11"/>
      <c r="BV118" s="11"/>
      <c r="BW118" s="11"/>
      <c r="BX118" s="7"/>
      <c r="BY118" s="7"/>
      <c r="BZ118" s="7"/>
      <c r="CA118" s="7"/>
      <c r="CB118" s="7"/>
      <c r="CC118" s="11"/>
      <c r="CD118" s="11"/>
      <c r="CE118" s="11"/>
      <c r="CF118" s="11"/>
      <c r="CG118" s="11"/>
      <c r="CH118" s="7"/>
      <c r="CI118" s="7"/>
      <c r="CJ118" s="7"/>
      <c r="CK118" s="7"/>
      <c r="CL118" s="7"/>
      <c r="CM118" s="11"/>
      <c r="CN118" s="11"/>
      <c r="CO118" s="11"/>
      <c r="CP118" s="11"/>
      <c r="CQ118" s="11"/>
      <c r="CR118" s="11"/>
      <c r="CS118" s="11"/>
      <c r="CT118" s="11"/>
      <c r="CU118" s="11"/>
      <c r="CV118" s="11"/>
      <c r="CW118" s="11"/>
      <c r="CX118" s="11"/>
      <c r="CY118" s="11"/>
      <c r="CZ118" s="11"/>
      <c r="DA118" s="11"/>
      <c r="DB118" s="11"/>
      <c r="DC118" s="11"/>
      <c r="DD118" s="11"/>
      <c r="DE118" s="11"/>
      <c r="DF118" s="11"/>
      <c r="DG118" s="7"/>
      <c r="DH118" s="7"/>
      <c r="DI118" s="7"/>
      <c r="DJ118" s="7"/>
      <c r="DK118" s="7"/>
      <c r="DL118" s="7"/>
      <c r="DM118" s="7"/>
      <c r="DN118" s="7"/>
      <c r="DO118" s="7"/>
      <c r="DP118" s="7"/>
      <c r="DQ118" s="11"/>
      <c r="DR118" s="11"/>
      <c r="DS118" s="11"/>
      <c r="DT118" s="11"/>
      <c r="DU118" s="11"/>
      <c r="DV118" s="11"/>
      <c r="DW118" s="11"/>
      <c r="DX118" s="11"/>
      <c r="DY118" s="11"/>
      <c r="DZ118" s="11"/>
      <c r="EA118" s="11"/>
      <c r="EB118" s="11"/>
      <c r="EC118" s="11"/>
      <c r="ED118" s="11"/>
      <c r="EE118" s="11"/>
      <c r="EF118" s="7"/>
      <c r="EG118" s="7"/>
      <c r="EH118" s="7"/>
      <c r="EI118" s="7"/>
      <c r="EJ118" s="7"/>
      <c r="EK118" s="7"/>
      <c r="EL118" s="7"/>
      <c r="EM118" s="7"/>
      <c r="EN118" s="7"/>
      <c r="EO118" s="7"/>
      <c r="EP118" s="7"/>
      <c r="EQ118" s="7"/>
      <c r="ER118" s="7"/>
      <c r="ES118" s="7"/>
      <c r="ET118" s="7"/>
      <c r="EU118" s="7"/>
      <c r="EV118" s="7"/>
      <c r="EW118" s="7"/>
      <c r="EX118" s="7"/>
      <c r="EY118" s="7"/>
      <c r="EZ118" s="11"/>
      <c r="FA118" s="11"/>
      <c r="FB118" s="11"/>
      <c r="FC118" s="11"/>
      <c r="FD118" s="11"/>
      <c r="FE118" s="11"/>
      <c r="FF118" s="11"/>
      <c r="FG118" s="11"/>
      <c r="FH118" s="11"/>
      <c r="FI118" s="11"/>
      <c r="FJ118" s="11"/>
      <c r="FK118" s="11"/>
      <c r="FL118" s="11"/>
      <c r="FM118" s="11"/>
      <c r="FN118" s="11"/>
      <c r="FO118" s="7"/>
      <c r="FP118" s="7"/>
      <c r="FQ118" s="7"/>
      <c r="FR118" s="7"/>
      <c r="FS118" s="7"/>
      <c r="FT118" s="7"/>
      <c r="FU118" s="7"/>
      <c r="FV118" s="7"/>
      <c r="FW118" s="7"/>
      <c r="FX118" s="7"/>
      <c r="FY118" s="11"/>
      <c r="FZ118" s="11"/>
      <c r="GA118" s="11"/>
      <c r="GB118" s="11"/>
      <c r="GC118" s="11"/>
      <c r="GD118" s="7"/>
      <c r="GE118" s="7"/>
      <c r="GF118" s="7"/>
      <c r="GG118" s="7"/>
      <c r="GH118" s="7"/>
    </row>
    <row r="119" spans="1:190" ht="26.25" x14ac:dyDescent="0.25">
      <c r="A119" s="4">
        <v>118</v>
      </c>
      <c r="B119" s="5" t="s">
        <v>495</v>
      </c>
      <c r="C119" s="9" t="s">
        <v>496</v>
      </c>
      <c r="D119" s="7">
        <v>16</v>
      </c>
      <c r="E119" s="6" t="s">
        <v>497</v>
      </c>
      <c r="F119" s="11"/>
      <c r="G119" s="11"/>
      <c r="H119" s="11"/>
      <c r="I119" s="11"/>
      <c r="J119" s="11"/>
      <c r="K119" s="11"/>
      <c r="L119" s="11"/>
      <c r="M119" s="11"/>
      <c r="N119" s="11">
        <v>133058</v>
      </c>
      <c r="O119" s="11"/>
      <c r="P119" s="7"/>
      <c r="Q119" s="7"/>
      <c r="R119" s="7"/>
      <c r="S119" s="7"/>
      <c r="T119" s="7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7"/>
      <c r="AP119" s="7"/>
      <c r="AQ119" s="7"/>
      <c r="AR119" s="7"/>
      <c r="AS119" s="7"/>
      <c r="AT119" s="7">
        <v>72901000</v>
      </c>
      <c r="AU119" s="7"/>
      <c r="AV119" s="7"/>
      <c r="AW119" s="7"/>
      <c r="AX119" s="7"/>
      <c r="AY119" s="11"/>
      <c r="AZ119" s="11"/>
      <c r="BA119" s="11"/>
      <c r="BB119" s="11"/>
      <c r="BC119" s="11"/>
      <c r="BD119" s="7"/>
      <c r="BE119" s="7"/>
      <c r="BF119" s="7"/>
      <c r="BG119" s="7"/>
      <c r="BH119" s="7"/>
      <c r="BI119" s="11"/>
      <c r="BJ119" s="11"/>
      <c r="BK119" s="11"/>
      <c r="BL119" s="11"/>
      <c r="BM119" s="11"/>
      <c r="BN119" s="11">
        <v>72901000</v>
      </c>
      <c r="BO119" s="11"/>
      <c r="BP119" s="11"/>
      <c r="BQ119" s="11"/>
      <c r="BR119" s="11"/>
      <c r="BS119" s="11">
        <v>72901000</v>
      </c>
      <c r="BT119" s="11"/>
      <c r="BU119" s="11"/>
      <c r="BV119" s="11"/>
      <c r="BW119" s="11"/>
      <c r="BX119" s="7">
        <v>10000</v>
      </c>
      <c r="BY119" s="7"/>
      <c r="BZ119" s="7"/>
      <c r="CA119" s="7"/>
      <c r="CB119" s="7"/>
      <c r="CC119" s="11"/>
      <c r="CD119" s="11"/>
      <c r="CE119" s="11"/>
      <c r="CF119" s="11"/>
      <c r="CG119" s="11"/>
      <c r="CH119" s="7">
        <v>-161150000</v>
      </c>
      <c r="CI119" s="7"/>
      <c r="CJ119" s="7"/>
      <c r="CK119" s="7"/>
      <c r="CL119" s="7"/>
      <c r="CM119" s="11">
        <v>-161140000</v>
      </c>
      <c r="CN119" s="11"/>
      <c r="CO119" s="11"/>
      <c r="CP119" s="11"/>
      <c r="CQ119" s="11"/>
      <c r="CR119" s="11"/>
      <c r="CS119" s="11"/>
      <c r="CT119" s="11"/>
      <c r="CU119" s="11"/>
      <c r="CV119" s="11"/>
      <c r="CW119" s="11"/>
      <c r="CX119" s="11"/>
      <c r="CY119" s="11"/>
      <c r="CZ119" s="11"/>
      <c r="DA119" s="11"/>
      <c r="DB119" s="11"/>
      <c r="DC119" s="11"/>
      <c r="DD119" s="11"/>
      <c r="DE119" s="11"/>
      <c r="DF119" s="11"/>
      <c r="DG119" s="7">
        <v>143881000</v>
      </c>
      <c r="DH119" s="7"/>
      <c r="DI119" s="7"/>
      <c r="DJ119" s="7"/>
      <c r="DK119" s="7"/>
      <c r="DL119" s="7">
        <v>90160000</v>
      </c>
      <c r="DM119" s="7"/>
      <c r="DN119" s="7"/>
      <c r="DO119" s="7"/>
      <c r="DP119" s="7"/>
      <c r="DQ119" s="11"/>
      <c r="DR119" s="11"/>
      <c r="DS119" s="11"/>
      <c r="DT119" s="11"/>
      <c r="DU119" s="11"/>
      <c r="DV119" s="11"/>
      <c r="DW119" s="11"/>
      <c r="DX119" s="11"/>
      <c r="DY119" s="11"/>
      <c r="DZ119" s="11"/>
      <c r="EA119" s="11">
        <v>234041000</v>
      </c>
      <c r="EB119" s="11"/>
      <c r="EC119" s="11"/>
      <c r="ED119" s="11"/>
      <c r="EE119" s="11"/>
      <c r="EF119" s="7">
        <v>180000</v>
      </c>
      <c r="EG119" s="7"/>
      <c r="EH119" s="7"/>
      <c r="EI119" s="7"/>
      <c r="EJ119" s="7"/>
      <c r="EK119" s="7"/>
      <c r="EL119" s="7"/>
      <c r="EM119" s="7"/>
      <c r="EN119" s="7"/>
      <c r="EO119" s="7"/>
      <c r="EP119" s="7"/>
      <c r="EQ119" s="7"/>
      <c r="ER119" s="7"/>
      <c r="ES119" s="7"/>
      <c r="ET119" s="7"/>
      <c r="EU119" s="7"/>
      <c r="EV119" s="7"/>
      <c r="EW119" s="7"/>
      <c r="EX119" s="7"/>
      <c r="EY119" s="7"/>
      <c r="EZ119" s="11"/>
      <c r="FA119" s="11"/>
      <c r="FB119" s="11"/>
      <c r="FC119" s="11"/>
      <c r="FD119" s="11"/>
      <c r="FE119" s="11"/>
      <c r="FF119" s="11"/>
      <c r="FG119" s="11"/>
      <c r="FH119" s="11"/>
      <c r="FI119" s="11"/>
      <c r="FJ119" s="11"/>
      <c r="FK119" s="11"/>
      <c r="FL119" s="11"/>
      <c r="FM119" s="11"/>
      <c r="FN119" s="11"/>
      <c r="FO119" s="7"/>
      <c r="FP119" s="7"/>
      <c r="FQ119" s="7"/>
      <c r="FR119" s="7"/>
      <c r="FS119" s="7"/>
      <c r="FT119" s="7">
        <v>361000</v>
      </c>
      <c r="FU119" s="7"/>
      <c r="FV119" s="7"/>
      <c r="FW119" s="7"/>
      <c r="FX119" s="7"/>
      <c r="FY119" s="11"/>
      <c r="FZ119" s="11"/>
      <c r="GA119" s="11"/>
      <c r="GB119" s="11"/>
      <c r="GC119" s="11"/>
      <c r="GD119" s="7">
        <v>-181000</v>
      </c>
      <c r="GE119" s="7"/>
      <c r="GF119" s="7"/>
      <c r="GG119" s="7"/>
      <c r="GH119" s="7"/>
    </row>
    <row r="120" spans="1:190" x14ac:dyDescent="0.25">
      <c r="A120" s="4">
        <v>119</v>
      </c>
      <c r="B120" s="5" t="s">
        <v>498</v>
      </c>
      <c r="C120" s="9" t="s">
        <v>499</v>
      </c>
      <c r="D120" s="7">
        <v>13</v>
      </c>
      <c r="E120" s="6" t="s">
        <v>500</v>
      </c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7"/>
      <c r="Q120" s="7"/>
      <c r="R120" s="7"/>
      <c r="S120" s="7"/>
      <c r="T120" s="7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11"/>
      <c r="AZ120" s="11"/>
      <c r="BA120" s="11"/>
      <c r="BB120" s="11"/>
      <c r="BC120" s="11"/>
      <c r="BD120" s="7"/>
      <c r="BE120" s="7"/>
      <c r="BF120" s="7"/>
      <c r="BG120" s="7"/>
      <c r="BH120" s="7"/>
      <c r="BI120" s="11"/>
      <c r="BJ120" s="11"/>
      <c r="BK120" s="11"/>
      <c r="BL120" s="11"/>
      <c r="BM120" s="11"/>
      <c r="BN120" s="11"/>
      <c r="BO120" s="11"/>
      <c r="BP120" s="11"/>
      <c r="BQ120" s="11"/>
      <c r="BR120" s="11"/>
      <c r="BS120" s="11"/>
      <c r="BT120" s="11"/>
      <c r="BU120" s="11"/>
      <c r="BV120" s="11"/>
      <c r="BW120" s="11"/>
      <c r="BX120" s="7"/>
      <c r="BY120" s="7"/>
      <c r="BZ120" s="7"/>
      <c r="CA120" s="7"/>
      <c r="CB120" s="7"/>
      <c r="CC120" s="11"/>
      <c r="CD120" s="11"/>
      <c r="CE120" s="11"/>
      <c r="CF120" s="11"/>
      <c r="CG120" s="11"/>
      <c r="CH120" s="7"/>
      <c r="CI120" s="7"/>
      <c r="CJ120" s="7"/>
      <c r="CK120" s="7"/>
      <c r="CL120" s="7"/>
      <c r="CM120" s="11"/>
      <c r="CN120" s="11"/>
      <c r="CO120" s="11"/>
      <c r="CP120" s="11"/>
      <c r="CQ120" s="11"/>
      <c r="CR120" s="11"/>
      <c r="CS120" s="11"/>
      <c r="CT120" s="11"/>
      <c r="CU120" s="11"/>
      <c r="CV120" s="11"/>
      <c r="CW120" s="11"/>
      <c r="CX120" s="11"/>
      <c r="CY120" s="11"/>
      <c r="CZ120" s="11"/>
      <c r="DA120" s="11"/>
      <c r="DB120" s="11"/>
      <c r="DC120" s="11"/>
      <c r="DD120" s="11"/>
      <c r="DE120" s="11"/>
      <c r="DF120" s="11"/>
      <c r="DG120" s="7"/>
      <c r="DH120" s="7"/>
      <c r="DI120" s="7"/>
      <c r="DJ120" s="7"/>
      <c r="DK120" s="7"/>
      <c r="DL120" s="7"/>
      <c r="DM120" s="7"/>
      <c r="DN120" s="7"/>
      <c r="DO120" s="7"/>
      <c r="DP120" s="7"/>
      <c r="DQ120" s="11"/>
      <c r="DR120" s="11"/>
      <c r="DS120" s="11"/>
      <c r="DT120" s="11"/>
      <c r="DU120" s="11"/>
      <c r="DV120" s="11"/>
      <c r="DW120" s="11"/>
      <c r="DX120" s="11"/>
      <c r="DY120" s="11"/>
      <c r="DZ120" s="11"/>
      <c r="EA120" s="11"/>
      <c r="EB120" s="11"/>
      <c r="EC120" s="11"/>
      <c r="ED120" s="11"/>
      <c r="EE120" s="11"/>
      <c r="EF120" s="7"/>
      <c r="EG120" s="7"/>
      <c r="EH120" s="7"/>
      <c r="EI120" s="7"/>
      <c r="EJ120" s="7"/>
      <c r="EK120" s="7"/>
      <c r="EL120" s="7"/>
      <c r="EM120" s="7"/>
      <c r="EN120" s="7"/>
      <c r="EO120" s="7"/>
      <c r="EP120" s="7"/>
      <c r="EQ120" s="7"/>
      <c r="ER120" s="7"/>
      <c r="ES120" s="7"/>
      <c r="ET120" s="7"/>
      <c r="EU120" s="7"/>
      <c r="EV120" s="7"/>
      <c r="EW120" s="7"/>
      <c r="EX120" s="7"/>
      <c r="EY120" s="7"/>
      <c r="EZ120" s="11"/>
      <c r="FA120" s="11"/>
      <c r="FB120" s="11"/>
      <c r="FC120" s="11"/>
      <c r="FD120" s="11"/>
      <c r="FE120" s="11"/>
      <c r="FF120" s="11"/>
      <c r="FG120" s="11"/>
      <c r="FH120" s="11"/>
      <c r="FI120" s="11"/>
      <c r="FJ120" s="11"/>
      <c r="FK120" s="11"/>
      <c r="FL120" s="11"/>
      <c r="FM120" s="11"/>
      <c r="FN120" s="11"/>
      <c r="FO120" s="7"/>
      <c r="FP120" s="7"/>
      <c r="FQ120" s="7"/>
      <c r="FR120" s="7"/>
      <c r="FS120" s="7"/>
      <c r="FT120" s="7"/>
      <c r="FU120" s="7"/>
      <c r="FV120" s="7"/>
      <c r="FW120" s="7"/>
      <c r="FX120" s="7"/>
      <c r="FY120" s="11"/>
      <c r="FZ120" s="11"/>
      <c r="GA120" s="11"/>
      <c r="GB120" s="11"/>
      <c r="GC120" s="11"/>
      <c r="GD120" s="7"/>
      <c r="GE120" s="7"/>
      <c r="GF120" s="7"/>
      <c r="GG120" s="7"/>
      <c r="GH120" s="7"/>
    </row>
    <row r="121" spans="1:190" x14ac:dyDescent="0.25">
      <c r="A121" s="4">
        <v>120</v>
      </c>
      <c r="B121" s="5" t="s">
        <v>501</v>
      </c>
      <c r="C121" s="9" t="s">
        <v>502</v>
      </c>
      <c r="D121" s="7">
        <v>25</v>
      </c>
      <c r="E121" s="6" t="s">
        <v>503</v>
      </c>
      <c r="F121" s="11"/>
      <c r="G121" s="11"/>
      <c r="H121" s="11"/>
      <c r="I121" s="11"/>
      <c r="J121" s="11"/>
      <c r="K121" s="11">
        <v>6207856</v>
      </c>
      <c r="L121" s="11">
        <v>153545</v>
      </c>
      <c r="M121" s="11"/>
      <c r="N121" s="11"/>
      <c r="O121" s="11"/>
      <c r="P121" s="7">
        <v>3280000</v>
      </c>
      <c r="Q121" s="7">
        <v>1890000</v>
      </c>
      <c r="R121" s="7"/>
      <c r="S121" s="7"/>
      <c r="T121" s="7"/>
      <c r="U121" s="11"/>
      <c r="V121" s="11"/>
      <c r="W121" s="11"/>
      <c r="X121" s="11"/>
      <c r="Y121" s="11"/>
      <c r="Z121" s="11">
        <v>1000</v>
      </c>
      <c r="AA121" s="11"/>
      <c r="AB121" s="11"/>
      <c r="AC121" s="11"/>
      <c r="AD121" s="11"/>
      <c r="AE121" s="11"/>
      <c r="AF121" s="11"/>
      <c r="AG121" s="11"/>
      <c r="AH121" s="11"/>
      <c r="AI121" s="11"/>
      <c r="AJ121" s="11">
        <v>3281000</v>
      </c>
      <c r="AK121" s="11">
        <v>1890000</v>
      </c>
      <c r="AL121" s="11"/>
      <c r="AM121" s="11"/>
      <c r="AN121" s="11"/>
      <c r="AO121" s="7"/>
      <c r="AP121" s="7"/>
      <c r="AQ121" s="7"/>
      <c r="AR121" s="7"/>
      <c r="AS121" s="7"/>
      <c r="AT121" s="7">
        <v>255446000</v>
      </c>
      <c r="AU121" s="7">
        <v>198875000</v>
      </c>
      <c r="AV121" s="7">
        <v>25472000</v>
      </c>
      <c r="AW121" s="7">
        <v>25472000</v>
      </c>
      <c r="AX121" s="7">
        <v>25472000</v>
      </c>
      <c r="AY121" s="11">
        <v>94528000</v>
      </c>
      <c r="AZ121" s="11"/>
      <c r="BA121" s="11"/>
      <c r="BB121" s="11"/>
      <c r="BC121" s="11"/>
      <c r="BD121" s="7"/>
      <c r="BE121" s="7">
        <v>30274000</v>
      </c>
      <c r="BF121" s="7">
        <v>20272000</v>
      </c>
      <c r="BG121" s="7">
        <v>21340000</v>
      </c>
      <c r="BH121" s="7">
        <v>21899000</v>
      </c>
      <c r="BI121" s="11"/>
      <c r="BJ121" s="11"/>
      <c r="BK121" s="11"/>
      <c r="BL121" s="11"/>
      <c r="BM121" s="11"/>
      <c r="BN121" s="11">
        <v>349974000</v>
      </c>
      <c r="BO121" s="11">
        <v>229149000</v>
      </c>
      <c r="BP121" s="11">
        <v>45744000</v>
      </c>
      <c r="BQ121" s="11">
        <v>46812000</v>
      </c>
      <c r="BR121" s="11">
        <v>47371000</v>
      </c>
      <c r="BS121" s="11">
        <v>353255000</v>
      </c>
      <c r="BT121" s="11">
        <v>231039000</v>
      </c>
      <c r="BU121" s="11">
        <v>45744000</v>
      </c>
      <c r="BV121" s="11">
        <v>46812000</v>
      </c>
      <c r="BW121" s="11">
        <v>47371000</v>
      </c>
      <c r="BX121" s="7">
        <v>75000000</v>
      </c>
      <c r="BY121" s="7">
        <v>75000000</v>
      </c>
      <c r="BZ121" s="7">
        <v>75000000</v>
      </c>
      <c r="CA121" s="7">
        <v>75000000</v>
      </c>
      <c r="CB121" s="7">
        <v>75000000</v>
      </c>
      <c r="CC121" s="11"/>
      <c r="CD121" s="11"/>
      <c r="CE121" s="11"/>
      <c r="CF121" s="11"/>
      <c r="CG121" s="11"/>
      <c r="CH121" s="7">
        <v>-580880000</v>
      </c>
      <c r="CI121" s="7">
        <v>-581949000</v>
      </c>
      <c r="CJ121" s="7">
        <v>-745739000</v>
      </c>
      <c r="CK121" s="7">
        <v>-746302000</v>
      </c>
      <c r="CL121" s="7">
        <v>-751292000</v>
      </c>
      <c r="CM121" s="11">
        <v>-502130000</v>
      </c>
      <c r="CN121" s="11">
        <v>-503199000</v>
      </c>
      <c r="CO121" s="11">
        <v>-666989000</v>
      </c>
      <c r="CP121" s="11">
        <v>-667552000</v>
      </c>
      <c r="CQ121" s="11">
        <v>-672542000</v>
      </c>
      <c r="CR121" s="11"/>
      <c r="CS121" s="11"/>
      <c r="CT121" s="11"/>
      <c r="CU121" s="11"/>
      <c r="CV121" s="11"/>
      <c r="CW121" s="11"/>
      <c r="CX121" s="11"/>
      <c r="CY121" s="11"/>
      <c r="CZ121" s="11"/>
      <c r="DA121" s="11"/>
      <c r="DB121" s="11"/>
      <c r="DC121" s="11"/>
      <c r="DD121" s="11"/>
      <c r="DE121" s="11"/>
      <c r="DF121" s="11"/>
      <c r="DG121" s="7"/>
      <c r="DH121" s="7"/>
      <c r="DI121" s="7"/>
      <c r="DJ121" s="7"/>
      <c r="DK121" s="7"/>
      <c r="DL121" s="7">
        <v>855385000</v>
      </c>
      <c r="DM121" s="7">
        <v>734238000</v>
      </c>
      <c r="DN121" s="7">
        <v>712733000</v>
      </c>
      <c r="DO121" s="7">
        <v>714364000</v>
      </c>
      <c r="DP121" s="7">
        <v>719913000</v>
      </c>
      <c r="DQ121" s="11"/>
      <c r="DR121" s="11"/>
      <c r="DS121" s="11"/>
      <c r="DT121" s="11"/>
      <c r="DU121" s="11"/>
      <c r="DV121" s="11"/>
      <c r="DW121" s="11"/>
      <c r="DX121" s="11"/>
      <c r="DY121" s="11"/>
      <c r="DZ121" s="11"/>
      <c r="EA121" s="11">
        <v>855385000</v>
      </c>
      <c r="EB121" s="11">
        <v>734238000</v>
      </c>
      <c r="EC121" s="11">
        <v>712733000</v>
      </c>
      <c r="ED121" s="11">
        <v>714364000</v>
      </c>
      <c r="EE121" s="11">
        <v>719913000</v>
      </c>
      <c r="EF121" s="7">
        <v>22111000</v>
      </c>
      <c r="EG121" s="7">
        <v>8686000</v>
      </c>
      <c r="EH121" s="7">
        <v>6651000</v>
      </c>
      <c r="EI121" s="7">
        <v>153000</v>
      </c>
      <c r="EJ121" s="7"/>
      <c r="EK121" s="7">
        <v>4298000</v>
      </c>
      <c r="EL121" s="7"/>
      <c r="EM121" s="7"/>
      <c r="EN121" s="7"/>
      <c r="EO121" s="7"/>
      <c r="EP121" s="7"/>
      <c r="EQ121" s="7"/>
      <c r="ER121" s="7"/>
      <c r="ES121" s="7"/>
      <c r="ET121" s="7"/>
      <c r="EU121" s="7">
        <v>21734000</v>
      </c>
      <c r="EV121" s="7">
        <v>11753000</v>
      </c>
      <c r="EW121" s="7">
        <v>7152000</v>
      </c>
      <c r="EX121" s="7">
        <v>1266000</v>
      </c>
      <c r="EY121" s="7">
        <v>10373000</v>
      </c>
      <c r="EZ121" s="11"/>
      <c r="FA121" s="11"/>
      <c r="FB121" s="11"/>
      <c r="FC121" s="11"/>
      <c r="FD121" s="11"/>
      <c r="FE121" s="11">
        <v>826000</v>
      </c>
      <c r="FF121" s="11"/>
      <c r="FG121" s="11"/>
      <c r="FH121" s="11"/>
      <c r="FI121" s="11"/>
      <c r="FJ121" s="11"/>
      <c r="FK121" s="11"/>
      <c r="FL121" s="11"/>
      <c r="FM121" s="11"/>
      <c r="FN121" s="11"/>
      <c r="FO121" s="7">
        <v>269000</v>
      </c>
      <c r="FP121" s="7">
        <v>3458000</v>
      </c>
      <c r="FQ121" s="7">
        <v>580000</v>
      </c>
      <c r="FR121" s="7">
        <v>740000</v>
      </c>
      <c r="FS121" s="7">
        <v>5986000</v>
      </c>
      <c r="FT121" s="7">
        <v>2342000</v>
      </c>
      <c r="FU121" s="7">
        <v>1460000</v>
      </c>
      <c r="FV121" s="7">
        <v>371000</v>
      </c>
      <c r="FW121" s="7">
        <v>190000</v>
      </c>
      <c r="FX121" s="7">
        <v>603000</v>
      </c>
      <c r="FY121" s="11"/>
      <c r="FZ121" s="11"/>
      <c r="GA121" s="11"/>
      <c r="GB121" s="11"/>
      <c r="GC121" s="11"/>
      <c r="GD121" s="7">
        <v>-5168000</v>
      </c>
      <c r="GE121" s="7">
        <v>-1069000</v>
      </c>
      <c r="GF121" s="7">
        <v>-292000</v>
      </c>
      <c r="GG121" s="7">
        <v>-563000</v>
      </c>
      <c r="GH121" s="7">
        <v>-4990000</v>
      </c>
    </row>
    <row r="122" spans="1:190" x14ac:dyDescent="0.25">
      <c r="A122" s="4">
        <v>121</v>
      </c>
      <c r="B122" s="5" t="s">
        <v>504</v>
      </c>
      <c r="C122" s="9" t="s">
        <v>505</v>
      </c>
      <c r="D122" s="7">
        <v>20</v>
      </c>
      <c r="E122" s="6" t="s">
        <v>475</v>
      </c>
      <c r="F122" s="11"/>
      <c r="G122" s="11">
        <v>379801</v>
      </c>
      <c r="H122" s="11">
        <v>531200</v>
      </c>
      <c r="I122" s="11"/>
      <c r="J122" s="11"/>
      <c r="K122" s="11">
        <v>644122</v>
      </c>
      <c r="L122" s="11">
        <v>507543</v>
      </c>
      <c r="M122" s="11">
        <v>507543</v>
      </c>
      <c r="N122" s="11"/>
      <c r="O122" s="11"/>
      <c r="P122" s="7">
        <v>850000</v>
      </c>
      <c r="Q122" s="7">
        <v>435000</v>
      </c>
      <c r="R122" s="7"/>
      <c r="S122" s="7"/>
      <c r="T122" s="7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>
        <v>12847000</v>
      </c>
      <c r="AK122" s="11">
        <v>11909000</v>
      </c>
      <c r="AL122" s="11">
        <v>11474000</v>
      </c>
      <c r="AM122" s="11">
        <v>11474000</v>
      </c>
      <c r="AN122" s="11">
        <v>11474000</v>
      </c>
      <c r="AO122" s="7"/>
      <c r="AP122" s="7"/>
      <c r="AQ122" s="7"/>
      <c r="AR122" s="7"/>
      <c r="AS122" s="7"/>
      <c r="AT122" s="7">
        <v>21565000</v>
      </c>
      <c r="AU122" s="7">
        <v>9132000</v>
      </c>
      <c r="AV122" s="7">
        <v>552000</v>
      </c>
      <c r="AW122" s="7">
        <v>484000</v>
      </c>
      <c r="AX122" s="7">
        <v>483000</v>
      </c>
      <c r="AY122" s="11"/>
      <c r="AZ122" s="11"/>
      <c r="BA122" s="11">
        <v>1550000</v>
      </c>
      <c r="BB122" s="11">
        <v>1350000</v>
      </c>
      <c r="BC122" s="11">
        <v>1100000</v>
      </c>
      <c r="BD122" s="7">
        <v>48000</v>
      </c>
      <c r="BE122" s="7">
        <v>95000</v>
      </c>
      <c r="BF122" s="7">
        <v>17000</v>
      </c>
      <c r="BG122" s="7">
        <v>43000</v>
      </c>
      <c r="BH122" s="7">
        <v>43000</v>
      </c>
      <c r="BI122" s="11">
        <v>3291000</v>
      </c>
      <c r="BJ122" s="11">
        <v>19000</v>
      </c>
      <c r="BK122" s="11"/>
      <c r="BL122" s="11"/>
      <c r="BM122" s="11"/>
      <c r="BN122" s="11">
        <v>24904000</v>
      </c>
      <c r="BO122" s="11">
        <v>9246000</v>
      </c>
      <c r="BP122" s="11">
        <v>2119000</v>
      </c>
      <c r="BQ122" s="11">
        <v>1877000</v>
      </c>
      <c r="BR122" s="11">
        <v>1626000</v>
      </c>
      <c r="BS122" s="11">
        <v>37751000</v>
      </c>
      <c r="BT122" s="11">
        <v>21155000</v>
      </c>
      <c r="BU122" s="11">
        <v>13593000</v>
      </c>
      <c r="BV122" s="11">
        <v>13351000</v>
      </c>
      <c r="BW122" s="11">
        <v>13100000</v>
      </c>
      <c r="BX122" s="7">
        <v>48547000</v>
      </c>
      <c r="BY122" s="7">
        <v>48547000</v>
      </c>
      <c r="BZ122" s="7">
        <v>48547000</v>
      </c>
      <c r="CA122" s="7">
        <v>48547000</v>
      </c>
      <c r="CB122" s="7">
        <v>48547000</v>
      </c>
      <c r="CC122" s="11"/>
      <c r="CD122" s="11"/>
      <c r="CE122" s="11"/>
      <c r="CF122" s="11"/>
      <c r="CG122" s="11"/>
      <c r="CH122" s="7">
        <v>-125908000</v>
      </c>
      <c r="CI122" s="7">
        <v>-125109000</v>
      </c>
      <c r="CJ122" s="7">
        <v>-125779000</v>
      </c>
      <c r="CK122" s="7">
        <v>-126020000</v>
      </c>
      <c r="CL122" s="7">
        <v>-126369000</v>
      </c>
      <c r="CM122" s="11">
        <v>-77361000</v>
      </c>
      <c r="CN122" s="11">
        <v>-76562000</v>
      </c>
      <c r="CO122" s="11">
        <v>-77232000</v>
      </c>
      <c r="CP122" s="11">
        <v>-77473000</v>
      </c>
      <c r="CQ122" s="11">
        <v>-77822000</v>
      </c>
      <c r="CR122" s="11"/>
      <c r="CS122" s="11"/>
      <c r="CT122" s="11"/>
      <c r="CU122" s="11"/>
      <c r="CV122" s="11"/>
      <c r="CW122" s="11"/>
      <c r="CX122" s="11"/>
      <c r="CY122" s="11"/>
      <c r="CZ122" s="11"/>
      <c r="DA122" s="11"/>
      <c r="DB122" s="11"/>
      <c r="DC122" s="11"/>
      <c r="DD122" s="11"/>
      <c r="DE122" s="11"/>
      <c r="DF122" s="11"/>
      <c r="DG122" s="7"/>
      <c r="DH122" s="7"/>
      <c r="DI122" s="7"/>
      <c r="DJ122" s="7"/>
      <c r="DK122" s="7"/>
      <c r="DL122" s="7">
        <v>115112000</v>
      </c>
      <c r="DM122" s="7">
        <v>97717000</v>
      </c>
      <c r="DN122" s="7">
        <v>90825000</v>
      </c>
      <c r="DO122" s="7">
        <v>90824000</v>
      </c>
      <c r="DP122" s="7">
        <v>90922000</v>
      </c>
      <c r="DQ122" s="11"/>
      <c r="DR122" s="11"/>
      <c r="DS122" s="11"/>
      <c r="DT122" s="11"/>
      <c r="DU122" s="11"/>
      <c r="DV122" s="11"/>
      <c r="DW122" s="11"/>
      <c r="DX122" s="11"/>
      <c r="DY122" s="11"/>
      <c r="DZ122" s="11"/>
      <c r="EA122" s="11">
        <v>115112000</v>
      </c>
      <c r="EB122" s="11">
        <v>97717000</v>
      </c>
      <c r="EC122" s="11">
        <v>90825000</v>
      </c>
      <c r="ED122" s="11">
        <v>90824000</v>
      </c>
      <c r="EE122" s="11">
        <v>90922000</v>
      </c>
      <c r="EF122" s="7">
        <v>486019000</v>
      </c>
      <c r="EG122" s="7">
        <v>690604000</v>
      </c>
      <c r="EH122" s="7">
        <v>3263000</v>
      </c>
      <c r="EI122" s="7"/>
      <c r="EJ122" s="7"/>
      <c r="EK122" s="7">
        <v>484848000</v>
      </c>
      <c r="EL122" s="7">
        <v>689865000</v>
      </c>
      <c r="EM122" s="7">
        <v>3261000</v>
      </c>
      <c r="EN122" s="7"/>
      <c r="EO122" s="7"/>
      <c r="EP122" s="7">
        <v>2202000</v>
      </c>
      <c r="EQ122" s="7"/>
      <c r="ER122" s="7"/>
      <c r="ES122" s="7"/>
      <c r="ET122" s="7"/>
      <c r="EU122" s="7">
        <v>3637000</v>
      </c>
      <c r="EV122" s="7">
        <v>558000</v>
      </c>
      <c r="EW122" s="7">
        <v>316000</v>
      </c>
      <c r="EX122" s="7">
        <v>215000</v>
      </c>
      <c r="EY122" s="7">
        <v>292000</v>
      </c>
      <c r="EZ122" s="11"/>
      <c r="FA122" s="11"/>
      <c r="FB122" s="11"/>
      <c r="FC122" s="11"/>
      <c r="FD122" s="11"/>
      <c r="FE122" s="11"/>
      <c r="FF122" s="11"/>
      <c r="FG122" s="11"/>
      <c r="FH122" s="11"/>
      <c r="FI122" s="11">
        <v>4000</v>
      </c>
      <c r="FJ122" s="11"/>
      <c r="FK122" s="11"/>
      <c r="FL122" s="11"/>
      <c r="FM122" s="11"/>
      <c r="FN122" s="11"/>
      <c r="FO122" s="7">
        <v>244000</v>
      </c>
      <c r="FP122" s="7">
        <v>5519000</v>
      </c>
      <c r="FQ122" s="7">
        <v>130000</v>
      </c>
      <c r="FR122" s="7">
        <v>10000</v>
      </c>
      <c r="FS122" s="7"/>
      <c r="FT122" s="7">
        <v>5706000</v>
      </c>
      <c r="FU122" s="7">
        <v>3855000</v>
      </c>
      <c r="FV122" s="7">
        <v>486000</v>
      </c>
      <c r="FW122" s="7">
        <v>36000</v>
      </c>
      <c r="FX122" s="7">
        <v>61000</v>
      </c>
      <c r="FY122" s="11">
        <v>863000</v>
      </c>
      <c r="FZ122" s="11">
        <v>-1046000</v>
      </c>
      <c r="GA122" s="11"/>
      <c r="GB122" s="11"/>
      <c r="GC122" s="11"/>
      <c r="GD122" s="7">
        <v>-9267000</v>
      </c>
      <c r="GE122" s="7">
        <v>799000</v>
      </c>
      <c r="GF122" s="7">
        <v>-670000</v>
      </c>
      <c r="GG122" s="7">
        <v>-241000</v>
      </c>
      <c r="GH122" s="7">
        <v>-349000</v>
      </c>
    </row>
    <row r="123" spans="1:190" x14ac:dyDescent="0.25">
      <c r="A123" s="4">
        <v>122</v>
      </c>
      <c r="B123" s="5" t="s">
        <v>506</v>
      </c>
      <c r="C123" s="9" t="s">
        <v>507</v>
      </c>
      <c r="D123" s="7">
        <v>8</v>
      </c>
      <c r="E123" s="6" t="s">
        <v>508</v>
      </c>
      <c r="F123" s="11">
        <v>248938</v>
      </c>
      <c r="G123" s="11"/>
      <c r="H123" s="11"/>
      <c r="I123" s="11"/>
      <c r="J123" s="11"/>
      <c r="K123" s="11">
        <v>3509442</v>
      </c>
      <c r="L123" s="11">
        <v>700212</v>
      </c>
      <c r="M123" s="11"/>
      <c r="N123" s="11"/>
      <c r="O123" s="11"/>
      <c r="P123" s="7">
        <v>12749000</v>
      </c>
      <c r="Q123" s="7">
        <v>11923000</v>
      </c>
      <c r="R123" s="7"/>
      <c r="S123" s="7"/>
      <c r="T123" s="7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>
        <v>12749000</v>
      </c>
      <c r="AK123" s="11">
        <v>11923000</v>
      </c>
      <c r="AL123" s="11"/>
      <c r="AM123" s="11"/>
      <c r="AN123" s="11"/>
      <c r="AO123" s="7">
        <v>14761000</v>
      </c>
      <c r="AP123" s="7">
        <v>13417000</v>
      </c>
      <c r="AQ123" s="7"/>
      <c r="AR123" s="7"/>
      <c r="AS123" s="7"/>
      <c r="AT123" s="7">
        <v>23114000</v>
      </c>
      <c r="AU123" s="7">
        <v>6294000</v>
      </c>
      <c r="AV123" s="7"/>
      <c r="AW123" s="7"/>
      <c r="AX123" s="7"/>
      <c r="AY123" s="11"/>
      <c r="AZ123" s="11"/>
      <c r="BA123" s="11"/>
      <c r="BB123" s="11"/>
      <c r="BC123" s="11"/>
      <c r="BD123" s="7">
        <v>30000</v>
      </c>
      <c r="BE123" s="7"/>
      <c r="BF123" s="7">
        <v>10000</v>
      </c>
      <c r="BG123" s="7">
        <v>10000</v>
      </c>
      <c r="BH123" s="7"/>
      <c r="BI123" s="11"/>
      <c r="BJ123" s="11"/>
      <c r="BK123" s="11"/>
      <c r="BL123" s="11"/>
      <c r="BM123" s="11"/>
      <c r="BN123" s="11">
        <v>37905000</v>
      </c>
      <c r="BO123" s="11">
        <v>19711000</v>
      </c>
      <c r="BP123" s="11">
        <v>10000</v>
      </c>
      <c r="BQ123" s="11">
        <v>10000</v>
      </c>
      <c r="BR123" s="11"/>
      <c r="BS123" s="11">
        <v>50654000</v>
      </c>
      <c r="BT123" s="11">
        <v>31634000</v>
      </c>
      <c r="BU123" s="11">
        <v>10000</v>
      </c>
      <c r="BV123" s="11">
        <v>10000</v>
      </c>
      <c r="BW123" s="11"/>
      <c r="BX123" s="7"/>
      <c r="BY123" s="7"/>
      <c r="BZ123" s="7">
        <v>10000</v>
      </c>
      <c r="CA123" s="7">
        <v>10000</v>
      </c>
      <c r="CB123" s="7"/>
      <c r="CC123" s="11"/>
      <c r="CD123" s="11"/>
      <c r="CE123" s="11"/>
      <c r="CF123" s="11"/>
      <c r="CG123" s="11"/>
      <c r="CH123" s="7"/>
      <c r="CI123" s="7"/>
      <c r="CJ123" s="7"/>
      <c r="CK123" s="7"/>
      <c r="CL123" s="7"/>
      <c r="CM123" s="11">
        <v>14080000</v>
      </c>
      <c r="CN123" s="11">
        <v>8976000</v>
      </c>
      <c r="CO123" s="11">
        <v>10000</v>
      </c>
      <c r="CP123" s="11">
        <v>10000</v>
      </c>
      <c r="CQ123" s="11"/>
      <c r="CR123" s="11"/>
      <c r="CS123" s="11"/>
      <c r="CT123" s="11"/>
      <c r="CU123" s="11"/>
      <c r="CV123" s="11"/>
      <c r="CW123" s="11">
        <v>545000</v>
      </c>
      <c r="CX123" s="11">
        <v>545000</v>
      </c>
      <c r="CY123" s="11"/>
      <c r="CZ123" s="11"/>
      <c r="DA123" s="11"/>
      <c r="DB123" s="11">
        <v>545000</v>
      </c>
      <c r="DC123" s="11">
        <v>545000</v>
      </c>
      <c r="DD123" s="11"/>
      <c r="DE123" s="11"/>
      <c r="DF123" s="11"/>
      <c r="DG123" s="7">
        <v>9254000</v>
      </c>
      <c r="DH123" s="7">
        <v>8762000</v>
      </c>
      <c r="DI123" s="7"/>
      <c r="DJ123" s="7"/>
      <c r="DK123" s="7"/>
      <c r="DL123" s="7">
        <v>26775000</v>
      </c>
      <c r="DM123" s="7">
        <v>13351000</v>
      </c>
      <c r="DN123" s="7"/>
      <c r="DO123" s="7"/>
      <c r="DP123" s="7"/>
      <c r="DQ123" s="11"/>
      <c r="DR123" s="11"/>
      <c r="DS123" s="11"/>
      <c r="DT123" s="11"/>
      <c r="DU123" s="11"/>
      <c r="DV123" s="11"/>
      <c r="DW123" s="11"/>
      <c r="DX123" s="11"/>
      <c r="DY123" s="11"/>
      <c r="DZ123" s="11"/>
      <c r="EA123" s="11">
        <v>36029000</v>
      </c>
      <c r="EB123" s="11">
        <v>22113000</v>
      </c>
      <c r="EC123" s="11"/>
      <c r="ED123" s="11"/>
      <c r="EE123" s="11"/>
      <c r="EF123" s="7">
        <v>27648000</v>
      </c>
      <c r="EG123" s="7">
        <v>2507000</v>
      </c>
      <c r="EH123" s="7"/>
      <c r="EI123" s="7"/>
      <c r="EJ123" s="7"/>
      <c r="EK123" s="7">
        <v>30313000</v>
      </c>
      <c r="EL123" s="7">
        <v>7401000</v>
      </c>
      <c r="EM123" s="7"/>
      <c r="EN123" s="7"/>
      <c r="EO123" s="7"/>
      <c r="EP123" s="7"/>
      <c r="EQ123" s="7"/>
      <c r="ER123" s="7"/>
      <c r="ES123" s="7"/>
      <c r="ET123" s="7"/>
      <c r="EU123" s="7"/>
      <c r="EV123" s="7"/>
      <c r="EW123" s="7"/>
      <c r="EX123" s="7"/>
      <c r="EY123" s="7"/>
      <c r="EZ123" s="11"/>
      <c r="FA123" s="11"/>
      <c r="FB123" s="11"/>
      <c r="FC123" s="11"/>
      <c r="FD123" s="11"/>
      <c r="FE123" s="11"/>
      <c r="FF123" s="11"/>
      <c r="FG123" s="11"/>
      <c r="FH123" s="11"/>
      <c r="FI123" s="11"/>
      <c r="FJ123" s="11">
        <v>1251000</v>
      </c>
      <c r="FK123" s="11">
        <v>210000</v>
      </c>
      <c r="FL123" s="11"/>
      <c r="FM123" s="11"/>
      <c r="FN123" s="11"/>
      <c r="FO123" s="7">
        <v>9311000</v>
      </c>
      <c r="FP123" s="7"/>
      <c r="FQ123" s="7"/>
      <c r="FR123" s="7"/>
      <c r="FS123" s="7"/>
      <c r="FT123" s="7">
        <v>4777000</v>
      </c>
      <c r="FU123" s="7"/>
      <c r="FV123" s="7"/>
      <c r="FW123" s="7"/>
      <c r="FX123" s="7"/>
      <c r="FY123" s="11">
        <v>164000</v>
      </c>
      <c r="FZ123" s="11"/>
      <c r="GA123" s="11"/>
      <c r="GB123" s="11"/>
      <c r="GC123" s="11"/>
      <c r="GD123" s="7">
        <v>454000</v>
      </c>
      <c r="GE123" s="7">
        <v>-5104000</v>
      </c>
      <c r="GF123" s="7"/>
      <c r="GG123" s="7"/>
      <c r="GH123" s="7"/>
    </row>
    <row r="124" spans="1:190" x14ac:dyDescent="0.25">
      <c r="A124" s="4">
        <v>123</v>
      </c>
      <c r="B124" s="5" t="s">
        <v>509</v>
      </c>
      <c r="C124" s="9" t="s">
        <v>510</v>
      </c>
      <c r="D124" s="7">
        <v>11</v>
      </c>
      <c r="E124" s="6" t="s">
        <v>511</v>
      </c>
      <c r="F124" s="11">
        <v>110526</v>
      </c>
      <c r="G124" s="11">
        <v>38438</v>
      </c>
      <c r="H124" s="11"/>
      <c r="I124" s="11"/>
      <c r="J124" s="11"/>
      <c r="K124" s="11">
        <v>601633</v>
      </c>
      <c r="L124" s="11">
        <v>554067</v>
      </c>
      <c r="M124" s="11">
        <v>469519</v>
      </c>
      <c r="N124" s="11"/>
      <c r="O124" s="11"/>
      <c r="P124" s="7">
        <v>15772000</v>
      </c>
      <c r="Q124" s="7">
        <v>10916000</v>
      </c>
      <c r="R124" s="7"/>
      <c r="S124" s="7"/>
      <c r="T124" s="7"/>
      <c r="U124" s="11"/>
      <c r="V124" s="11"/>
      <c r="W124" s="11"/>
      <c r="X124" s="11"/>
      <c r="Y124" s="11"/>
      <c r="Z124" s="11"/>
      <c r="AA124" s="11"/>
      <c r="AB124" s="11"/>
      <c r="AC124" s="11"/>
      <c r="AD124" s="11">
        <v>1500000</v>
      </c>
      <c r="AE124" s="11"/>
      <c r="AF124" s="11"/>
      <c r="AG124" s="11"/>
      <c r="AH124" s="11"/>
      <c r="AI124" s="11"/>
      <c r="AJ124" s="11">
        <v>15772000</v>
      </c>
      <c r="AK124" s="11">
        <v>10916000</v>
      </c>
      <c r="AL124" s="11"/>
      <c r="AM124" s="11"/>
      <c r="AN124" s="11">
        <v>1500000</v>
      </c>
      <c r="AO124" s="7">
        <v>39496000</v>
      </c>
      <c r="AP124" s="7">
        <v>21614000</v>
      </c>
      <c r="AQ124" s="7">
        <v>22239000</v>
      </c>
      <c r="AR124" s="7">
        <v>22239000</v>
      </c>
      <c r="AS124" s="7"/>
      <c r="AT124" s="7">
        <v>14383000</v>
      </c>
      <c r="AU124" s="7">
        <v>6871000</v>
      </c>
      <c r="AV124" s="7">
        <v>4814000</v>
      </c>
      <c r="AW124" s="7">
        <v>4814000</v>
      </c>
      <c r="AX124" s="7"/>
      <c r="AY124" s="11"/>
      <c r="AZ124" s="11"/>
      <c r="BA124" s="11"/>
      <c r="BB124" s="11"/>
      <c r="BC124" s="11"/>
      <c r="BD124" s="7">
        <v>196000</v>
      </c>
      <c r="BE124" s="7"/>
      <c r="BF124" s="7"/>
      <c r="BG124" s="7"/>
      <c r="BH124" s="7"/>
      <c r="BI124" s="11"/>
      <c r="BJ124" s="11"/>
      <c r="BK124" s="11"/>
      <c r="BL124" s="11"/>
      <c r="BM124" s="11"/>
      <c r="BN124" s="11">
        <v>54075000</v>
      </c>
      <c r="BO124" s="11">
        <v>28485000</v>
      </c>
      <c r="BP124" s="11">
        <v>27053000</v>
      </c>
      <c r="BQ124" s="11">
        <v>27053000</v>
      </c>
      <c r="BR124" s="11"/>
      <c r="BS124" s="11">
        <v>69847000</v>
      </c>
      <c r="BT124" s="11">
        <v>39401000</v>
      </c>
      <c r="BU124" s="11">
        <v>27053000</v>
      </c>
      <c r="BV124" s="11">
        <v>27053000</v>
      </c>
      <c r="BW124" s="11">
        <v>1500000</v>
      </c>
      <c r="BX124" s="7"/>
      <c r="BY124" s="7"/>
      <c r="BZ124" s="7"/>
      <c r="CA124" s="7"/>
      <c r="CB124" s="7"/>
      <c r="CC124" s="11"/>
      <c r="CD124" s="11"/>
      <c r="CE124" s="11"/>
      <c r="CF124" s="11"/>
      <c r="CG124" s="11"/>
      <c r="CH124" s="7"/>
      <c r="CI124" s="7"/>
      <c r="CJ124" s="7"/>
      <c r="CK124" s="7"/>
      <c r="CL124" s="7"/>
      <c r="CM124" s="11">
        <v>2073000</v>
      </c>
      <c r="CN124" s="11">
        <v>-3626000</v>
      </c>
      <c r="CO124" s="11">
        <v>-20221000</v>
      </c>
      <c r="CP124" s="11">
        <v>-20221000</v>
      </c>
      <c r="CQ124" s="11">
        <v>-46859000</v>
      </c>
      <c r="CR124" s="11"/>
      <c r="CS124" s="11"/>
      <c r="CT124" s="11"/>
      <c r="CU124" s="11"/>
      <c r="CV124" s="11"/>
      <c r="CW124" s="11"/>
      <c r="CX124" s="11"/>
      <c r="CY124" s="11"/>
      <c r="CZ124" s="11"/>
      <c r="DA124" s="11"/>
      <c r="DB124" s="11"/>
      <c r="DC124" s="11"/>
      <c r="DD124" s="11"/>
      <c r="DE124" s="11"/>
      <c r="DF124" s="11"/>
      <c r="DG124" s="7"/>
      <c r="DH124" s="7"/>
      <c r="DI124" s="7"/>
      <c r="DJ124" s="7"/>
      <c r="DK124" s="7"/>
      <c r="DL124" s="7">
        <v>67774000</v>
      </c>
      <c r="DM124" s="7">
        <v>43027000</v>
      </c>
      <c r="DN124" s="7">
        <v>47274000</v>
      </c>
      <c r="DO124" s="7">
        <v>47274000</v>
      </c>
      <c r="DP124" s="7">
        <v>48359000</v>
      </c>
      <c r="DQ124" s="11"/>
      <c r="DR124" s="11"/>
      <c r="DS124" s="11"/>
      <c r="DT124" s="11"/>
      <c r="DU124" s="11"/>
      <c r="DV124" s="11"/>
      <c r="DW124" s="11"/>
      <c r="DX124" s="11"/>
      <c r="DY124" s="11"/>
      <c r="DZ124" s="11"/>
      <c r="EA124" s="11">
        <v>67774000</v>
      </c>
      <c r="EB124" s="11">
        <v>43027000</v>
      </c>
      <c r="EC124" s="11">
        <v>47274000</v>
      </c>
      <c r="ED124" s="11">
        <v>47274000</v>
      </c>
      <c r="EE124" s="11">
        <v>48359000</v>
      </c>
      <c r="EF124" s="7">
        <v>53646000</v>
      </c>
      <c r="EG124" s="7">
        <v>53158000</v>
      </c>
      <c r="EH124" s="7">
        <v>14475000</v>
      </c>
      <c r="EI124" s="7"/>
      <c r="EJ124" s="7"/>
      <c r="EK124" s="7">
        <v>58593000</v>
      </c>
      <c r="EL124" s="7">
        <v>55990000</v>
      </c>
      <c r="EM124" s="7">
        <v>3497000</v>
      </c>
      <c r="EN124" s="7"/>
      <c r="EO124" s="7"/>
      <c r="EP124" s="7"/>
      <c r="EQ124" s="7"/>
      <c r="ER124" s="7"/>
      <c r="ES124" s="7"/>
      <c r="ET124" s="7"/>
      <c r="EU124" s="7"/>
      <c r="EV124" s="7"/>
      <c r="EW124" s="7"/>
      <c r="EX124" s="7"/>
      <c r="EY124" s="7"/>
      <c r="EZ124" s="11"/>
      <c r="FA124" s="11"/>
      <c r="FB124" s="11"/>
      <c r="FC124" s="11"/>
      <c r="FD124" s="11"/>
      <c r="FE124" s="11"/>
      <c r="FF124" s="11"/>
      <c r="FG124" s="11"/>
      <c r="FH124" s="11"/>
      <c r="FI124" s="11"/>
      <c r="FJ124" s="11">
        <v>15000</v>
      </c>
      <c r="FK124" s="11"/>
      <c r="FL124" s="11"/>
      <c r="FM124" s="11"/>
      <c r="FN124" s="11"/>
      <c r="FO124" s="7">
        <v>5799000</v>
      </c>
      <c r="FP124" s="7">
        <v>3069000</v>
      </c>
      <c r="FQ124" s="7"/>
      <c r="FR124" s="7"/>
      <c r="FS124" s="7"/>
      <c r="FT124" s="7">
        <v>679000</v>
      </c>
      <c r="FU124" s="7">
        <v>5936000</v>
      </c>
      <c r="FV124" s="7">
        <v>14848000</v>
      </c>
      <c r="FW124" s="7"/>
      <c r="FX124" s="7"/>
      <c r="FY124" s="11">
        <v>129000</v>
      </c>
      <c r="FZ124" s="11"/>
      <c r="GA124" s="11"/>
      <c r="GB124" s="11"/>
      <c r="GC124" s="11"/>
      <c r="GD124" s="7">
        <v>29000</v>
      </c>
      <c r="GE124" s="7">
        <v>-5699000</v>
      </c>
      <c r="GF124" s="7">
        <v>-3870000</v>
      </c>
      <c r="GG124" s="7"/>
      <c r="GH124" s="7"/>
    </row>
    <row r="125" spans="1:190" x14ac:dyDescent="0.25">
      <c r="A125" s="4">
        <v>124</v>
      </c>
      <c r="B125" s="5" t="s">
        <v>512</v>
      </c>
      <c r="C125" s="9" t="s">
        <v>513</v>
      </c>
      <c r="D125" s="7">
        <v>5</v>
      </c>
      <c r="E125" s="6" t="s">
        <v>514</v>
      </c>
      <c r="F125" s="11">
        <v>120584128</v>
      </c>
      <c r="G125" s="11">
        <v>1064646023</v>
      </c>
      <c r="H125" s="11"/>
      <c r="I125" s="11"/>
      <c r="J125" s="11">
        <v>6555899</v>
      </c>
      <c r="K125" s="11">
        <v>4037539705</v>
      </c>
      <c r="L125" s="11">
        <v>1135036519</v>
      </c>
      <c r="M125" s="11">
        <v>167630685</v>
      </c>
      <c r="N125" s="11">
        <v>950155</v>
      </c>
      <c r="O125" s="11">
        <v>396889595</v>
      </c>
      <c r="P125" s="7">
        <v>48770000</v>
      </c>
      <c r="Q125" s="7">
        <v>111869000</v>
      </c>
      <c r="R125" s="7">
        <v>218282000</v>
      </c>
      <c r="S125" s="7"/>
      <c r="T125" s="7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>
        <v>387783000</v>
      </c>
      <c r="AF125" s="11">
        <v>352168000</v>
      </c>
      <c r="AG125" s="11">
        <v>9175000</v>
      </c>
      <c r="AH125" s="11"/>
      <c r="AI125" s="11"/>
      <c r="AJ125" s="11">
        <v>614814000</v>
      </c>
      <c r="AK125" s="11">
        <v>609934000</v>
      </c>
      <c r="AL125" s="11">
        <v>303759000</v>
      </c>
      <c r="AM125" s="11"/>
      <c r="AN125" s="11"/>
      <c r="AO125" s="7">
        <v>1316733000</v>
      </c>
      <c r="AP125" s="7">
        <v>835197000</v>
      </c>
      <c r="AQ125" s="7">
        <v>952368000</v>
      </c>
      <c r="AR125" s="7"/>
      <c r="AS125" s="7"/>
      <c r="AT125" s="7">
        <v>7325084000</v>
      </c>
      <c r="AU125" s="7">
        <v>6562026000</v>
      </c>
      <c r="AV125" s="7">
        <v>4220629000</v>
      </c>
      <c r="AW125" s="7"/>
      <c r="AX125" s="7"/>
      <c r="AY125" s="11"/>
      <c r="AZ125" s="11"/>
      <c r="BA125" s="11"/>
      <c r="BB125" s="11"/>
      <c r="BC125" s="11"/>
      <c r="BD125" s="7">
        <v>515442000</v>
      </c>
      <c r="BE125" s="7">
        <v>1870923000</v>
      </c>
      <c r="BF125" s="7">
        <v>2886181000</v>
      </c>
      <c r="BG125" s="7"/>
      <c r="BH125" s="7"/>
      <c r="BI125" s="11">
        <v>1391636000</v>
      </c>
      <c r="BJ125" s="11">
        <v>1071151000</v>
      </c>
      <c r="BK125" s="11">
        <v>362799000</v>
      </c>
      <c r="BL125" s="11"/>
      <c r="BM125" s="11"/>
      <c r="BN125" s="11">
        <v>10585634000</v>
      </c>
      <c r="BO125" s="11">
        <v>10364073000</v>
      </c>
      <c r="BP125" s="11">
        <v>8439561000</v>
      </c>
      <c r="BQ125" s="11"/>
      <c r="BR125" s="11"/>
      <c r="BS125" s="11">
        <v>11200448000</v>
      </c>
      <c r="BT125" s="11">
        <v>10974007000</v>
      </c>
      <c r="BU125" s="11">
        <v>8743320000</v>
      </c>
      <c r="BV125" s="11"/>
      <c r="BW125" s="11"/>
      <c r="BX125" s="7">
        <v>15000000</v>
      </c>
      <c r="BY125" s="7">
        <v>123085000</v>
      </c>
      <c r="BZ125" s="7">
        <v>123085000</v>
      </c>
      <c r="CA125" s="7"/>
      <c r="CB125" s="7"/>
      <c r="CC125" s="11"/>
      <c r="CD125" s="11"/>
      <c r="CE125" s="11"/>
      <c r="CF125" s="11"/>
      <c r="CG125" s="11"/>
      <c r="CH125" s="7">
        <v>-339877000</v>
      </c>
      <c r="CI125" s="7">
        <v>1453586000</v>
      </c>
      <c r="CJ125" s="7">
        <v>64625000</v>
      </c>
      <c r="CK125" s="7"/>
      <c r="CL125" s="7"/>
      <c r="CM125" s="11">
        <v>-324843000</v>
      </c>
      <c r="CN125" s="11">
        <v>1576730000</v>
      </c>
      <c r="CO125" s="11">
        <v>1215524000</v>
      </c>
      <c r="CP125" s="11"/>
      <c r="CQ125" s="11"/>
      <c r="CR125" s="11"/>
      <c r="CS125" s="11"/>
      <c r="CT125" s="11"/>
      <c r="CU125" s="11"/>
      <c r="CV125" s="11"/>
      <c r="CW125" s="11">
        <v>425006000</v>
      </c>
      <c r="CX125" s="11">
        <v>260010000</v>
      </c>
      <c r="CY125" s="11">
        <v>127639000</v>
      </c>
      <c r="CZ125" s="11"/>
      <c r="DA125" s="11"/>
      <c r="DB125" s="11">
        <v>473499000</v>
      </c>
      <c r="DC125" s="11">
        <v>339241000</v>
      </c>
      <c r="DD125" s="11">
        <v>218962000</v>
      </c>
      <c r="DE125" s="11"/>
      <c r="DF125" s="11"/>
      <c r="DG125" s="7">
        <v>1101556000</v>
      </c>
      <c r="DH125" s="7">
        <v>1778000</v>
      </c>
      <c r="DI125" s="7"/>
      <c r="DJ125" s="7"/>
      <c r="DK125" s="7"/>
      <c r="DL125" s="7">
        <v>8288544000</v>
      </c>
      <c r="DM125" s="7">
        <v>7579087000</v>
      </c>
      <c r="DN125" s="7">
        <v>6253970000</v>
      </c>
      <c r="DO125" s="7"/>
      <c r="DP125" s="7"/>
      <c r="DQ125" s="11">
        <v>8763000</v>
      </c>
      <c r="DR125" s="11">
        <v>1948000</v>
      </c>
      <c r="DS125" s="11"/>
      <c r="DT125" s="11"/>
      <c r="DU125" s="11"/>
      <c r="DV125" s="11">
        <v>635695000</v>
      </c>
      <c r="DW125" s="11">
        <v>122295000</v>
      </c>
      <c r="DX125" s="11">
        <v>40052000</v>
      </c>
      <c r="DY125" s="11"/>
      <c r="DZ125" s="11"/>
      <c r="EA125" s="11">
        <v>11051792000</v>
      </c>
      <c r="EB125" s="11">
        <v>9058036000</v>
      </c>
      <c r="EC125" s="11">
        <v>7308834000</v>
      </c>
      <c r="ED125" s="11"/>
      <c r="EE125" s="11"/>
      <c r="EF125" s="7">
        <v>23749524000</v>
      </c>
      <c r="EG125" s="7">
        <v>23129009000</v>
      </c>
      <c r="EH125" s="7">
        <v>6184671000</v>
      </c>
      <c r="EI125" s="7"/>
      <c r="EJ125" s="7"/>
      <c r="EK125" s="7">
        <v>21362788000</v>
      </c>
      <c r="EL125" s="7">
        <v>19103021000</v>
      </c>
      <c r="EM125" s="7">
        <v>4703493000</v>
      </c>
      <c r="EN125" s="7"/>
      <c r="EO125" s="7"/>
      <c r="EP125" s="7">
        <v>840300000</v>
      </c>
      <c r="EQ125" s="7">
        <v>843212000</v>
      </c>
      <c r="ER125" s="7">
        <v>688119000</v>
      </c>
      <c r="ES125" s="7"/>
      <c r="ET125" s="7"/>
      <c r="EU125" s="7">
        <v>630180000</v>
      </c>
      <c r="EV125" s="7">
        <v>651423000</v>
      </c>
      <c r="EW125" s="7">
        <v>523791000</v>
      </c>
      <c r="EX125" s="7"/>
      <c r="EY125" s="7"/>
      <c r="EZ125" s="11"/>
      <c r="FA125" s="11"/>
      <c r="FB125" s="11"/>
      <c r="FC125" s="11"/>
      <c r="FD125" s="11"/>
      <c r="FE125" s="11">
        <v>105284000</v>
      </c>
      <c r="FF125" s="11">
        <v>19819000</v>
      </c>
      <c r="FG125" s="11">
        <v>91385000</v>
      </c>
      <c r="FH125" s="11"/>
      <c r="FI125" s="11"/>
      <c r="FJ125" s="11">
        <v>105331000</v>
      </c>
      <c r="FK125" s="11">
        <v>22014000</v>
      </c>
      <c r="FL125" s="11"/>
      <c r="FM125" s="11"/>
      <c r="FN125" s="11"/>
      <c r="FO125" s="7">
        <v>11618000</v>
      </c>
      <c r="FP125" s="7">
        <v>598873000</v>
      </c>
      <c r="FQ125" s="7">
        <v>68113000</v>
      </c>
      <c r="FR125" s="7"/>
      <c r="FS125" s="7"/>
      <c r="FT125" s="7">
        <v>1043994000</v>
      </c>
      <c r="FU125" s="7">
        <v>861733000</v>
      </c>
      <c r="FV125" s="7">
        <v>1806497000</v>
      </c>
      <c r="FW125" s="7"/>
      <c r="FX125" s="7"/>
      <c r="FY125" s="11">
        <v>2641000</v>
      </c>
      <c r="FZ125" s="11">
        <v>-472835000</v>
      </c>
      <c r="GA125" s="11">
        <v>-57922000</v>
      </c>
      <c r="GB125" s="11"/>
      <c r="GC125" s="11"/>
      <c r="GD125" s="7">
        <v>-113526000</v>
      </c>
      <c r="GE125" s="7">
        <v>1793463000</v>
      </c>
      <c r="GF125" s="7">
        <v>-1435653000</v>
      </c>
      <c r="GG125" s="7"/>
      <c r="GH125" s="7"/>
    </row>
    <row r="126" spans="1:190" x14ac:dyDescent="0.25">
      <c r="A126" s="4">
        <v>125</v>
      </c>
      <c r="B126" s="5" t="s">
        <v>515</v>
      </c>
      <c r="C126" s="9" t="s">
        <v>516</v>
      </c>
      <c r="D126" s="7">
        <v>13</v>
      </c>
      <c r="E126" s="6" t="s">
        <v>517</v>
      </c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7"/>
      <c r="Q126" s="7"/>
      <c r="R126" s="7"/>
      <c r="S126" s="7"/>
      <c r="T126" s="7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>
        <v>3524000</v>
      </c>
      <c r="AK126" s="11">
        <v>3597000</v>
      </c>
      <c r="AL126" s="11">
        <v>3597000</v>
      </c>
      <c r="AM126" s="11">
        <v>3597000</v>
      </c>
      <c r="AN126" s="11">
        <v>3597000</v>
      </c>
      <c r="AO126" s="7"/>
      <c r="AP126" s="7"/>
      <c r="AQ126" s="7"/>
      <c r="AR126" s="7"/>
      <c r="AS126" s="7"/>
      <c r="AT126" s="7">
        <v>8278000</v>
      </c>
      <c r="AU126" s="7">
        <v>8248000</v>
      </c>
      <c r="AV126" s="7">
        <v>8248000</v>
      </c>
      <c r="AW126" s="7">
        <v>8248000</v>
      </c>
      <c r="AX126" s="7">
        <v>8248000</v>
      </c>
      <c r="AY126" s="11"/>
      <c r="AZ126" s="11"/>
      <c r="BA126" s="11"/>
      <c r="BB126" s="11"/>
      <c r="BC126" s="11"/>
      <c r="BD126" s="7">
        <v>570000</v>
      </c>
      <c r="BE126" s="7"/>
      <c r="BF126" s="7"/>
      <c r="BG126" s="7"/>
      <c r="BH126" s="7"/>
      <c r="BI126" s="11"/>
      <c r="BJ126" s="11"/>
      <c r="BK126" s="11"/>
      <c r="BL126" s="11"/>
      <c r="BM126" s="11"/>
      <c r="BN126" s="11">
        <v>8848000</v>
      </c>
      <c r="BO126" s="11">
        <v>8248000</v>
      </c>
      <c r="BP126" s="11">
        <v>8248000</v>
      </c>
      <c r="BQ126" s="11">
        <v>8248000</v>
      </c>
      <c r="BR126" s="11">
        <v>8248000</v>
      </c>
      <c r="BS126" s="11">
        <v>12372000</v>
      </c>
      <c r="BT126" s="11">
        <v>11845000</v>
      </c>
      <c r="BU126" s="11">
        <v>11845000</v>
      </c>
      <c r="BV126" s="11">
        <v>11845000</v>
      </c>
      <c r="BW126" s="11">
        <v>11845000</v>
      </c>
      <c r="BX126" s="7">
        <v>10000</v>
      </c>
      <c r="BY126" s="7">
        <v>10000</v>
      </c>
      <c r="BZ126" s="7">
        <v>10000</v>
      </c>
      <c r="CA126" s="7">
        <v>10000</v>
      </c>
      <c r="CB126" s="7">
        <v>10000</v>
      </c>
      <c r="CC126" s="11"/>
      <c r="CD126" s="11"/>
      <c r="CE126" s="11"/>
      <c r="CF126" s="11"/>
      <c r="CG126" s="11"/>
      <c r="CH126" s="7">
        <v>-13997000</v>
      </c>
      <c r="CI126" s="7">
        <v>-14285000</v>
      </c>
      <c r="CJ126" s="7">
        <v>-14285000</v>
      </c>
      <c r="CK126" s="7">
        <v>-14285000</v>
      </c>
      <c r="CL126" s="7">
        <v>-14285000</v>
      </c>
      <c r="CM126" s="11">
        <v>-13987000</v>
      </c>
      <c r="CN126" s="11">
        <v>-14275000</v>
      </c>
      <c r="CO126" s="11">
        <v>-14275000</v>
      </c>
      <c r="CP126" s="11">
        <v>-14275000</v>
      </c>
      <c r="CQ126" s="11">
        <v>-14275000</v>
      </c>
      <c r="CR126" s="11">
        <v>731000</v>
      </c>
      <c r="CS126" s="11">
        <v>731000</v>
      </c>
      <c r="CT126" s="11">
        <v>731000</v>
      </c>
      <c r="CU126" s="11">
        <v>731000</v>
      </c>
      <c r="CV126" s="11">
        <v>731000</v>
      </c>
      <c r="CW126" s="11"/>
      <c r="CX126" s="11"/>
      <c r="CY126" s="11"/>
      <c r="CZ126" s="11"/>
      <c r="DA126" s="11"/>
      <c r="DB126" s="11">
        <v>731000</v>
      </c>
      <c r="DC126" s="11">
        <v>731000</v>
      </c>
      <c r="DD126" s="11">
        <v>731000</v>
      </c>
      <c r="DE126" s="11">
        <v>731000</v>
      </c>
      <c r="DF126" s="11">
        <v>731000</v>
      </c>
      <c r="DG126" s="7"/>
      <c r="DH126" s="7"/>
      <c r="DI126" s="7"/>
      <c r="DJ126" s="7"/>
      <c r="DK126" s="7"/>
      <c r="DL126" s="7">
        <v>25628000</v>
      </c>
      <c r="DM126" s="7">
        <v>25389000</v>
      </c>
      <c r="DN126" s="7">
        <v>25389000</v>
      </c>
      <c r="DO126" s="7">
        <v>25389000</v>
      </c>
      <c r="DP126" s="7">
        <v>25389000</v>
      </c>
      <c r="DQ126" s="11"/>
      <c r="DR126" s="11"/>
      <c r="DS126" s="11"/>
      <c r="DT126" s="11"/>
      <c r="DU126" s="11"/>
      <c r="DV126" s="11"/>
      <c r="DW126" s="11"/>
      <c r="DX126" s="11"/>
      <c r="DY126" s="11"/>
      <c r="DZ126" s="11"/>
      <c r="EA126" s="11">
        <v>25628000</v>
      </c>
      <c r="EB126" s="11">
        <v>25389000</v>
      </c>
      <c r="EC126" s="11">
        <v>25389000</v>
      </c>
      <c r="ED126" s="11">
        <v>25389000</v>
      </c>
      <c r="EE126" s="11">
        <v>25389000</v>
      </c>
      <c r="EF126" s="7"/>
      <c r="EG126" s="7"/>
      <c r="EH126" s="7"/>
      <c r="EI126" s="7"/>
      <c r="EJ126" s="7"/>
      <c r="EK126" s="7"/>
      <c r="EL126" s="7"/>
      <c r="EM126" s="7"/>
      <c r="EN126" s="7"/>
      <c r="EO126" s="7"/>
      <c r="EP126" s="7">
        <v>360000</v>
      </c>
      <c r="EQ126" s="7">
        <v>360000</v>
      </c>
      <c r="ER126" s="7"/>
      <c r="ES126" s="7"/>
      <c r="ET126" s="7"/>
      <c r="EU126" s="7"/>
      <c r="EV126" s="7"/>
      <c r="EW126" s="7">
        <v>360000</v>
      </c>
      <c r="EX126" s="7"/>
      <c r="EY126" s="7"/>
      <c r="EZ126" s="11"/>
      <c r="FA126" s="11"/>
      <c r="FB126" s="11"/>
      <c r="FC126" s="11"/>
      <c r="FD126" s="11"/>
      <c r="FE126" s="11"/>
      <c r="FF126" s="11"/>
      <c r="FG126" s="11"/>
      <c r="FH126" s="11"/>
      <c r="FI126" s="11"/>
      <c r="FJ126" s="11"/>
      <c r="FK126" s="11"/>
      <c r="FL126" s="11"/>
      <c r="FM126" s="11"/>
      <c r="FN126" s="11"/>
      <c r="FO126" s="7"/>
      <c r="FP126" s="7"/>
      <c r="FQ126" s="7"/>
      <c r="FR126" s="7"/>
      <c r="FS126" s="7"/>
      <c r="FT126" s="7">
        <v>986000</v>
      </c>
      <c r="FU126" s="7"/>
      <c r="FV126" s="7"/>
      <c r="FW126" s="7"/>
      <c r="FX126" s="7"/>
      <c r="FY126" s="11">
        <v>-81000</v>
      </c>
      <c r="FZ126" s="11">
        <v>72000</v>
      </c>
      <c r="GA126" s="11"/>
      <c r="GB126" s="11"/>
      <c r="GC126" s="11"/>
      <c r="GD126" s="7">
        <v>-1427000</v>
      </c>
      <c r="GE126" s="7">
        <v>-288000</v>
      </c>
      <c r="GF126" s="7">
        <v>-360000</v>
      </c>
      <c r="GG126" s="7"/>
      <c r="GH126" s="7"/>
    </row>
    <row r="127" spans="1:190" x14ac:dyDescent="0.25">
      <c r="A127" s="4">
        <v>126</v>
      </c>
      <c r="B127" s="5" t="s">
        <v>518</v>
      </c>
      <c r="C127" s="9" t="s">
        <v>519</v>
      </c>
      <c r="D127" s="7">
        <v>15</v>
      </c>
      <c r="E127" s="6" t="s">
        <v>520</v>
      </c>
      <c r="F127" s="11">
        <v>487101</v>
      </c>
      <c r="G127" s="11">
        <v>485438</v>
      </c>
      <c r="H127" s="11">
        <v>480851</v>
      </c>
      <c r="I127" s="11"/>
      <c r="J127" s="11">
        <v>1111113</v>
      </c>
      <c r="K127" s="11">
        <v>964695</v>
      </c>
      <c r="L127" s="11">
        <v>1439280</v>
      </c>
      <c r="M127" s="11">
        <v>1893198</v>
      </c>
      <c r="N127" s="11"/>
      <c r="O127" s="11">
        <v>1000002</v>
      </c>
      <c r="P127" s="7">
        <v>25000</v>
      </c>
      <c r="Q127" s="7">
        <v>1356000</v>
      </c>
      <c r="R127" s="7"/>
      <c r="S127" s="7"/>
      <c r="T127" s="7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>
        <v>25000</v>
      </c>
      <c r="AK127" s="11">
        <v>1356000</v>
      </c>
      <c r="AL127" s="11"/>
      <c r="AM127" s="11"/>
      <c r="AN127" s="11"/>
      <c r="AO127" s="7">
        <v>5799000</v>
      </c>
      <c r="AP127" s="7">
        <v>22436000</v>
      </c>
      <c r="AQ127" s="7">
        <v>28633000</v>
      </c>
      <c r="AR127" s="7"/>
      <c r="AS127" s="7"/>
      <c r="AT127" s="7">
        <v>65325000</v>
      </c>
      <c r="AU127" s="7">
        <v>70272000</v>
      </c>
      <c r="AV127" s="7">
        <v>66439000</v>
      </c>
      <c r="AW127" s="7"/>
      <c r="AX127" s="7"/>
      <c r="AY127" s="11">
        <v>21681000</v>
      </c>
      <c r="AZ127" s="11">
        <v>54699000</v>
      </c>
      <c r="BA127" s="11"/>
      <c r="BB127" s="11"/>
      <c r="BC127" s="11"/>
      <c r="BD127" s="7">
        <v>547000</v>
      </c>
      <c r="BE127" s="7">
        <v>2086000</v>
      </c>
      <c r="BF127" s="7">
        <v>223000</v>
      </c>
      <c r="BG127" s="7">
        <v>1430000</v>
      </c>
      <c r="BH127" s="7"/>
      <c r="BI127" s="11">
        <v>2000</v>
      </c>
      <c r="BJ127" s="11"/>
      <c r="BK127" s="11"/>
      <c r="BL127" s="11"/>
      <c r="BM127" s="11"/>
      <c r="BN127" s="11">
        <v>93389000</v>
      </c>
      <c r="BO127" s="11">
        <v>149529000</v>
      </c>
      <c r="BP127" s="11">
        <v>95295000</v>
      </c>
      <c r="BQ127" s="11">
        <v>1430000</v>
      </c>
      <c r="BR127" s="11"/>
      <c r="BS127" s="11">
        <v>93414000</v>
      </c>
      <c r="BT127" s="11">
        <v>150885000</v>
      </c>
      <c r="BU127" s="11">
        <v>95295000</v>
      </c>
      <c r="BV127" s="11">
        <v>1430000</v>
      </c>
      <c r="BW127" s="11"/>
      <c r="BX127" s="7">
        <v>10000</v>
      </c>
      <c r="BY127" s="7">
        <v>10000</v>
      </c>
      <c r="BZ127" s="7"/>
      <c r="CA127" s="7"/>
      <c r="CB127" s="7"/>
      <c r="CC127" s="11"/>
      <c r="CD127" s="11"/>
      <c r="CE127" s="11"/>
      <c r="CF127" s="11"/>
      <c r="CG127" s="11"/>
      <c r="CH127" s="7">
        <v>6391000</v>
      </c>
      <c r="CI127" s="7">
        <v>7370000</v>
      </c>
      <c r="CJ127" s="7"/>
      <c r="CK127" s="7"/>
      <c r="CL127" s="7"/>
      <c r="CM127" s="11">
        <v>6401000</v>
      </c>
      <c r="CN127" s="11">
        <v>7380000</v>
      </c>
      <c r="CO127" s="11">
        <v>9098000</v>
      </c>
      <c r="CP127" s="11">
        <v>-12761000</v>
      </c>
      <c r="CQ127" s="11"/>
      <c r="CR127" s="11">
        <v>100000</v>
      </c>
      <c r="CS127" s="11">
        <v>5013000</v>
      </c>
      <c r="CT127" s="11">
        <v>965000</v>
      </c>
      <c r="CU127" s="11">
        <v>13630000</v>
      </c>
      <c r="CV127" s="11"/>
      <c r="CW127" s="11"/>
      <c r="CX127" s="11"/>
      <c r="CY127" s="11"/>
      <c r="CZ127" s="11"/>
      <c r="DA127" s="11"/>
      <c r="DB127" s="11">
        <v>100000</v>
      </c>
      <c r="DC127" s="11">
        <v>5013000</v>
      </c>
      <c r="DD127" s="11">
        <v>965000</v>
      </c>
      <c r="DE127" s="11">
        <v>13630000</v>
      </c>
      <c r="DF127" s="11"/>
      <c r="DG127" s="7">
        <v>1750000</v>
      </c>
      <c r="DH127" s="7">
        <v>1751000</v>
      </c>
      <c r="DI127" s="7">
        <v>1446000</v>
      </c>
      <c r="DJ127" s="7"/>
      <c r="DK127" s="7"/>
      <c r="DL127" s="7">
        <v>39722000</v>
      </c>
      <c r="DM127" s="7">
        <v>91299000</v>
      </c>
      <c r="DN127" s="7">
        <v>34584000</v>
      </c>
      <c r="DO127" s="7">
        <v>561000</v>
      </c>
      <c r="DP127" s="7"/>
      <c r="DQ127" s="11">
        <v>45441000</v>
      </c>
      <c r="DR127" s="11">
        <v>45441000</v>
      </c>
      <c r="DS127" s="11"/>
      <c r="DT127" s="11"/>
      <c r="DU127" s="11"/>
      <c r="DV127" s="11"/>
      <c r="DW127" s="11"/>
      <c r="DX127" s="11">
        <v>49202000</v>
      </c>
      <c r="DY127" s="11"/>
      <c r="DZ127" s="11"/>
      <c r="EA127" s="11">
        <v>86913000</v>
      </c>
      <c r="EB127" s="11">
        <v>138491000</v>
      </c>
      <c r="EC127" s="11">
        <v>85232000</v>
      </c>
      <c r="ED127" s="11">
        <v>561000</v>
      </c>
      <c r="EE127" s="11"/>
      <c r="EF127" s="7">
        <v>79428000</v>
      </c>
      <c r="EG127" s="7">
        <v>107430000</v>
      </c>
      <c r="EH127" s="7">
        <v>148719000</v>
      </c>
      <c r="EI127" s="7">
        <v>28790000</v>
      </c>
      <c r="EJ127" s="7"/>
      <c r="EK127" s="7">
        <v>76377000</v>
      </c>
      <c r="EL127" s="7">
        <v>86290000</v>
      </c>
      <c r="EM127" s="7">
        <v>152649000</v>
      </c>
      <c r="EN127" s="7">
        <v>27816000</v>
      </c>
      <c r="EO127" s="7"/>
      <c r="EP127" s="7"/>
      <c r="EQ127" s="7"/>
      <c r="ER127" s="7"/>
      <c r="ES127" s="7"/>
      <c r="ET127" s="7"/>
      <c r="EU127" s="7"/>
      <c r="EV127" s="7">
        <v>18464000</v>
      </c>
      <c r="EW127" s="7"/>
      <c r="EX127" s="7"/>
      <c r="EY127" s="7"/>
      <c r="EZ127" s="11"/>
      <c r="FA127" s="11"/>
      <c r="FB127" s="11"/>
      <c r="FC127" s="11"/>
      <c r="FD127" s="11"/>
      <c r="FE127" s="11"/>
      <c r="FF127" s="11"/>
      <c r="FG127" s="11"/>
      <c r="FH127" s="11"/>
      <c r="FI127" s="11"/>
      <c r="FJ127" s="11"/>
      <c r="FK127" s="11"/>
      <c r="FL127" s="11"/>
      <c r="FM127" s="11"/>
      <c r="FN127" s="11"/>
      <c r="FO127" s="7">
        <v>19000</v>
      </c>
      <c r="FP127" s="7">
        <v>33000</v>
      </c>
      <c r="FQ127" s="7">
        <v>6823000</v>
      </c>
      <c r="FR127" s="7"/>
      <c r="FS127" s="7"/>
      <c r="FT127" s="7">
        <v>447000</v>
      </c>
      <c r="FU127" s="7">
        <v>1167000</v>
      </c>
      <c r="FV127" s="7">
        <v>746000</v>
      </c>
      <c r="FW127" s="7">
        <v>176000</v>
      </c>
      <c r="FX127" s="7"/>
      <c r="FY127" s="11">
        <v>-529000</v>
      </c>
      <c r="FZ127" s="11">
        <v>-531000</v>
      </c>
      <c r="GA127" s="11">
        <v>429000</v>
      </c>
      <c r="GB127" s="11"/>
      <c r="GC127" s="11"/>
      <c r="GD127" s="7">
        <v>2075000</v>
      </c>
      <c r="GE127" s="7">
        <v>979000</v>
      </c>
      <c r="GF127" s="7">
        <v>1718000</v>
      </c>
      <c r="GG127" s="7">
        <v>798000</v>
      </c>
      <c r="GH127" s="7"/>
    </row>
    <row r="128" spans="1:190" x14ac:dyDescent="0.25">
      <c r="A128" s="4">
        <v>127</v>
      </c>
      <c r="B128" s="5" t="s">
        <v>521</v>
      </c>
      <c r="C128" s="9" t="s">
        <v>522</v>
      </c>
      <c r="D128" s="7">
        <v>9</v>
      </c>
      <c r="E128" s="6" t="s">
        <v>190</v>
      </c>
      <c r="F128" s="11"/>
      <c r="G128" s="11"/>
      <c r="H128" s="11">
        <v>1910540</v>
      </c>
      <c r="I128" s="11"/>
      <c r="J128" s="11"/>
      <c r="K128" s="11">
        <v>13682978</v>
      </c>
      <c r="L128" s="11">
        <v>2625445</v>
      </c>
      <c r="M128" s="11">
        <v>564414</v>
      </c>
      <c r="N128" s="11">
        <v>40303591</v>
      </c>
      <c r="O128" s="11"/>
      <c r="P128" s="7">
        <v>4531000</v>
      </c>
      <c r="Q128" s="7">
        <v>2528000</v>
      </c>
      <c r="R128" s="7">
        <v>1800000</v>
      </c>
      <c r="S128" s="7">
        <v>1573000</v>
      </c>
      <c r="T128" s="7"/>
      <c r="U128" s="11">
        <v>13459000</v>
      </c>
      <c r="V128" s="11">
        <v>7188000</v>
      </c>
      <c r="W128" s="11">
        <v>5303000</v>
      </c>
      <c r="X128" s="11">
        <v>4095000</v>
      </c>
      <c r="Y128" s="11"/>
      <c r="Z128" s="11"/>
      <c r="AA128" s="11"/>
      <c r="AB128" s="11"/>
      <c r="AC128" s="11"/>
      <c r="AD128" s="11"/>
      <c r="AE128" s="11">
        <v>263000</v>
      </c>
      <c r="AF128" s="11">
        <v>121000</v>
      </c>
      <c r="AG128" s="11">
        <v>36000</v>
      </c>
      <c r="AH128" s="11">
        <v>14000</v>
      </c>
      <c r="AI128" s="11"/>
      <c r="AJ128" s="11">
        <v>29862000</v>
      </c>
      <c r="AK128" s="11">
        <v>37474000</v>
      </c>
      <c r="AL128" s="11">
        <v>35713000</v>
      </c>
      <c r="AM128" s="11">
        <v>36870000</v>
      </c>
      <c r="AN128" s="11"/>
      <c r="AO128" s="7">
        <v>200060000</v>
      </c>
      <c r="AP128" s="7">
        <v>145651000</v>
      </c>
      <c r="AQ128" s="7">
        <v>139493000</v>
      </c>
      <c r="AR128" s="7">
        <v>140758000</v>
      </c>
      <c r="AS128" s="7"/>
      <c r="AT128" s="7">
        <v>1586433000</v>
      </c>
      <c r="AU128" s="7">
        <v>1239967000</v>
      </c>
      <c r="AV128" s="7">
        <v>860852000</v>
      </c>
      <c r="AW128" s="7">
        <v>855375000</v>
      </c>
      <c r="AX128" s="7"/>
      <c r="AY128" s="11">
        <v>8220000</v>
      </c>
      <c r="AZ128" s="11">
        <v>200000</v>
      </c>
      <c r="BA128" s="11">
        <v>200000</v>
      </c>
      <c r="BB128" s="11"/>
      <c r="BC128" s="11"/>
      <c r="BD128" s="7">
        <v>59871000</v>
      </c>
      <c r="BE128" s="7">
        <v>19264000</v>
      </c>
      <c r="BF128" s="7">
        <v>2901000</v>
      </c>
      <c r="BG128" s="7">
        <v>3084000</v>
      </c>
      <c r="BH128" s="7"/>
      <c r="BI128" s="11">
        <v>124000</v>
      </c>
      <c r="BJ128" s="11">
        <v>93000</v>
      </c>
      <c r="BK128" s="11"/>
      <c r="BL128" s="11">
        <v>2000</v>
      </c>
      <c r="BM128" s="11"/>
      <c r="BN128" s="11">
        <v>1860864000</v>
      </c>
      <c r="BO128" s="11">
        <v>1412725000</v>
      </c>
      <c r="BP128" s="11">
        <v>1008234000</v>
      </c>
      <c r="BQ128" s="11">
        <v>1003105000</v>
      </c>
      <c r="BR128" s="11"/>
      <c r="BS128" s="11">
        <v>1890726000</v>
      </c>
      <c r="BT128" s="11">
        <v>1450199000</v>
      </c>
      <c r="BU128" s="11">
        <v>1043947000</v>
      </c>
      <c r="BV128" s="11">
        <v>1039975000</v>
      </c>
      <c r="BW128" s="11"/>
      <c r="BX128" s="7">
        <v>100000</v>
      </c>
      <c r="BY128" s="7">
        <v>100000</v>
      </c>
      <c r="BZ128" s="7">
        <v>100000</v>
      </c>
      <c r="CA128" s="7">
        <v>100000</v>
      </c>
      <c r="CB128" s="7"/>
      <c r="CC128" s="11"/>
      <c r="CD128" s="11"/>
      <c r="CE128" s="11"/>
      <c r="CF128" s="11"/>
      <c r="CG128" s="11"/>
      <c r="CH128" s="7">
        <v>-40440000</v>
      </c>
      <c r="CI128" s="7">
        <v>-107058000</v>
      </c>
      <c r="CJ128" s="7">
        <v>-482398000</v>
      </c>
      <c r="CK128" s="7">
        <v>-491937000</v>
      </c>
      <c r="CL128" s="7"/>
      <c r="CM128" s="11">
        <v>-40340000</v>
      </c>
      <c r="CN128" s="11">
        <v>-106958000</v>
      </c>
      <c r="CO128" s="11">
        <v>-482298000</v>
      </c>
      <c r="CP128" s="11">
        <v>-491837000</v>
      </c>
      <c r="CQ128" s="11"/>
      <c r="CR128" s="11"/>
      <c r="CS128" s="11"/>
      <c r="CT128" s="11"/>
      <c r="CU128" s="11"/>
      <c r="CV128" s="11"/>
      <c r="CW128" s="11"/>
      <c r="CX128" s="11"/>
      <c r="CY128" s="11"/>
      <c r="CZ128" s="11"/>
      <c r="DA128" s="11"/>
      <c r="DB128" s="11">
        <v>2760000</v>
      </c>
      <c r="DC128" s="11">
        <v>4615000</v>
      </c>
      <c r="DD128" s="11">
        <v>3293000</v>
      </c>
      <c r="DE128" s="11">
        <v>3525000</v>
      </c>
      <c r="DF128" s="11"/>
      <c r="DG128" s="7">
        <v>37131000</v>
      </c>
      <c r="DH128" s="7">
        <v>39011000</v>
      </c>
      <c r="DI128" s="7">
        <v>39847000</v>
      </c>
      <c r="DJ128" s="7">
        <v>41096000</v>
      </c>
      <c r="DK128" s="7"/>
      <c r="DL128" s="7">
        <v>1891175000</v>
      </c>
      <c r="DM128" s="7">
        <v>1513531000</v>
      </c>
      <c r="DN128" s="7">
        <v>1483105000</v>
      </c>
      <c r="DO128" s="7">
        <v>1487191000</v>
      </c>
      <c r="DP128" s="7"/>
      <c r="DQ128" s="11"/>
      <c r="DR128" s="11"/>
      <c r="DS128" s="11"/>
      <c r="DT128" s="11"/>
      <c r="DU128" s="11"/>
      <c r="DV128" s="11"/>
      <c r="DW128" s="11"/>
      <c r="DX128" s="11"/>
      <c r="DY128" s="11"/>
      <c r="DZ128" s="11"/>
      <c r="EA128" s="11">
        <v>1928306000</v>
      </c>
      <c r="EB128" s="11">
        <v>1552542000</v>
      </c>
      <c r="EC128" s="11">
        <v>1522952000</v>
      </c>
      <c r="ED128" s="11">
        <v>1528287000</v>
      </c>
      <c r="EE128" s="11"/>
      <c r="EF128" s="7">
        <v>331119000</v>
      </c>
      <c r="EG128" s="7">
        <v>506271000</v>
      </c>
      <c r="EH128" s="7">
        <v>486713000</v>
      </c>
      <c r="EI128" s="7">
        <v>2664000</v>
      </c>
      <c r="EJ128" s="7"/>
      <c r="EK128" s="7">
        <v>298564000</v>
      </c>
      <c r="EL128" s="7">
        <v>512586000</v>
      </c>
      <c r="EM128" s="7">
        <v>467907000</v>
      </c>
      <c r="EN128" s="7">
        <v>1235000</v>
      </c>
      <c r="EO128" s="7"/>
      <c r="EP128" s="7"/>
      <c r="EQ128" s="7"/>
      <c r="ER128" s="7"/>
      <c r="ES128" s="7"/>
      <c r="ET128" s="7"/>
      <c r="EU128" s="7">
        <v>34343000</v>
      </c>
      <c r="EV128" s="7">
        <v>41161000</v>
      </c>
      <c r="EW128" s="7">
        <v>23512000</v>
      </c>
      <c r="EX128" s="7">
        <v>9163000</v>
      </c>
      <c r="EY128" s="7"/>
      <c r="EZ128" s="11"/>
      <c r="FA128" s="11"/>
      <c r="FB128" s="11"/>
      <c r="FC128" s="11"/>
      <c r="FD128" s="11"/>
      <c r="FE128" s="11">
        <v>1287000</v>
      </c>
      <c r="FF128" s="11">
        <v>895000</v>
      </c>
      <c r="FG128" s="11">
        <v>435000</v>
      </c>
      <c r="FH128" s="11">
        <v>425000</v>
      </c>
      <c r="FI128" s="11"/>
      <c r="FJ128" s="11">
        <v>2859000</v>
      </c>
      <c r="FK128" s="11">
        <v>1880000</v>
      </c>
      <c r="FL128" s="11">
        <v>1001000</v>
      </c>
      <c r="FM128" s="11">
        <v>1249000</v>
      </c>
      <c r="FN128" s="11"/>
      <c r="FO128" s="7">
        <v>4415000</v>
      </c>
      <c r="FP128" s="7">
        <v>3378000</v>
      </c>
      <c r="FQ128" s="7">
        <v>10844000</v>
      </c>
      <c r="FR128" s="7">
        <v>1085000</v>
      </c>
      <c r="FS128" s="7"/>
      <c r="FT128" s="7">
        <v>9411000</v>
      </c>
      <c r="FU128" s="7">
        <v>29702000</v>
      </c>
      <c r="FV128" s="7">
        <v>22052000</v>
      </c>
      <c r="FW128" s="7">
        <v>4447000</v>
      </c>
      <c r="FX128" s="7"/>
      <c r="FY128" s="11">
        <v>1391000</v>
      </c>
      <c r="FZ128" s="11">
        <v>14173000</v>
      </c>
      <c r="GA128" s="11">
        <v>2259000</v>
      </c>
      <c r="GB128" s="11">
        <v>2383000</v>
      </c>
      <c r="GC128" s="11"/>
      <c r="GD128" s="7">
        <v>-6965000</v>
      </c>
      <c r="GE128" s="7">
        <v>-60612000</v>
      </c>
      <c r="GF128" s="7">
        <v>-14221000</v>
      </c>
      <c r="GG128" s="7">
        <v>-9538000</v>
      </c>
      <c r="GH128" s="7"/>
    </row>
    <row r="129" spans="1:190" x14ac:dyDescent="0.25">
      <c r="A129" s="4">
        <v>128</v>
      </c>
      <c r="B129" s="5" t="s">
        <v>523</v>
      </c>
      <c r="C129" s="9" t="s">
        <v>524</v>
      </c>
      <c r="D129" s="7">
        <v>5</v>
      </c>
      <c r="E129" s="6" t="s">
        <v>525</v>
      </c>
      <c r="F129" s="11">
        <v>173914</v>
      </c>
      <c r="G129" s="11">
        <v>235979</v>
      </c>
      <c r="H129" s="11">
        <v>330896</v>
      </c>
      <c r="I129" s="11">
        <v>389981</v>
      </c>
      <c r="J129" s="11">
        <v>94068</v>
      </c>
      <c r="K129" s="11">
        <v>90426</v>
      </c>
      <c r="L129" s="11">
        <v>300197</v>
      </c>
      <c r="M129" s="11">
        <v>621771</v>
      </c>
      <c r="N129" s="11">
        <v>1104778</v>
      </c>
      <c r="O129" s="11">
        <v>286968</v>
      </c>
      <c r="P129" s="7">
        <v>870000</v>
      </c>
      <c r="Q129" s="7">
        <v>646000</v>
      </c>
      <c r="R129" s="7">
        <v>568000</v>
      </c>
      <c r="S129" s="7">
        <v>4216000</v>
      </c>
      <c r="T129" s="7">
        <v>4216000</v>
      </c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>
        <v>870000</v>
      </c>
      <c r="AK129" s="11">
        <v>646000</v>
      </c>
      <c r="AL129" s="11">
        <v>568000</v>
      </c>
      <c r="AM129" s="11">
        <v>4216000</v>
      </c>
      <c r="AN129" s="11">
        <v>4216000</v>
      </c>
      <c r="AO129" s="7">
        <v>6885000</v>
      </c>
      <c r="AP129" s="7">
        <v>7538000</v>
      </c>
      <c r="AQ129" s="7">
        <v>6550000</v>
      </c>
      <c r="AR129" s="7">
        <v>11699000</v>
      </c>
      <c r="AS129" s="7">
        <v>9713000</v>
      </c>
      <c r="AT129" s="7">
        <v>1425000</v>
      </c>
      <c r="AU129" s="7">
        <v>5307000</v>
      </c>
      <c r="AV129" s="7">
        <v>11358000</v>
      </c>
      <c r="AW129" s="7">
        <v>14290000</v>
      </c>
      <c r="AX129" s="7">
        <v>561000</v>
      </c>
      <c r="AY129" s="11"/>
      <c r="AZ129" s="11"/>
      <c r="BA129" s="11"/>
      <c r="BB129" s="11"/>
      <c r="BC129" s="11"/>
      <c r="BD129" s="7">
        <v>29000</v>
      </c>
      <c r="BE129" s="7">
        <v>7000</v>
      </c>
      <c r="BF129" s="7">
        <v>1190000</v>
      </c>
      <c r="BG129" s="7">
        <v>138000</v>
      </c>
      <c r="BH129" s="7"/>
      <c r="BI129" s="11"/>
      <c r="BJ129" s="11"/>
      <c r="BK129" s="11"/>
      <c r="BL129" s="11"/>
      <c r="BM129" s="11"/>
      <c r="BN129" s="11">
        <v>8339000</v>
      </c>
      <c r="BO129" s="11">
        <v>12852000</v>
      </c>
      <c r="BP129" s="11">
        <v>19098000</v>
      </c>
      <c r="BQ129" s="11">
        <v>26127000</v>
      </c>
      <c r="BR129" s="11">
        <v>10274000</v>
      </c>
      <c r="BS129" s="11">
        <v>9209000</v>
      </c>
      <c r="BT129" s="11">
        <v>13498000</v>
      </c>
      <c r="BU129" s="11">
        <v>19666000</v>
      </c>
      <c r="BV129" s="11">
        <v>30343000</v>
      </c>
      <c r="BW129" s="11">
        <v>14490000</v>
      </c>
      <c r="BX129" s="7"/>
      <c r="BY129" s="7"/>
      <c r="BZ129" s="7"/>
      <c r="CA129" s="7"/>
      <c r="CB129" s="7"/>
      <c r="CC129" s="11"/>
      <c r="CD129" s="11"/>
      <c r="CE129" s="11"/>
      <c r="CF129" s="11"/>
      <c r="CG129" s="11"/>
      <c r="CH129" s="7"/>
      <c r="CI129" s="7"/>
      <c r="CJ129" s="7"/>
      <c r="CK129" s="7"/>
      <c r="CL129" s="7"/>
      <c r="CM129" s="11">
        <v>992000</v>
      </c>
      <c r="CN129" s="11">
        <v>1929000</v>
      </c>
      <c r="CO129" s="11">
        <v>3147000</v>
      </c>
      <c r="CP129" s="11">
        <v>4779000</v>
      </c>
      <c r="CQ129" s="11">
        <v>-2249000</v>
      </c>
      <c r="CR129" s="11"/>
      <c r="CS129" s="11"/>
      <c r="CT129" s="11"/>
      <c r="CU129" s="11"/>
      <c r="CV129" s="11"/>
      <c r="CW129" s="11"/>
      <c r="CX129" s="11"/>
      <c r="CY129" s="11"/>
      <c r="CZ129" s="11"/>
      <c r="DA129" s="11"/>
      <c r="DB129" s="11"/>
      <c r="DC129" s="11"/>
      <c r="DD129" s="11"/>
      <c r="DE129" s="11"/>
      <c r="DF129" s="11"/>
      <c r="DG129" s="7">
        <v>3000</v>
      </c>
      <c r="DH129" s="7"/>
      <c r="DI129" s="7"/>
      <c r="DJ129" s="7">
        <v>9970000</v>
      </c>
      <c r="DK129" s="7">
        <v>5941000</v>
      </c>
      <c r="DL129" s="7">
        <v>8214000</v>
      </c>
      <c r="DM129" s="7">
        <v>11569000</v>
      </c>
      <c r="DN129" s="7">
        <v>16519000</v>
      </c>
      <c r="DO129" s="7">
        <v>15594000</v>
      </c>
      <c r="DP129" s="7">
        <v>10798000</v>
      </c>
      <c r="DQ129" s="11"/>
      <c r="DR129" s="11"/>
      <c r="DS129" s="11"/>
      <c r="DT129" s="11"/>
      <c r="DU129" s="11"/>
      <c r="DV129" s="11"/>
      <c r="DW129" s="11"/>
      <c r="DX129" s="11"/>
      <c r="DY129" s="11"/>
      <c r="DZ129" s="11"/>
      <c r="EA129" s="11">
        <v>8217000</v>
      </c>
      <c r="EB129" s="11">
        <v>11569000</v>
      </c>
      <c r="EC129" s="11">
        <v>16519000</v>
      </c>
      <c r="ED129" s="11">
        <v>25564000</v>
      </c>
      <c r="EE129" s="11">
        <v>16739000</v>
      </c>
      <c r="EF129" s="7">
        <v>15414000</v>
      </c>
      <c r="EG129" s="7">
        <v>16327000</v>
      </c>
      <c r="EH129" s="7">
        <v>54929000</v>
      </c>
      <c r="EI129" s="7">
        <v>72361000</v>
      </c>
      <c r="EJ129" s="7">
        <v>33041000</v>
      </c>
      <c r="EK129" s="7">
        <v>14139000</v>
      </c>
      <c r="EL129" s="7">
        <v>15119000</v>
      </c>
      <c r="EM129" s="7">
        <v>53345000</v>
      </c>
      <c r="EN129" s="7">
        <v>69625000</v>
      </c>
      <c r="EO129" s="7">
        <v>32268000</v>
      </c>
      <c r="EP129" s="7"/>
      <c r="EQ129" s="7"/>
      <c r="ER129" s="7"/>
      <c r="ES129" s="7"/>
      <c r="ET129" s="7"/>
      <c r="EU129" s="7"/>
      <c r="EV129" s="7"/>
      <c r="EW129" s="7"/>
      <c r="EX129" s="7"/>
      <c r="EY129" s="7"/>
      <c r="EZ129" s="11"/>
      <c r="FA129" s="11"/>
      <c r="FB129" s="11"/>
      <c r="FC129" s="11"/>
      <c r="FD129" s="11"/>
      <c r="FE129" s="11"/>
      <c r="FF129" s="11"/>
      <c r="FG129" s="11"/>
      <c r="FH129" s="11"/>
      <c r="FI129" s="11"/>
      <c r="FJ129" s="11"/>
      <c r="FK129" s="11"/>
      <c r="FL129" s="11"/>
      <c r="FM129" s="11">
        <v>616000</v>
      </c>
      <c r="FN129" s="11">
        <v>675000</v>
      </c>
      <c r="FO129" s="7"/>
      <c r="FP129" s="7"/>
      <c r="FQ129" s="7"/>
      <c r="FR129" s="7"/>
      <c r="FS129" s="7"/>
      <c r="FT129" s="7">
        <v>47000</v>
      </c>
      <c r="FU129" s="7">
        <v>37000</v>
      </c>
      <c r="FV129" s="7">
        <v>62000</v>
      </c>
      <c r="FW129" s="7">
        <v>80000</v>
      </c>
      <c r="FX129" s="7">
        <v>6971000</v>
      </c>
      <c r="FY129" s="11">
        <v>246000</v>
      </c>
      <c r="FZ129" s="11">
        <v>234000</v>
      </c>
      <c r="GA129" s="11">
        <v>304000</v>
      </c>
      <c r="GB129" s="11">
        <v>408000</v>
      </c>
      <c r="GC129" s="11">
        <v>155000</v>
      </c>
      <c r="GD129" s="7">
        <v>982000</v>
      </c>
      <c r="GE129" s="7">
        <v>937000</v>
      </c>
      <c r="GF129" s="7">
        <v>1218000</v>
      </c>
      <c r="GG129" s="7">
        <v>1632000</v>
      </c>
      <c r="GH129" s="7">
        <v>-7028000</v>
      </c>
    </row>
    <row r="130" spans="1:190" ht="26.25" x14ac:dyDescent="0.25">
      <c r="A130" s="4">
        <v>129</v>
      </c>
      <c r="B130" s="5" t="s">
        <v>526</v>
      </c>
      <c r="C130" s="9" t="s">
        <v>527</v>
      </c>
      <c r="D130" s="7">
        <v>6</v>
      </c>
      <c r="E130" s="6" t="s">
        <v>384</v>
      </c>
      <c r="F130" s="11"/>
      <c r="G130" s="11">
        <v>42334</v>
      </c>
      <c r="H130" s="11">
        <v>38239</v>
      </c>
      <c r="I130" s="11"/>
      <c r="J130" s="11"/>
      <c r="K130" s="11">
        <v>1344075</v>
      </c>
      <c r="L130" s="11">
        <v>3285297</v>
      </c>
      <c r="M130" s="11">
        <v>14074795</v>
      </c>
      <c r="N130" s="11">
        <v>9777227</v>
      </c>
      <c r="O130" s="11"/>
      <c r="P130" s="7">
        <v>8903000</v>
      </c>
      <c r="Q130" s="7">
        <v>59057000</v>
      </c>
      <c r="R130" s="7">
        <v>52319000</v>
      </c>
      <c r="S130" s="7"/>
      <c r="T130" s="7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>
        <v>9798000</v>
      </c>
      <c r="AK130" s="11">
        <v>59945000</v>
      </c>
      <c r="AL130" s="11">
        <v>53236000</v>
      </c>
      <c r="AM130" s="11"/>
      <c r="AN130" s="11"/>
      <c r="AO130" s="7">
        <v>41700000</v>
      </c>
      <c r="AP130" s="7">
        <v>73115000</v>
      </c>
      <c r="AQ130" s="7">
        <v>309281000</v>
      </c>
      <c r="AR130" s="7"/>
      <c r="AS130" s="7"/>
      <c r="AT130" s="7">
        <v>5681000</v>
      </c>
      <c r="AU130" s="7">
        <v>33249000</v>
      </c>
      <c r="AV130" s="7">
        <v>246469000</v>
      </c>
      <c r="AW130" s="7"/>
      <c r="AX130" s="7"/>
      <c r="AY130" s="11"/>
      <c r="AZ130" s="11"/>
      <c r="BA130" s="11"/>
      <c r="BB130" s="11"/>
      <c r="BC130" s="11"/>
      <c r="BD130" s="7">
        <v>1024000</v>
      </c>
      <c r="BE130" s="7">
        <v>1820000</v>
      </c>
      <c r="BF130" s="7">
        <v>3992000</v>
      </c>
      <c r="BG130" s="7"/>
      <c r="BH130" s="7"/>
      <c r="BI130" s="11">
        <v>416000</v>
      </c>
      <c r="BJ130" s="11">
        <v>201000</v>
      </c>
      <c r="BK130" s="11">
        <v>46000</v>
      </c>
      <c r="BL130" s="11"/>
      <c r="BM130" s="11"/>
      <c r="BN130" s="11">
        <v>49086000</v>
      </c>
      <c r="BO130" s="11">
        <v>108413000</v>
      </c>
      <c r="BP130" s="11">
        <v>560966000</v>
      </c>
      <c r="BQ130" s="11"/>
      <c r="BR130" s="11"/>
      <c r="BS130" s="11">
        <v>58884000</v>
      </c>
      <c r="BT130" s="11">
        <v>168358000</v>
      </c>
      <c r="BU130" s="11">
        <v>614202000</v>
      </c>
      <c r="BV130" s="11"/>
      <c r="BW130" s="11"/>
      <c r="BX130" s="7">
        <v>10000</v>
      </c>
      <c r="BY130" s="7">
        <v>10000</v>
      </c>
      <c r="BZ130" s="7">
        <v>10000</v>
      </c>
      <c r="CA130" s="7"/>
      <c r="CB130" s="7"/>
      <c r="CC130" s="11"/>
      <c r="CD130" s="11"/>
      <c r="CE130" s="11"/>
      <c r="CF130" s="11"/>
      <c r="CG130" s="11"/>
      <c r="CH130" s="7">
        <v>2041000</v>
      </c>
      <c r="CI130" s="7">
        <v>5699000</v>
      </c>
      <c r="CJ130" s="7">
        <v>11448000</v>
      </c>
      <c r="CK130" s="7"/>
      <c r="CL130" s="7"/>
      <c r="CM130" s="11">
        <v>2051000</v>
      </c>
      <c r="CN130" s="11">
        <v>5709000</v>
      </c>
      <c r="CO130" s="11">
        <v>11458000</v>
      </c>
      <c r="CP130" s="11"/>
      <c r="CQ130" s="11"/>
      <c r="CR130" s="11">
        <v>1742000</v>
      </c>
      <c r="CS130" s="11">
        <v>3082000</v>
      </c>
      <c r="CT130" s="11"/>
      <c r="CU130" s="11"/>
      <c r="CV130" s="11"/>
      <c r="CW130" s="11"/>
      <c r="CX130" s="11">
        <v>50401000</v>
      </c>
      <c r="CY130" s="11">
        <v>214955000</v>
      </c>
      <c r="CZ130" s="11"/>
      <c r="DA130" s="11"/>
      <c r="DB130" s="11">
        <v>2593000</v>
      </c>
      <c r="DC130" s="11">
        <v>54057000</v>
      </c>
      <c r="DD130" s="11">
        <v>216948000</v>
      </c>
      <c r="DE130" s="11"/>
      <c r="DF130" s="11"/>
      <c r="DG130" s="7">
        <v>3700000</v>
      </c>
      <c r="DH130" s="7">
        <v>4415000</v>
      </c>
      <c r="DI130" s="7">
        <v>9744000</v>
      </c>
      <c r="DJ130" s="7"/>
      <c r="DK130" s="7"/>
      <c r="DL130" s="7">
        <v>50540000</v>
      </c>
      <c r="DM130" s="7">
        <v>104177000</v>
      </c>
      <c r="DN130" s="7">
        <v>376052000</v>
      </c>
      <c r="DO130" s="7"/>
      <c r="DP130" s="7"/>
      <c r="DQ130" s="11"/>
      <c r="DR130" s="11"/>
      <c r="DS130" s="11"/>
      <c r="DT130" s="11"/>
      <c r="DU130" s="11"/>
      <c r="DV130" s="11"/>
      <c r="DW130" s="11"/>
      <c r="DX130" s="11"/>
      <c r="DY130" s="11"/>
      <c r="DZ130" s="11"/>
      <c r="EA130" s="11">
        <v>54240000</v>
      </c>
      <c r="EB130" s="11">
        <v>108592000</v>
      </c>
      <c r="EC130" s="11">
        <v>385796000</v>
      </c>
      <c r="ED130" s="11"/>
      <c r="EE130" s="11"/>
      <c r="EF130" s="7">
        <v>83250000</v>
      </c>
      <c r="EG130" s="7">
        <v>272725000</v>
      </c>
      <c r="EH130" s="7">
        <v>776124000</v>
      </c>
      <c r="EI130" s="7"/>
      <c r="EJ130" s="7"/>
      <c r="EK130" s="7">
        <v>66072000</v>
      </c>
      <c r="EL130" s="7">
        <v>242649000</v>
      </c>
      <c r="EM130" s="7">
        <v>680243000</v>
      </c>
      <c r="EN130" s="7"/>
      <c r="EO130" s="7"/>
      <c r="EP130" s="7"/>
      <c r="EQ130" s="7"/>
      <c r="ER130" s="7"/>
      <c r="ES130" s="7"/>
      <c r="ET130" s="7"/>
      <c r="EU130" s="7">
        <v>13219000</v>
      </c>
      <c r="EV130" s="7">
        <v>24094000</v>
      </c>
      <c r="EW130" s="7">
        <v>64749000</v>
      </c>
      <c r="EX130" s="7"/>
      <c r="EY130" s="7"/>
      <c r="EZ130" s="11"/>
      <c r="FA130" s="11"/>
      <c r="FB130" s="11"/>
      <c r="FC130" s="11"/>
      <c r="FD130" s="11"/>
      <c r="FE130" s="11"/>
      <c r="FF130" s="11"/>
      <c r="FG130" s="11"/>
      <c r="FH130" s="11"/>
      <c r="FI130" s="11"/>
      <c r="FJ130" s="11">
        <v>61000</v>
      </c>
      <c r="FK130" s="11">
        <v>705000</v>
      </c>
      <c r="FL130" s="11">
        <v>812000</v>
      </c>
      <c r="FM130" s="11"/>
      <c r="FN130" s="11"/>
      <c r="FO130" s="7">
        <v>3372000</v>
      </c>
      <c r="FP130" s="7">
        <v>8550000</v>
      </c>
      <c r="FQ130" s="7">
        <v>1118000</v>
      </c>
      <c r="FR130" s="7"/>
      <c r="FS130" s="7"/>
      <c r="FT130" s="7">
        <v>2026000</v>
      </c>
      <c r="FU130" s="7">
        <v>8376000</v>
      </c>
      <c r="FV130" s="7">
        <v>19148000</v>
      </c>
      <c r="FW130" s="7"/>
      <c r="FX130" s="7"/>
      <c r="FY130" s="11">
        <v>-1108000</v>
      </c>
      <c r="FZ130" s="11">
        <v>-1538000</v>
      </c>
      <c r="GA130" s="11">
        <v>-2788000</v>
      </c>
      <c r="GB130" s="11"/>
      <c r="GC130" s="11"/>
      <c r="GD130" s="7">
        <v>4640000</v>
      </c>
      <c r="GE130" s="7">
        <v>5699000</v>
      </c>
      <c r="GF130" s="7">
        <v>11448000</v>
      </c>
      <c r="GG130" s="7"/>
      <c r="GH130" s="7"/>
    </row>
    <row r="131" spans="1:190" x14ac:dyDescent="0.25">
      <c r="A131" s="4">
        <v>130</v>
      </c>
      <c r="B131" s="5" t="s">
        <v>528</v>
      </c>
      <c r="C131" s="9" t="s">
        <v>529</v>
      </c>
      <c r="D131" s="7">
        <v>19</v>
      </c>
      <c r="E131" s="6" t="s">
        <v>530</v>
      </c>
      <c r="F131" s="11">
        <v>1097004</v>
      </c>
      <c r="G131" s="11">
        <v>834346</v>
      </c>
      <c r="H131" s="11">
        <v>1115748</v>
      </c>
      <c r="I131" s="11"/>
      <c r="J131" s="11">
        <v>1505320</v>
      </c>
      <c r="K131" s="11">
        <v>842642</v>
      </c>
      <c r="L131" s="11">
        <v>9206070</v>
      </c>
      <c r="M131" s="11">
        <v>9576401</v>
      </c>
      <c r="N131" s="11">
        <v>143827</v>
      </c>
      <c r="O131" s="11">
        <v>4916767</v>
      </c>
      <c r="P131" s="7">
        <v>204394000</v>
      </c>
      <c r="Q131" s="7">
        <v>234901000</v>
      </c>
      <c r="R131" s="7">
        <v>249993000</v>
      </c>
      <c r="S131" s="7">
        <v>228250000</v>
      </c>
      <c r="T131" s="7">
        <v>230775000</v>
      </c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>
        <v>204394000</v>
      </c>
      <c r="AK131" s="11">
        <v>234901000</v>
      </c>
      <c r="AL131" s="11">
        <v>249993000</v>
      </c>
      <c r="AM131" s="11">
        <v>228250000</v>
      </c>
      <c r="AN131" s="11">
        <v>230775000</v>
      </c>
      <c r="AO131" s="7">
        <v>94295000</v>
      </c>
      <c r="AP131" s="7">
        <v>91441000</v>
      </c>
      <c r="AQ131" s="7">
        <v>89224000</v>
      </c>
      <c r="AR131" s="7">
        <v>13402000</v>
      </c>
      <c r="AS131" s="7">
        <v>13448000</v>
      </c>
      <c r="AT131" s="7">
        <v>61951000</v>
      </c>
      <c r="AU131" s="7">
        <v>32302000</v>
      </c>
      <c r="AV131" s="7">
        <v>20738000</v>
      </c>
      <c r="AW131" s="7">
        <v>14327000</v>
      </c>
      <c r="AX131" s="7">
        <v>9479000</v>
      </c>
      <c r="AY131" s="11"/>
      <c r="AZ131" s="11"/>
      <c r="BA131" s="11"/>
      <c r="BB131" s="11"/>
      <c r="BC131" s="11"/>
      <c r="BD131" s="7">
        <v>608000</v>
      </c>
      <c r="BE131" s="7">
        <v>34000</v>
      </c>
      <c r="BF131" s="7">
        <v>60000</v>
      </c>
      <c r="BG131" s="7">
        <v>141000</v>
      </c>
      <c r="BH131" s="7">
        <v>388000</v>
      </c>
      <c r="BI131" s="11"/>
      <c r="BJ131" s="11"/>
      <c r="BK131" s="11"/>
      <c r="BL131" s="11"/>
      <c r="BM131" s="11"/>
      <c r="BN131" s="11">
        <v>156854000</v>
      </c>
      <c r="BO131" s="11">
        <v>123777000</v>
      </c>
      <c r="BP131" s="11">
        <v>110022000</v>
      </c>
      <c r="BQ131" s="11">
        <v>27870000</v>
      </c>
      <c r="BR131" s="11">
        <v>23315000</v>
      </c>
      <c r="BS131" s="11">
        <v>361248000</v>
      </c>
      <c r="BT131" s="11">
        <v>358679000</v>
      </c>
      <c r="BU131" s="11">
        <v>360016000</v>
      </c>
      <c r="BV131" s="11">
        <v>256119000</v>
      </c>
      <c r="BW131" s="11">
        <v>254090000</v>
      </c>
      <c r="BX131" s="7"/>
      <c r="BY131" s="7"/>
      <c r="BZ131" s="7"/>
      <c r="CA131" s="7"/>
      <c r="CB131" s="7"/>
      <c r="CC131" s="11"/>
      <c r="CD131" s="11"/>
      <c r="CE131" s="11"/>
      <c r="CF131" s="11"/>
      <c r="CG131" s="11"/>
      <c r="CH131" s="7"/>
      <c r="CI131" s="7"/>
      <c r="CJ131" s="7"/>
      <c r="CK131" s="7"/>
      <c r="CL131" s="7"/>
      <c r="CM131" s="11">
        <v>72495000</v>
      </c>
      <c r="CN131" s="11">
        <v>86449000</v>
      </c>
      <c r="CO131" s="11">
        <v>81785000</v>
      </c>
      <c r="CP131" s="11">
        <v>-31643000</v>
      </c>
      <c r="CQ131" s="11">
        <v>-29375000</v>
      </c>
      <c r="CR131" s="11">
        <v>185538000</v>
      </c>
      <c r="CS131" s="11">
        <v>171845000</v>
      </c>
      <c r="CT131" s="11">
        <v>156482000</v>
      </c>
      <c r="CU131" s="11">
        <v>155820000</v>
      </c>
      <c r="CV131" s="11">
        <v>155820000</v>
      </c>
      <c r="CW131" s="11"/>
      <c r="CX131" s="11"/>
      <c r="CY131" s="11"/>
      <c r="CZ131" s="11"/>
      <c r="DA131" s="11"/>
      <c r="DB131" s="11">
        <v>185538000</v>
      </c>
      <c r="DC131" s="11">
        <v>171845000</v>
      </c>
      <c r="DD131" s="11">
        <v>156482000</v>
      </c>
      <c r="DE131" s="11">
        <v>155820000</v>
      </c>
      <c r="DF131" s="11">
        <v>155820000</v>
      </c>
      <c r="DG131" s="7">
        <v>5992000</v>
      </c>
      <c r="DH131" s="7">
        <v>3628000</v>
      </c>
      <c r="DI131" s="7">
        <v>2633000</v>
      </c>
      <c r="DJ131" s="7">
        <v>6190000</v>
      </c>
      <c r="DK131" s="7">
        <v>6190000</v>
      </c>
      <c r="DL131" s="7">
        <v>97223000</v>
      </c>
      <c r="DM131" s="7">
        <v>96756000</v>
      </c>
      <c r="DN131" s="7">
        <v>119116000</v>
      </c>
      <c r="DO131" s="7">
        <v>125752000</v>
      </c>
      <c r="DP131" s="7">
        <v>121455000</v>
      </c>
      <c r="DQ131" s="11"/>
      <c r="DR131" s="11"/>
      <c r="DS131" s="11"/>
      <c r="DT131" s="11"/>
      <c r="DU131" s="11"/>
      <c r="DV131" s="11"/>
      <c r="DW131" s="11"/>
      <c r="DX131" s="11"/>
      <c r="DY131" s="11"/>
      <c r="DZ131" s="11"/>
      <c r="EA131" s="11">
        <v>103215000</v>
      </c>
      <c r="EB131" s="11">
        <v>100384000</v>
      </c>
      <c r="EC131" s="11">
        <v>121749000</v>
      </c>
      <c r="ED131" s="11">
        <v>131942000</v>
      </c>
      <c r="EE131" s="11">
        <v>127645000</v>
      </c>
      <c r="EF131" s="7">
        <v>138837000</v>
      </c>
      <c r="EG131" s="7">
        <v>220483000</v>
      </c>
      <c r="EH131" s="7">
        <v>130263000</v>
      </c>
      <c r="EI131" s="7">
        <v>22878000</v>
      </c>
      <c r="EJ131" s="7">
        <v>37875000</v>
      </c>
      <c r="EK131" s="7">
        <v>101638000</v>
      </c>
      <c r="EL131" s="7">
        <v>191581000</v>
      </c>
      <c r="EM131" s="7">
        <v>120129000</v>
      </c>
      <c r="EN131" s="7">
        <v>31402000</v>
      </c>
      <c r="EO131" s="7">
        <v>37047000</v>
      </c>
      <c r="EP131" s="7"/>
      <c r="EQ131" s="7"/>
      <c r="ER131" s="7"/>
      <c r="ES131" s="7"/>
      <c r="ET131" s="7"/>
      <c r="EU131" s="7"/>
      <c r="EV131" s="7"/>
      <c r="EW131" s="7"/>
      <c r="EX131" s="7"/>
      <c r="EY131" s="7"/>
      <c r="EZ131" s="11"/>
      <c r="FA131" s="11"/>
      <c r="FB131" s="11"/>
      <c r="FC131" s="11"/>
      <c r="FD131" s="11"/>
      <c r="FE131" s="11"/>
      <c r="FF131" s="11"/>
      <c r="FG131" s="11"/>
      <c r="FH131" s="11"/>
      <c r="FI131" s="11"/>
      <c r="FJ131" s="11">
        <v>8988000</v>
      </c>
      <c r="FK131" s="11">
        <v>15219000</v>
      </c>
      <c r="FL131" s="11">
        <v>13499000</v>
      </c>
      <c r="FM131" s="11">
        <v>9704000</v>
      </c>
      <c r="FN131" s="11"/>
      <c r="FO131" s="7">
        <v>473000</v>
      </c>
      <c r="FP131" s="7">
        <v>5119000</v>
      </c>
      <c r="FQ131" s="7">
        <v>18546000</v>
      </c>
      <c r="FR131" s="7">
        <v>6365000</v>
      </c>
      <c r="FS131" s="7">
        <v>11390000</v>
      </c>
      <c r="FT131" s="7">
        <v>25553000</v>
      </c>
      <c r="FU131" s="7">
        <v>12876000</v>
      </c>
      <c r="FV131" s="7">
        <v>29846000</v>
      </c>
      <c r="FW131" s="7">
        <v>101565000</v>
      </c>
      <c r="FX131" s="7">
        <v>9586000</v>
      </c>
      <c r="FY131" s="11">
        <v>1000000</v>
      </c>
      <c r="FZ131" s="11">
        <v>1720000</v>
      </c>
      <c r="GA131" s="11"/>
      <c r="GB131" s="11"/>
      <c r="GC131" s="11">
        <v>363000</v>
      </c>
      <c r="GD131" s="7">
        <v>2131000</v>
      </c>
      <c r="GE131" s="7">
        <v>4206000</v>
      </c>
      <c r="GF131" s="7">
        <v>-14665000</v>
      </c>
      <c r="GG131" s="7">
        <v>-113428000</v>
      </c>
      <c r="GH131" s="7">
        <v>2269000</v>
      </c>
    </row>
    <row r="132" spans="1:190" x14ac:dyDescent="0.25">
      <c r="A132" s="4">
        <v>131</v>
      </c>
      <c r="B132" s="5" t="s">
        <v>531</v>
      </c>
      <c r="C132" s="9" t="s">
        <v>532</v>
      </c>
      <c r="D132" s="7">
        <v>30</v>
      </c>
      <c r="E132" s="6" t="s">
        <v>198</v>
      </c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7"/>
      <c r="Q132" s="7"/>
      <c r="R132" s="7"/>
      <c r="S132" s="7"/>
      <c r="T132" s="7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11"/>
      <c r="AZ132" s="11"/>
      <c r="BA132" s="11"/>
      <c r="BB132" s="11"/>
      <c r="BC132" s="11"/>
      <c r="BD132" s="7"/>
      <c r="BE132" s="7"/>
      <c r="BF132" s="7"/>
      <c r="BG132" s="7"/>
      <c r="BH132" s="7"/>
      <c r="BI132" s="11"/>
      <c r="BJ132" s="11"/>
      <c r="BK132" s="11"/>
      <c r="BL132" s="11"/>
      <c r="BM132" s="11"/>
      <c r="BN132" s="11"/>
      <c r="BO132" s="11"/>
      <c r="BP132" s="11"/>
      <c r="BQ132" s="11"/>
      <c r="BR132" s="11"/>
      <c r="BS132" s="11"/>
      <c r="BT132" s="11"/>
      <c r="BU132" s="11"/>
      <c r="BV132" s="11"/>
      <c r="BW132" s="11"/>
      <c r="BX132" s="7"/>
      <c r="BY132" s="7"/>
      <c r="BZ132" s="7"/>
      <c r="CA132" s="7"/>
      <c r="CB132" s="7"/>
      <c r="CC132" s="11"/>
      <c r="CD132" s="11"/>
      <c r="CE132" s="11"/>
      <c r="CF132" s="11"/>
      <c r="CG132" s="11"/>
      <c r="CH132" s="7"/>
      <c r="CI132" s="7"/>
      <c r="CJ132" s="7"/>
      <c r="CK132" s="7"/>
      <c r="CL132" s="7"/>
      <c r="CM132" s="11"/>
      <c r="CN132" s="11"/>
      <c r="CO132" s="11"/>
      <c r="CP132" s="11"/>
      <c r="CQ132" s="11"/>
      <c r="CR132" s="11"/>
      <c r="CS132" s="11"/>
      <c r="CT132" s="11"/>
      <c r="CU132" s="11"/>
      <c r="CV132" s="11"/>
      <c r="CW132" s="11"/>
      <c r="CX132" s="11"/>
      <c r="CY132" s="11"/>
      <c r="CZ132" s="11"/>
      <c r="DA132" s="11"/>
      <c r="DB132" s="11"/>
      <c r="DC132" s="11"/>
      <c r="DD132" s="11"/>
      <c r="DE132" s="11"/>
      <c r="DF132" s="11"/>
      <c r="DG132" s="7"/>
      <c r="DH132" s="7"/>
      <c r="DI132" s="7"/>
      <c r="DJ132" s="7"/>
      <c r="DK132" s="7"/>
      <c r="DL132" s="7"/>
      <c r="DM132" s="7"/>
      <c r="DN132" s="7"/>
      <c r="DO132" s="7"/>
      <c r="DP132" s="7"/>
      <c r="DQ132" s="11"/>
      <c r="DR132" s="11"/>
      <c r="DS132" s="11"/>
      <c r="DT132" s="11"/>
      <c r="DU132" s="11"/>
      <c r="DV132" s="11"/>
      <c r="DW132" s="11"/>
      <c r="DX132" s="11"/>
      <c r="DY132" s="11"/>
      <c r="DZ132" s="11"/>
      <c r="EA132" s="11"/>
      <c r="EB132" s="11"/>
      <c r="EC132" s="11"/>
      <c r="ED132" s="11"/>
      <c r="EE132" s="11"/>
      <c r="EF132" s="7"/>
      <c r="EG132" s="7"/>
      <c r="EH132" s="7"/>
      <c r="EI132" s="7"/>
      <c r="EJ132" s="7"/>
      <c r="EK132" s="7"/>
      <c r="EL132" s="7"/>
      <c r="EM132" s="7"/>
      <c r="EN132" s="7"/>
      <c r="EO132" s="7"/>
      <c r="EP132" s="7"/>
      <c r="EQ132" s="7"/>
      <c r="ER132" s="7"/>
      <c r="ES132" s="7"/>
      <c r="ET132" s="7"/>
      <c r="EU132" s="7"/>
      <c r="EV132" s="7"/>
      <c r="EW132" s="7"/>
      <c r="EX132" s="7"/>
      <c r="EY132" s="7"/>
      <c r="EZ132" s="11"/>
      <c r="FA132" s="11"/>
      <c r="FB132" s="11"/>
      <c r="FC132" s="11"/>
      <c r="FD132" s="11"/>
      <c r="FE132" s="11"/>
      <c r="FF132" s="11"/>
      <c r="FG132" s="11"/>
      <c r="FH132" s="11"/>
      <c r="FI132" s="11"/>
      <c r="FJ132" s="11"/>
      <c r="FK132" s="11"/>
      <c r="FL132" s="11"/>
      <c r="FM132" s="11"/>
      <c r="FN132" s="11"/>
      <c r="FO132" s="7"/>
      <c r="FP132" s="7"/>
      <c r="FQ132" s="7"/>
      <c r="FR132" s="7"/>
      <c r="FS132" s="7"/>
      <c r="FT132" s="7"/>
      <c r="FU132" s="7"/>
      <c r="FV132" s="7"/>
      <c r="FW132" s="7"/>
      <c r="FX132" s="7"/>
      <c r="FY132" s="11"/>
      <c r="FZ132" s="11"/>
      <c r="GA132" s="11"/>
      <c r="GB132" s="11"/>
      <c r="GC132" s="11"/>
      <c r="GD132" s="7"/>
      <c r="GE132" s="7"/>
      <c r="GF132" s="7"/>
      <c r="GG132" s="7"/>
      <c r="GH132" s="7"/>
    </row>
    <row r="133" spans="1:190" ht="26.25" x14ac:dyDescent="0.25">
      <c r="A133" s="4">
        <v>132</v>
      </c>
      <c r="B133" s="5" t="s">
        <v>533</v>
      </c>
      <c r="C133" s="9" t="s">
        <v>534</v>
      </c>
      <c r="D133" s="7">
        <v>10</v>
      </c>
      <c r="E133" s="6" t="s">
        <v>535</v>
      </c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7">
        <v>54413000</v>
      </c>
      <c r="Q133" s="7"/>
      <c r="R133" s="7"/>
      <c r="S133" s="7"/>
      <c r="T133" s="7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>
        <v>54413000</v>
      </c>
      <c r="AK133" s="11"/>
      <c r="AL133" s="11"/>
      <c r="AM133" s="11"/>
      <c r="AN133" s="11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11"/>
      <c r="AZ133" s="11"/>
      <c r="BA133" s="11"/>
      <c r="BB133" s="11"/>
      <c r="BC133" s="11"/>
      <c r="BD133" s="7"/>
      <c r="BE133" s="7"/>
      <c r="BF133" s="7"/>
      <c r="BG133" s="7"/>
      <c r="BH133" s="7"/>
      <c r="BI133" s="11"/>
      <c r="BJ133" s="11"/>
      <c r="BK133" s="11"/>
      <c r="BL133" s="11"/>
      <c r="BM133" s="11"/>
      <c r="BN133" s="11"/>
      <c r="BO133" s="11"/>
      <c r="BP133" s="11"/>
      <c r="BQ133" s="11"/>
      <c r="BR133" s="11"/>
      <c r="BS133" s="11">
        <v>54413000</v>
      </c>
      <c r="BT133" s="11"/>
      <c r="BU133" s="11"/>
      <c r="BV133" s="11"/>
      <c r="BW133" s="11"/>
      <c r="BX133" s="7">
        <v>10000</v>
      </c>
      <c r="BY133" s="7"/>
      <c r="BZ133" s="7"/>
      <c r="CA133" s="7"/>
      <c r="CB133" s="7"/>
      <c r="CC133" s="11"/>
      <c r="CD133" s="11"/>
      <c r="CE133" s="11"/>
      <c r="CF133" s="11"/>
      <c r="CG133" s="11"/>
      <c r="CH133" s="7">
        <v>-156641000</v>
      </c>
      <c r="CI133" s="7"/>
      <c r="CJ133" s="7"/>
      <c r="CK133" s="7"/>
      <c r="CL133" s="7"/>
      <c r="CM133" s="11">
        <v>-11631000</v>
      </c>
      <c r="CN133" s="11"/>
      <c r="CO133" s="11"/>
      <c r="CP133" s="11"/>
      <c r="CQ133" s="11"/>
      <c r="CR133" s="11"/>
      <c r="CS133" s="11"/>
      <c r="CT133" s="11"/>
      <c r="CU133" s="11"/>
      <c r="CV133" s="11"/>
      <c r="CW133" s="11"/>
      <c r="CX133" s="11"/>
      <c r="CY133" s="11"/>
      <c r="CZ133" s="11"/>
      <c r="DA133" s="11"/>
      <c r="DB133" s="11"/>
      <c r="DC133" s="11"/>
      <c r="DD133" s="11"/>
      <c r="DE133" s="11"/>
      <c r="DF133" s="11"/>
      <c r="DG133" s="7"/>
      <c r="DH133" s="7"/>
      <c r="DI133" s="7"/>
      <c r="DJ133" s="7"/>
      <c r="DK133" s="7"/>
      <c r="DL133" s="7">
        <v>66044000</v>
      </c>
      <c r="DM133" s="7"/>
      <c r="DN133" s="7"/>
      <c r="DO133" s="7"/>
      <c r="DP133" s="7"/>
      <c r="DQ133" s="11"/>
      <c r="DR133" s="11"/>
      <c r="DS133" s="11"/>
      <c r="DT133" s="11"/>
      <c r="DU133" s="11"/>
      <c r="DV133" s="11"/>
      <c r="DW133" s="11"/>
      <c r="DX133" s="11"/>
      <c r="DY133" s="11"/>
      <c r="DZ133" s="11"/>
      <c r="EA133" s="11">
        <v>66044000</v>
      </c>
      <c r="EB133" s="11"/>
      <c r="EC133" s="11"/>
      <c r="ED133" s="11"/>
      <c r="EE133" s="11"/>
      <c r="EF133" s="7"/>
      <c r="EG133" s="7"/>
      <c r="EH133" s="7"/>
      <c r="EI133" s="7"/>
      <c r="EJ133" s="7"/>
      <c r="EK133" s="7"/>
      <c r="EL133" s="7"/>
      <c r="EM133" s="7"/>
      <c r="EN133" s="7"/>
      <c r="EO133" s="7"/>
      <c r="EP133" s="7"/>
      <c r="EQ133" s="7"/>
      <c r="ER133" s="7"/>
      <c r="ES133" s="7"/>
      <c r="ET133" s="7"/>
      <c r="EU133" s="7"/>
      <c r="EV133" s="7"/>
      <c r="EW133" s="7"/>
      <c r="EX133" s="7"/>
      <c r="EY133" s="7"/>
      <c r="EZ133" s="11"/>
      <c r="FA133" s="11"/>
      <c r="FB133" s="11"/>
      <c r="FC133" s="11"/>
      <c r="FD133" s="11"/>
      <c r="FE133" s="11"/>
      <c r="FF133" s="11"/>
      <c r="FG133" s="11"/>
      <c r="FH133" s="11"/>
      <c r="FI133" s="11"/>
      <c r="FJ133" s="11"/>
      <c r="FK133" s="11"/>
      <c r="FL133" s="11"/>
      <c r="FM133" s="11"/>
      <c r="FN133" s="11"/>
      <c r="FO133" s="7"/>
      <c r="FP133" s="7"/>
      <c r="FQ133" s="7"/>
      <c r="FR133" s="7"/>
      <c r="FS133" s="7"/>
      <c r="FT133" s="7"/>
      <c r="FU133" s="7"/>
      <c r="FV133" s="7"/>
      <c r="FW133" s="7"/>
      <c r="FX133" s="7"/>
      <c r="FY133" s="11"/>
      <c r="FZ133" s="11"/>
      <c r="GA133" s="11"/>
      <c r="GB133" s="11"/>
      <c r="GC133" s="11"/>
      <c r="GD133" s="7"/>
      <c r="GE133" s="7"/>
      <c r="GF133" s="7"/>
      <c r="GG133" s="7"/>
      <c r="GH133" s="7"/>
    </row>
    <row r="134" spans="1:190" x14ac:dyDescent="0.25">
      <c r="A134" s="4">
        <v>133</v>
      </c>
      <c r="B134" s="5" t="s">
        <v>536</v>
      </c>
      <c r="C134" s="9" t="s">
        <v>537</v>
      </c>
      <c r="D134" s="7">
        <v>22</v>
      </c>
      <c r="E134" s="6" t="s">
        <v>266</v>
      </c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7">
        <v>106059000</v>
      </c>
      <c r="Q134" s="7"/>
      <c r="R134" s="7"/>
      <c r="S134" s="7"/>
      <c r="T134" s="7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>
        <v>106059000</v>
      </c>
      <c r="AK134" s="11"/>
      <c r="AL134" s="11"/>
      <c r="AM134" s="11"/>
      <c r="AN134" s="11"/>
      <c r="AO134" s="7"/>
      <c r="AP134" s="7"/>
      <c r="AQ134" s="7"/>
      <c r="AR134" s="7"/>
      <c r="AS134" s="7"/>
      <c r="AT134" s="7">
        <v>426775000</v>
      </c>
      <c r="AU134" s="7"/>
      <c r="AV134" s="7"/>
      <c r="AW134" s="7"/>
      <c r="AX134" s="7"/>
      <c r="AY134" s="11"/>
      <c r="AZ134" s="11"/>
      <c r="BA134" s="11"/>
      <c r="BB134" s="11"/>
      <c r="BC134" s="11"/>
      <c r="BD134" s="7">
        <v>29496000</v>
      </c>
      <c r="BE134" s="7"/>
      <c r="BF134" s="7"/>
      <c r="BG134" s="7"/>
      <c r="BH134" s="7"/>
      <c r="BI134" s="11"/>
      <c r="BJ134" s="11"/>
      <c r="BK134" s="11"/>
      <c r="BL134" s="11"/>
      <c r="BM134" s="11"/>
      <c r="BN134" s="11">
        <v>456271000</v>
      </c>
      <c r="BO134" s="11"/>
      <c r="BP134" s="11"/>
      <c r="BQ134" s="11"/>
      <c r="BR134" s="11"/>
      <c r="BS134" s="11">
        <v>562330000</v>
      </c>
      <c r="BT134" s="11"/>
      <c r="BU134" s="11"/>
      <c r="BV134" s="11"/>
      <c r="BW134" s="11"/>
      <c r="BX134" s="7">
        <v>1000000</v>
      </c>
      <c r="BY134" s="7">
        <v>1000000</v>
      </c>
      <c r="BZ134" s="7"/>
      <c r="CA134" s="7"/>
      <c r="CB134" s="7"/>
      <c r="CC134" s="11"/>
      <c r="CD134" s="11"/>
      <c r="CE134" s="11"/>
      <c r="CF134" s="11"/>
      <c r="CG134" s="11"/>
      <c r="CH134" s="7">
        <v>-24949906000</v>
      </c>
      <c r="CI134" s="7">
        <v>-1000000</v>
      </c>
      <c r="CJ134" s="7"/>
      <c r="CK134" s="7"/>
      <c r="CL134" s="7"/>
      <c r="CM134" s="11">
        <v>-24948906000</v>
      </c>
      <c r="CN134" s="11"/>
      <c r="CO134" s="11"/>
      <c r="CP134" s="11"/>
      <c r="CQ134" s="11"/>
      <c r="CR134" s="11"/>
      <c r="CS134" s="11"/>
      <c r="CT134" s="11"/>
      <c r="CU134" s="11"/>
      <c r="CV134" s="11"/>
      <c r="CW134" s="11"/>
      <c r="CX134" s="11"/>
      <c r="CY134" s="11"/>
      <c r="CZ134" s="11"/>
      <c r="DA134" s="11"/>
      <c r="DB134" s="11"/>
      <c r="DC134" s="11"/>
      <c r="DD134" s="11"/>
      <c r="DE134" s="11"/>
      <c r="DF134" s="11"/>
      <c r="DG134" s="7"/>
      <c r="DH134" s="7"/>
      <c r="DI134" s="7"/>
      <c r="DJ134" s="7"/>
      <c r="DK134" s="7"/>
      <c r="DL134" s="7">
        <v>25511236000</v>
      </c>
      <c r="DM134" s="7"/>
      <c r="DN134" s="7"/>
      <c r="DO134" s="7"/>
      <c r="DP134" s="7"/>
      <c r="DQ134" s="11"/>
      <c r="DR134" s="11"/>
      <c r="DS134" s="11"/>
      <c r="DT134" s="11"/>
      <c r="DU134" s="11"/>
      <c r="DV134" s="11"/>
      <c r="DW134" s="11"/>
      <c r="DX134" s="11"/>
      <c r="DY134" s="11"/>
      <c r="DZ134" s="11"/>
      <c r="EA134" s="11">
        <v>25511236000</v>
      </c>
      <c r="EB134" s="11"/>
      <c r="EC134" s="11"/>
      <c r="ED134" s="11"/>
      <c r="EE134" s="11"/>
      <c r="EF134" s="7"/>
      <c r="EG134" s="7"/>
      <c r="EH134" s="7"/>
      <c r="EI134" s="7"/>
      <c r="EJ134" s="7"/>
      <c r="EK134" s="7"/>
      <c r="EL134" s="7"/>
      <c r="EM134" s="7"/>
      <c r="EN134" s="7"/>
      <c r="EO134" s="7"/>
      <c r="EP134" s="7"/>
      <c r="EQ134" s="7"/>
      <c r="ER134" s="7"/>
      <c r="ES134" s="7"/>
      <c r="ET134" s="7"/>
      <c r="EU134" s="7"/>
      <c r="EV134" s="7"/>
      <c r="EW134" s="7"/>
      <c r="EX134" s="7"/>
      <c r="EY134" s="7"/>
      <c r="EZ134" s="11"/>
      <c r="FA134" s="11"/>
      <c r="FB134" s="11"/>
      <c r="FC134" s="11"/>
      <c r="FD134" s="11"/>
      <c r="FE134" s="11"/>
      <c r="FF134" s="11"/>
      <c r="FG134" s="11"/>
      <c r="FH134" s="11"/>
      <c r="FI134" s="11"/>
      <c r="FJ134" s="11"/>
      <c r="FK134" s="11"/>
      <c r="FL134" s="11"/>
      <c r="FM134" s="11"/>
      <c r="FN134" s="11"/>
      <c r="FO134" s="7"/>
      <c r="FP134" s="7"/>
      <c r="FQ134" s="7"/>
      <c r="FR134" s="7"/>
      <c r="FS134" s="7"/>
      <c r="FT134" s="7">
        <v>11428997000</v>
      </c>
      <c r="FU134" s="7"/>
      <c r="FV134" s="7"/>
      <c r="FW134" s="7"/>
      <c r="FX134" s="7"/>
      <c r="FY134" s="11"/>
      <c r="FZ134" s="11"/>
      <c r="GA134" s="11"/>
      <c r="GB134" s="11"/>
      <c r="GC134" s="11"/>
      <c r="GD134" s="7">
        <v>-11428997000</v>
      </c>
      <c r="GE134" s="7"/>
      <c r="GF134" s="7"/>
      <c r="GG134" s="7"/>
      <c r="GH134" s="7"/>
    </row>
    <row r="135" spans="1:190" x14ac:dyDescent="0.25">
      <c r="A135" s="4">
        <v>134</v>
      </c>
      <c r="B135" s="5" t="s">
        <v>538</v>
      </c>
      <c r="C135" s="9" t="s">
        <v>539</v>
      </c>
      <c r="D135" s="7">
        <v>17</v>
      </c>
      <c r="E135" s="6" t="s">
        <v>190</v>
      </c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7">
        <v>1117000</v>
      </c>
      <c r="Q135" s="7"/>
      <c r="R135" s="7"/>
      <c r="S135" s="7"/>
      <c r="T135" s="7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>
        <v>1117000</v>
      </c>
      <c r="AK135" s="11"/>
      <c r="AL135" s="11"/>
      <c r="AM135" s="11"/>
      <c r="AN135" s="11"/>
      <c r="AO135" s="7"/>
      <c r="AP135" s="7"/>
      <c r="AQ135" s="7"/>
      <c r="AR135" s="7"/>
      <c r="AS135" s="7"/>
      <c r="AT135" s="7">
        <v>15372000</v>
      </c>
      <c r="AU135" s="7"/>
      <c r="AV135" s="7"/>
      <c r="AW135" s="7"/>
      <c r="AX135" s="7"/>
      <c r="AY135" s="11"/>
      <c r="AZ135" s="11"/>
      <c r="BA135" s="11"/>
      <c r="BB135" s="11"/>
      <c r="BC135" s="11"/>
      <c r="BD135" s="7"/>
      <c r="BE135" s="7"/>
      <c r="BF135" s="7"/>
      <c r="BG135" s="7"/>
      <c r="BH135" s="7"/>
      <c r="BI135" s="11"/>
      <c r="BJ135" s="11"/>
      <c r="BK135" s="11"/>
      <c r="BL135" s="11"/>
      <c r="BM135" s="11"/>
      <c r="BN135" s="11">
        <v>15372000</v>
      </c>
      <c r="BO135" s="11"/>
      <c r="BP135" s="11"/>
      <c r="BQ135" s="11"/>
      <c r="BR135" s="11"/>
      <c r="BS135" s="11">
        <v>16489000</v>
      </c>
      <c r="BT135" s="11"/>
      <c r="BU135" s="11"/>
      <c r="BV135" s="11"/>
      <c r="BW135" s="11"/>
      <c r="BX135" s="7"/>
      <c r="BY135" s="7"/>
      <c r="BZ135" s="7"/>
      <c r="CA135" s="7"/>
      <c r="CB135" s="7"/>
      <c r="CC135" s="11"/>
      <c r="CD135" s="11"/>
      <c r="CE135" s="11"/>
      <c r="CF135" s="11"/>
      <c r="CG135" s="11"/>
      <c r="CH135" s="7"/>
      <c r="CI135" s="7"/>
      <c r="CJ135" s="7"/>
      <c r="CK135" s="7"/>
      <c r="CL135" s="7"/>
      <c r="CM135" s="11">
        <v>-8362000</v>
      </c>
      <c r="CN135" s="11"/>
      <c r="CO135" s="11"/>
      <c r="CP135" s="11"/>
      <c r="CQ135" s="11"/>
      <c r="CR135" s="11"/>
      <c r="CS135" s="11"/>
      <c r="CT135" s="11"/>
      <c r="CU135" s="11"/>
      <c r="CV135" s="11"/>
      <c r="CW135" s="11"/>
      <c r="CX135" s="11"/>
      <c r="CY135" s="11"/>
      <c r="CZ135" s="11"/>
      <c r="DA135" s="11"/>
      <c r="DB135" s="11"/>
      <c r="DC135" s="11"/>
      <c r="DD135" s="11"/>
      <c r="DE135" s="11"/>
      <c r="DF135" s="11"/>
      <c r="DG135" s="7"/>
      <c r="DH135" s="7"/>
      <c r="DI135" s="7"/>
      <c r="DJ135" s="7"/>
      <c r="DK135" s="7"/>
      <c r="DL135" s="7">
        <v>23552000</v>
      </c>
      <c r="DM135" s="7"/>
      <c r="DN135" s="7"/>
      <c r="DO135" s="7"/>
      <c r="DP135" s="7"/>
      <c r="DQ135" s="11"/>
      <c r="DR135" s="11"/>
      <c r="DS135" s="11"/>
      <c r="DT135" s="11"/>
      <c r="DU135" s="11"/>
      <c r="DV135" s="11">
        <v>1299000</v>
      </c>
      <c r="DW135" s="11"/>
      <c r="DX135" s="11"/>
      <c r="DY135" s="11"/>
      <c r="DZ135" s="11"/>
      <c r="EA135" s="11">
        <v>24851000</v>
      </c>
      <c r="EB135" s="11"/>
      <c r="EC135" s="11"/>
      <c r="ED135" s="11"/>
      <c r="EE135" s="11"/>
      <c r="EF135" s="7"/>
      <c r="EG135" s="7"/>
      <c r="EH135" s="7"/>
      <c r="EI135" s="7"/>
      <c r="EJ135" s="7"/>
      <c r="EK135" s="7"/>
      <c r="EL135" s="7"/>
      <c r="EM135" s="7"/>
      <c r="EN135" s="7"/>
      <c r="EO135" s="7"/>
      <c r="EP135" s="7"/>
      <c r="EQ135" s="7"/>
      <c r="ER135" s="7"/>
      <c r="ES135" s="7"/>
      <c r="ET135" s="7"/>
      <c r="EU135" s="7"/>
      <c r="EV135" s="7"/>
      <c r="EW135" s="7"/>
      <c r="EX135" s="7"/>
      <c r="EY135" s="7"/>
      <c r="EZ135" s="11"/>
      <c r="FA135" s="11"/>
      <c r="FB135" s="11"/>
      <c r="FC135" s="11"/>
      <c r="FD135" s="11"/>
      <c r="FE135" s="11"/>
      <c r="FF135" s="11"/>
      <c r="FG135" s="11"/>
      <c r="FH135" s="11"/>
      <c r="FI135" s="11"/>
      <c r="FJ135" s="11"/>
      <c r="FK135" s="11"/>
      <c r="FL135" s="11"/>
      <c r="FM135" s="11"/>
      <c r="FN135" s="11"/>
      <c r="FO135" s="7"/>
      <c r="FP135" s="7"/>
      <c r="FQ135" s="7"/>
      <c r="FR135" s="7"/>
      <c r="FS135" s="7"/>
      <c r="FT135" s="7"/>
      <c r="FU135" s="7"/>
      <c r="FV135" s="7"/>
      <c r="FW135" s="7"/>
      <c r="FX135" s="7"/>
      <c r="FY135" s="11"/>
      <c r="FZ135" s="11"/>
      <c r="GA135" s="11"/>
      <c r="GB135" s="11"/>
      <c r="GC135" s="11"/>
      <c r="GD135" s="7"/>
      <c r="GE135" s="7"/>
      <c r="GF135" s="7"/>
      <c r="GG135" s="7"/>
      <c r="GH135" s="7"/>
    </row>
    <row r="136" spans="1:190" x14ac:dyDescent="0.25">
      <c r="A136" s="4">
        <v>135</v>
      </c>
      <c r="B136" s="5" t="s">
        <v>540</v>
      </c>
      <c r="C136" s="9" t="s">
        <v>541</v>
      </c>
      <c r="D136" s="7">
        <v>20</v>
      </c>
      <c r="E136" s="6" t="s">
        <v>190</v>
      </c>
      <c r="F136" s="11">
        <v>2046115</v>
      </c>
      <c r="G136" s="11">
        <v>2169265</v>
      </c>
      <c r="H136" s="11">
        <v>2489503</v>
      </c>
      <c r="I136" s="11">
        <v>3761228</v>
      </c>
      <c r="J136" s="11">
        <v>362821</v>
      </c>
      <c r="K136" s="11">
        <v>907785</v>
      </c>
      <c r="L136" s="11">
        <v>379232</v>
      </c>
      <c r="M136" s="11">
        <v>3434044</v>
      </c>
      <c r="N136" s="11">
        <v>749843</v>
      </c>
      <c r="O136" s="11">
        <v>694044</v>
      </c>
      <c r="P136" s="7">
        <v>47367000</v>
      </c>
      <c r="Q136" s="7">
        <v>39920000</v>
      </c>
      <c r="R136" s="7">
        <v>31682000</v>
      </c>
      <c r="S136" s="7">
        <v>28631000</v>
      </c>
      <c r="T136" s="7">
        <v>307000</v>
      </c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>
        <v>47932000</v>
      </c>
      <c r="AK136" s="11">
        <v>40680000</v>
      </c>
      <c r="AL136" s="11">
        <v>32460000</v>
      </c>
      <c r="AM136" s="11">
        <v>29415000</v>
      </c>
      <c r="AN136" s="11">
        <v>23789000</v>
      </c>
      <c r="AO136" s="7">
        <v>306373000</v>
      </c>
      <c r="AP136" s="7">
        <v>245384000</v>
      </c>
      <c r="AQ136" s="7">
        <v>134874000</v>
      </c>
      <c r="AR136" s="7">
        <v>45313000</v>
      </c>
      <c r="AS136" s="7">
        <v>33404000</v>
      </c>
      <c r="AT136" s="7">
        <v>425434000</v>
      </c>
      <c r="AU136" s="7">
        <v>460768000</v>
      </c>
      <c r="AV136" s="7">
        <v>672561000</v>
      </c>
      <c r="AW136" s="7">
        <v>720899000</v>
      </c>
      <c r="AX136" s="7">
        <v>657093000</v>
      </c>
      <c r="AY136" s="11">
        <v>371000</v>
      </c>
      <c r="AZ136" s="11"/>
      <c r="BA136" s="11">
        <v>5424000</v>
      </c>
      <c r="BB136" s="11">
        <v>5424000</v>
      </c>
      <c r="BC136" s="11">
        <v>5424000</v>
      </c>
      <c r="BD136" s="7">
        <v>404070000</v>
      </c>
      <c r="BE136" s="7">
        <v>78772000</v>
      </c>
      <c r="BF136" s="7">
        <v>129246000</v>
      </c>
      <c r="BG136" s="7">
        <v>17296000</v>
      </c>
      <c r="BH136" s="7">
        <v>898000</v>
      </c>
      <c r="BI136" s="11">
        <v>12866000</v>
      </c>
      <c r="BJ136" s="11">
        <v>741000</v>
      </c>
      <c r="BK136" s="11">
        <v>393000</v>
      </c>
      <c r="BL136" s="11">
        <v>267000</v>
      </c>
      <c r="BM136" s="11">
        <v>269000</v>
      </c>
      <c r="BN136" s="11">
        <v>1149582000</v>
      </c>
      <c r="BO136" s="11">
        <v>789511000</v>
      </c>
      <c r="BP136" s="11">
        <v>942890000</v>
      </c>
      <c r="BQ136" s="11">
        <v>793905000</v>
      </c>
      <c r="BR136" s="11">
        <v>697433000</v>
      </c>
      <c r="BS136" s="11">
        <v>1197514000</v>
      </c>
      <c r="BT136" s="11">
        <v>830191000</v>
      </c>
      <c r="BU136" s="11">
        <v>975350000</v>
      </c>
      <c r="BV136" s="11">
        <v>823320000</v>
      </c>
      <c r="BW136" s="11">
        <v>721222000</v>
      </c>
      <c r="BX136" s="7">
        <v>10000</v>
      </c>
      <c r="BY136" s="7">
        <v>10000</v>
      </c>
      <c r="BZ136" s="7">
        <v>10000</v>
      </c>
      <c r="CA136" s="7">
        <v>10000</v>
      </c>
      <c r="CB136" s="7">
        <v>10000</v>
      </c>
      <c r="CC136" s="11"/>
      <c r="CD136" s="11"/>
      <c r="CE136" s="11"/>
      <c r="CF136" s="11"/>
      <c r="CG136" s="11"/>
      <c r="CH136" s="7">
        <v>8796000</v>
      </c>
      <c r="CI136" s="7">
        <v>12755000</v>
      </c>
      <c r="CJ136" s="7">
        <v>14712000</v>
      </c>
      <c r="CK136" s="7">
        <v>24104000</v>
      </c>
      <c r="CL136" s="7">
        <v>-49618000</v>
      </c>
      <c r="CM136" s="11">
        <v>8806000</v>
      </c>
      <c r="CN136" s="11">
        <v>12765000</v>
      </c>
      <c r="CO136" s="11">
        <v>14722000</v>
      </c>
      <c r="CP136" s="11">
        <v>24114000</v>
      </c>
      <c r="CQ136" s="11">
        <v>-49608000</v>
      </c>
      <c r="CR136" s="11"/>
      <c r="CS136" s="11"/>
      <c r="CT136" s="11">
        <v>400000</v>
      </c>
      <c r="CU136" s="11">
        <v>37991000</v>
      </c>
      <c r="CV136" s="11">
        <v>15140000</v>
      </c>
      <c r="CW136" s="11">
        <v>3865000</v>
      </c>
      <c r="CX136" s="11">
        <v>516000</v>
      </c>
      <c r="CY136" s="11"/>
      <c r="CZ136" s="11"/>
      <c r="DA136" s="11"/>
      <c r="DB136" s="11">
        <v>6688000</v>
      </c>
      <c r="DC136" s="11">
        <v>3162000</v>
      </c>
      <c r="DD136" s="11">
        <v>2085000</v>
      </c>
      <c r="DE136" s="11">
        <v>39144000</v>
      </c>
      <c r="DF136" s="11">
        <v>15244000</v>
      </c>
      <c r="DG136" s="7">
        <v>12198000</v>
      </c>
      <c r="DH136" s="7">
        <v>28028000</v>
      </c>
      <c r="DI136" s="7">
        <v>18528000</v>
      </c>
      <c r="DJ136" s="7">
        <v>47759000</v>
      </c>
      <c r="DK136" s="7">
        <v>20988000</v>
      </c>
      <c r="DL136" s="7">
        <v>1169822000</v>
      </c>
      <c r="DM136" s="7">
        <v>786236000</v>
      </c>
      <c r="DN136" s="7">
        <v>940016000</v>
      </c>
      <c r="DO136" s="7">
        <v>712304000</v>
      </c>
      <c r="DP136" s="7">
        <v>734598000</v>
      </c>
      <c r="DQ136" s="11"/>
      <c r="DR136" s="11"/>
      <c r="DS136" s="11"/>
      <c r="DT136" s="11"/>
      <c r="DU136" s="11"/>
      <c r="DV136" s="11"/>
      <c r="DW136" s="11"/>
      <c r="DX136" s="11"/>
      <c r="DY136" s="11"/>
      <c r="DZ136" s="11"/>
      <c r="EA136" s="11">
        <v>1182020000</v>
      </c>
      <c r="EB136" s="11">
        <v>814264000</v>
      </c>
      <c r="EC136" s="11">
        <v>958544000</v>
      </c>
      <c r="ED136" s="11">
        <v>760063000</v>
      </c>
      <c r="EE136" s="11">
        <v>755586000</v>
      </c>
      <c r="EF136" s="7">
        <v>452204000</v>
      </c>
      <c r="EG136" s="7">
        <v>990182000</v>
      </c>
      <c r="EH136" s="7">
        <v>719678000</v>
      </c>
      <c r="EI136" s="7">
        <v>1424541000</v>
      </c>
      <c r="EJ136" s="7">
        <v>486692000</v>
      </c>
      <c r="EK136" s="7">
        <v>308668000</v>
      </c>
      <c r="EL136" s="7">
        <v>902629000</v>
      </c>
      <c r="EM136" s="7">
        <v>640363000</v>
      </c>
      <c r="EN136" s="7">
        <v>1223644000</v>
      </c>
      <c r="EO136" s="7">
        <v>447801000</v>
      </c>
      <c r="EP136" s="7"/>
      <c r="EQ136" s="7"/>
      <c r="ER136" s="7"/>
      <c r="ES136" s="7"/>
      <c r="ET136" s="7"/>
      <c r="EU136" s="7">
        <v>96221000</v>
      </c>
      <c r="EV136" s="7">
        <v>85807000</v>
      </c>
      <c r="EW136" s="7">
        <v>75644000</v>
      </c>
      <c r="EX136" s="7">
        <v>77788000</v>
      </c>
      <c r="EY136" s="7">
        <v>46761000</v>
      </c>
      <c r="EZ136" s="11"/>
      <c r="FA136" s="11"/>
      <c r="FB136" s="11"/>
      <c r="FC136" s="11"/>
      <c r="FD136" s="11"/>
      <c r="FE136" s="11">
        <v>8000</v>
      </c>
      <c r="FF136" s="11"/>
      <c r="FG136" s="11">
        <v>1000</v>
      </c>
      <c r="FH136" s="11">
        <v>244000</v>
      </c>
      <c r="FI136" s="11">
        <v>182000</v>
      </c>
      <c r="FJ136" s="11">
        <v>972000</v>
      </c>
      <c r="FK136" s="11">
        <v>300000</v>
      </c>
      <c r="FL136" s="11">
        <v>2627000</v>
      </c>
      <c r="FM136" s="11">
        <v>2153000</v>
      </c>
      <c r="FN136" s="11">
        <v>10421000</v>
      </c>
      <c r="FO136" s="7">
        <v>43860000</v>
      </c>
      <c r="FP136" s="7">
        <v>75186000</v>
      </c>
      <c r="FQ136" s="7">
        <v>50949000</v>
      </c>
      <c r="FR136" s="7">
        <v>1214000</v>
      </c>
      <c r="FS136" s="7">
        <v>61596000</v>
      </c>
      <c r="FT136" s="7">
        <v>84057000</v>
      </c>
      <c r="FU136" s="7">
        <v>70377000</v>
      </c>
      <c r="FV136" s="7">
        <v>48356000</v>
      </c>
      <c r="FW136" s="7">
        <v>109430000</v>
      </c>
      <c r="FX136" s="7">
        <v>140956000</v>
      </c>
      <c r="FY136" s="11">
        <v>-2020000</v>
      </c>
      <c r="FZ136" s="11">
        <v>-2257000</v>
      </c>
      <c r="GA136" s="11">
        <v>-1464000</v>
      </c>
      <c r="GB136" s="11">
        <v>-3614000</v>
      </c>
      <c r="GC136" s="11">
        <v>23709000</v>
      </c>
      <c r="GD136" s="7">
        <v>4246000</v>
      </c>
      <c r="GE136" s="7">
        <v>3959000</v>
      </c>
      <c r="GF136" s="7">
        <v>2029000</v>
      </c>
      <c r="GG136" s="7">
        <v>9392000</v>
      </c>
      <c r="GH136" s="7">
        <v>-73722000</v>
      </c>
    </row>
    <row r="137" spans="1:190" x14ac:dyDescent="0.25">
      <c r="A137" s="4">
        <v>136</v>
      </c>
      <c r="B137" s="5" t="s">
        <v>542</v>
      </c>
      <c r="C137" s="9" t="s">
        <v>543</v>
      </c>
      <c r="D137" s="7">
        <v>23</v>
      </c>
      <c r="E137" s="6" t="s">
        <v>352</v>
      </c>
      <c r="F137" s="11"/>
      <c r="G137" s="11"/>
      <c r="H137" s="11"/>
      <c r="I137" s="11"/>
      <c r="J137" s="11"/>
      <c r="K137" s="11"/>
      <c r="L137" s="11"/>
      <c r="M137" s="11"/>
      <c r="N137" s="11"/>
      <c r="O137" s="11">
        <v>176971</v>
      </c>
      <c r="P137" s="7">
        <v>85092000</v>
      </c>
      <c r="Q137" s="7"/>
      <c r="R137" s="7"/>
      <c r="S137" s="7"/>
      <c r="T137" s="7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>
        <v>85092000</v>
      </c>
      <c r="AK137" s="11"/>
      <c r="AL137" s="11"/>
      <c r="AM137" s="11"/>
      <c r="AN137" s="11"/>
      <c r="AO137" s="7"/>
      <c r="AP137" s="7"/>
      <c r="AQ137" s="7"/>
      <c r="AR137" s="7"/>
      <c r="AS137" s="7"/>
      <c r="AT137" s="7">
        <v>6070000</v>
      </c>
      <c r="AU137" s="7"/>
      <c r="AV137" s="7"/>
      <c r="AW137" s="7">
        <v>821000</v>
      </c>
      <c r="AX137" s="7">
        <v>590000</v>
      </c>
      <c r="AY137" s="11"/>
      <c r="AZ137" s="11"/>
      <c r="BA137" s="11"/>
      <c r="BB137" s="11"/>
      <c r="BC137" s="11"/>
      <c r="BD137" s="7"/>
      <c r="BE137" s="7">
        <v>17687000</v>
      </c>
      <c r="BF137" s="7">
        <v>23682000</v>
      </c>
      <c r="BG137" s="7">
        <v>17943000</v>
      </c>
      <c r="BH137" s="7">
        <v>1830000</v>
      </c>
      <c r="BI137" s="11"/>
      <c r="BJ137" s="11"/>
      <c r="BK137" s="11"/>
      <c r="BL137" s="11"/>
      <c r="BM137" s="11"/>
      <c r="BN137" s="11">
        <v>6070000</v>
      </c>
      <c r="BO137" s="11">
        <v>17687000</v>
      </c>
      <c r="BP137" s="11">
        <v>23682000</v>
      </c>
      <c r="BQ137" s="11">
        <v>18764000</v>
      </c>
      <c r="BR137" s="11">
        <v>2420000</v>
      </c>
      <c r="BS137" s="11">
        <v>91162000</v>
      </c>
      <c r="BT137" s="11">
        <v>17687000</v>
      </c>
      <c r="BU137" s="11">
        <v>23682000</v>
      </c>
      <c r="BV137" s="11">
        <v>18764000</v>
      </c>
      <c r="BW137" s="11">
        <v>2420000</v>
      </c>
      <c r="BX137" s="7">
        <v>10000</v>
      </c>
      <c r="BY137" s="7">
        <v>10000</v>
      </c>
      <c r="BZ137" s="7">
        <v>10000</v>
      </c>
      <c r="CA137" s="7">
        <v>10000</v>
      </c>
      <c r="CB137" s="7">
        <v>10000</v>
      </c>
      <c r="CC137" s="11"/>
      <c r="CD137" s="11"/>
      <c r="CE137" s="11"/>
      <c r="CF137" s="11"/>
      <c r="CG137" s="11"/>
      <c r="CH137" s="7">
        <v>-266774000</v>
      </c>
      <c r="CI137" s="7">
        <v>-341287000</v>
      </c>
      <c r="CJ137" s="7">
        <v>-353213000</v>
      </c>
      <c r="CK137" s="7">
        <v>-335335000</v>
      </c>
      <c r="CL137" s="7">
        <v>-341560000</v>
      </c>
      <c r="CM137" s="11">
        <v>-266764000</v>
      </c>
      <c r="CN137" s="11">
        <v>-341277000</v>
      </c>
      <c r="CO137" s="11">
        <v>-353203000</v>
      </c>
      <c r="CP137" s="11">
        <v>-335325000</v>
      </c>
      <c r="CQ137" s="11">
        <v>-341550000</v>
      </c>
      <c r="CR137" s="11">
        <v>200389000</v>
      </c>
      <c r="CS137" s="11">
        <v>200389000</v>
      </c>
      <c r="CT137" s="11">
        <v>197969000</v>
      </c>
      <c r="CU137" s="11">
        <v>197969000</v>
      </c>
      <c r="CV137" s="11">
        <v>189147000</v>
      </c>
      <c r="CW137" s="11"/>
      <c r="CX137" s="11"/>
      <c r="CY137" s="11"/>
      <c r="CZ137" s="11"/>
      <c r="DA137" s="11"/>
      <c r="DB137" s="11">
        <v>200389000</v>
      </c>
      <c r="DC137" s="11">
        <v>200389000</v>
      </c>
      <c r="DD137" s="11">
        <v>197969000</v>
      </c>
      <c r="DE137" s="11">
        <v>197969000</v>
      </c>
      <c r="DF137" s="11">
        <v>189147000</v>
      </c>
      <c r="DG137" s="7">
        <v>152487000</v>
      </c>
      <c r="DH137" s="7">
        <v>152487000</v>
      </c>
      <c r="DI137" s="7">
        <v>152487000</v>
      </c>
      <c r="DJ137" s="7">
        <v>152487000</v>
      </c>
      <c r="DK137" s="7">
        <v>152487000</v>
      </c>
      <c r="DL137" s="7">
        <v>5051000</v>
      </c>
      <c r="DM137" s="7">
        <v>6088000</v>
      </c>
      <c r="DN137" s="7">
        <v>26429000</v>
      </c>
      <c r="DO137" s="7">
        <v>3632000</v>
      </c>
      <c r="DP137" s="7">
        <v>2336000</v>
      </c>
      <c r="DQ137" s="11"/>
      <c r="DR137" s="11"/>
      <c r="DS137" s="11"/>
      <c r="DT137" s="11"/>
      <c r="DU137" s="11"/>
      <c r="DV137" s="11"/>
      <c r="DW137" s="11"/>
      <c r="DX137" s="11"/>
      <c r="DY137" s="11"/>
      <c r="DZ137" s="11"/>
      <c r="EA137" s="11">
        <v>157538000</v>
      </c>
      <c r="EB137" s="11">
        <v>158575000</v>
      </c>
      <c r="EC137" s="11">
        <v>178916000</v>
      </c>
      <c r="ED137" s="11">
        <v>156119000</v>
      </c>
      <c r="EE137" s="11">
        <v>154823000</v>
      </c>
      <c r="EF137" s="7"/>
      <c r="EG137" s="7"/>
      <c r="EH137" s="7">
        <v>800000</v>
      </c>
      <c r="EI137" s="7">
        <v>1340000</v>
      </c>
      <c r="EJ137" s="7">
        <v>1748000</v>
      </c>
      <c r="EK137" s="7"/>
      <c r="EL137" s="7"/>
      <c r="EM137" s="7"/>
      <c r="EN137" s="7"/>
      <c r="EO137" s="7"/>
      <c r="EP137" s="7"/>
      <c r="EQ137" s="7"/>
      <c r="ER137" s="7"/>
      <c r="ES137" s="7"/>
      <c r="ET137" s="7"/>
      <c r="EU137" s="7">
        <v>657000</v>
      </c>
      <c r="EV137" s="7">
        <v>741000</v>
      </c>
      <c r="EW137" s="7">
        <v>5281000</v>
      </c>
      <c r="EX137" s="7">
        <v>1150000</v>
      </c>
      <c r="EY137" s="7">
        <v>2103000</v>
      </c>
      <c r="EZ137" s="11"/>
      <c r="FA137" s="11"/>
      <c r="FB137" s="11"/>
      <c r="FC137" s="11"/>
      <c r="FD137" s="11"/>
      <c r="FE137" s="11"/>
      <c r="FF137" s="11"/>
      <c r="FG137" s="11"/>
      <c r="FH137" s="11"/>
      <c r="FI137" s="11"/>
      <c r="FJ137" s="11"/>
      <c r="FK137" s="11"/>
      <c r="FL137" s="11"/>
      <c r="FM137" s="11"/>
      <c r="FN137" s="11"/>
      <c r="FO137" s="7">
        <v>81000</v>
      </c>
      <c r="FP137" s="7">
        <v>17778000</v>
      </c>
      <c r="FQ137" s="7">
        <v>31790000</v>
      </c>
      <c r="FR137" s="7"/>
      <c r="FS137" s="7">
        <v>2053000</v>
      </c>
      <c r="FT137" s="7">
        <v>215519000</v>
      </c>
      <c r="FU137" s="7">
        <v>91550000</v>
      </c>
      <c r="FV137" s="7">
        <v>39235000</v>
      </c>
      <c r="FW137" s="7">
        <v>617000</v>
      </c>
      <c r="FX137" s="7">
        <v>7760000</v>
      </c>
      <c r="FY137" s="11"/>
      <c r="FZ137" s="11"/>
      <c r="GA137" s="11"/>
      <c r="GB137" s="11"/>
      <c r="GC137" s="11"/>
      <c r="GD137" s="7">
        <v>-216095000</v>
      </c>
      <c r="GE137" s="7">
        <v>-74513000</v>
      </c>
      <c r="GF137" s="7">
        <v>-11926000</v>
      </c>
      <c r="GG137" s="7">
        <v>-427000</v>
      </c>
      <c r="GH137" s="7">
        <v>-5496000</v>
      </c>
    </row>
    <row r="138" spans="1:190" x14ac:dyDescent="0.25">
      <c r="A138" s="4">
        <v>137</v>
      </c>
      <c r="B138" s="5" t="s">
        <v>544</v>
      </c>
      <c r="C138" s="9" t="s">
        <v>545</v>
      </c>
      <c r="D138" s="7">
        <v>32</v>
      </c>
      <c r="E138" s="6" t="s">
        <v>198</v>
      </c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7"/>
      <c r="Q138" s="7"/>
      <c r="R138" s="7"/>
      <c r="S138" s="7"/>
      <c r="T138" s="7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11"/>
      <c r="AZ138" s="11"/>
      <c r="BA138" s="11"/>
      <c r="BB138" s="11"/>
      <c r="BC138" s="11"/>
      <c r="BD138" s="7"/>
      <c r="BE138" s="7"/>
      <c r="BF138" s="7"/>
      <c r="BG138" s="7"/>
      <c r="BH138" s="7"/>
      <c r="BI138" s="11"/>
      <c r="BJ138" s="11"/>
      <c r="BK138" s="11"/>
      <c r="BL138" s="11"/>
      <c r="BM138" s="11"/>
      <c r="BN138" s="11"/>
      <c r="BO138" s="11"/>
      <c r="BP138" s="11"/>
      <c r="BQ138" s="11"/>
      <c r="BR138" s="11"/>
      <c r="BS138" s="11"/>
      <c r="BT138" s="11"/>
      <c r="BU138" s="11"/>
      <c r="BV138" s="11"/>
      <c r="BW138" s="11"/>
      <c r="BX138" s="7"/>
      <c r="BY138" s="7"/>
      <c r="BZ138" s="7"/>
      <c r="CA138" s="7"/>
      <c r="CB138" s="7"/>
      <c r="CC138" s="11"/>
      <c r="CD138" s="11"/>
      <c r="CE138" s="11"/>
      <c r="CF138" s="11"/>
      <c r="CG138" s="11"/>
      <c r="CH138" s="7"/>
      <c r="CI138" s="7"/>
      <c r="CJ138" s="7"/>
      <c r="CK138" s="7"/>
      <c r="CL138" s="7"/>
      <c r="CM138" s="11"/>
      <c r="CN138" s="11"/>
      <c r="CO138" s="11"/>
      <c r="CP138" s="11"/>
      <c r="CQ138" s="11"/>
      <c r="CR138" s="11"/>
      <c r="CS138" s="11"/>
      <c r="CT138" s="11"/>
      <c r="CU138" s="11"/>
      <c r="CV138" s="11"/>
      <c r="CW138" s="11"/>
      <c r="CX138" s="11"/>
      <c r="CY138" s="11"/>
      <c r="CZ138" s="11"/>
      <c r="DA138" s="11"/>
      <c r="DB138" s="11"/>
      <c r="DC138" s="11"/>
      <c r="DD138" s="11"/>
      <c r="DE138" s="11"/>
      <c r="DF138" s="11"/>
      <c r="DG138" s="7"/>
      <c r="DH138" s="7"/>
      <c r="DI138" s="7"/>
      <c r="DJ138" s="7"/>
      <c r="DK138" s="7"/>
      <c r="DL138" s="7"/>
      <c r="DM138" s="7"/>
      <c r="DN138" s="7"/>
      <c r="DO138" s="7"/>
      <c r="DP138" s="7"/>
      <c r="DQ138" s="11"/>
      <c r="DR138" s="11"/>
      <c r="DS138" s="11"/>
      <c r="DT138" s="11"/>
      <c r="DU138" s="11"/>
      <c r="DV138" s="11"/>
      <c r="DW138" s="11"/>
      <c r="DX138" s="11"/>
      <c r="DY138" s="11"/>
      <c r="DZ138" s="11"/>
      <c r="EA138" s="11"/>
      <c r="EB138" s="11"/>
      <c r="EC138" s="11"/>
      <c r="ED138" s="11"/>
      <c r="EE138" s="11"/>
      <c r="EF138" s="7"/>
      <c r="EG138" s="7"/>
      <c r="EH138" s="7"/>
      <c r="EI138" s="7"/>
      <c r="EJ138" s="7"/>
      <c r="EK138" s="7"/>
      <c r="EL138" s="7"/>
      <c r="EM138" s="7"/>
      <c r="EN138" s="7"/>
      <c r="EO138" s="7"/>
      <c r="EP138" s="7"/>
      <c r="EQ138" s="7"/>
      <c r="ER138" s="7"/>
      <c r="ES138" s="7"/>
      <c r="ET138" s="7"/>
      <c r="EU138" s="7"/>
      <c r="EV138" s="7"/>
      <c r="EW138" s="7"/>
      <c r="EX138" s="7"/>
      <c r="EY138" s="7"/>
      <c r="EZ138" s="11"/>
      <c r="FA138" s="11"/>
      <c r="FB138" s="11"/>
      <c r="FC138" s="11"/>
      <c r="FD138" s="11"/>
      <c r="FE138" s="11"/>
      <c r="FF138" s="11"/>
      <c r="FG138" s="11"/>
      <c r="FH138" s="11"/>
      <c r="FI138" s="11"/>
      <c r="FJ138" s="11"/>
      <c r="FK138" s="11"/>
      <c r="FL138" s="11"/>
      <c r="FM138" s="11"/>
      <c r="FN138" s="11"/>
      <c r="FO138" s="7"/>
      <c r="FP138" s="7"/>
      <c r="FQ138" s="7"/>
      <c r="FR138" s="7"/>
      <c r="FS138" s="7"/>
      <c r="FT138" s="7"/>
      <c r="FU138" s="7"/>
      <c r="FV138" s="7"/>
      <c r="FW138" s="7"/>
      <c r="FX138" s="7"/>
      <c r="FY138" s="11"/>
      <c r="FZ138" s="11"/>
      <c r="GA138" s="11"/>
      <c r="GB138" s="11"/>
      <c r="GC138" s="11"/>
      <c r="GD138" s="7"/>
      <c r="GE138" s="7"/>
      <c r="GF138" s="7"/>
      <c r="GG138" s="7"/>
      <c r="GH138" s="7"/>
    </row>
    <row r="139" spans="1:190" x14ac:dyDescent="0.25">
      <c r="A139" s="4">
        <v>138</v>
      </c>
      <c r="B139" s="5" t="s">
        <v>546</v>
      </c>
      <c r="C139" s="9" t="s">
        <v>547</v>
      </c>
      <c r="D139" s="7">
        <v>31</v>
      </c>
      <c r="E139" s="6" t="s">
        <v>198</v>
      </c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7"/>
      <c r="Q139" s="7"/>
      <c r="R139" s="7"/>
      <c r="S139" s="7"/>
      <c r="T139" s="7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11"/>
      <c r="AZ139" s="11"/>
      <c r="BA139" s="11"/>
      <c r="BB139" s="11"/>
      <c r="BC139" s="11"/>
      <c r="BD139" s="7"/>
      <c r="BE139" s="7"/>
      <c r="BF139" s="7"/>
      <c r="BG139" s="7"/>
      <c r="BH139" s="7"/>
      <c r="BI139" s="11"/>
      <c r="BJ139" s="11"/>
      <c r="BK139" s="11"/>
      <c r="BL139" s="11"/>
      <c r="BM139" s="11"/>
      <c r="BN139" s="11"/>
      <c r="BO139" s="11"/>
      <c r="BP139" s="11"/>
      <c r="BQ139" s="11"/>
      <c r="BR139" s="11"/>
      <c r="BS139" s="11"/>
      <c r="BT139" s="11"/>
      <c r="BU139" s="11"/>
      <c r="BV139" s="11"/>
      <c r="BW139" s="11"/>
      <c r="BX139" s="7"/>
      <c r="BY139" s="7"/>
      <c r="BZ139" s="7"/>
      <c r="CA139" s="7"/>
      <c r="CB139" s="7"/>
      <c r="CC139" s="11"/>
      <c r="CD139" s="11"/>
      <c r="CE139" s="11"/>
      <c r="CF139" s="11"/>
      <c r="CG139" s="11"/>
      <c r="CH139" s="7"/>
      <c r="CI139" s="7"/>
      <c r="CJ139" s="7"/>
      <c r="CK139" s="7"/>
      <c r="CL139" s="7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7"/>
      <c r="DH139" s="7"/>
      <c r="DI139" s="7"/>
      <c r="DJ139" s="7"/>
      <c r="DK139" s="7"/>
      <c r="DL139" s="7"/>
      <c r="DM139" s="7"/>
      <c r="DN139" s="7"/>
      <c r="DO139" s="7"/>
      <c r="DP139" s="7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7"/>
      <c r="EG139" s="7"/>
      <c r="EH139" s="7"/>
      <c r="EI139" s="7"/>
      <c r="EJ139" s="7"/>
      <c r="EK139" s="7"/>
      <c r="EL139" s="7"/>
      <c r="EM139" s="7"/>
      <c r="EN139" s="7"/>
      <c r="EO139" s="7"/>
      <c r="EP139" s="7"/>
      <c r="EQ139" s="7"/>
      <c r="ER139" s="7"/>
      <c r="ES139" s="7"/>
      <c r="ET139" s="7"/>
      <c r="EU139" s="7"/>
      <c r="EV139" s="7"/>
      <c r="EW139" s="7"/>
      <c r="EX139" s="7"/>
      <c r="EY139" s="7"/>
      <c r="EZ139" s="11"/>
      <c r="FA139" s="11"/>
      <c r="FB139" s="11"/>
      <c r="FC139" s="11"/>
      <c r="FD139" s="11"/>
      <c r="FE139" s="11"/>
      <c r="FF139" s="11"/>
      <c r="FG139" s="11"/>
      <c r="FH139" s="11"/>
      <c r="FI139" s="11"/>
      <c r="FJ139" s="11"/>
      <c r="FK139" s="11"/>
      <c r="FL139" s="11"/>
      <c r="FM139" s="11"/>
      <c r="FN139" s="11"/>
      <c r="FO139" s="7"/>
      <c r="FP139" s="7"/>
      <c r="FQ139" s="7"/>
      <c r="FR139" s="7"/>
      <c r="FS139" s="7"/>
      <c r="FT139" s="7"/>
      <c r="FU139" s="7"/>
      <c r="FV139" s="7"/>
      <c r="FW139" s="7"/>
      <c r="FX139" s="7"/>
      <c r="FY139" s="11"/>
      <c r="FZ139" s="11"/>
      <c r="GA139" s="11"/>
      <c r="GB139" s="11"/>
      <c r="GC139" s="11"/>
      <c r="GD139" s="7"/>
      <c r="GE139" s="7"/>
      <c r="GF139" s="7"/>
      <c r="GG139" s="7"/>
      <c r="GH139" s="7"/>
    </row>
    <row r="140" spans="1:190" ht="26.25" x14ac:dyDescent="0.25">
      <c r="A140" s="4">
        <v>139</v>
      </c>
      <c r="B140" s="5" t="s">
        <v>548</v>
      </c>
      <c r="C140" s="9" t="s">
        <v>549</v>
      </c>
      <c r="D140" s="7">
        <v>32</v>
      </c>
      <c r="E140" s="6" t="s">
        <v>255</v>
      </c>
      <c r="F140" s="11">
        <v>31196</v>
      </c>
      <c r="G140" s="11">
        <v>1002090</v>
      </c>
      <c r="H140" s="11">
        <v>14318</v>
      </c>
      <c r="I140" s="11">
        <v>64241</v>
      </c>
      <c r="J140" s="11">
        <v>67033</v>
      </c>
      <c r="K140" s="11">
        <v>636836</v>
      </c>
      <c r="L140" s="11">
        <v>34399872</v>
      </c>
      <c r="M140" s="11"/>
      <c r="N140" s="11"/>
      <c r="O140" s="11"/>
      <c r="P140" s="7"/>
      <c r="Q140" s="7"/>
      <c r="R140" s="7"/>
      <c r="S140" s="7"/>
      <c r="T140" s="7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7">
        <v>29000</v>
      </c>
      <c r="AP140" s="7">
        <v>29000</v>
      </c>
      <c r="AQ140" s="7">
        <v>21000</v>
      </c>
      <c r="AR140" s="7">
        <v>21000</v>
      </c>
      <c r="AS140" s="7">
        <v>21000</v>
      </c>
      <c r="AT140" s="7">
        <v>2512000</v>
      </c>
      <c r="AU140" s="7">
        <v>302000</v>
      </c>
      <c r="AV140" s="7">
        <v>476000</v>
      </c>
      <c r="AW140" s="7">
        <v>481000</v>
      </c>
      <c r="AX140" s="7">
        <v>356000</v>
      </c>
      <c r="AY140" s="11"/>
      <c r="AZ140" s="11"/>
      <c r="BA140" s="11"/>
      <c r="BB140" s="11"/>
      <c r="BC140" s="11"/>
      <c r="BD140" s="7">
        <v>2752000</v>
      </c>
      <c r="BE140" s="7">
        <v>2398000</v>
      </c>
      <c r="BF140" s="7">
        <v>1508000</v>
      </c>
      <c r="BG140" s="7">
        <v>2245000</v>
      </c>
      <c r="BH140" s="7">
        <v>2585000</v>
      </c>
      <c r="BI140" s="11"/>
      <c r="BJ140" s="11"/>
      <c r="BK140" s="11"/>
      <c r="BL140" s="11"/>
      <c r="BM140" s="11"/>
      <c r="BN140" s="11">
        <v>5293000</v>
      </c>
      <c r="BO140" s="11">
        <v>2729000</v>
      </c>
      <c r="BP140" s="11">
        <v>2005000</v>
      </c>
      <c r="BQ140" s="11">
        <v>2747000</v>
      </c>
      <c r="BR140" s="11">
        <v>2963000</v>
      </c>
      <c r="BS140" s="11">
        <v>5293000</v>
      </c>
      <c r="BT140" s="11">
        <v>2729000</v>
      </c>
      <c r="BU140" s="11">
        <v>2005000</v>
      </c>
      <c r="BV140" s="11">
        <v>2747000</v>
      </c>
      <c r="BW140" s="11">
        <v>2963000</v>
      </c>
      <c r="BX140" s="7">
        <v>1000000</v>
      </c>
      <c r="BY140" s="7">
        <v>1000000</v>
      </c>
      <c r="BZ140" s="7">
        <v>1000000</v>
      </c>
      <c r="CA140" s="7">
        <v>1000000</v>
      </c>
      <c r="CB140" s="7">
        <v>1000000</v>
      </c>
      <c r="CC140" s="11"/>
      <c r="CD140" s="11"/>
      <c r="CE140" s="11"/>
      <c r="CF140" s="11"/>
      <c r="CG140" s="11"/>
      <c r="CH140" s="7">
        <v>-330005000</v>
      </c>
      <c r="CI140" s="7">
        <v>-319764000</v>
      </c>
      <c r="CJ140" s="7">
        <v>-319469000</v>
      </c>
      <c r="CK140" s="7">
        <v>-316964000</v>
      </c>
      <c r="CL140" s="7">
        <v>-317559000</v>
      </c>
      <c r="CM140" s="11">
        <v>-328763000</v>
      </c>
      <c r="CN140" s="11">
        <v>-318522000</v>
      </c>
      <c r="CO140" s="11">
        <v>-318228000</v>
      </c>
      <c r="CP140" s="11">
        <v>-315722000</v>
      </c>
      <c r="CQ140" s="11">
        <v>-316317000</v>
      </c>
      <c r="CR140" s="11"/>
      <c r="CS140" s="11"/>
      <c r="CT140" s="11"/>
      <c r="CU140" s="11"/>
      <c r="CV140" s="11"/>
      <c r="CW140" s="11">
        <v>245707000</v>
      </c>
      <c r="CX140" s="11">
        <v>238853000</v>
      </c>
      <c r="CY140" s="11">
        <v>236044000</v>
      </c>
      <c r="CZ140" s="11">
        <v>235893000</v>
      </c>
      <c r="DA140" s="11"/>
      <c r="DB140" s="11">
        <v>295062000</v>
      </c>
      <c r="DC140" s="11">
        <v>287020000</v>
      </c>
      <c r="DD140" s="11">
        <v>283652000</v>
      </c>
      <c r="DE140" s="11">
        <v>283500000</v>
      </c>
      <c r="DF140" s="11"/>
      <c r="DG140" s="7"/>
      <c r="DH140" s="7"/>
      <c r="DI140" s="7"/>
      <c r="DJ140" s="7"/>
      <c r="DK140" s="7"/>
      <c r="DL140" s="7">
        <v>38994000</v>
      </c>
      <c r="DM140" s="7">
        <v>34231000</v>
      </c>
      <c r="DN140" s="7">
        <v>36581000</v>
      </c>
      <c r="DO140" s="7">
        <v>34969000</v>
      </c>
      <c r="DP140" s="7">
        <v>319280000</v>
      </c>
      <c r="DQ140" s="11"/>
      <c r="DR140" s="11"/>
      <c r="DS140" s="11"/>
      <c r="DT140" s="11"/>
      <c r="DU140" s="11"/>
      <c r="DV140" s="11"/>
      <c r="DW140" s="11"/>
      <c r="DX140" s="11"/>
      <c r="DY140" s="11"/>
      <c r="DZ140" s="11"/>
      <c r="EA140" s="11">
        <v>38994000</v>
      </c>
      <c r="EB140" s="11">
        <v>34231000</v>
      </c>
      <c r="EC140" s="11">
        <v>36581000</v>
      </c>
      <c r="ED140" s="11">
        <v>34969000</v>
      </c>
      <c r="EE140" s="11">
        <v>319280000</v>
      </c>
      <c r="EF140" s="7"/>
      <c r="EG140" s="7"/>
      <c r="EH140" s="7">
        <v>1000000</v>
      </c>
      <c r="EI140" s="7"/>
      <c r="EJ140" s="7"/>
      <c r="EK140" s="7">
        <v>497000</v>
      </c>
      <c r="EL140" s="7"/>
      <c r="EM140" s="7">
        <v>1000</v>
      </c>
      <c r="EN140" s="7"/>
      <c r="EO140" s="7"/>
      <c r="EP140" s="7"/>
      <c r="EQ140" s="7"/>
      <c r="ER140" s="7"/>
      <c r="ES140" s="7"/>
      <c r="ET140" s="7"/>
      <c r="EU140" s="7"/>
      <c r="EV140" s="7">
        <v>463000</v>
      </c>
      <c r="EW140" s="7">
        <v>490000</v>
      </c>
      <c r="EX140" s="7">
        <v>648000</v>
      </c>
      <c r="EY140" s="7">
        <v>451000</v>
      </c>
      <c r="EZ140" s="11"/>
      <c r="FA140" s="11"/>
      <c r="FB140" s="11"/>
      <c r="FC140" s="11"/>
      <c r="FD140" s="11"/>
      <c r="FE140" s="11"/>
      <c r="FF140" s="11"/>
      <c r="FG140" s="11"/>
      <c r="FH140" s="11"/>
      <c r="FI140" s="11"/>
      <c r="FJ140" s="11"/>
      <c r="FK140" s="11"/>
      <c r="FL140" s="11"/>
      <c r="FM140" s="11"/>
      <c r="FN140" s="11"/>
      <c r="FO140" s="7">
        <v>3373000</v>
      </c>
      <c r="FP140" s="7">
        <v>10984000</v>
      </c>
      <c r="FQ140" s="7"/>
      <c r="FR140" s="7">
        <v>3781000</v>
      </c>
      <c r="FS140" s="7">
        <v>1000</v>
      </c>
      <c r="FT140" s="7">
        <v>202000</v>
      </c>
      <c r="FU140" s="7">
        <v>154000</v>
      </c>
      <c r="FV140" s="7">
        <v>141000</v>
      </c>
      <c r="FW140" s="7">
        <v>173000</v>
      </c>
      <c r="FX140" s="7">
        <v>25000</v>
      </c>
      <c r="FY140" s="11"/>
      <c r="FZ140" s="11">
        <v>-126000</v>
      </c>
      <c r="GA140" s="11">
        <v>-74000</v>
      </c>
      <c r="GB140" s="11">
        <v>-596000</v>
      </c>
      <c r="GC140" s="11"/>
      <c r="GD140" s="7">
        <v>2674000</v>
      </c>
      <c r="GE140" s="7">
        <v>10241000</v>
      </c>
      <c r="GF140" s="7">
        <v>294000</v>
      </c>
      <c r="GG140" s="7">
        <v>2364000</v>
      </c>
      <c r="GH140" s="7">
        <v>-475000</v>
      </c>
    </row>
    <row r="141" spans="1:190" ht="26.25" x14ac:dyDescent="0.25">
      <c r="A141" s="4">
        <v>140</v>
      </c>
      <c r="B141" s="5" t="s">
        <v>550</v>
      </c>
      <c r="C141" s="9" t="s">
        <v>551</v>
      </c>
      <c r="D141" s="7">
        <v>19</v>
      </c>
      <c r="E141" s="6" t="s">
        <v>552</v>
      </c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7">
        <v>123000</v>
      </c>
      <c r="Q141" s="7">
        <v>111000</v>
      </c>
      <c r="R141" s="7"/>
      <c r="S141" s="7"/>
      <c r="T141" s="7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>
        <v>123000</v>
      </c>
      <c r="AK141" s="11">
        <v>111000</v>
      </c>
      <c r="AL141" s="11"/>
      <c r="AM141" s="11"/>
      <c r="AN141" s="11"/>
      <c r="AO141" s="7">
        <v>118000</v>
      </c>
      <c r="AP141" s="7">
        <v>145000</v>
      </c>
      <c r="AQ141" s="7">
        <v>18000</v>
      </c>
      <c r="AR141" s="7"/>
      <c r="AS141" s="7"/>
      <c r="AT141" s="7">
        <v>10494000</v>
      </c>
      <c r="AU141" s="7">
        <v>10240000</v>
      </c>
      <c r="AV141" s="7">
        <v>9187000</v>
      </c>
      <c r="AW141" s="7">
        <v>8671000</v>
      </c>
      <c r="AX141" s="7">
        <v>8384000</v>
      </c>
      <c r="AY141" s="11"/>
      <c r="AZ141" s="11"/>
      <c r="BA141" s="11"/>
      <c r="BB141" s="11"/>
      <c r="BC141" s="11"/>
      <c r="BD141" s="7">
        <v>1264000</v>
      </c>
      <c r="BE141" s="7">
        <v>1530000</v>
      </c>
      <c r="BF141" s="7">
        <v>214000</v>
      </c>
      <c r="BG141" s="7">
        <v>247000</v>
      </c>
      <c r="BH141" s="7"/>
      <c r="BI141" s="11"/>
      <c r="BJ141" s="11"/>
      <c r="BK141" s="11"/>
      <c r="BL141" s="11"/>
      <c r="BM141" s="11"/>
      <c r="BN141" s="11">
        <v>11876000</v>
      </c>
      <c r="BO141" s="11">
        <v>11915000</v>
      </c>
      <c r="BP141" s="11">
        <v>9419000</v>
      </c>
      <c r="BQ141" s="11">
        <v>8918000</v>
      </c>
      <c r="BR141" s="11">
        <v>8384000</v>
      </c>
      <c r="BS141" s="11">
        <v>11999000</v>
      </c>
      <c r="BT141" s="11">
        <v>12026000</v>
      </c>
      <c r="BU141" s="11">
        <v>9418000</v>
      </c>
      <c r="BV141" s="11">
        <v>8918000</v>
      </c>
      <c r="BW141" s="11">
        <v>8384000</v>
      </c>
      <c r="BX141" s="7"/>
      <c r="BY141" s="7"/>
      <c r="BZ141" s="7"/>
      <c r="CA141" s="7"/>
      <c r="CB141" s="7"/>
      <c r="CC141" s="11"/>
      <c r="CD141" s="11"/>
      <c r="CE141" s="11"/>
      <c r="CF141" s="11"/>
      <c r="CG141" s="11"/>
      <c r="CH141" s="7"/>
      <c r="CI141" s="7"/>
      <c r="CJ141" s="7"/>
      <c r="CK141" s="7"/>
      <c r="CL141" s="7"/>
      <c r="CM141" s="11">
        <v>2902000</v>
      </c>
      <c r="CN141" s="11">
        <v>735000</v>
      </c>
      <c r="CO141" s="11">
        <v>-316000</v>
      </c>
      <c r="CP141" s="11">
        <v>-1257000</v>
      </c>
      <c r="CQ141" s="11">
        <v>-2501000</v>
      </c>
      <c r="CR141" s="11"/>
      <c r="CS141" s="11"/>
      <c r="CT141" s="11"/>
      <c r="CU141" s="11"/>
      <c r="CV141" s="11"/>
      <c r="CW141" s="11"/>
      <c r="CX141" s="11"/>
      <c r="CY141" s="11"/>
      <c r="CZ141" s="11"/>
      <c r="DA141" s="11"/>
      <c r="DB141" s="11"/>
      <c r="DC141" s="11"/>
      <c r="DD141" s="11"/>
      <c r="DE141" s="11"/>
      <c r="DF141" s="11"/>
      <c r="DG141" s="7"/>
      <c r="DH141" s="7"/>
      <c r="DI141" s="7"/>
      <c r="DJ141" s="7"/>
      <c r="DK141" s="7"/>
      <c r="DL141" s="7">
        <v>7919000</v>
      </c>
      <c r="DM141" s="7">
        <v>9845000</v>
      </c>
      <c r="DN141" s="7">
        <v>9735000</v>
      </c>
      <c r="DO141" s="7">
        <v>10175000</v>
      </c>
      <c r="DP141" s="7">
        <v>10885000</v>
      </c>
      <c r="DQ141" s="11"/>
      <c r="DR141" s="11"/>
      <c r="DS141" s="11"/>
      <c r="DT141" s="11"/>
      <c r="DU141" s="11"/>
      <c r="DV141" s="11">
        <v>1178000</v>
      </c>
      <c r="DW141" s="11">
        <v>1446000</v>
      </c>
      <c r="DX141" s="11"/>
      <c r="DY141" s="11"/>
      <c r="DZ141" s="11"/>
      <c r="EA141" s="11">
        <v>9097000</v>
      </c>
      <c r="EB141" s="11">
        <v>11291000</v>
      </c>
      <c r="EC141" s="11">
        <v>9735000</v>
      </c>
      <c r="ED141" s="11">
        <v>10175000</v>
      </c>
      <c r="EE141" s="11">
        <v>10885000</v>
      </c>
      <c r="EF141" s="7">
        <v>8533000</v>
      </c>
      <c r="EG141" s="7">
        <v>8419000</v>
      </c>
      <c r="EH141" s="7">
        <v>4817000</v>
      </c>
      <c r="EI141" s="7"/>
      <c r="EJ141" s="7"/>
      <c r="EK141" s="7">
        <v>9497000</v>
      </c>
      <c r="EL141" s="7">
        <v>9665000</v>
      </c>
      <c r="EM141" s="7">
        <v>5545000</v>
      </c>
      <c r="EN141" s="7"/>
      <c r="EO141" s="7"/>
      <c r="EP141" s="7"/>
      <c r="EQ141" s="7"/>
      <c r="ER141" s="7"/>
      <c r="ES141" s="7"/>
      <c r="ET141" s="7"/>
      <c r="EU141" s="7"/>
      <c r="EV141" s="7"/>
      <c r="EW141" s="7"/>
      <c r="EX141" s="7"/>
      <c r="EY141" s="7"/>
      <c r="EZ141" s="11"/>
      <c r="FA141" s="11"/>
      <c r="FB141" s="11"/>
      <c r="FC141" s="11"/>
      <c r="FD141" s="11"/>
      <c r="FE141" s="11"/>
      <c r="FF141" s="11"/>
      <c r="FG141" s="11"/>
      <c r="FH141" s="11"/>
      <c r="FI141" s="11"/>
      <c r="FJ141" s="11"/>
      <c r="FK141" s="11"/>
      <c r="FL141" s="11"/>
      <c r="FM141" s="11"/>
      <c r="FN141" s="11"/>
      <c r="FO141" s="7">
        <v>2502000</v>
      </c>
      <c r="FP141" s="7">
        <v>68000</v>
      </c>
      <c r="FQ141" s="7">
        <v>932000</v>
      </c>
      <c r="FR141" s="7"/>
      <c r="FS141" s="7"/>
      <c r="FT141" s="7">
        <v>840000</v>
      </c>
      <c r="FU141" s="7">
        <v>902000</v>
      </c>
      <c r="FV141" s="7">
        <v>1120000</v>
      </c>
      <c r="FW141" s="7">
        <v>941000</v>
      </c>
      <c r="FX141" s="7">
        <v>376000</v>
      </c>
      <c r="FY141" s="11">
        <v>88000</v>
      </c>
      <c r="FZ141" s="11">
        <v>87000</v>
      </c>
      <c r="GA141" s="11">
        <v>86000</v>
      </c>
      <c r="GB141" s="11"/>
      <c r="GC141" s="11"/>
      <c r="GD141" s="7">
        <v>610000</v>
      </c>
      <c r="GE141" s="7">
        <v>-2167000</v>
      </c>
      <c r="GF141" s="7">
        <v>-1002000</v>
      </c>
      <c r="GG141" s="7">
        <v>-941000</v>
      </c>
      <c r="GH141" s="7">
        <v>-376000</v>
      </c>
    </row>
    <row r="142" spans="1:190" ht="26.25" x14ac:dyDescent="0.25">
      <c r="A142" s="4">
        <v>141</v>
      </c>
      <c r="B142" s="5" t="s">
        <v>553</v>
      </c>
      <c r="C142" s="9" t="s">
        <v>554</v>
      </c>
      <c r="D142" s="7">
        <v>20</v>
      </c>
      <c r="E142" s="6" t="s">
        <v>555</v>
      </c>
      <c r="F142" s="11"/>
      <c r="G142" s="11"/>
      <c r="H142" s="11"/>
      <c r="I142" s="11">
        <v>54529</v>
      </c>
      <c r="J142" s="11"/>
      <c r="K142" s="11">
        <v>12000</v>
      </c>
      <c r="L142" s="11">
        <v>7194414</v>
      </c>
      <c r="M142" s="11">
        <v>781692</v>
      </c>
      <c r="N142" s="11">
        <v>1428035</v>
      </c>
      <c r="O142" s="11">
        <v>1084210</v>
      </c>
      <c r="P142" s="7">
        <v>162460000</v>
      </c>
      <c r="Q142" s="7">
        <v>69396000</v>
      </c>
      <c r="R142" s="7">
        <v>20029000</v>
      </c>
      <c r="S142" s="7"/>
      <c r="T142" s="7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>
        <v>162460000</v>
      </c>
      <c r="AK142" s="11">
        <v>69396000</v>
      </c>
      <c r="AL142" s="11">
        <v>20029000</v>
      </c>
      <c r="AM142" s="11"/>
      <c r="AN142" s="11"/>
      <c r="AO142" s="7">
        <v>8850000</v>
      </c>
      <c r="AP142" s="7">
        <v>13568000</v>
      </c>
      <c r="AQ142" s="7">
        <v>8330000</v>
      </c>
      <c r="AR142" s="7"/>
      <c r="AS142" s="7"/>
      <c r="AT142" s="7">
        <v>98715000</v>
      </c>
      <c r="AU142" s="7">
        <v>18075000</v>
      </c>
      <c r="AV142" s="7">
        <v>25024000</v>
      </c>
      <c r="AW142" s="7">
        <v>20018000</v>
      </c>
      <c r="AX142" s="7">
        <v>15350000</v>
      </c>
      <c r="AY142" s="11">
        <v>23000</v>
      </c>
      <c r="AZ142" s="11"/>
      <c r="BA142" s="11"/>
      <c r="BB142" s="11"/>
      <c r="BC142" s="11"/>
      <c r="BD142" s="7">
        <v>7248000</v>
      </c>
      <c r="BE142" s="7">
        <v>70704000</v>
      </c>
      <c r="BF142" s="7">
        <v>8085000</v>
      </c>
      <c r="BG142" s="7"/>
      <c r="BH142" s="7"/>
      <c r="BI142" s="11">
        <v>76000</v>
      </c>
      <c r="BJ142" s="11">
        <v>70000</v>
      </c>
      <c r="BK142" s="11">
        <v>8000</v>
      </c>
      <c r="BL142" s="11"/>
      <c r="BM142" s="11"/>
      <c r="BN142" s="11">
        <v>118329000</v>
      </c>
      <c r="BO142" s="11">
        <v>102467000</v>
      </c>
      <c r="BP142" s="11">
        <v>41448000</v>
      </c>
      <c r="BQ142" s="11">
        <v>20018000</v>
      </c>
      <c r="BR142" s="11">
        <v>15350000</v>
      </c>
      <c r="BS142" s="11">
        <v>280789000</v>
      </c>
      <c r="BT142" s="11">
        <v>171863000</v>
      </c>
      <c r="BU142" s="11">
        <v>61477000</v>
      </c>
      <c r="BV142" s="11">
        <v>20018000</v>
      </c>
      <c r="BW142" s="11">
        <v>15350000</v>
      </c>
      <c r="BX142" s="7">
        <v>10000</v>
      </c>
      <c r="BY142" s="7">
        <v>10000</v>
      </c>
      <c r="BZ142" s="7">
        <v>10000</v>
      </c>
      <c r="CA142" s="7">
        <v>10000</v>
      </c>
      <c r="CB142" s="7">
        <v>10000</v>
      </c>
      <c r="CC142" s="11"/>
      <c r="CD142" s="11"/>
      <c r="CE142" s="11"/>
      <c r="CF142" s="11"/>
      <c r="CG142" s="11"/>
      <c r="CH142" s="7">
        <v>-169276000</v>
      </c>
      <c r="CI142" s="7">
        <v>-211216000</v>
      </c>
      <c r="CJ142" s="7">
        <v>-188407000</v>
      </c>
      <c r="CK142" s="7">
        <v>-189302000</v>
      </c>
      <c r="CL142" s="7">
        <v>-190990000</v>
      </c>
      <c r="CM142" s="11">
        <v>-169266000</v>
      </c>
      <c r="CN142" s="11">
        <v>-211206000</v>
      </c>
      <c r="CO142" s="11">
        <v>-188397000</v>
      </c>
      <c r="CP142" s="11">
        <v>-189292000</v>
      </c>
      <c r="CQ142" s="11">
        <v>-190980000</v>
      </c>
      <c r="CR142" s="11"/>
      <c r="CS142" s="11"/>
      <c r="CT142" s="11"/>
      <c r="CU142" s="11"/>
      <c r="CV142" s="11"/>
      <c r="CW142" s="11"/>
      <c r="CX142" s="11"/>
      <c r="CY142" s="11"/>
      <c r="CZ142" s="11"/>
      <c r="DA142" s="11"/>
      <c r="DB142" s="11"/>
      <c r="DC142" s="11"/>
      <c r="DD142" s="11"/>
      <c r="DE142" s="11"/>
      <c r="DF142" s="11"/>
      <c r="DG142" s="7">
        <v>1007000</v>
      </c>
      <c r="DH142" s="7"/>
      <c r="DI142" s="7"/>
      <c r="DJ142" s="7"/>
      <c r="DK142" s="7"/>
      <c r="DL142" s="7">
        <v>449048000</v>
      </c>
      <c r="DM142" s="7">
        <v>383069000</v>
      </c>
      <c r="DN142" s="7">
        <v>249874000</v>
      </c>
      <c r="DO142" s="7">
        <v>209310000</v>
      </c>
      <c r="DP142" s="7">
        <v>206330000</v>
      </c>
      <c r="DQ142" s="11"/>
      <c r="DR142" s="11"/>
      <c r="DS142" s="11"/>
      <c r="DT142" s="11"/>
      <c r="DU142" s="11"/>
      <c r="DV142" s="11"/>
      <c r="DW142" s="11"/>
      <c r="DX142" s="11"/>
      <c r="DY142" s="11"/>
      <c r="DZ142" s="11"/>
      <c r="EA142" s="11">
        <v>450055000</v>
      </c>
      <c r="EB142" s="11">
        <v>383069000</v>
      </c>
      <c r="EC142" s="11">
        <v>249874000</v>
      </c>
      <c r="ED142" s="11">
        <v>209310000</v>
      </c>
      <c r="EE142" s="11">
        <v>206330000</v>
      </c>
      <c r="EF142" s="7">
        <v>96367000</v>
      </c>
      <c r="EG142" s="7">
        <v>73590000</v>
      </c>
      <c r="EH142" s="7">
        <v>49400000</v>
      </c>
      <c r="EI142" s="7">
        <v>17170000</v>
      </c>
      <c r="EJ142" s="7"/>
      <c r="EK142" s="7">
        <v>168350000</v>
      </c>
      <c r="EL142" s="7">
        <v>97193000</v>
      </c>
      <c r="EM142" s="7">
        <v>68463000</v>
      </c>
      <c r="EN142" s="7">
        <v>3092000</v>
      </c>
      <c r="EO142" s="7"/>
      <c r="EP142" s="7"/>
      <c r="EQ142" s="7"/>
      <c r="ER142" s="7"/>
      <c r="ES142" s="7"/>
      <c r="ET142" s="7"/>
      <c r="EU142" s="7">
        <v>18042000</v>
      </c>
      <c r="EV142" s="7">
        <v>14859000</v>
      </c>
      <c r="EW142" s="7">
        <v>11161000</v>
      </c>
      <c r="EX142" s="7">
        <v>6683000</v>
      </c>
      <c r="EY142" s="7">
        <v>801000</v>
      </c>
      <c r="EZ142" s="11"/>
      <c r="FA142" s="11"/>
      <c r="FB142" s="11"/>
      <c r="FC142" s="11"/>
      <c r="FD142" s="11"/>
      <c r="FE142" s="11">
        <v>121000</v>
      </c>
      <c r="FF142" s="11">
        <v>36000</v>
      </c>
      <c r="FG142" s="11"/>
      <c r="FH142" s="11"/>
      <c r="FI142" s="11"/>
      <c r="FJ142" s="11">
        <v>7000</v>
      </c>
      <c r="FK142" s="11">
        <v>45000</v>
      </c>
      <c r="FL142" s="11"/>
      <c r="FM142" s="11"/>
      <c r="FN142" s="11"/>
      <c r="FO142" s="7">
        <v>63244000</v>
      </c>
      <c r="FP142" s="7">
        <v>22566000</v>
      </c>
      <c r="FQ142" s="7">
        <v>92144000</v>
      </c>
      <c r="FR142" s="7">
        <v>1206000</v>
      </c>
      <c r="FS142" s="7">
        <v>15798000</v>
      </c>
      <c r="FT142" s="7">
        <v>49946000</v>
      </c>
      <c r="FU142" s="7">
        <v>26035000</v>
      </c>
      <c r="FV142" s="7">
        <v>39056000</v>
      </c>
      <c r="FW142" s="7">
        <v>9496000</v>
      </c>
      <c r="FX142" s="7">
        <v>16685000</v>
      </c>
      <c r="FY142" s="11"/>
      <c r="FZ142" s="11"/>
      <c r="GA142" s="11">
        <v>-55000</v>
      </c>
      <c r="GB142" s="11"/>
      <c r="GC142" s="11"/>
      <c r="GD142" s="7">
        <v>-76613000</v>
      </c>
      <c r="GE142" s="7">
        <v>-41940000</v>
      </c>
      <c r="GF142" s="7">
        <v>22809000</v>
      </c>
      <c r="GG142" s="7">
        <v>-895000</v>
      </c>
      <c r="GH142" s="7">
        <v>-1688000</v>
      </c>
    </row>
    <row r="143" spans="1:190" ht="39" x14ac:dyDescent="0.25">
      <c r="A143" s="4">
        <v>142</v>
      </c>
      <c r="B143" s="5" t="s">
        <v>556</v>
      </c>
      <c r="C143" s="9" t="s">
        <v>557</v>
      </c>
      <c r="D143" s="7">
        <v>20</v>
      </c>
      <c r="E143" s="6" t="s">
        <v>558</v>
      </c>
      <c r="F143" s="11"/>
      <c r="G143" s="11"/>
      <c r="H143" s="11"/>
      <c r="I143" s="11"/>
      <c r="J143" s="11"/>
      <c r="K143" s="11"/>
      <c r="L143" s="11"/>
      <c r="M143" s="11"/>
      <c r="N143" s="11">
        <v>911278441</v>
      </c>
      <c r="O143" s="11"/>
      <c r="P143" s="7">
        <v>945364000</v>
      </c>
      <c r="Q143" s="7">
        <v>912455000</v>
      </c>
      <c r="R143" s="7">
        <v>8101090000</v>
      </c>
      <c r="S143" s="7">
        <v>425628000</v>
      </c>
      <c r="T143" s="7">
        <v>312210000</v>
      </c>
      <c r="U143" s="11"/>
      <c r="V143" s="11"/>
      <c r="W143" s="11"/>
      <c r="X143" s="11"/>
      <c r="Y143" s="11"/>
      <c r="Z143" s="11">
        <v>231994000</v>
      </c>
      <c r="AA143" s="11">
        <v>16755218000</v>
      </c>
      <c r="AB143" s="11"/>
      <c r="AC143" s="11"/>
      <c r="AD143" s="11"/>
      <c r="AE143" s="11">
        <v>1925111000</v>
      </c>
      <c r="AF143" s="11">
        <v>2227012000</v>
      </c>
      <c r="AG143" s="11">
        <v>2341898000</v>
      </c>
      <c r="AH143" s="11"/>
      <c r="AI143" s="11"/>
      <c r="AJ143" s="11">
        <v>7378444000</v>
      </c>
      <c r="AK143" s="11">
        <v>23912292000</v>
      </c>
      <c r="AL143" s="11">
        <v>10911168000</v>
      </c>
      <c r="AM143" s="11">
        <v>747544000</v>
      </c>
      <c r="AN143" s="11">
        <v>313671000</v>
      </c>
      <c r="AO143" s="7">
        <v>14359920000</v>
      </c>
      <c r="AP143" s="7">
        <v>15123264000</v>
      </c>
      <c r="AQ143" s="7">
        <v>4414615000</v>
      </c>
      <c r="AR143" s="7">
        <v>3413685000</v>
      </c>
      <c r="AS143" s="7">
        <v>3488787000</v>
      </c>
      <c r="AT143" s="7">
        <v>27842542000</v>
      </c>
      <c r="AU143" s="7">
        <v>32016168000</v>
      </c>
      <c r="AV143" s="7">
        <v>4243988000</v>
      </c>
      <c r="AW143" s="7">
        <v>2385946000</v>
      </c>
      <c r="AX143" s="7">
        <v>2357946000</v>
      </c>
      <c r="AY143" s="11">
        <v>16709620000</v>
      </c>
      <c r="AZ143" s="11">
        <v>282213000</v>
      </c>
      <c r="BA143" s="11"/>
      <c r="BB143" s="11"/>
      <c r="BC143" s="11"/>
      <c r="BD143" s="7">
        <v>3297906000</v>
      </c>
      <c r="BE143" s="7">
        <v>3760475000</v>
      </c>
      <c r="BF143" s="7">
        <v>1224940000</v>
      </c>
      <c r="BG143" s="7">
        <v>24524000</v>
      </c>
      <c r="BH143" s="7">
        <v>55835000</v>
      </c>
      <c r="BI143" s="11">
        <v>1036093000</v>
      </c>
      <c r="BJ143" s="11">
        <v>1107830000</v>
      </c>
      <c r="BK143" s="11">
        <v>370402000</v>
      </c>
      <c r="BL143" s="11">
        <v>390086000</v>
      </c>
      <c r="BM143" s="11">
        <v>376730000</v>
      </c>
      <c r="BN143" s="11">
        <v>64039894000</v>
      </c>
      <c r="BO143" s="11">
        <v>53087108000</v>
      </c>
      <c r="BP143" s="11">
        <v>10789639000</v>
      </c>
      <c r="BQ143" s="11">
        <v>6664463000</v>
      </c>
      <c r="BR143" s="11">
        <v>6729520000</v>
      </c>
      <c r="BS143" s="11">
        <v>71418338000</v>
      </c>
      <c r="BT143" s="11">
        <v>76999400000</v>
      </c>
      <c r="BU143" s="11">
        <v>21700807000</v>
      </c>
      <c r="BV143" s="11">
        <v>7412007000</v>
      </c>
      <c r="BW143" s="11">
        <v>7043191000</v>
      </c>
      <c r="BX143" s="7">
        <v>32143000</v>
      </c>
      <c r="BY143" s="7">
        <v>32143000</v>
      </c>
      <c r="BZ143" s="7">
        <v>32143000</v>
      </c>
      <c r="CA143" s="7">
        <v>32143000</v>
      </c>
      <c r="CB143" s="7">
        <v>32143000</v>
      </c>
      <c r="CC143" s="11"/>
      <c r="CD143" s="11"/>
      <c r="CE143" s="11"/>
      <c r="CF143" s="11"/>
      <c r="CG143" s="11"/>
      <c r="CH143" s="7">
        <v>3612998000</v>
      </c>
      <c r="CI143" s="7">
        <v>3628277000</v>
      </c>
      <c r="CJ143" s="7">
        <v>-44916058000</v>
      </c>
      <c r="CK143" s="7">
        <v>-48297330000</v>
      </c>
      <c r="CL143" s="7">
        <v>-48652696000</v>
      </c>
      <c r="CM143" s="11">
        <v>3645903000</v>
      </c>
      <c r="CN143" s="11">
        <v>3661182000</v>
      </c>
      <c r="CO143" s="11">
        <v>-44883153000</v>
      </c>
      <c r="CP143" s="11">
        <v>-48264425000</v>
      </c>
      <c r="CQ143" s="11">
        <v>-48619791000</v>
      </c>
      <c r="CR143" s="11"/>
      <c r="CS143" s="11">
        <v>7566904000</v>
      </c>
      <c r="CT143" s="11">
        <v>8012297000</v>
      </c>
      <c r="CU143" s="11"/>
      <c r="CV143" s="11"/>
      <c r="CW143" s="11"/>
      <c r="CX143" s="11"/>
      <c r="CY143" s="11">
        <v>4296065000</v>
      </c>
      <c r="CZ143" s="11"/>
      <c r="DA143" s="11"/>
      <c r="DB143" s="11">
        <v>142951000</v>
      </c>
      <c r="DC143" s="11">
        <v>7701602000</v>
      </c>
      <c r="DD143" s="11">
        <v>12450192000</v>
      </c>
      <c r="DE143" s="11">
        <v>118641000</v>
      </c>
      <c r="DF143" s="11">
        <v>118641000</v>
      </c>
      <c r="DG143" s="7">
        <v>17591345000</v>
      </c>
      <c r="DH143" s="7">
        <v>10542639000</v>
      </c>
      <c r="DI143" s="7"/>
      <c r="DJ143" s="7">
        <v>8012792000</v>
      </c>
      <c r="DK143" s="7">
        <v>8013422000</v>
      </c>
      <c r="DL143" s="7">
        <v>48981006000</v>
      </c>
      <c r="DM143" s="7">
        <v>54041839000</v>
      </c>
      <c r="DN143" s="7">
        <v>53532029000</v>
      </c>
      <c r="DO143" s="7">
        <v>47499363000</v>
      </c>
      <c r="DP143" s="7">
        <v>47530919000</v>
      </c>
      <c r="DQ143" s="11"/>
      <c r="DR143" s="11"/>
      <c r="DS143" s="11"/>
      <c r="DT143" s="11"/>
      <c r="DU143" s="11"/>
      <c r="DV143" s="11"/>
      <c r="DW143" s="11"/>
      <c r="DX143" s="11"/>
      <c r="DY143" s="11"/>
      <c r="DZ143" s="11"/>
      <c r="EA143" s="11">
        <v>67629484000</v>
      </c>
      <c r="EB143" s="11">
        <v>65636616000</v>
      </c>
      <c r="EC143" s="11">
        <v>54133768000</v>
      </c>
      <c r="ED143" s="11">
        <v>55557791000</v>
      </c>
      <c r="EE143" s="11">
        <v>55544341000</v>
      </c>
      <c r="EF143" s="7">
        <v>102151702000</v>
      </c>
      <c r="EG143" s="7">
        <v>105462524000</v>
      </c>
      <c r="EH143" s="7">
        <v>56759628000</v>
      </c>
      <c r="EI143" s="7">
        <v>5460267000</v>
      </c>
      <c r="EJ143" s="7">
        <v>9889000</v>
      </c>
      <c r="EK143" s="7">
        <v>77585664000</v>
      </c>
      <c r="EL143" s="7">
        <v>81463799000</v>
      </c>
      <c r="EM143" s="7">
        <v>38316485000</v>
      </c>
      <c r="EN143" s="7">
        <v>4016869000</v>
      </c>
      <c r="EO143" s="7"/>
      <c r="EP143" s="7">
        <v>24126948000</v>
      </c>
      <c r="EQ143" s="7">
        <v>20197306000</v>
      </c>
      <c r="ER143" s="7">
        <v>16003711000</v>
      </c>
      <c r="ES143" s="7">
        <v>6648956000</v>
      </c>
      <c r="ET143" s="7">
        <v>506665000</v>
      </c>
      <c r="EU143" s="7"/>
      <c r="EV143" s="7"/>
      <c r="EW143" s="7"/>
      <c r="EX143" s="7"/>
      <c r="EY143" s="7"/>
      <c r="EZ143" s="11"/>
      <c r="FA143" s="11"/>
      <c r="FB143" s="11"/>
      <c r="FC143" s="11"/>
      <c r="FD143" s="11"/>
      <c r="FE143" s="11">
        <v>830224000</v>
      </c>
      <c r="FF143" s="11">
        <v>801997000</v>
      </c>
      <c r="FG143" s="11">
        <v>1423232000</v>
      </c>
      <c r="FH143" s="11">
        <v>1258634000</v>
      </c>
      <c r="FI143" s="11"/>
      <c r="FJ143" s="11">
        <v>1583941000</v>
      </c>
      <c r="FK143" s="11">
        <v>1398270000</v>
      </c>
      <c r="FL143" s="11">
        <v>2938625000</v>
      </c>
      <c r="FM143" s="11">
        <v>1468905000</v>
      </c>
      <c r="FN143" s="11">
        <v>1765000</v>
      </c>
      <c r="FO143" s="7">
        <v>2558364000</v>
      </c>
      <c r="FP143" s="7">
        <v>1214348000</v>
      </c>
      <c r="FQ143" s="7">
        <v>352547000</v>
      </c>
      <c r="FR143" s="7">
        <v>3511891000</v>
      </c>
      <c r="FS143" s="7">
        <v>78156000</v>
      </c>
      <c r="FT143" s="7">
        <v>4564922000</v>
      </c>
      <c r="FU143" s="7">
        <v>4227624000</v>
      </c>
      <c r="FV143" s="7">
        <v>46396282000</v>
      </c>
      <c r="FW143" s="7">
        <v>1848243000</v>
      </c>
      <c r="FX143" s="7">
        <v>28066000</v>
      </c>
      <c r="FY143" s="11">
        <v>486372000</v>
      </c>
      <c r="FZ143" s="11">
        <v>-78637000</v>
      </c>
      <c r="GA143" s="11"/>
      <c r="GB143" s="11"/>
      <c r="GC143" s="11">
        <v>93085000</v>
      </c>
      <c r="GD143" s="7">
        <v>-2156481000</v>
      </c>
      <c r="GE143" s="7">
        <v>15280000</v>
      </c>
      <c r="GF143" s="7">
        <v>-48544335000</v>
      </c>
      <c r="GG143" s="7">
        <v>-3039019000</v>
      </c>
      <c r="GH143" s="7">
        <v>-355366000</v>
      </c>
    </row>
    <row r="144" spans="1:190" x14ac:dyDescent="0.25">
      <c r="A144" s="4">
        <v>143</v>
      </c>
      <c r="B144" s="5" t="s">
        <v>559</v>
      </c>
      <c r="C144" s="9" t="s">
        <v>560</v>
      </c>
      <c r="D144" s="7">
        <v>24</v>
      </c>
      <c r="E144" s="6" t="s">
        <v>239</v>
      </c>
      <c r="F144" s="11"/>
      <c r="G144" s="11"/>
      <c r="H144" s="11"/>
      <c r="I144" s="11"/>
      <c r="J144" s="11"/>
      <c r="K144" s="11">
        <v>178278</v>
      </c>
      <c r="L144" s="11">
        <v>7216630</v>
      </c>
      <c r="M144" s="11">
        <v>4995251</v>
      </c>
      <c r="N144" s="11"/>
      <c r="O144" s="11"/>
      <c r="P144" s="7">
        <v>48124000</v>
      </c>
      <c r="Q144" s="7">
        <v>20543000</v>
      </c>
      <c r="R144" s="7"/>
      <c r="S144" s="7"/>
      <c r="T144" s="7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>
        <v>208675000</v>
      </c>
      <c r="AK144" s="11">
        <v>261128000</v>
      </c>
      <c r="AL144" s="11"/>
      <c r="AM144" s="11"/>
      <c r="AN144" s="11"/>
      <c r="AO144" s="7">
        <v>65181000</v>
      </c>
      <c r="AP144" s="7">
        <v>65062000</v>
      </c>
      <c r="AQ144" s="7"/>
      <c r="AR144" s="7"/>
      <c r="AS144" s="7"/>
      <c r="AT144" s="7">
        <v>701623000</v>
      </c>
      <c r="AU144" s="7">
        <v>837385000</v>
      </c>
      <c r="AV144" s="7">
        <v>211119000</v>
      </c>
      <c r="AW144" s="7">
        <v>9034000</v>
      </c>
      <c r="AX144" s="7"/>
      <c r="AY144" s="11">
        <v>128967000</v>
      </c>
      <c r="AZ144" s="11">
        <v>118967000</v>
      </c>
      <c r="BA144" s="11"/>
      <c r="BB144" s="11"/>
      <c r="BC144" s="11"/>
      <c r="BD144" s="7">
        <v>117000</v>
      </c>
      <c r="BE144" s="7">
        <v>448210000</v>
      </c>
      <c r="BF144" s="7">
        <v>40333000</v>
      </c>
      <c r="BG144" s="7">
        <v>13156000</v>
      </c>
      <c r="BH144" s="7">
        <v>6177000</v>
      </c>
      <c r="BI144" s="11">
        <v>1500000</v>
      </c>
      <c r="BJ144" s="11">
        <v>1441000</v>
      </c>
      <c r="BK144" s="11"/>
      <c r="BL144" s="11"/>
      <c r="BM144" s="11"/>
      <c r="BN144" s="11">
        <v>899445000</v>
      </c>
      <c r="BO144" s="11">
        <v>1473140000</v>
      </c>
      <c r="BP144" s="11">
        <v>251452000</v>
      </c>
      <c r="BQ144" s="11">
        <v>22190000</v>
      </c>
      <c r="BR144" s="11">
        <v>6177000</v>
      </c>
      <c r="BS144" s="11">
        <v>1108120000</v>
      </c>
      <c r="BT144" s="11">
        <v>1734268000</v>
      </c>
      <c r="BU144" s="11">
        <v>251452000</v>
      </c>
      <c r="BV144" s="11">
        <v>22190000</v>
      </c>
      <c r="BW144" s="11">
        <v>6177000</v>
      </c>
      <c r="BX144" s="7">
        <v>60000</v>
      </c>
      <c r="BY144" s="7">
        <v>60000</v>
      </c>
      <c r="BZ144" s="7">
        <v>60000</v>
      </c>
      <c r="CA144" s="7">
        <v>60000</v>
      </c>
      <c r="CB144" s="7">
        <v>60000</v>
      </c>
      <c r="CC144" s="11"/>
      <c r="CD144" s="11"/>
      <c r="CE144" s="11"/>
      <c r="CF144" s="11"/>
      <c r="CG144" s="11"/>
      <c r="CH144" s="7">
        <v>-656597000</v>
      </c>
      <c r="CI144" s="7">
        <v>-982109000</v>
      </c>
      <c r="CJ144" s="7">
        <v>-1624920000</v>
      </c>
      <c r="CK144" s="7">
        <v>-1915989000</v>
      </c>
      <c r="CL144" s="7">
        <v>-1928141000</v>
      </c>
      <c r="CM144" s="11">
        <v>-656533000</v>
      </c>
      <c r="CN144" s="11">
        <v>-982045000</v>
      </c>
      <c r="CO144" s="11">
        <v>-1624860000</v>
      </c>
      <c r="CP144" s="11">
        <v>-1915929000</v>
      </c>
      <c r="CQ144" s="11">
        <v>-1928081000</v>
      </c>
      <c r="CR144" s="11"/>
      <c r="CS144" s="11"/>
      <c r="CT144" s="11"/>
      <c r="CU144" s="11"/>
      <c r="CV144" s="11"/>
      <c r="CW144" s="11"/>
      <c r="CX144" s="11"/>
      <c r="CY144" s="11"/>
      <c r="CZ144" s="11"/>
      <c r="DA144" s="11"/>
      <c r="DB144" s="11">
        <v>1794000</v>
      </c>
      <c r="DC144" s="11">
        <v>1645000</v>
      </c>
      <c r="DD144" s="11"/>
      <c r="DE144" s="11"/>
      <c r="DF144" s="11"/>
      <c r="DG144" s="7">
        <v>256710000</v>
      </c>
      <c r="DH144" s="7">
        <v>1290000</v>
      </c>
      <c r="DI144" s="7"/>
      <c r="DJ144" s="7">
        <v>21845000</v>
      </c>
      <c r="DK144" s="7">
        <v>21845000</v>
      </c>
      <c r="DL144" s="7">
        <v>1506149000</v>
      </c>
      <c r="DM144" s="7">
        <v>2713378000</v>
      </c>
      <c r="DN144" s="7">
        <v>1876312000</v>
      </c>
      <c r="DO144" s="7">
        <v>1916274000</v>
      </c>
      <c r="DP144" s="7">
        <v>1912413000</v>
      </c>
      <c r="DQ144" s="11"/>
      <c r="DR144" s="11"/>
      <c r="DS144" s="11"/>
      <c r="DT144" s="11"/>
      <c r="DU144" s="11"/>
      <c r="DV144" s="11"/>
      <c r="DW144" s="11"/>
      <c r="DX144" s="11"/>
      <c r="DY144" s="11"/>
      <c r="DZ144" s="11"/>
      <c r="EA144" s="11">
        <v>1762859000</v>
      </c>
      <c r="EB144" s="11">
        <v>2714668000</v>
      </c>
      <c r="EC144" s="11">
        <v>1876312000</v>
      </c>
      <c r="ED144" s="11">
        <v>1938119000</v>
      </c>
      <c r="EE144" s="11">
        <v>1934258000</v>
      </c>
      <c r="EF144" s="7">
        <v>352000</v>
      </c>
      <c r="EG144" s="7"/>
      <c r="EH144" s="7"/>
      <c r="EI144" s="7"/>
      <c r="EJ144" s="7"/>
      <c r="EK144" s="7">
        <v>3519000</v>
      </c>
      <c r="EL144" s="7"/>
      <c r="EM144" s="7"/>
      <c r="EN144" s="7"/>
      <c r="EO144" s="7"/>
      <c r="EP144" s="7"/>
      <c r="EQ144" s="7"/>
      <c r="ER144" s="7"/>
      <c r="ES144" s="7"/>
      <c r="ET144" s="7"/>
      <c r="EU144" s="7">
        <v>47132000</v>
      </c>
      <c r="EV144" s="7">
        <v>36389000</v>
      </c>
      <c r="EW144" s="7">
        <v>22592000</v>
      </c>
      <c r="EX144" s="7">
        <v>2540000</v>
      </c>
      <c r="EY144" s="7">
        <v>3144000</v>
      </c>
      <c r="EZ144" s="11"/>
      <c r="FA144" s="11"/>
      <c r="FB144" s="11"/>
      <c r="FC144" s="11"/>
      <c r="FD144" s="11"/>
      <c r="FE144" s="11">
        <v>5981000</v>
      </c>
      <c r="FF144" s="11">
        <v>4150000</v>
      </c>
      <c r="FG144" s="11"/>
      <c r="FH144" s="11"/>
      <c r="FI144" s="11"/>
      <c r="FJ144" s="11"/>
      <c r="FK144" s="11">
        <v>35251000</v>
      </c>
      <c r="FL144" s="11"/>
      <c r="FM144" s="11"/>
      <c r="FN144" s="11"/>
      <c r="FO144" s="7">
        <v>25244000</v>
      </c>
      <c r="FP144" s="7">
        <v>1020322000</v>
      </c>
      <c r="FQ144" s="7">
        <v>24641000</v>
      </c>
      <c r="FR144" s="7">
        <v>2257000</v>
      </c>
      <c r="FS144" s="7">
        <v>33000</v>
      </c>
      <c r="FT144" s="7">
        <v>67365000</v>
      </c>
      <c r="FU144" s="7">
        <v>1347541000</v>
      </c>
      <c r="FV144" s="7">
        <v>31135000</v>
      </c>
      <c r="FW144" s="7">
        <v>290786000</v>
      </c>
      <c r="FX144" s="7">
        <v>9041000</v>
      </c>
      <c r="FY144" s="11">
        <v>17288000</v>
      </c>
      <c r="FZ144" s="11">
        <v>78353000</v>
      </c>
      <c r="GA144" s="11"/>
      <c r="GB144" s="11"/>
      <c r="GC144" s="11"/>
      <c r="GD144" s="7">
        <v>-69369000</v>
      </c>
      <c r="GE144" s="7">
        <v>-325512000</v>
      </c>
      <c r="GF144" s="7">
        <v>-29086000</v>
      </c>
      <c r="GG144" s="7">
        <v>-291069000</v>
      </c>
      <c r="GH144" s="7">
        <v>-12152000</v>
      </c>
    </row>
    <row r="145" spans="1:190" ht="26.25" x14ac:dyDescent="0.25">
      <c r="A145" s="4">
        <v>144</v>
      </c>
      <c r="B145" s="5" t="s">
        <v>561</v>
      </c>
      <c r="C145" s="9" t="s">
        <v>562</v>
      </c>
      <c r="D145" s="7">
        <v>24</v>
      </c>
      <c r="E145" s="6" t="s">
        <v>563</v>
      </c>
      <c r="F145" s="11"/>
      <c r="G145" s="11"/>
      <c r="H145" s="11"/>
      <c r="I145" s="11">
        <v>12176</v>
      </c>
      <c r="J145" s="11"/>
      <c r="K145" s="11">
        <v>6626758</v>
      </c>
      <c r="L145" s="11"/>
      <c r="M145" s="11">
        <v>26834</v>
      </c>
      <c r="N145" s="11">
        <v>811071</v>
      </c>
      <c r="O145" s="11">
        <v>3974259</v>
      </c>
      <c r="P145" s="7"/>
      <c r="Q145" s="7"/>
      <c r="R145" s="7"/>
      <c r="S145" s="7"/>
      <c r="T145" s="7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>
        <v>10000</v>
      </c>
      <c r="AF145" s="11">
        <v>10000</v>
      </c>
      <c r="AG145" s="11"/>
      <c r="AH145" s="11"/>
      <c r="AI145" s="11"/>
      <c r="AJ145" s="11">
        <v>10000</v>
      </c>
      <c r="AK145" s="11">
        <v>10000</v>
      </c>
      <c r="AL145" s="11"/>
      <c r="AM145" s="11"/>
      <c r="AN145" s="11"/>
      <c r="AO145" s="7"/>
      <c r="AP145" s="7"/>
      <c r="AQ145" s="7"/>
      <c r="AR145" s="7"/>
      <c r="AS145" s="7"/>
      <c r="AT145" s="7">
        <v>99845000</v>
      </c>
      <c r="AU145" s="7">
        <v>99845000</v>
      </c>
      <c r="AV145" s="7">
        <v>81785000</v>
      </c>
      <c r="AW145" s="7">
        <v>81785000</v>
      </c>
      <c r="AX145" s="7">
        <v>33970000</v>
      </c>
      <c r="AY145" s="11"/>
      <c r="AZ145" s="11"/>
      <c r="BA145" s="11"/>
      <c r="BB145" s="11"/>
      <c r="BC145" s="11"/>
      <c r="BD145" s="7"/>
      <c r="BE145" s="7"/>
      <c r="BF145" s="7">
        <v>570000</v>
      </c>
      <c r="BG145" s="7"/>
      <c r="BH145" s="7">
        <v>1716000</v>
      </c>
      <c r="BI145" s="11"/>
      <c r="BJ145" s="11"/>
      <c r="BK145" s="11"/>
      <c r="BL145" s="11">
        <v>570000</v>
      </c>
      <c r="BM145" s="11"/>
      <c r="BN145" s="11">
        <v>99845000</v>
      </c>
      <c r="BO145" s="11">
        <v>99845000</v>
      </c>
      <c r="BP145" s="11">
        <v>82355000</v>
      </c>
      <c r="BQ145" s="11">
        <v>82355000</v>
      </c>
      <c r="BR145" s="11">
        <v>35686000</v>
      </c>
      <c r="BS145" s="11">
        <v>99855000</v>
      </c>
      <c r="BT145" s="11">
        <v>99855000</v>
      </c>
      <c r="BU145" s="11">
        <v>82355000</v>
      </c>
      <c r="BV145" s="11">
        <v>82355000</v>
      </c>
      <c r="BW145" s="11">
        <v>35686000</v>
      </c>
      <c r="BX145" s="7">
        <v>10000</v>
      </c>
      <c r="BY145" s="7">
        <v>10000</v>
      </c>
      <c r="BZ145" s="7">
        <v>10000</v>
      </c>
      <c r="CA145" s="7">
        <v>10000</v>
      </c>
      <c r="CB145" s="7">
        <v>10000</v>
      </c>
      <c r="CC145" s="11"/>
      <c r="CD145" s="11"/>
      <c r="CE145" s="11"/>
      <c r="CF145" s="11"/>
      <c r="CG145" s="11"/>
      <c r="CH145" s="7"/>
      <c r="CI145" s="7"/>
      <c r="CJ145" s="7">
        <v>-17500000</v>
      </c>
      <c r="CK145" s="7">
        <v>-17500000</v>
      </c>
      <c r="CL145" s="7">
        <v>-64169000</v>
      </c>
      <c r="CM145" s="11">
        <v>10000</v>
      </c>
      <c r="CN145" s="11">
        <v>10000</v>
      </c>
      <c r="CO145" s="11">
        <v>-17490000</v>
      </c>
      <c r="CP145" s="11">
        <v>-17490000</v>
      </c>
      <c r="CQ145" s="11">
        <v>-64159000</v>
      </c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7"/>
      <c r="DH145" s="7"/>
      <c r="DI145" s="7"/>
      <c r="DJ145" s="7"/>
      <c r="DK145" s="7"/>
      <c r="DL145" s="7">
        <v>99845000</v>
      </c>
      <c r="DM145" s="7">
        <v>99845000</v>
      </c>
      <c r="DN145" s="7">
        <v>99845000</v>
      </c>
      <c r="DO145" s="7">
        <v>99845000</v>
      </c>
      <c r="DP145" s="7">
        <v>99845000</v>
      </c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>
        <v>99845000</v>
      </c>
      <c r="EB145" s="11">
        <v>99845000</v>
      </c>
      <c r="EC145" s="11">
        <v>99845000</v>
      </c>
      <c r="ED145" s="11">
        <v>99845000</v>
      </c>
      <c r="EE145" s="11">
        <v>99845000</v>
      </c>
      <c r="EF145" s="7"/>
      <c r="EG145" s="7"/>
      <c r="EH145" s="7"/>
      <c r="EI145" s="7"/>
      <c r="EJ145" s="7"/>
      <c r="EK145" s="7"/>
      <c r="EL145" s="7"/>
      <c r="EM145" s="7"/>
      <c r="EN145" s="7"/>
      <c r="EO145" s="7"/>
      <c r="EP145" s="7"/>
      <c r="EQ145" s="7"/>
      <c r="ER145" s="7"/>
      <c r="ES145" s="7"/>
      <c r="ET145" s="7"/>
      <c r="EU145" s="7"/>
      <c r="EV145" s="7"/>
      <c r="EW145" s="7"/>
      <c r="EX145" s="7"/>
      <c r="EY145" s="7"/>
      <c r="EZ145" s="11"/>
      <c r="FA145" s="11"/>
      <c r="FB145" s="11"/>
      <c r="FC145" s="11"/>
      <c r="FD145" s="11"/>
      <c r="FE145" s="11"/>
      <c r="FF145" s="11"/>
      <c r="FG145" s="11"/>
      <c r="FH145" s="11"/>
      <c r="FI145" s="11"/>
      <c r="FJ145" s="11"/>
      <c r="FK145" s="11"/>
      <c r="FL145" s="11"/>
      <c r="FM145" s="11"/>
      <c r="FN145" s="11"/>
      <c r="FO145" s="7"/>
      <c r="FP145" s="7">
        <v>100000</v>
      </c>
      <c r="FQ145" s="7"/>
      <c r="FR145" s="7"/>
      <c r="FS145" s="7"/>
      <c r="FT145" s="7"/>
      <c r="FU145" s="7">
        <v>100000</v>
      </c>
      <c r="FV145" s="7"/>
      <c r="FW145" s="7"/>
      <c r="FX145" s="7"/>
      <c r="FY145" s="11"/>
      <c r="FZ145" s="11"/>
      <c r="GA145" s="11"/>
      <c r="GB145" s="11"/>
      <c r="GC145" s="11"/>
      <c r="GD145" s="7"/>
      <c r="GE145" s="7"/>
      <c r="GF145" s="7"/>
      <c r="GG145" s="7"/>
      <c r="GH145" s="7"/>
    </row>
    <row r="146" spans="1:190" x14ac:dyDescent="0.25">
      <c r="A146" s="4">
        <v>145</v>
      </c>
      <c r="B146" s="5" t="s">
        <v>564</v>
      </c>
      <c r="C146" s="9" t="s">
        <v>565</v>
      </c>
      <c r="D146" s="7">
        <v>32</v>
      </c>
      <c r="E146" s="6" t="s">
        <v>566</v>
      </c>
      <c r="F146" s="11"/>
      <c r="G146" s="11"/>
      <c r="H146" s="11"/>
      <c r="I146" s="11">
        <v>1240837</v>
      </c>
      <c r="J146" s="11"/>
      <c r="K146" s="11"/>
      <c r="L146" s="11">
        <v>108001</v>
      </c>
      <c r="M146" s="11"/>
      <c r="N146" s="11">
        <v>3094212</v>
      </c>
      <c r="O146" s="11">
        <v>8882186</v>
      </c>
      <c r="P146" s="7"/>
      <c r="Q146" s="7"/>
      <c r="R146" s="7"/>
      <c r="S146" s="7"/>
      <c r="T146" s="7"/>
      <c r="U146" s="11"/>
      <c r="V146" s="11"/>
      <c r="W146" s="11"/>
      <c r="X146" s="11"/>
      <c r="Y146" s="11"/>
      <c r="Z146" s="11">
        <v>100000</v>
      </c>
      <c r="AA146" s="11"/>
      <c r="AB146" s="11"/>
      <c r="AC146" s="11"/>
      <c r="AD146" s="11"/>
      <c r="AE146" s="11"/>
      <c r="AF146" s="11"/>
      <c r="AG146" s="11"/>
      <c r="AH146" s="11"/>
      <c r="AI146" s="11"/>
      <c r="AJ146" s="11">
        <v>8256000</v>
      </c>
      <c r="AK146" s="11">
        <v>10563000</v>
      </c>
      <c r="AL146" s="11">
        <v>16160000</v>
      </c>
      <c r="AM146" s="11">
        <v>12244000</v>
      </c>
      <c r="AN146" s="11">
        <v>12474000</v>
      </c>
      <c r="AO146" s="7">
        <v>768772000</v>
      </c>
      <c r="AP146" s="7">
        <v>726400000</v>
      </c>
      <c r="AQ146" s="7">
        <v>768395000</v>
      </c>
      <c r="AR146" s="7">
        <v>683468000</v>
      </c>
      <c r="AS146" s="7">
        <v>681868000</v>
      </c>
      <c r="AT146" s="7">
        <v>84353000</v>
      </c>
      <c r="AU146" s="7">
        <v>82488000</v>
      </c>
      <c r="AV146" s="7">
        <v>77636000</v>
      </c>
      <c r="AW146" s="7">
        <v>8011000</v>
      </c>
      <c r="AX146" s="7">
        <v>6493000</v>
      </c>
      <c r="AY146" s="11"/>
      <c r="AZ146" s="11">
        <v>100000</v>
      </c>
      <c r="BA146" s="11"/>
      <c r="BB146" s="11"/>
      <c r="BC146" s="11"/>
      <c r="BD146" s="7">
        <v>49326000</v>
      </c>
      <c r="BE146" s="7">
        <v>35583000</v>
      </c>
      <c r="BF146" s="7">
        <v>23980000</v>
      </c>
      <c r="BG146" s="7">
        <v>25393000</v>
      </c>
      <c r="BH146" s="7">
        <v>21727000</v>
      </c>
      <c r="BI146" s="11"/>
      <c r="BJ146" s="11"/>
      <c r="BK146" s="11"/>
      <c r="BL146" s="11"/>
      <c r="BM146" s="11"/>
      <c r="BN146" s="11">
        <v>902451000</v>
      </c>
      <c r="BO146" s="11">
        <v>844571000</v>
      </c>
      <c r="BP146" s="11">
        <v>870011000</v>
      </c>
      <c r="BQ146" s="11">
        <v>716872000</v>
      </c>
      <c r="BR146" s="11">
        <v>710088000</v>
      </c>
      <c r="BS146" s="11">
        <v>910708000</v>
      </c>
      <c r="BT146" s="11">
        <v>855134000</v>
      </c>
      <c r="BU146" s="11">
        <v>886171000</v>
      </c>
      <c r="BV146" s="11">
        <v>729116000</v>
      </c>
      <c r="BW146" s="11">
        <v>722562000</v>
      </c>
      <c r="BX146" s="7">
        <v>77816000</v>
      </c>
      <c r="BY146" s="7">
        <v>77816000</v>
      </c>
      <c r="BZ146" s="7">
        <v>77816000</v>
      </c>
      <c r="CA146" s="7">
        <v>77816000</v>
      </c>
      <c r="CB146" s="7">
        <v>77816000</v>
      </c>
      <c r="CC146" s="11">
        <v>814189000</v>
      </c>
      <c r="CD146" s="11">
        <v>730692000</v>
      </c>
      <c r="CE146" s="11"/>
      <c r="CF146" s="11"/>
      <c r="CG146" s="11"/>
      <c r="CH146" s="7">
        <v>-1366127000</v>
      </c>
      <c r="CI146" s="7">
        <v>-1300573000</v>
      </c>
      <c r="CJ146" s="7">
        <v>-538095000</v>
      </c>
      <c r="CK146" s="7">
        <v>-364560000</v>
      </c>
      <c r="CL146" s="7">
        <v>-370236000</v>
      </c>
      <c r="CM146" s="11">
        <v>-474122000</v>
      </c>
      <c r="CN146" s="11">
        <v>-492065000</v>
      </c>
      <c r="CO146" s="11">
        <v>-460279000</v>
      </c>
      <c r="CP146" s="11">
        <v>-286744000</v>
      </c>
      <c r="CQ146" s="11">
        <v>-292420000</v>
      </c>
      <c r="CR146" s="11"/>
      <c r="CS146" s="11"/>
      <c r="CT146" s="11"/>
      <c r="CU146" s="11"/>
      <c r="CV146" s="11"/>
      <c r="CW146" s="11"/>
      <c r="CX146" s="11"/>
      <c r="CY146" s="11"/>
      <c r="CZ146" s="11"/>
      <c r="DA146" s="11"/>
      <c r="DB146" s="11"/>
      <c r="DC146" s="11"/>
      <c r="DD146" s="11"/>
      <c r="DE146" s="11">
        <v>71000</v>
      </c>
      <c r="DF146" s="11">
        <v>88000</v>
      </c>
      <c r="DG146" s="7"/>
      <c r="DH146" s="7"/>
      <c r="DI146" s="7"/>
      <c r="DJ146" s="7"/>
      <c r="DK146" s="7"/>
      <c r="DL146" s="7">
        <v>1384830000</v>
      </c>
      <c r="DM146" s="7">
        <v>1347200000</v>
      </c>
      <c r="DN146" s="7">
        <v>1346450000</v>
      </c>
      <c r="DO146" s="7">
        <v>1015789000</v>
      </c>
      <c r="DP146" s="7">
        <v>1014206000</v>
      </c>
      <c r="DQ146" s="11"/>
      <c r="DR146" s="11"/>
      <c r="DS146" s="11"/>
      <c r="DT146" s="11"/>
      <c r="DU146" s="11"/>
      <c r="DV146" s="11"/>
      <c r="DW146" s="11"/>
      <c r="DX146" s="11"/>
      <c r="DY146" s="11"/>
      <c r="DZ146" s="11"/>
      <c r="EA146" s="11">
        <v>1384830000</v>
      </c>
      <c r="EB146" s="11">
        <v>1347200000</v>
      </c>
      <c r="EC146" s="11">
        <v>1346450000</v>
      </c>
      <c r="ED146" s="11">
        <v>1015789000</v>
      </c>
      <c r="EE146" s="11">
        <v>1014894000</v>
      </c>
      <c r="EF146" s="7"/>
      <c r="EG146" s="7"/>
      <c r="EH146" s="7"/>
      <c r="EI146" s="7"/>
      <c r="EJ146" s="7"/>
      <c r="EK146" s="7"/>
      <c r="EL146" s="7"/>
      <c r="EM146" s="7"/>
      <c r="EN146" s="7"/>
      <c r="EO146" s="7"/>
      <c r="EP146" s="7"/>
      <c r="EQ146" s="7"/>
      <c r="ER146" s="7"/>
      <c r="ES146" s="7"/>
      <c r="ET146" s="7"/>
      <c r="EU146" s="7"/>
      <c r="EV146" s="7"/>
      <c r="EW146" s="7"/>
      <c r="EX146" s="7"/>
      <c r="EY146" s="7"/>
      <c r="EZ146" s="11"/>
      <c r="FA146" s="11"/>
      <c r="FB146" s="11"/>
      <c r="FC146" s="11"/>
      <c r="FD146" s="11"/>
      <c r="FE146" s="11"/>
      <c r="FF146" s="11"/>
      <c r="FG146" s="11"/>
      <c r="FH146" s="11"/>
      <c r="FI146" s="11"/>
      <c r="FJ146" s="11"/>
      <c r="FK146" s="11"/>
      <c r="FL146" s="11"/>
      <c r="FM146" s="11"/>
      <c r="FN146" s="11"/>
      <c r="FO146" s="7">
        <v>321592000</v>
      </c>
      <c r="FP146" s="7">
        <v>95355000</v>
      </c>
      <c r="FQ146" s="7">
        <v>24252000</v>
      </c>
      <c r="FR146" s="7">
        <v>348559000</v>
      </c>
      <c r="FS146" s="7">
        <v>61685000</v>
      </c>
      <c r="FT146" s="7">
        <v>198688000</v>
      </c>
      <c r="FU146" s="7">
        <v>115706000</v>
      </c>
      <c r="FV146" s="7">
        <v>48920000</v>
      </c>
      <c r="FW146" s="7">
        <v>155838000</v>
      </c>
      <c r="FX146" s="7">
        <v>48431000</v>
      </c>
      <c r="FY146" s="11">
        <v>-12308000</v>
      </c>
      <c r="FZ146" s="11">
        <v>2407000</v>
      </c>
      <c r="GA146" s="11">
        <v>5598000</v>
      </c>
      <c r="GB146" s="11">
        <v>-19186000</v>
      </c>
      <c r="GC146" s="11">
        <v>-237000</v>
      </c>
      <c r="GD146" s="7">
        <v>110596000</v>
      </c>
      <c r="GE146" s="7">
        <v>-17944000</v>
      </c>
      <c r="GF146" s="7">
        <v>-19070000</v>
      </c>
      <c r="GG146" s="7">
        <v>173535000</v>
      </c>
      <c r="GH146" s="7">
        <v>13017000</v>
      </c>
    </row>
    <row r="147" spans="1:190" x14ac:dyDescent="0.25">
      <c r="A147" s="4">
        <v>146</v>
      </c>
      <c r="B147" s="5" t="s">
        <v>567</v>
      </c>
      <c r="C147" s="9" t="s">
        <v>568</v>
      </c>
      <c r="D147" s="7">
        <v>14</v>
      </c>
      <c r="E147" s="6" t="s">
        <v>190</v>
      </c>
      <c r="F147" s="11">
        <v>212031</v>
      </c>
      <c r="G147" s="11"/>
      <c r="H147" s="11"/>
      <c r="I147" s="11">
        <v>851911</v>
      </c>
      <c r="J147" s="11">
        <v>62753</v>
      </c>
      <c r="K147" s="11">
        <v>18435</v>
      </c>
      <c r="L147" s="11">
        <v>187166</v>
      </c>
      <c r="M147" s="11"/>
      <c r="N147" s="11">
        <v>630230</v>
      </c>
      <c r="O147" s="11">
        <v>1972323</v>
      </c>
      <c r="P147" s="7">
        <v>8189000</v>
      </c>
      <c r="Q147" s="7">
        <v>2210000</v>
      </c>
      <c r="R147" s="7">
        <v>2210000</v>
      </c>
      <c r="S147" s="7">
        <v>2210000</v>
      </c>
      <c r="T147" s="7">
        <v>2210000</v>
      </c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>
        <v>674933000</v>
      </c>
      <c r="AF147" s="11">
        <v>481490000</v>
      </c>
      <c r="AG147" s="11">
        <v>217106000</v>
      </c>
      <c r="AH147" s="11">
        <v>4006000</v>
      </c>
      <c r="AI147" s="11">
        <v>4006000</v>
      </c>
      <c r="AJ147" s="11">
        <v>683122000</v>
      </c>
      <c r="AK147" s="11">
        <v>483700000</v>
      </c>
      <c r="AL147" s="11">
        <v>219316000</v>
      </c>
      <c r="AM147" s="11">
        <v>6216000</v>
      </c>
      <c r="AN147" s="11">
        <v>6216000</v>
      </c>
      <c r="AO147" s="7"/>
      <c r="AP147" s="7"/>
      <c r="AQ147" s="7"/>
      <c r="AR147" s="7"/>
      <c r="AS147" s="7"/>
      <c r="AT147" s="7">
        <v>1569788000</v>
      </c>
      <c r="AU147" s="7">
        <v>68626000</v>
      </c>
      <c r="AV147" s="7">
        <v>67469000</v>
      </c>
      <c r="AW147" s="7">
        <v>75300000</v>
      </c>
      <c r="AX147" s="7">
        <v>75300000</v>
      </c>
      <c r="AY147" s="11"/>
      <c r="AZ147" s="11"/>
      <c r="BA147" s="11"/>
      <c r="BB147" s="11"/>
      <c r="BC147" s="11"/>
      <c r="BD147" s="7">
        <v>351000</v>
      </c>
      <c r="BE147" s="7">
        <v>421000</v>
      </c>
      <c r="BF147" s="7">
        <v>421000</v>
      </c>
      <c r="BG147" s="7">
        <v>421000</v>
      </c>
      <c r="BH147" s="7">
        <v>421000</v>
      </c>
      <c r="BI147" s="11"/>
      <c r="BJ147" s="11">
        <v>32000</v>
      </c>
      <c r="BK147" s="11">
        <v>6000</v>
      </c>
      <c r="BL147" s="11"/>
      <c r="BM147" s="11"/>
      <c r="BN147" s="11">
        <v>1654006000</v>
      </c>
      <c r="BO147" s="11">
        <v>69079000</v>
      </c>
      <c r="BP147" s="11">
        <v>67900000</v>
      </c>
      <c r="BQ147" s="11">
        <v>75725000</v>
      </c>
      <c r="BR147" s="11">
        <v>75725000</v>
      </c>
      <c r="BS147" s="11">
        <v>2337128000</v>
      </c>
      <c r="BT147" s="11">
        <v>552780000</v>
      </c>
      <c r="BU147" s="11">
        <v>287215000</v>
      </c>
      <c r="BV147" s="11">
        <v>81941000</v>
      </c>
      <c r="BW147" s="11">
        <v>81941000</v>
      </c>
      <c r="BX147" s="7">
        <v>10000</v>
      </c>
      <c r="BY147" s="7">
        <v>10000</v>
      </c>
      <c r="BZ147" s="7">
        <v>10000</v>
      </c>
      <c r="CA147" s="7">
        <v>10000</v>
      </c>
      <c r="CB147" s="7">
        <v>10000</v>
      </c>
      <c r="CC147" s="11"/>
      <c r="CD147" s="11"/>
      <c r="CE147" s="11"/>
      <c r="CF147" s="11"/>
      <c r="CG147" s="11"/>
      <c r="CH147" s="7">
        <v>-34641000</v>
      </c>
      <c r="CI147" s="7">
        <v>-30224000</v>
      </c>
      <c r="CJ147" s="7">
        <v>-28282000</v>
      </c>
      <c r="CK147" s="7">
        <v>-28542000</v>
      </c>
      <c r="CL147" s="7">
        <v>-28542000</v>
      </c>
      <c r="CM147" s="11">
        <v>329000</v>
      </c>
      <c r="CN147" s="11">
        <v>4746000</v>
      </c>
      <c r="CO147" s="11">
        <v>6688000</v>
      </c>
      <c r="CP147" s="11">
        <v>-28182000</v>
      </c>
      <c r="CQ147" s="11">
        <v>-28182000</v>
      </c>
      <c r="CR147" s="11"/>
      <c r="CS147" s="11"/>
      <c r="CT147" s="11"/>
      <c r="CU147" s="11"/>
      <c r="CV147" s="11"/>
      <c r="CW147" s="11"/>
      <c r="CX147" s="11"/>
      <c r="CY147" s="11"/>
      <c r="CZ147" s="11"/>
      <c r="DA147" s="11"/>
      <c r="DB147" s="11"/>
      <c r="DC147" s="11"/>
      <c r="DD147" s="11"/>
      <c r="DE147" s="11"/>
      <c r="DF147" s="11"/>
      <c r="DG147" s="7">
        <v>777000</v>
      </c>
      <c r="DH147" s="7">
        <v>1922000</v>
      </c>
      <c r="DI147" s="7">
        <v>1940000</v>
      </c>
      <c r="DJ147" s="7">
        <v>10474000</v>
      </c>
      <c r="DK147" s="7">
        <v>10474000</v>
      </c>
      <c r="DL147" s="7">
        <v>21065000</v>
      </c>
      <c r="DM147" s="7">
        <v>60913000</v>
      </c>
      <c r="DN147" s="7">
        <v>65488000</v>
      </c>
      <c r="DO147" s="7">
        <v>99649000</v>
      </c>
      <c r="DP147" s="7">
        <v>99649000</v>
      </c>
      <c r="DQ147" s="11">
        <v>2314957000</v>
      </c>
      <c r="DR147" s="11">
        <v>485199000</v>
      </c>
      <c r="DS147" s="11">
        <v>213100000</v>
      </c>
      <c r="DT147" s="11"/>
      <c r="DU147" s="11"/>
      <c r="DV147" s="11"/>
      <c r="DW147" s="11"/>
      <c r="DX147" s="11"/>
      <c r="DY147" s="11"/>
      <c r="DZ147" s="11"/>
      <c r="EA147" s="11">
        <v>2336798000</v>
      </c>
      <c r="EB147" s="11">
        <v>548033000</v>
      </c>
      <c r="EC147" s="11">
        <v>280528000</v>
      </c>
      <c r="ED147" s="11">
        <v>110123000</v>
      </c>
      <c r="EE147" s="11">
        <v>110123000</v>
      </c>
      <c r="EF147" s="7"/>
      <c r="EG147" s="7">
        <v>54589000</v>
      </c>
      <c r="EH147" s="7">
        <v>7935000</v>
      </c>
      <c r="EI147" s="7"/>
      <c r="EJ147" s="7"/>
      <c r="EK147" s="7"/>
      <c r="EL147" s="7">
        <v>12948000</v>
      </c>
      <c r="EM147" s="7"/>
      <c r="EN147" s="7"/>
      <c r="EO147" s="7"/>
      <c r="EP147" s="7"/>
      <c r="EQ147" s="7"/>
      <c r="ER147" s="7"/>
      <c r="ES147" s="7"/>
      <c r="ET147" s="7"/>
      <c r="EU147" s="7"/>
      <c r="EV147" s="7">
        <v>2082000</v>
      </c>
      <c r="EW147" s="7">
        <v>1735000</v>
      </c>
      <c r="EX147" s="7">
        <v>260000</v>
      </c>
      <c r="EY147" s="7"/>
      <c r="EZ147" s="11"/>
      <c r="FA147" s="11"/>
      <c r="FB147" s="11"/>
      <c r="FC147" s="11"/>
      <c r="FD147" s="11"/>
      <c r="FE147" s="11"/>
      <c r="FF147" s="11"/>
      <c r="FG147" s="11"/>
      <c r="FH147" s="11"/>
      <c r="FI147" s="11"/>
      <c r="FJ147" s="11"/>
      <c r="FK147" s="11"/>
      <c r="FL147" s="11"/>
      <c r="FM147" s="11"/>
      <c r="FN147" s="11"/>
      <c r="FO147" s="7">
        <v>4943000</v>
      </c>
      <c r="FP147" s="7">
        <v>7289000</v>
      </c>
      <c r="FQ147" s="7">
        <v>2000</v>
      </c>
      <c r="FR147" s="7"/>
      <c r="FS147" s="7"/>
      <c r="FT147" s="7">
        <v>21447000</v>
      </c>
      <c r="FU147" s="7">
        <v>41290000</v>
      </c>
      <c r="FV147" s="7">
        <v>3775000</v>
      </c>
      <c r="FW147" s="7"/>
      <c r="FX147" s="7"/>
      <c r="FY147" s="11"/>
      <c r="FZ147" s="11">
        <v>-1142000</v>
      </c>
      <c r="GA147" s="11">
        <v>-485000</v>
      </c>
      <c r="GB147" s="11"/>
      <c r="GC147" s="11"/>
      <c r="GD147" s="7">
        <v>-16504000</v>
      </c>
      <c r="GE147" s="7">
        <v>4416000</v>
      </c>
      <c r="GF147" s="7">
        <v>1942000</v>
      </c>
      <c r="GG147" s="7">
        <v>-260000</v>
      </c>
      <c r="GH147" s="7"/>
    </row>
    <row r="148" spans="1:190" ht="26.25" x14ac:dyDescent="0.25">
      <c r="A148" s="4">
        <v>147</v>
      </c>
      <c r="B148" s="5" t="s">
        <v>569</v>
      </c>
      <c r="C148" s="9" t="s">
        <v>570</v>
      </c>
      <c r="D148" s="7">
        <v>13</v>
      </c>
      <c r="E148" s="6" t="s">
        <v>571</v>
      </c>
      <c r="F148" s="11">
        <v>723904</v>
      </c>
      <c r="G148" s="11">
        <v>1282087</v>
      </c>
      <c r="H148" s="11">
        <v>1192206</v>
      </c>
      <c r="I148" s="11">
        <v>1217546</v>
      </c>
      <c r="J148" s="11">
        <v>631993</v>
      </c>
      <c r="K148" s="11">
        <v>7048067</v>
      </c>
      <c r="L148" s="11">
        <v>7552910</v>
      </c>
      <c r="M148" s="11">
        <v>13704134</v>
      </c>
      <c r="N148" s="11">
        <v>18814497</v>
      </c>
      <c r="O148" s="11">
        <v>4711913</v>
      </c>
      <c r="P148" s="7">
        <v>22945000</v>
      </c>
      <c r="Q148" s="7">
        <v>16929000</v>
      </c>
      <c r="R148" s="7">
        <v>14716000</v>
      </c>
      <c r="S148" s="7">
        <v>15609000</v>
      </c>
      <c r="T148" s="7">
        <v>14193000</v>
      </c>
      <c r="U148" s="11"/>
      <c r="V148" s="11"/>
      <c r="W148" s="11"/>
      <c r="X148" s="11"/>
      <c r="Y148" s="11"/>
      <c r="Z148" s="11"/>
      <c r="AA148" s="11">
        <v>22000</v>
      </c>
      <c r="AB148" s="11">
        <v>122000</v>
      </c>
      <c r="AC148" s="11">
        <v>743000</v>
      </c>
      <c r="AD148" s="11">
        <v>751000</v>
      </c>
      <c r="AE148" s="11"/>
      <c r="AF148" s="11"/>
      <c r="AG148" s="11"/>
      <c r="AH148" s="11"/>
      <c r="AI148" s="11"/>
      <c r="AJ148" s="11">
        <v>22945000</v>
      </c>
      <c r="AK148" s="11">
        <v>16951000</v>
      </c>
      <c r="AL148" s="11">
        <v>14838000</v>
      </c>
      <c r="AM148" s="11">
        <v>16352000</v>
      </c>
      <c r="AN148" s="11">
        <v>14944000</v>
      </c>
      <c r="AO148" s="7">
        <v>13260000</v>
      </c>
      <c r="AP148" s="7">
        <v>13594000</v>
      </c>
      <c r="AQ148" s="7">
        <v>11049000</v>
      </c>
      <c r="AR148" s="7">
        <v>67186000</v>
      </c>
      <c r="AS148" s="7">
        <v>47489000</v>
      </c>
      <c r="AT148" s="7">
        <v>8612000</v>
      </c>
      <c r="AU148" s="7">
        <v>44363000</v>
      </c>
      <c r="AV148" s="7">
        <v>78593000</v>
      </c>
      <c r="AW148" s="7">
        <v>143248000</v>
      </c>
      <c r="AX148" s="7">
        <v>190433000</v>
      </c>
      <c r="AY148" s="11"/>
      <c r="AZ148" s="11"/>
      <c r="BA148" s="11"/>
      <c r="BB148" s="11"/>
      <c r="BC148" s="11"/>
      <c r="BD148" s="7">
        <v>336000</v>
      </c>
      <c r="BE148" s="7">
        <v>1360000</v>
      </c>
      <c r="BF148" s="7">
        <v>7601000</v>
      </c>
      <c r="BG148" s="7">
        <v>1076000</v>
      </c>
      <c r="BH148" s="7">
        <v>1351000</v>
      </c>
      <c r="BI148" s="11"/>
      <c r="BJ148" s="11"/>
      <c r="BK148" s="11"/>
      <c r="BL148" s="11"/>
      <c r="BM148" s="11"/>
      <c r="BN148" s="11">
        <v>22208000</v>
      </c>
      <c r="BO148" s="11">
        <v>59317000</v>
      </c>
      <c r="BP148" s="11">
        <v>97243000</v>
      </c>
      <c r="BQ148" s="11">
        <v>211510000</v>
      </c>
      <c r="BR148" s="11">
        <v>239273000</v>
      </c>
      <c r="BS148" s="11">
        <v>45153000</v>
      </c>
      <c r="BT148" s="11">
        <v>76268000</v>
      </c>
      <c r="BU148" s="11">
        <v>112081000</v>
      </c>
      <c r="BV148" s="11">
        <v>227863000</v>
      </c>
      <c r="BW148" s="11">
        <v>254218000</v>
      </c>
      <c r="BX148" s="7"/>
      <c r="BY148" s="7"/>
      <c r="BZ148" s="7"/>
      <c r="CA148" s="7"/>
      <c r="CB148" s="7"/>
      <c r="CC148" s="11"/>
      <c r="CD148" s="11"/>
      <c r="CE148" s="11"/>
      <c r="CF148" s="11"/>
      <c r="CG148" s="11"/>
      <c r="CH148" s="7"/>
      <c r="CI148" s="7"/>
      <c r="CJ148" s="7"/>
      <c r="CK148" s="7"/>
      <c r="CL148" s="7"/>
      <c r="CM148" s="11">
        <v>20866000</v>
      </c>
      <c r="CN148" s="11">
        <v>20759000</v>
      </c>
      <c r="CO148" s="11">
        <v>22784000</v>
      </c>
      <c r="CP148" s="11">
        <v>23879000</v>
      </c>
      <c r="CQ148" s="11">
        <v>22862000</v>
      </c>
      <c r="CR148" s="11">
        <v>7888000</v>
      </c>
      <c r="CS148" s="11">
        <v>35539000</v>
      </c>
      <c r="CT148" s="11">
        <v>40768000</v>
      </c>
      <c r="CU148" s="11">
        <v>42406000</v>
      </c>
      <c r="CV148" s="11">
        <v>30200000</v>
      </c>
      <c r="CW148" s="11">
        <v>9055000</v>
      </c>
      <c r="CX148" s="11">
        <v>3946000</v>
      </c>
      <c r="CY148" s="11">
        <v>1009000</v>
      </c>
      <c r="CZ148" s="11">
        <v>2328000</v>
      </c>
      <c r="DA148" s="11">
        <v>987000</v>
      </c>
      <c r="DB148" s="11">
        <v>16943000</v>
      </c>
      <c r="DC148" s="11">
        <v>39485000</v>
      </c>
      <c r="DD148" s="11">
        <v>41777000</v>
      </c>
      <c r="DE148" s="11">
        <v>44734000</v>
      </c>
      <c r="DF148" s="11">
        <v>31187000</v>
      </c>
      <c r="DG148" s="7"/>
      <c r="DH148" s="7"/>
      <c r="DI148" s="7"/>
      <c r="DJ148" s="7"/>
      <c r="DK148" s="7">
        <v>689000</v>
      </c>
      <c r="DL148" s="7">
        <v>7344000</v>
      </c>
      <c r="DM148" s="7">
        <v>16025000</v>
      </c>
      <c r="DN148" s="7">
        <v>47520000</v>
      </c>
      <c r="DO148" s="7">
        <v>159251000</v>
      </c>
      <c r="DP148" s="7">
        <v>199480000</v>
      </c>
      <c r="DQ148" s="11"/>
      <c r="DR148" s="11"/>
      <c r="DS148" s="11"/>
      <c r="DT148" s="11"/>
      <c r="DU148" s="11"/>
      <c r="DV148" s="11"/>
      <c r="DW148" s="11"/>
      <c r="DX148" s="11"/>
      <c r="DY148" s="11"/>
      <c r="DZ148" s="11"/>
      <c r="EA148" s="11">
        <v>7344000</v>
      </c>
      <c r="EB148" s="11">
        <v>16025000</v>
      </c>
      <c r="EC148" s="11">
        <v>47520000</v>
      </c>
      <c r="ED148" s="11">
        <v>159251000</v>
      </c>
      <c r="EE148" s="11">
        <v>200169000</v>
      </c>
      <c r="EF148" s="7">
        <v>205723000</v>
      </c>
      <c r="EG148" s="7">
        <v>75472000</v>
      </c>
      <c r="EH148" s="7">
        <v>252414000</v>
      </c>
      <c r="EI148" s="7">
        <v>146427000</v>
      </c>
      <c r="EJ148" s="7">
        <v>143898000</v>
      </c>
      <c r="EK148" s="7">
        <v>195677000</v>
      </c>
      <c r="EL148" s="7">
        <v>68941000</v>
      </c>
      <c r="EM148" s="7">
        <v>234806000</v>
      </c>
      <c r="EN148" s="7">
        <v>134643000</v>
      </c>
      <c r="EO148" s="7">
        <v>122644000</v>
      </c>
      <c r="EP148" s="7"/>
      <c r="EQ148" s="7"/>
      <c r="ER148" s="7"/>
      <c r="ES148" s="7"/>
      <c r="ET148" s="7"/>
      <c r="EU148" s="7"/>
      <c r="EV148" s="7"/>
      <c r="EW148" s="7"/>
      <c r="EX148" s="7"/>
      <c r="EY148" s="7"/>
      <c r="EZ148" s="11"/>
      <c r="FA148" s="11"/>
      <c r="FB148" s="11"/>
      <c r="FC148" s="11"/>
      <c r="FD148" s="11"/>
      <c r="FE148" s="11"/>
      <c r="FF148" s="11"/>
      <c r="FG148" s="11"/>
      <c r="FH148" s="11"/>
      <c r="FI148" s="11"/>
      <c r="FJ148" s="11"/>
      <c r="FK148" s="11"/>
      <c r="FL148" s="11"/>
      <c r="FM148" s="11"/>
      <c r="FN148" s="11"/>
      <c r="FO148" s="7">
        <v>5618000</v>
      </c>
      <c r="FP148" s="7">
        <v>3484000</v>
      </c>
      <c r="FQ148" s="7">
        <v>1489000</v>
      </c>
      <c r="FR148" s="7">
        <v>1696000</v>
      </c>
      <c r="FS148" s="7">
        <v>31000</v>
      </c>
      <c r="FT148" s="7">
        <v>8755000</v>
      </c>
      <c r="FU148" s="7">
        <v>6445000</v>
      </c>
      <c r="FV148" s="7">
        <v>14687000</v>
      </c>
      <c r="FW148" s="7">
        <v>11790000</v>
      </c>
      <c r="FX148" s="7">
        <v>19539000</v>
      </c>
      <c r="FY148" s="11">
        <v>1386000</v>
      </c>
      <c r="FZ148" s="11">
        <v>898000</v>
      </c>
      <c r="GA148" s="11">
        <v>1062000</v>
      </c>
      <c r="GB148" s="11">
        <v>1216000</v>
      </c>
      <c r="GC148" s="11">
        <v>349000</v>
      </c>
      <c r="GD148" s="7">
        <v>5523000</v>
      </c>
      <c r="GE148" s="7">
        <v>2672000</v>
      </c>
      <c r="GF148" s="7">
        <v>3348000</v>
      </c>
      <c r="GG148" s="7">
        <v>474000</v>
      </c>
      <c r="GH148" s="7">
        <v>1397000</v>
      </c>
    </row>
    <row r="149" spans="1:190" x14ac:dyDescent="0.25">
      <c r="A149" s="4">
        <v>148</v>
      </c>
      <c r="B149" s="5" t="s">
        <v>572</v>
      </c>
      <c r="C149" s="9" t="s">
        <v>573</v>
      </c>
      <c r="D149" s="7">
        <v>10</v>
      </c>
      <c r="E149" s="6" t="s">
        <v>190</v>
      </c>
      <c r="F149" s="11"/>
      <c r="G149" s="11"/>
      <c r="H149" s="11">
        <v>429185</v>
      </c>
      <c r="I149" s="11"/>
      <c r="J149" s="11"/>
      <c r="K149" s="11">
        <v>388303</v>
      </c>
      <c r="L149" s="11">
        <v>2248</v>
      </c>
      <c r="M149" s="11"/>
      <c r="N149" s="11"/>
      <c r="O149" s="11"/>
      <c r="P149" s="7">
        <v>985000</v>
      </c>
      <c r="Q149" s="7">
        <v>959000</v>
      </c>
      <c r="R149" s="7">
        <v>963000</v>
      </c>
      <c r="S149" s="7"/>
      <c r="T149" s="7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>
        <v>1485000</v>
      </c>
      <c r="AK149" s="11">
        <v>1459000</v>
      </c>
      <c r="AL149" s="11">
        <v>1463000</v>
      </c>
      <c r="AM149" s="11">
        <v>500000</v>
      </c>
      <c r="AN149" s="11">
        <v>500000</v>
      </c>
      <c r="AO149" s="7">
        <v>3000</v>
      </c>
      <c r="AP149" s="7">
        <v>27000</v>
      </c>
      <c r="AQ149" s="7">
        <v>5000</v>
      </c>
      <c r="AR149" s="7">
        <v>5000</v>
      </c>
      <c r="AS149" s="7">
        <v>5000</v>
      </c>
      <c r="AT149" s="7">
        <v>3576000</v>
      </c>
      <c r="AU149" s="7">
        <v>2640000</v>
      </c>
      <c r="AV149" s="7">
        <v>5502000</v>
      </c>
      <c r="AW149" s="7">
        <v>5386000</v>
      </c>
      <c r="AX149" s="7">
        <v>5386000</v>
      </c>
      <c r="AY149" s="11"/>
      <c r="AZ149" s="11">
        <v>18000</v>
      </c>
      <c r="BA149" s="11">
        <v>18000</v>
      </c>
      <c r="BB149" s="11">
        <v>18000</v>
      </c>
      <c r="BC149" s="11">
        <v>18000</v>
      </c>
      <c r="BD149" s="7"/>
      <c r="BE149" s="7"/>
      <c r="BF149" s="7">
        <v>2588000</v>
      </c>
      <c r="BG149" s="7">
        <v>758000</v>
      </c>
      <c r="BH149" s="7">
        <v>170000</v>
      </c>
      <c r="BI149" s="11"/>
      <c r="BJ149" s="11"/>
      <c r="BK149" s="11"/>
      <c r="BL149" s="11"/>
      <c r="BM149" s="11"/>
      <c r="BN149" s="11">
        <v>3579000</v>
      </c>
      <c r="BO149" s="11">
        <v>3202000</v>
      </c>
      <c r="BP149" s="11">
        <v>8674000</v>
      </c>
      <c r="BQ149" s="11">
        <v>6741000</v>
      </c>
      <c r="BR149" s="11">
        <v>6154000</v>
      </c>
      <c r="BS149" s="11">
        <v>5064000</v>
      </c>
      <c r="BT149" s="11">
        <v>4661000</v>
      </c>
      <c r="BU149" s="11">
        <v>10137000</v>
      </c>
      <c r="BV149" s="11">
        <v>7241000</v>
      </c>
      <c r="BW149" s="11">
        <v>6654000</v>
      </c>
      <c r="BX149" s="7">
        <v>100000</v>
      </c>
      <c r="BY149" s="7">
        <v>100000</v>
      </c>
      <c r="BZ149" s="7">
        <v>100000</v>
      </c>
      <c r="CA149" s="7">
        <v>100000</v>
      </c>
      <c r="CB149" s="7">
        <v>100000</v>
      </c>
      <c r="CC149" s="11"/>
      <c r="CD149" s="11"/>
      <c r="CE149" s="11"/>
      <c r="CF149" s="11"/>
      <c r="CG149" s="11"/>
      <c r="CH149" s="7">
        <v>-4705000</v>
      </c>
      <c r="CI149" s="7">
        <v>-4726000</v>
      </c>
      <c r="CJ149" s="7">
        <v>-3229000</v>
      </c>
      <c r="CK149" s="7">
        <v>-4133000</v>
      </c>
      <c r="CL149" s="7">
        <v>-5244000</v>
      </c>
      <c r="CM149" s="11">
        <v>-4605000</v>
      </c>
      <c r="CN149" s="11">
        <v>-4626000</v>
      </c>
      <c r="CO149" s="11">
        <v>-3129000</v>
      </c>
      <c r="CP149" s="11">
        <v>-4033000</v>
      </c>
      <c r="CQ149" s="11">
        <v>-5144000</v>
      </c>
      <c r="CR149" s="11"/>
      <c r="CS149" s="11"/>
      <c r="CT149" s="11"/>
      <c r="CU149" s="11"/>
      <c r="CV149" s="11"/>
      <c r="CW149" s="11"/>
      <c r="CX149" s="11"/>
      <c r="CY149" s="11"/>
      <c r="CZ149" s="11"/>
      <c r="DA149" s="11"/>
      <c r="DB149" s="11"/>
      <c r="DC149" s="11"/>
      <c r="DD149" s="11"/>
      <c r="DE149" s="11"/>
      <c r="DF149" s="11"/>
      <c r="DG149" s="7">
        <v>6000</v>
      </c>
      <c r="DH149" s="7">
        <v>6000</v>
      </c>
      <c r="DI149" s="7">
        <v>3000</v>
      </c>
      <c r="DJ149" s="7">
        <v>3000</v>
      </c>
      <c r="DK149" s="7">
        <v>3000</v>
      </c>
      <c r="DL149" s="7">
        <v>9663000</v>
      </c>
      <c r="DM149" s="7">
        <v>9281000</v>
      </c>
      <c r="DN149" s="7">
        <v>13263000</v>
      </c>
      <c r="DO149" s="7">
        <v>11272000</v>
      </c>
      <c r="DP149" s="7">
        <v>11795000</v>
      </c>
      <c r="DQ149" s="11"/>
      <c r="DR149" s="11"/>
      <c r="DS149" s="11"/>
      <c r="DT149" s="11"/>
      <c r="DU149" s="11"/>
      <c r="DV149" s="11"/>
      <c r="DW149" s="11"/>
      <c r="DX149" s="11"/>
      <c r="DY149" s="11"/>
      <c r="DZ149" s="11"/>
      <c r="EA149" s="11">
        <v>9669000</v>
      </c>
      <c r="EB149" s="11">
        <v>9287000</v>
      </c>
      <c r="EC149" s="11">
        <v>13266000</v>
      </c>
      <c r="ED149" s="11">
        <v>11274000</v>
      </c>
      <c r="EE149" s="11">
        <v>11798000</v>
      </c>
      <c r="EF149" s="7">
        <v>732000</v>
      </c>
      <c r="EG149" s="7"/>
      <c r="EH149" s="7"/>
      <c r="EI149" s="7"/>
      <c r="EJ149" s="7"/>
      <c r="EK149" s="7">
        <v>1505000</v>
      </c>
      <c r="EL149" s="7"/>
      <c r="EM149" s="7"/>
      <c r="EN149" s="7"/>
      <c r="EO149" s="7"/>
      <c r="EP149" s="7"/>
      <c r="EQ149" s="7"/>
      <c r="ER149" s="7"/>
      <c r="ES149" s="7"/>
      <c r="ET149" s="7"/>
      <c r="EU149" s="7">
        <v>4544000</v>
      </c>
      <c r="EV149" s="7"/>
      <c r="EW149" s="7"/>
      <c r="EX149" s="7"/>
      <c r="EY149" s="7"/>
      <c r="EZ149" s="11"/>
      <c r="FA149" s="11"/>
      <c r="FB149" s="11"/>
      <c r="FC149" s="11"/>
      <c r="FD149" s="11"/>
      <c r="FE149" s="11"/>
      <c r="FF149" s="11"/>
      <c r="FG149" s="11"/>
      <c r="FH149" s="11"/>
      <c r="FI149" s="11"/>
      <c r="FJ149" s="11"/>
      <c r="FK149" s="11"/>
      <c r="FL149" s="11"/>
      <c r="FM149" s="11"/>
      <c r="FN149" s="11"/>
      <c r="FO149" s="7"/>
      <c r="FP149" s="7"/>
      <c r="FQ149" s="7">
        <v>2953000</v>
      </c>
      <c r="FR149" s="7">
        <v>735000</v>
      </c>
      <c r="FS149" s="7">
        <v>72000</v>
      </c>
      <c r="FT149" s="7"/>
      <c r="FU149" s="7">
        <v>21000</v>
      </c>
      <c r="FV149" s="7">
        <v>1027000</v>
      </c>
      <c r="FW149" s="7">
        <v>1639000</v>
      </c>
      <c r="FX149" s="7">
        <v>1183000</v>
      </c>
      <c r="FY149" s="11"/>
      <c r="FZ149" s="11"/>
      <c r="GA149" s="11">
        <v>-429000</v>
      </c>
      <c r="GB149" s="11"/>
      <c r="GC149" s="11"/>
      <c r="GD149" s="7">
        <v>-5317000</v>
      </c>
      <c r="GE149" s="7">
        <v>-21000</v>
      </c>
      <c r="GF149" s="7">
        <v>1497000</v>
      </c>
      <c r="GG149" s="7">
        <v>-904000</v>
      </c>
      <c r="GH149" s="7">
        <v>-1111000</v>
      </c>
    </row>
    <row r="150" spans="1:190" x14ac:dyDescent="0.25">
      <c r="A150" s="4">
        <v>149</v>
      </c>
      <c r="B150" s="5" t="s">
        <v>574</v>
      </c>
      <c r="C150" s="9" t="s">
        <v>575</v>
      </c>
      <c r="D150" s="7">
        <v>10</v>
      </c>
      <c r="E150" s="6" t="s">
        <v>190</v>
      </c>
      <c r="F150" s="11">
        <v>362719</v>
      </c>
      <c r="G150" s="11">
        <v>39185</v>
      </c>
      <c r="H150" s="11"/>
      <c r="I150" s="11"/>
      <c r="J150" s="11"/>
      <c r="K150" s="11">
        <v>4000341</v>
      </c>
      <c r="L150" s="11">
        <v>20164020</v>
      </c>
      <c r="M150" s="11">
        <v>10505180</v>
      </c>
      <c r="N150" s="11">
        <v>145147</v>
      </c>
      <c r="O150" s="11"/>
      <c r="P150" s="7">
        <v>77823000</v>
      </c>
      <c r="Q150" s="7">
        <v>67475000</v>
      </c>
      <c r="R150" s="7">
        <v>60252000</v>
      </c>
      <c r="S150" s="7"/>
      <c r="T150" s="7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>
        <v>77823000</v>
      </c>
      <c r="AK150" s="11">
        <v>67475000</v>
      </c>
      <c r="AL150" s="11">
        <v>60252000</v>
      </c>
      <c r="AM150" s="11"/>
      <c r="AN150" s="11"/>
      <c r="AO150" s="7">
        <v>47831000</v>
      </c>
      <c r="AP150" s="7">
        <v>129646000</v>
      </c>
      <c r="AQ150" s="7">
        <v>137406000</v>
      </c>
      <c r="AR150" s="7"/>
      <c r="AS150" s="7"/>
      <c r="AT150" s="7">
        <v>146883000</v>
      </c>
      <c r="AU150" s="7">
        <v>153461000</v>
      </c>
      <c r="AV150" s="7">
        <v>121158000</v>
      </c>
      <c r="AW150" s="7"/>
      <c r="AX150" s="7"/>
      <c r="AY150" s="11">
        <v>5353000</v>
      </c>
      <c r="AZ150" s="11"/>
      <c r="BA150" s="11"/>
      <c r="BB150" s="11"/>
      <c r="BC150" s="11"/>
      <c r="BD150" s="7">
        <v>84765000</v>
      </c>
      <c r="BE150" s="7">
        <v>270000</v>
      </c>
      <c r="BF150" s="7">
        <v>14366000</v>
      </c>
      <c r="BG150" s="7"/>
      <c r="BH150" s="7"/>
      <c r="BI150" s="11">
        <v>30779000</v>
      </c>
      <c r="BJ150" s="11">
        <v>31032000</v>
      </c>
      <c r="BK150" s="11">
        <v>30686000</v>
      </c>
      <c r="BL150" s="11"/>
      <c r="BM150" s="11"/>
      <c r="BN150" s="11">
        <v>317419000</v>
      </c>
      <c r="BO150" s="11">
        <v>316217000</v>
      </c>
      <c r="BP150" s="11">
        <v>305429000</v>
      </c>
      <c r="BQ150" s="11"/>
      <c r="BR150" s="11"/>
      <c r="BS150" s="11">
        <v>395242000</v>
      </c>
      <c r="BT150" s="11">
        <v>383692000</v>
      </c>
      <c r="BU150" s="11">
        <v>365681000</v>
      </c>
      <c r="BV150" s="11"/>
      <c r="BW150" s="11"/>
      <c r="BX150" s="7">
        <v>10000</v>
      </c>
      <c r="BY150" s="7">
        <v>10000</v>
      </c>
      <c r="BZ150" s="7">
        <v>10000</v>
      </c>
      <c r="CA150" s="7"/>
      <c r="CB150" s="7"/>
      <c r="CC150" s="11"/>
      <c r="CD150" s="11"/>
      <c r="CE150" s="11"/>
      <c r="CF150" s="11"/>
      <c r="CG150" s="11"/>
      <c r="CH150" s="7">
        <v>10234000</v>
      </c>
      <c r="CI150" s="7">
        <v>11203000</v>
      </c>
      <c r="CJ150" s="7">
        <v>-10193000</v>
      </c>
      <c r="CK150" s="7"/>
      <c r="CL150" s="7"/>
      <c r="CM150" s="11">
        <v>10244000</v>
      </c>
      <c r="CN150" s="11">
        <v>11213000</v>
      </c>
      <c r="CO150" s="11">
        <v>-10183000</v>
      </c>
      <c r="CP150" s="11"/>
      <c r="CQ150" s="11"/>
      <c r="CR150" s="11"/>
      <c r="CS150" s="11">
        <v>2314000</v>
      </c>
      <c r="CT150" s="11">
        <v>1243000</v>
      </c>
      <c r="CU150" s="11"/>
      <c r="CV150" s="11"/>
      <c r="CW150" s="11">
        <v>3126000</v>
      </c>
      <c r="CX150" s="11">
        <v>1340000</v>
      </c>
      <c r="CY150" s="11"/>
      <c r="CZ150" s="11"/>
      <c r="DA150" s="11"/>
      <c r="DB150" s="11">
        <v>3126000</v>
      </c>
      <c r="DC150" s="11">
        <v>3655000</v>
      </c>
      <c r="DD150" s="11">
        <v>1243000</v>
      </c>
      <c r="DE150" s="11"/>
      <c r="DF150" s="11"/>
      <c r="DG150" s="7"/>
      <c r="DH150" s="7">
        <v>5000000</v>
      </c>
      <c r="DI150" s="7">
        <v>10356000</v>
      </c>
      <c r="DJ150" s="7"/>
      <c r="DK150" s="7"/>
      <c r="DL150" s="7">
        <v>381872000</v>
      </c>
      <c r="DM150" s="7">
        <v>363825000</v>
      </c>
      <c r="DN150" s="7">
        <v>364265000</v>
      </c>
      <c r="DO150" s="7"/>
      <c r="DP150" s="7"/>
      <c r="DQ150" s="11"/>
      <c r="DR150" s="11"/>
      <c r="DS150" s="11"/>
      <c r="DT150" s="11"/>
      <c r="DU150" s="11"/>
      <c r="DV150" s="11"/>
      <c r="DW150" s="11"/>
      <c r="DX150" s="11"/>
      <c r="DY150" s="11"/>
      <c r="DZ150" s="11"/>
      <c r="EA150" s="11">
        <v>381872000</v>
      </c>
      <c r="EB150" s="11">
        <v>368825000</v>
      </c>
      <c r="EC150" s="11">
        <v>374621000</v>
      </c>
      <c r="ED150" s="11"/>
      <c r="EE150" s="11"/>
      <c r="EF150" s="7">
        <v>108518000</v>
      </c>
      <c r="EG150" s="7">
        <v>64312000</v>
      </c>
      <c r="EH150" s="7">
        <v>70949000</v>
      </c>
      <c r="EI150" s="7"/>
      <c r="EJ150" s="7"/>
      <c r="EK150" s="7">
        <v>79898000</v>
      </c>
      <c r="EL150" s="7">
        <v>46716000</v>
      </c>
      <c r="EM150" s="7">
        <v>57278000</v>
      </c>
      <c r="EN150" s="7"/>
      <c r="EO150" s="7"/>
      <c r="EP150" s="7">
        <v>28000</v>
      </c>
      <c r="EQ150" s="7">
        <v>111000</v>
      </c>
      <c r="ER150" s="7">
        <v>151000</v>
      </c>
      <c r="ES150" s="7"/>
      <c r="ET150" s="7"/>
      <c r="EU150" s="7">
        <v>22972000</v>
      </c>
      <c r="EV150" s="7">
        <v>15123000</v>
      </c>
      <c r="EW150" s="7">
        <v>13977000</v>
      </c>
      <c r="EX150" s="7"/>
      <c r="EY150" s="7"/>
      <c r="EZ150" s="11"/>
      <c r="FA150" s="11"/>
      <c r="FB150" s="11"/>
      <c r="FC150" s="11"/>
      <c r="FD150" s="11"/>
      <c r="FE150" s="11">
        <v>1344000</v>
      </c>
      <c r="FF150" s="11">
        <v>316000</v>
      </c>
      <c r="FG150" s="11">
        <v>56000</v>
      </c>
      <c r="FH150" s="11"/>
      <c r="FI150" s="11"/>
      <c r="FJ150" s="11">
        <v>317000</v>
      </c>
      <c r="FK150" s="11">
        <v>351000</v>
      </c>
      <c r="FL150" s="11">
        <v>1848000</v>
      </c>
      <c r="FM150" s="11"/>
      <c r="FN150" s="11"/>
      <c r="FO150" s="7">
        <v>52000</v>
      </c>
      <c r="FP150" s="7">
        <v>136000</v>
      </c>
      <c r="FQ150" s="7">
        <v>4673000</v>
      </c>
      <c r="FR150" s="7"/>
      <c r="FS150" s="7"/>
      <c r="FT150" s="7">
        <v>2764000</v>
      </c>
      <c r="FU150" s="7">
        <v>1351000</v>
      </c>
      <c r="FV150" s="7">
        <v>7132000</v>
      </c>
      <c r="FW150" s="7"/>
      <c r="FX150" s="7"/>
      <c r="FY150" s="11">
        <v>-175000</v>
      </c>
      <c r="FZ150" s="11">
        <v>-70000</v>
      </c>
      <c r="GA150" s="11">
        <v>-35000</v>
      </c>
      <c r="GB150" s="11"/>
      <c r="GC150" s="11"/>
      <c r="GD150" s="7">
        <v>3278000</v>
      </c>
      <c r="GE150" s="7">
        <v>969000</v>
      </c>
      <c r="GF150" s="7">
        <v>-21287000</v>
      </c>
      <c r="GG150" s="7"/>
      <c r="GH150" s="7"/>
    </row>
    <row r="151" spans="1:190" ht="26.25" x14ac:dyDescent="0.25">
      <c r="A151" s="4">
        <v>150</v>
      </c>
      <c r="B151" s="5" t="s">
        <v>576</v>
      </c>
      <c r="C151" s="9" t="s">
        <v>577</v>
      </c>
      <c r="D151" s="7">
        <v>15</v>
      </c>
      <c r="E151" s="6" t="s">
        <v>578</v>
      </c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7"/>
      <c r="Q151" s="7"/>
      <c r="R151" s="7"/>
      <c r="S151" s="7"/>
      <c r="T151" s="7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>
        <v>10000</v>
      </c>
      <c r="AF151" s="11">
        <v>10000</v>
      </c>
      <c r="AG151" s="11">
        <v>8000</v>
      </c>
      <c r="AH151" s="11"/>
      <c r="AI151" s="11"/>
      <c r="AJ151" s="11">
        <v>10000</v>
      </c>
      <c r="AK151" s="11">
        <v>10000</v>
      </c>
      <c r="AL151" s="11">
        <v>8000</v>
      </c>
      <c r="AM151" s="11"/>
      <c r="AN151" s="11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11"/>
      <c r="AZ151" s="11"/>
      <c r="BA151" s="11"/>
      <c r="BB151" s="11"/>
      <c r="BC151" s="11"/>
      <c r="BD151" s="7"/>
      <c r="BE151" s="7"/>
      <c r="BF151" s="7"/>
      <c r="BG151" s="7"/>
      <c r="BH151" s="7"/>
      <c r="BI151" s="11"/>
      <c r="BJ151" s="11"/>
      <c r="BK151" s="11"/>
      <c r="BL151" s="11"/>
      <c r="BM151" s="11"/>
      <c r="BN151" s="11"/>
      <c r="BO151" s="11"/>
      <c r="BP151" s="11"/>
      <c r="BQ151" s="11"/>
      <c r="BR151" s="11"/>
      <c r="BS151" s="11">
        <v>10000</v>
      </c>
      <c r="BT151" s="11">
        <v>10000</v>
      </c>
      <c r="BU151" s="11">
        <v>8000</v>
      </c>
      <c r="BV151" s="11"/>
      <c r="BW151" s="11"/>
      <c r="BX151" s="7">
        <v>10000</v>
      </c>
      <c r="BY151" s="7">
        <v>10000</v>
      </c>
      <c r="BZ151" s="7">
        <v>8000</v>
      </c>
      <c r="CA151" s="7"/>
      <c r="CB151" s="7"/>
      <c r="CC151" s="11"/>
      <c r="CD151" s="11"/>
      <c r="CE151" s="11"/>
      <c r="CF151" s="11"/>
      <c r="CG151" s="11"/>
      <c r="CH151" s="7"/>
      <c r="CI151" s="7"/>
      <c r="CJ151" s="7"/>
      <c r="CK151" s="7"/>
      <c r="CL151" s="7"/>
      <c r="CM151" s="11">
        <v>10000</v>
      </c>
      <c r="CN151" s="11">
        <v>10000</v>
      </c>
      <c r="CO151" s="11">
        <v>8000</v>
      </c>
      <c r="CP151" s="11"/>
      <c r="CQ151" s="11"/>
      <c r="CR151" s="11"/>
      <c r="CS151" s="11"/>
      <c r="CT151" s="11"/>
      <c r="CU151" s="11"/>
      <c r="CV151" s="11"/>
      <c r="CW151" s="11"/>
      <c r="CX151" s="11"/>
      <c r="CY151" s="11"/>
      <c r="CZ151" s="11"/>
      <c r="DA151" s="11"/>
      <c r="DB151" s="11"/>
      <c r="DC151" s="11"/>
      <c r="DD151" s="11"/>
      <c r="DE151" s="11"/>
      <c r="DF151" s="11"/>
      <c r="DG151" s="7"/>
      <c r="DH151" s="7"/>
      <c r="DI151" s="7"/>
      <c r="DJ151" s="7"/>
      <c r="DK151" s="7"/>
      <c r="DL151" s="7"/>
      <c r="DM151" s="7"/>
      <c r="DN151" s="7"/>
      <c r="DO151" s="7"/>
      <c r="DP151" s="7"/>
      <c r="DQ151" s="11"/>
      <c r="DR151" s="11"/>
      <c r="DS151" s="11"/>
      <c r="DT151" s="11"/>
      <c r="DU151" s="11"/>
      <c r="DV151" s="11"/>
      <c r="DW151" s="11"/>
      <c r="DX151" s="11"/>
      <c r="DY151" s="11"/>
      <c r="DZ151" s="11"/>
      <c r="EA151" s="11"/>
      <c r="EB151" s="11"/>
      <c r="EC151" s="11"/>
      <c r="ED151" s="11"/>
      <c r="EE151" s="11"/>
      <c r="EF151" s="7"/>
      <c r="EG151" s="7"/>
      <c r="EH151" s="7"/>
      <c r="EI151" s="7"/>
      <c r="EJ151" s="7"/>
      <c r="EK151" s="7"/>
      <c r="EL151" s="7"/>
      <c r="EM151" s="7"/>
      <c r="EN151" s="7"/>
      <c r="EO151" s="7"/>
      <c r="EP151" s="7"/>
      <c r="EQ151" s="7"/>
      <c r="ER151" s="7"/>
      <c r="ES151" s="7"/>
      <c r="ET151" s="7"/>
      <c r="EU151" s="7"/>
      <c r="EV151" s="7"/>
      <c r="EW151" s="7"/>
      <c r="EX151" s="7"/>
      <c r="EY151" s="7"/>
      <c r="EZ151" s="11"/>
      <c r="FA151" s="11"/>
      <c r="FB151" s="11"/>
      <c r="FC151" s="11"/>
      <c r="FD151" s="11"/>
      <c r="FE151" s="11"/>
      <c r="FF151" s="11"/>
      <c r="FG151" s="11"/>
      <c r="FH151" s="11"/>
      <c r="FI151" s="11"/>
      <c r="FJ151" s="11"/>
      <c r="FK151" s="11"/>
      <c r="FL151" s="11"/>
      <c r="FM151" s="11"/>
      <c r="FN151" s="11"/>
      <c r="FO151" s="7"/>
      <c r="FP151" s="7"/>
      <c r="FQ151" s="7"/>
      <c r="FR151" s="7"/>
      <c r="FS151" s="7"/>
      <c r="FT151" s="7"/>
      <c r="FU151" s="7"/>
      <c r="FV151" s="7"/>
      <c r="FW151" s="7"/>
      <c r="FX151" s="7"/>
      <c r="FY151" s="11"/>
      <c r="FZ151" s="11"/>
      <c r="GA151" s="11"/>
      <c r="GB151" s="11"/>
      <c r="GC151" s="11"/>
      <c r="GD151" s="7"/>
      <c r="GE151" s="7"/>
      <c r="GF151" s="7"/>
      <c r="GG151" s="7"/>
      <c r="GH151" s="7"/>
    </row>
    <row r="152" spans="1:190" x14ac:dyDescent="0.25">
      <c r="A152" s="4">
        <v>151</v>
      </c>
      <c r="B152" s="5" t="s">
        <v>579</v>
      </c>
      <c r="C152" s="9" t="s">
        <v>580</v>
      </c>
      <c r="D152" s="7">
        <v>35</v>
      </c>
      <c r="E152" s="6" t="s">
        <v>198</v>
      </c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7"/>
      <c r="Q152" s="7"/>
      <c r="R152" s="7"/>
      <c r="S152" s="7"/>
      <c r="T152" s="7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11"/>
      <c r="AZ152" s="11"/>
      <c r="BA152" s="11"/>
      <c r="BB152" s="11"/>
      <c r="BC152" s="11"/>
      <c r="BD152" s="7"/>
      <c r="BE152" s="7"/>
      <c r="BF152" s="7"/>
      <c r="BG152" s="7"/>
      <c r="BH152" s="7"/>
      <c r="BI152" s="11"/>
      <c r="BJ152" s="11"/>
      <c r="BK152" s="11"/>
      <c r="BL152" s="11"/>
      <c r="BM152" s="11"/>
      <c r="BN152" s="11"/>
      <c r="BO152" s="11"/>
      <c r="BP152" s="11"/>
      <c r="BQ152" s="11"/>
      <c r="BR152" s="11"/>
      <c r="BS152" s="11"/>
      <c r="BT152" s="11"/>
      <c r="BU152" s="11"/>
      <c r="BV152" s="11"/>
      <c r="BW152" s="11"/>
      <c r="BX152" s="7"/>
      <c r="BY152" s="7"/>
      <c r="BZ152" s="7"/>
      <c r="CA152" s="7"/>
      <c r="CB152" s="7"/>
      <c r="CC152" s="11"/>
      <c r="CD152" s="11"/>
      <c r="CE152" s="11"/>
      <c r="CF152" s="11"/>
      <c r="CG152" s="11"/>
      <c r="CH152" s="7"/>
      <c r="CI152" s="7"/>
      <c r="CJ152" s="7"/>
      <c r="CK152" s="7"/>
      <c r="CL152" s="7"/>
      <c r="CM152" s="11"/>
      <c r="CN152" s="11"/>
      <c r="CO152" s="11"/>
      <c r="CP152" s="11"/>
      <c r="CQ152" s="11"/>
      <c r="CR152" s="11"/>
      <c r="CS152" s="11"/>
      <c r="CT152" s="11"/>
      <c r="CU152" s="11"/>
      <c r="CV152" s="11"/>
      <c r="CW152" s="11"/>
      <c r="CX152" s="11"/>
      <c r="CY152" s="11"/>
      <c r="CZ152" s="11"/>
      <c r="DA152" s="11"/>
      <c r="DB152" s="11"/>
      <c r="DC152" s="11"/>
      <c r="DD152" s="11"/>
      <c r="DE152" s="11"/>
      <c r="DF152" s="11"/>
      <c r="DG152" s="7"/>
      <c r="DH152" s="7"/>
      <c r="DI152" s="7"/>
      <c r="DJ152" s="7"/>
      <c r="DK152" s="7"/>
      <c r="DL152" s="7"/>
      <c r="DM152" s="7"/>
      <c r="DN152" s="7"/>
      <c r="DO152" s="7"/>
      <c r="DP152" s="7"/>
      <c r="DQ152" s="11"/>
      <c r="DR152" s="11"/>
      <c r="DS152" s="11"/>
      <c r="DT152" s="11"/>
      <c r="DU152" s="11"/>
      <c r="DV152" s="11"/>
      <c r="DW152" s="11"/>
      <c r="DX152" s="11"/>
      <c r="DY152" s="11"/>
      <c r="DZ152" s="11"/>
      <c r="EA152" s="11"/>
      <c r="EB152" s="11"/>
      <c r="EC152" s="11"/>
      <c r="ED152" s="11"/>
      <c r="EE152" s="11"/>
      <c r="EF152" s="7"/>
      <c r="EG152" s="7"/>
      <c r="EH152" s="7"/>
      <c r="EI152" s="7"/>
      <c r="EJ152" s="7"/>
      <c r="EK152" s="7"/>
      <c r="EL152" s="7"/>
      <c r="EM152" s="7"/>
      <c r="EN152" s="7"/>
      <c r="EO152" s="7"/>
      <c r="EP152" s="7"/>
      <c r="EQ152" s="7"/>
      <c r="ER152" s="7"/>
      <c r="ES152" s="7"/>
      <c r="ET152" s="7"/>
      <c r="EU152" s="7"/>
      <c r="EV152" s="7"/>
      <c r="EW152" s="7"/>
      <c r="EX152" s="7"/>
      <c r="EY152" s="7"/>
      <c r="EZ152" s="11"/>
      <c r="FA152" s="11"/>
      <c r="FB152" s="11"/>
      <c r="FC152" s="11"/>
      <c r="FD152" s="11"/>
      <c r="FE152" s="11"/>
      <c r="FF152" s="11"/>
      <c r="FG152" s="11"/>
      <c r="FH152" s="11"/>
      <c r="FI152" s="11"/>
      <c r="FJ152" s="11"/>
      <c r="FK152" s="11"/>
      <c r="FL152" s="11"/>
      <c r="FM152" s="11"/>
      <c r="FN152" s="11"/>
      <c r="FO152" s="7"/>
      <c r="FP152" s="7"/>
      <c r="FQ152" s="7"/>
      <c r="FR152" s="7"/>
      <c r="FS152" s="7"/>
      <c r="FT152" s="7"/>
      <c r="FU152" s="7"/>
      <c r="FV152" s="7"/>
      <c r="FW152" s="7"/>
      <c r="FX152" s="7"/>
      <c r="FY152" s="11"/>
      <c r="FZ152" s="11"/>
      <c r="GA152" s="11"/>
      <c r="GB152" s="11"/>
      <c r="GC152" s="11"/>
      <c r="GD152" s="7"/>
      <c r="GE152" s="7"/>
      <c r="GF152" s="7"/>
      <c r="GG152" s="7"/>
      <c r="GH152" s="7"/>
    </row>
    <row r="153" spans="1:190" x14ac:dyDescent="0.25">
      <c r="A153" s="4">
        <v>152</v>
      </c>
      <c r="B153" s="5" t="s">
        <v>581</v>
      </c>
      <c r="C153" s="9" t="s">
        <v>582</v>
      </c>
      <c r="D153" s="7">
        <v>28</v>
      </c>
      <c r="E153" s="6" t="s">
        <v>478</v>
      </c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7"/>
      <c r="Q153" s="7"/>
      <c r="R153" s="7"/>
      <c r="S153" s="7"/>
      <c r="T153" s="7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11"/>
      <c r="AZ153" s="11"/>
      <c r="BA153" s="11"/>
      <c r="BB153" s="11"/>
      <c r="BC153" s="11"/>
      <c r="BD153" s="7"/>
      <c r="BE153" s="7"/>
      <c r="BF153" s="7"/>
      <c r="BG153" s="7"/>
      <c r="BH153" s="7"/>
      <c r="BI153" s="11"/>
      <c r="BJ153" s="11"/>
      <c r="BK153" s="11"/>
      <c r="BL153" s="11"/>
      <c r="BM153" s="11"/>
      <c r="BN153" s="11"/>
      <c r="BO153" s="11"/>
      <c r="BP153" s="11"/>
      <c r="BQ153" s="11"/>
      <c r="BR153" s="11"/>
      <c r="BS153" s="11"/>
      <c r="BT153" s="11"/>
      <c r="BU153" s="11"/>
      <c r="BV153" s="11"/>
      <c r="BW153" s="11"/>
      <c r="BX153" s="7"/>
      <c r="BY153" s="7"/>
      <c r="BZ153" s="7"/>
      <c r="CA153" s="7"/>
      <c r="CB153" s="7"/>
      <c r="CC153" s="11"/>
      <c r="CD153" s="11"/>
      <c r="CE153" s="11"/>
      <c r="CF153" s="11"/>
      <c r="CG153" s="11"/>
      <c r="CH153" s="7"/>
      <c r="CI153" s="7"/>
      <c r="CJ153" s="7"/>
      <c r="CK153" s="7"/>
      <c r="CL153" s="7"/>
      <c r="CM153" s="11"/>
      <c r="CN153" s="11"/>
      <c r="CO153" s="11"/>
      <c r="CP153" s="11"/>
      <c r="CQ153" s="11"/>
      <c r="CR153" s="11"/>
      <c r="CS153" s="11"/>
      <c r="CT153" s="11"/>
      <c r="CU153" s="11"/>
      <c r="CV153" s="11"/>
      <c r="CW153" s="11"/>
      <c r="CX153" s="11"/>
      <c r="CY153" s="11"/>
      <c r="CZ153" s="11"/>
      <c r="DA153" s="11"/>
      <c r="DB153" s="11"/>
      <c r="DC153" s="11"/>
      <c r="DD153" s="11"/>
      <c r="DE153" s="11"/>
      <c r="DF153" s="11"/>
      <c r="DG153" s="7"/>
      <c r="DH153" s="7"/>
      <c r="DI153" s="7"/>
      <c r="DJ153" s="7"/>
      <c r="DK153" s="7"/>
      <c r="DL153" s="7"/>
      <c r="DM153" s="7"/>
      <c r="DN153" s="7"/>
      <c r="DO153" s="7"/>
      <c r="DP153" s="7"/>
      <c r="DQ153" s="11"/>
      <c r="DR153" s="11"/>
      <c r="DS153" s="11"/>
      <c r="DT153" s="11"/>
      <c r="DU153" s="11"/>
      <c r="DV153" s="11"/>
      <c r="DW153" s="11"/>
      <c r="DX153" s="11"/>
      <c r="DY153" s="11"/>
      <c r="DZ153" s="11"/>
      <c r="EA153" s="11"/>
      <c r="EB153" s="11"/>
      <c r="EC153" s="11"/>
      <c r="ED153" s="11"/>
      <c r="EE153" s="11"/>
      <c r="EF153" s="7"/>
      <c r="EG153" s="7"/>
      <c r="EH153" s="7"/>
      <c r="EI153" s="7"/>
      <c r="EJ153" s="7"/>
      <c r="EK153" s="7"/>
      <c r="EL153" s="7"/>
      <c r="EM153" s="7"/>
      <c r="EN153" s="7"/>
      <c r="EO153" s="7"/>
      <c r="EP153" s="7"/>
      <c r="EQ153" s="7"/>
      <c r="ER153" s="7"/>
      <c r="ES153" s="7"/>
      <c r="ET153" s="7"/>
      <c r="EU153" s="7"/>
      <c r="EV153" s="7"/>
      <c r="EW153" s="7"/>
      <c r="EX153" s="7"/>
      <c r="EY153" s="7"/>
      <c r="EZ153" s="11"/>
      <c r="FA153" s="11"/>
      <c r="FB153" s="11"/>
      <c r="FC153" s="11"/>
      <c r="FD153" s="11"/>
      <c r="FE153" s="11"/>
      <c r="FF153" s="11"/>
      <c r="FG153" s="11"/>
      <c r="FH153" s="11"/>
      <c r="FI153" s="11"/>
      <c r="FJ153" s="11"/>
      <c r="FK153" s="11"/>
      <c r="FL153" s="11"/>
      <c r="FM153" s="11"/>
      <c r="FN153" s="11"/>
      <c r="FO153" s="7"/>
      <c r="FP153" s="7"/>
      <c r="FQ153" s="7"/>
      <c r="FR153" s="7"/>
      <c r="FS153" s="7"/>
      <c r="FT153" s="7"/>
      <c r="FU153" s="7"/>
      <c r="FV153" s="7"/>
      <c r="FW153" s="7"/>
      <c r="FX153" s="7"/>
      <c r="FY153" s="11"/>
      <c r="FZ153" s="11"/>
      <c r="GA153" s="11"/>
      <c r="GB153" s="11"/>
      <c r="GC153" s="11"/>
      <c r="GD153" s="7"/>
      <c r="GE153" s="7"/>
      <c r="GF153" s="7"/>
      <c r="GG153" s="7"/>
      <c r="GH153" s="7"/>
    </row>
    <row r="154" spans="1:190" x14ac:dyDescent="0.25">
      <c r="A154" s="4">
        <v>153</v>
      </c>
      <c r="B154" s="5" t="s">
        <v>583</v>
      </c>
      <c r="C154" s="9" t="s">
        <v>584</v>
      </c>
      <c r="D154" s="7">
        <v>33</v>
      </c>
      <c r="E154" s="6" t="s">
        <v>190</v>
      </c>
      <c r="F154" s="11">
        <v>19</v>
      </c>
      <c r="G154" s="11"/>
      <c r="H154" s="11"/>
      <c r="I154" s="11"/>
      <c r="J154" s="11"/>
      <c r="K154" s="11">
        <v>17831</v>
      </c>
      <c r="L154" s="11"/>
      <c r="M154" s="11"/>
      <c r="N154" s="11">
        <v>46509186</v>
      </c>
      <c r="O154" s="11">
        <v>3062</v>
      </c>
      <c r="P154" s="7">
        <v>73047000</v>
      </c>
      <c r="Q154" s="7">
        <v>65087000</v>
      </c>
      <c r="R154" s="7">
        <v>43768000</v>
      </c>
      <c r="S154" s="7">
        <v>4860000</v>
      </c>
      <c r="T154" s="7">
        <v>2367000</v>
      </c>
      <c r="U154" s="11"/>
      <c r="V154" s="11"/>
      <c r="W154" s="11"/>
      <c r="X154" s="11"/>
      <c r="Y154" s="11"/>
      <c r="Z154" s="11">
        <v>15273000</v>
      </c>
      <c r="AA154" s="11">
        <v>15273000</v>
      </c>
      <c r="AB154" s="11">
        <v>15273000</v>
      </c>
      <c r="AC154" s="11">
        <v>15273000</v>
      </c>
      <c r="AD154" s="11">
        <v>15273000</v>
      </c>
      <c r="AE154" s="11">
        <v>32800000</v>
      </c>
      <c r="AF154" s="11">
        <v>30981000</v>
      </c>
      <c r="AG154" s="11">
        <v>30981000</v>
      </c>
      <c r="AH154" s="11"/>
      <c r="AI154" s="11"/>
      <c r="AJ154" s="11">
        <v>285724000</v>
      </c>
      <c r="AK154" s="11">
        <v>305745000</v>
      </c>
      <c r="AL154" s="11">
        <v>284426000</v>
      </c>
      <c r="AM154" s="11">
        <v>214537000</v>
      </c>
      <c r="AN154" s="11">
        <v>212044000</v>
      </c>
      <c r="AO154" s="7">
        <v>1485597000</v>
      </c>
      <c r="AP154" s="7">
        <v>1523204000</v>
      </c>
      <c r="AQ154" s="7">
        <v>1407486000</v>
      </c>
      <c r="AR154" s="7">
        <v>594865000</v>
      </c>
      <c r="AS154" s="7">
        <v>540043000</v>
      </c>
      <c r="AT154" s="7">
        <v>64835000</v>
      </c>
      <c r="AU154" s="7">
        <v>36331000</v>
      </c>
      <c r="AV154" s="7">
        <v>14310000</v>
      </c>
      <c r="AW154" s="7">
        <v>13401000</v>
      </c>
      <c r="AX154" s="7">
        <v>5721000</v>
      </c>
      <c r="AY154" s="11"/>
      <c r="AZ154" s="11"/>
      <c r="BA154" s="11"/>
      <c r="BB154" s="11"/>
      <c r="BC154" s="11"/>
      <c r="BD154" s="7">
        <v>5442000</v>
      </c>
      <c r="BE154" s="7">
        <v>1727000</v>
      </c>
      <c r="BF154" s="7">
        <v>36206000</v>
      </c>
      <c r="BG154" s="7">
        <v>78002000</v>
      </c>
      <c r="BH154" s="7">
        <v>34352000</v>
      </c>
      <c r="BI154" s="11"/>
      <c r="BJ154" s="11">
        <v>90797000</v>
      </c>
      <c r="BK154" s="11">
        <v>90797000</v>
      </c>
      <c r="BL154" s="11">
        <v>4940000</v>
      </c>
      <c r="BM154" s="11">
        <v>4940000</v>
      </c>
      <c r="BN154" s="11">
        <v>1559727000</v>
      </c>
      <c r="BO154" s="11">
        <v>1656005000</v>
      </c>
      <c r="BP154" s="11">
        <v>1552745000</v>
      </c>
      <c r="BQ154" s="11">
        <v>695154000</v>
      </c>
      <c r="BR154" s="11">
        <v>589002000</v>
      </c>
      <c r="BS154" s="11">
        <v>1845451000</v>
      </c>
      <c r="BT154" s="11">
        <v>1961750000</v>
      </c>
      <c r="BU154" s="11">
        <v>1837171000</v>
      </c>
      <c r="BV154" s="11">
        <v>909691000</v>
      </c>
      <c r="BW154" s="11">
        <v>801046000</v>
      </c>
      <c r="BX154" s="7">
        <v>151510000</v>
      </c>
      <c r="BY154" s="7">
        <v>151510000</v>
      </c>
      <c r="BZ154" s="7">
        <v>151510000</v>
      </c>
      <c r="CA154" s="7">
        <v>151510000</v>
      </c>
      <c r="CB154" s="7">
        <v>151510000</v>
      </c>
      <c r="CC154" s="11"/>
      <c r="CD154" s="11"/>
      <c r="CE154" s="11"/>
      <c r="CF154" s="11"/>
      <c r="CG154" s="11"/>
      <c r="CH154" s="7">
        <v>130261000</v>
      </c>
      <c r="CI154" s="7">
        <v>75648000</v>
      </c>
      <c r="CJ154" s="7">
        <v>66108000</v>
      </c>
      <c r="CK154" s="7">
        <v>-603343000</v>
      </c>
      <c r="CL154" s="7">
        <v>-714734000</v>
      </c>
      <c r="CM154" s="11">
        <v>281960000</v>
      </c>
      <c r="CN154" s="11">
        <v>227347000</v>
      </c>
      <c r="CO154" s="11">
        <v>217807000</v>
      </c>
      <c r="CP154" s="11">
        <v>-451644000</v>
      </c>
      <c r="CQ154" s="11">
        <v>-563035000</v>
      </c>
      <c r="CR154" s="11">
        <v>300000000</v>
      </c>
      <c r="CS154" s="11">
        <v>300000000</v>
      </c>
      <c r="CT154" s="11">
        <v>145841000</v>
      </c>
      <c r="CU154" s="11">
        <v>59600000</v>
      </c>
      <c r="CV154" s="11">
        <v>59600000</v>
      </c>
      <c r="CW154" s="11"/>
      <c r="CX154" s="11"/>
      <c r="CY154" s="11"/>
      <c r="CZ154" s="11"/>
      <c r="DA154" s="11"/>
      <c r="DB154" s="11">
        <v>368376000</v>
      </c>
      <c r="DC154" s="11">
        <v>368376000</v>
      </c>
      <c r="DD154" s="11">
        <v>214217000</v>
      </c>
      <c r="DE154" s="11">
        <v>127976000</v>
      </c>
      <c r="DF154" s="11">
        <v>127976000</v>
      </c>
      <c r="DG154" s="7">
        <v>37960000</v>
      </c>
      <c r="DH154" s="7">
        <v>37960000</v>
      </c>
      <c r="DI154" s="7">
        <v>37960000</v>
      </c>
      <c r="DJ154" s="7">
        <v>37960000</v>
      </c>
      <c r="DK154" s="7">
        <v>37960000</v>
      </c>
      <c r="DL154" s="7">
        <v>1133977000</v>
      </c>
      <c r="DM154" s="7">
        <v>1322447000</v>
      </c>
      <c r="DN154" s="7">
        <v>1361977000</v>
      </c>
      <c r="DO154" s="7">
        <v>1190049000</v>
      </c>
      <c r="DP154" s="7">
        <v>1193049000</v>
      </c>
      <c r="DQ154" s="11">
        <v>10000</v>
      </c>
      <c r="DR154" s="11">
        <v>1000</v>
      </c>
      <c r="DS154" s="11"/>
      <c r="DT154" s="11"/>
      <c r="DU154" s="11"/>
      <c r="DV154" s="11"/>
      <c r="DW154" s="11"/>
      <c r="DX154" s="11"/>
      <c r="DY154" s="11"/>
      <c r="DZ154" s="11"/>
      <c r="EA154" s="11">
        <v>1195115000</v>
      </c>
      <c r="EB154" s="11">
        <v>1366027000</v>
      </c>
      <c r="EC154" s="11">
        <v>1405147000</v>
      </c>
      <c r="ED154" s="11">
        <v>1233359000</v>
      </c>
      <c r="EE154" s="11">
        <v>1236105000</v>
      </c>
      <c r="EF154" s="7">
        <v>597961000</v>
      </c>
      <c r="EG154" s="7">
        <v>24981000</v>
      </c>
      <c r="EH154" s="7">
        <v>17032000</v>
      </c>
      <c r="EI154" s="7">
        <v>24063000</v>
      </c>
      <c r="EJ154" s="7"/>
      <c r="EK154" s="7">
        <v>607223000</v>
      </c>
      <c r="EL154" s="7">
        <v>43333000</v>
      </c>
      <c r="EM154" s="7">
        <v>23040000</v>
      </c>
      <c r="EN154" s="7">
        <v>74534000</v>
      </c>
      <c r="EO154" s="7"/>
      <c r="EP154" s="7"/>
      <c r="EQ154" s="7"/>
      <c r="ER154" s="7"/>
      <c r="ES154" s="7"/>
      <c r="ET154" s="7"/>
      <c r="EU154" s="7"/>
      <c r="EV154" s="7"/>
      <c r="EW154" s="7"/>
      <c r="EX154" s="7"/>
      <c r="EY154" s="7"/>
      <c r="EZ154" s="11"/>
      <c r="FA154" s="11"/>
      <c r="FB154" s="11"/>
      <c r="FC154" s="11"/>
      <c r="FD154" s="11"/>
      <c r="FE154" s="11"/>
      <c r="FF154" s="11"/>
      <c r="FG154" s="11"/>
      <c r="FH154" s="11"/>
      <c r="FI154" s="11"/>
      <c r="FJ154" s="11">
        <v>45393000</v>
      </c>
      <c r="FK154" s="11">
        <v>36651000</v>
      </c>
      <c r="FL154" s="11"/>
      <c r="FM154" s="11"/>
      <c r="FN154" s="11"/>
      <c r="FO154" s="7">
        <v>59796000</v>
      </c>
      <c r="FP154" s="7">
        <v>8719000</v>
      </c>
      <c r="FQ154" s="7">
        <v>210770000</v>
      </c>
      <c r="FR154" s="7">
        <v>288043000</v>
      </c>
      <c r="FS154" s="7">
        <v>62159000</v>
      </c>
      <c r="FT154" s="7">
        <v>88227000</v>
      </c>
      <c r="FU154" s="7">
        <v>28438000</v>
      </c>
      <c r="FV154" s="7">
        <v>214274000</v>
      </c>
      <c r="FW154" s="7">
        <v>907023000</v>
      </c>
      <c r="FX154" s="7">
        <v>173550000</v>
      </c>
      <c r="FY154" s="11">
        <v>129359000</v>
      </c>
      <c r="FZ154" s="11"/>
      <c r="GA154" s="11"/>
      <c r="GB154" s="11"/>
      <c r="GC154" s="11"/>
      <c r="GD154" s="7">
        <v>46273000</v>
      </c>
      <c r="GE154" s="7">
        <v>-74722000</v>
      </c>
      <c r="GF154" s="7">
        <v>-9540000</v>
      </c>
      <c r="GG154" s="7">
        <v>-669451000</v>
      </c>
      <c r="GH154" s="7">
        <v>-111391000</v>
      </c>
    </row>
    <row r="155" spans="1:190" ht="26.25" x14ac:dyDescent="0.25">
      <c r="A155" s="4">
        <v>154</v>
      </c>
      <c r="B155" s="5" t="s">
        <v>585</v>
      </c>
      <c r="C155" s="9" t="s">
        <v>586</v>
      </c>
      <c r="D155" s="7">
        <v>18</v>
      </c>
      <c r="E155" s="6" t="s">
        <v>587</v>
      </c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7"/>
      <c r="Q155" s="7"/>
      <c r="R155" s="7"/>
      <c r="S155" s="7"/>
      <c r="T155" s="7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11"/>
      <c r="AZ155" s="11"/>
      <c r="BA155" s="11"/>
      <c r="BB155" s="11"/>
      <c r="BC155" s="11"/>
      <c r="BD155" s="7"/>
      <c r="BE155" s="7"/>
      <c r="BF155" s="7"/>
      <c r="BG155" s="7"/>
      <c r="BH155" s="7"/>
      <c r="BI155" s="11"/>
      <c r="BJ155" s="11"/>
      <c r="BK155" s="11"/>
      <c r="BL155" s="11"/>
      <c r="BM155" s="11"/>
      <c r="BN155" s="11"/>
      <c r="BO155" s="11"/>
      <c r="BP155" s="11"/>
      <c r="BQ155" s="11"/>
      <c r="BR155" s="11"/>
      <c r="BS155" s="11"/>
      <c r="BT155" s="11"/>
      <c r="BU155" s="11"/>
      <c r="BV155" s="11"/>
      <c r="BW155" s="11"/>
      <c r="BX155" s="7"/>
      <c r="BY155" s="7"/>
      <c r="BZ155" s="7"/>
      <c r="CA155" s="7"/>
      <c r="CB155" s="7"/>
      <c r="CC155" s="11"/>
      <c r="CD155" s="11"/>
      <c r="CE155" s="11"/>
      <c r="CF155" s="11"/>
      <c r="CG155" s="11"/>
      <c r="CH155" s="7"/>
      <c r="CI155" s="7"/>
      <c r="CJ155" s="7"/>
      <c r="CK155" s="7"/>
      <c r="CL155" s="7"/>
      <c r="CM155" s="11"/>
      <c r="CN155" s="11"/>
      <c r="CO155" s="11"/>
      <c r="CP155" s="11"/>
      <c r="CQ155" s="11"/>
      <c r="CR155" s="11"/>
      <c r="CS155" s="11"/>
      <c r="CT155" s="11"/>
      <c r="CU155" s="11"/>
      <c r="CV155" s="11"/>
      <c r="CW155" s="11"/>
      <c r="CX155" s="11"/>
      <c r="CY155" s="11"/>
      <c r="CZ155" s="11"/>
      <c r="DA155" s="11"/>
      <c r="DB155" s="11"/>
      <c r="DC155" s="11"/>
      <c r="DD155" s="11"/>
      <c r="DE155" s="11"/>
      <c r="DF155" s="11"/>
      <c r="DG155" s="7"/>
      <c r="DH155" s="7"/>
      <c r="DI155" s="7"/>
      <c r="DJ155" s="7"/>
      <c r="DK155" s="7"/>
      <c r="DL155" s="7"/>
      <c r="DM155" s="7"/>
      <c r="DN155" s="7"/>
      <c r="DO155" s="7"/>
      <c r="DP155" s="7"/>
      <c r="DQ155" s="11"/>
      <c r="DR155" s="11"/>
      <c r="DS155" s="11"/>
      <c r="DT155" s="11"/>
      <c r="DU155" s="11"/>
      <c r="DV155" s="11"/>
      <c r="DW155" s="11"/>
      <c r="DX155" s="11"/>
      <c r="DY155" s="11"/>
      <c r="DZ155" s="11"/>
      <c r="EA155" s="11"/>
      <c r="EB155" s="11"/>
      <c r="EC155" s="11"/>
      <c r="ED155" s="11"/>
      <c r="EE155" s="11"/>
      <c r="EF155" s="7"/>
      <c r="EG155" s="7"/>
      <c r="EH155" s="7"/>
      <c r="EI155" s="7"/>
      <c r="EJ155" s="7"/>
      <c r="EK155" s="7"/>
      <c r="EL155" s="7"/>
      <c r="EM155" s="7"/>
      <c r="EN155" s="7"/>
      <c r="EO155" s="7"/>
      <c r="EP155" s="7"/>
      <c r="EQ155" s="7"/>
      <c r="ER155" s="7"/>
      <c r="ES155" s="7"/>
      <c r="ET155" s="7"/>
      <c r="EU155" s="7"/>
      <c r="EV155" s="7"/>
      <c r="EW155" s="7"/>
      <c r="EX155" s="7"/>
      <c r="EY155" s="7"/>
      <c r="EZ155" s="11"/>
      <c r="FA155" s="11"/>
      <c r="FB155" s="11"/>
      <c r="FC155" s="11"/>
      <c r="FD155" s="11"/>
      <c r="FE155" s="11"/>
      <c r="FF155" s="11"/>
      <c r="FG155" s="11"/>
      <c r="FH155" s="11"/>
      <c r="FI155" s="11"/>
      <c r="FJ155" s="11"/>
      <c r="FK155" s="11"/>
      <c r="FL155" s="11"/>
      <c r="FM155" s="11"/>
      <c r="FN155" s="11"/>
      <c r="FO155" s="7"/>
      <c r="FP155" s="7"/>
      <c r="FQ155" s="7"/>
      <c r="FR155" s="7"/>
      <c r="FS155" s="7"/>
      <c r="FT155" s="7"/>
      <c r="FU155" s="7"/>
      <c r="FV155" s="7"/>
      <c r="FW155" s="7"/>
      <c r="FX155" s="7"/>
      <c r="FY155" s="11"/>
      <c r="FZ155" s="11"/>
      <c r="GA155" s="11"/>
      <c r="GB155" s="11"/>
      <c r="GC155" s="11"/>
      <c r="GD155" s="7"/>
      <c r="GE155" s="7"/>
      <c r="GF155" s="7"/>
      <c r="GG155" s="7"/>
      <c r="GH155" s="7"/>
    </row>
    <row r="156" spans="1:190" ht="26.25" x14ac:dyDescent="0.25">
      <c r="A156" s="4">
        <v>155</v>
      </c>
      <c r="B156" s="5" t="s">
        <v>588</v>
      </c>
      <c r="C156" s="9" t="s">
        <v>589</v>
      </c>
      <c r="D156" s="7">
        <v>8</v>
      </c>
      <c r="E156" s="6" t="s">
        <v>328</v>
      </c>
      <c r="F156" s="11">
        <v>1803944</v>
      </c>
      <c r="G156" s="11">
        <v>695020</v>
      </c>
      <c r="H156" s="11">
        <v>357054</v>
      </c>
      <c r="I156" s="11"/>
      <c r="J156" s="11"/>
      <c r="K156" s="11">
        <v>13867139</v>
      </c>
      <c r="L156" s="11">
        <v>10468682</v>
      </c>
      <c r="M156" s="11">
        <v>1481908</v>
      </c>
      <c r="N156" s="11"/>
      <c r="O156" s="11"/>
      <c r="P156" s="7">
        <v>23954000</v>
      </c>
      <c r="Q156" s="7"/>
      <c r="R156" s="7"/>
      <c r="S156" s="7"/>
      <c r="T156" s="7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>
        <v>23954000</v>
      </c>
      <c r="AK156" s="11"/>
      <c r="AL156" s="11"/>
      <c r="AM156" s="11"/>
      <c r="AN156" s="11"/>
      <c r="AO156" s="7">
        <v>171994000</v>
      </c>
      <c r="AP156" s="7"/>
      <c r="AQ156" s="7"/>
      <c r="AR156" s="7"/>
      <c r="AS156" s="7"/>
      <c r="AT156" s="7">
        <v>96293000</v>
      </c>
      <c r="AU156" s="7"/>
      <c r="AV156" s="7"/>
      <c r="AW156" s="7"/>
      <c r="AX156" s="7"/>
      <c r="AY156" s="11">
        <v>5745000</v>
      </c>
      <c r="AZ156" s="11"/>
      <c r="BA156" s="11"/>
      <c r="BB156" s="11"/>
      <c r="BC156" s="11"/>
      <c r="BD156" s="7">
        <v>5716000</v>
      </c>
      <c r="BE156" s="7"/>
      <c r="BF156" s="7"/>
      <c r="BG156" s="7"/>
      <c r="BH156" s="7"/>
      <c r="BI156" s="11">
        <v>4450000</v>
      </c>
      <c r="BJ156" s="11"/>
      <c r="BK156" s="11"/>
      <c r="BL156" s="11"/>
      <c r="BM156" s="11"/>
      <c r="BN156" s="11">
        <v>284198000</v>
      </c>
      <c r="BO156" s="11"/>
      <c r="BP156" s="11"/>
      <c r="BQ156" s="11"/>
      <c r="BR156" s="11"/>
      <c r="BS156" s="11">
        <v>308152000</v>
      </c>
      <c r="BT156" s="11"/>
      <c r="BU156" s="11"/>
      <c r="BV156" s="11"/>
      <c r="BW156" s="11"/>
      <c r="BX156" s="7">
        <v>12028000</v>
      </c>
      <c r="BY156" s="7"/>
      <c r="BZ156" s="7"/>
      <c r="CA156" s="7"/>
      <c r="CB156" s="7"/>
      <c r="CC156" s="11"/>
      <c r="CD156" s="11"/>
      <c r="CE156" s="11"/>
      <c r="CF156" s="11"/>
      <c r="CG156" s="11"/>
      <c r="CH156" s="7">
        <v>29015000</v>
      </c>
      <c r="CI156" s="7"/>
      <c r="CJ156" s="7"/>
      <c r="CK156" s="7"/>
      <c r="CL156" s="7"/>
      <c r="CM156" s="11">
        <v>41043000</v>
      </c>
      <c r="CN156" s="11"/>
      <c r="CO156" s="11"/>
      <c r="CP156" s="11"/>
      <c r="CQ156" s="11"/>
      <c r="CR156" s="11">
        <v>4080000</v>
      </c>
      <c r="CS156" s="11"/>
      <c r="CT156" s="11"/>
      <c r="CU156" s="11"/>
      <c r="CV156" s="11"/>
      <c r="CW156" s="11">
        <v>15906000</v>
      </c>
      <c r="CX156" s="11"/>
      <c r="CY156" s="11"/>
      <c r="CZ156" s="11"/>
      <c r="DA156" s="11"/>
      <c r="DB156" s="11">
        <v>19986000</v>
      </c>
      <c r="DC156" s="11"/>
      <c r="DD156" s="11"/>
      <c r="DE156" s="11"/>
      <c r="DF156" s="11"/>
      <c r="DG156" s="7">
        <v>8848000</v>
      </c>
      <c r="DH156" s="7"/>
      <c r="DI156" s="7"/>
      <c r="DJ156" s="7"/>
      <c r="DK156" s="7"/>
      <c r="DL156" s="7">
        <v>238275000</v>
      </c>
      <c r="DM156" s="7"/>
      <c r="DN156" s="7"/>
      <c r="DO156" s="7"/>
      <c r="DP156" s="7"/>
      <c r="DQ156" s="11"/>
      <c r="DR156" s="11"/>
      <c r="DS156" s="11"/>
      <c r="DT156" s="11"/>
      <c r="DU156" s="11"/>
      <c r="DV156" s="11"/>
      <c r="DW156" s="11"/>
      <c r="DX156" s="11"/>
      <c r="DY156" s="11"/>
      <c r="DZ156" s="11"/>
      <c r="EA156" s="11">
        <v>247123000</v>
      </c>
      <c r="EB156" s="11"/>
      <c r="EC156" s="11"/>
      <c r="ED156" s="11"/>
      <c r="EE156" s="11"/>
      <c r="EF156" s="7">
        <v>474621000</v>
      </c>
      <c r="EG156" s="7"/>
      <c r="EH156" s="7"/>
      <c r="EI156" s="7"/>
      <c r="EJ156" s="7"/>
      <c r="EK156" s="7">
        <v>456035000</v>
      </c>
      <c r="EL156" s="7"/>
      <c r="EM156" s="7"/>
      <c r="EN156" s="7"/>
      <c r="EO156" s="7"/>
      <c r="EP156" s="7"/>
      <c r="EQ156" s="7"/>
      <c r="ER156" s="7"/>
      <c r="ES156" s="7"/>
      <c r="ET156" s="7"/>
      <c r="EU156" s="7">
        <v>16745000</v>
      </c>
      <c r="EV156" s="7"/>
      <c r="EW156" s="7"/>
      <c r="EX156" s="7"/>
      <c r="EY156" s="7"/>
      <c r="EZ156" s="11"/>
      <c r="FA156" s="11"/>
      <c r="FB156" s="11"/>
      <c r="FC156" s="11"/>
      <c r="FD156" s="11"/>
      <c r="FE156" s="11"/>
      <c r="FF156" s="11"/>
      <c r="FG156" s="11"/>
      <c r="FH156" s="11"/>
      <c r="FI156" s="11"/>
      <c r="FJ156" s="11">
        <v>168000</v>
      </c>
      <c r="FK156" s="11"/>
      <c r="FL156" s="11"/>
      <c r="FM156" s="11"/>
      <c r="FN156" s="11"/>
      <c r="FO156" s="7">
        <v>1826000</v>
      </c>
      <c r="FP156" s="7"/>
      <c r="FQ156" s="7"/>
      <c r="FR156" s="7"/>
      <c r="FS156" s="7"/>
      <c r="FT156" s="7">
        <v>99000</v>
      </c>
      <c r="FU156" s="7"/>
      <c r="FV156" s="7"/>
      <c r="FW156" s="7"/>
      <c r="FX156" s="7"/>
      <c r="FY156" s="11">
        <v>-597000</v>
      </c>
      <c r="FZ156" s="11"/>
      <c r="GA156" s="11"/>
      <c r="GB156" s="11"/>
      <c r="GC156" s="11"/>
      <c r="GD156" s="7">
        <v>2803000</v>
      </c>
      <c r="GE156" s="7"/>
      <c r="GF156" s="7"/>
      <c r="GG156" s="7"/>
      <c r="GH156" s="7"/>
    </row>
    <row r="157" spans="1:190" x14ac:dyDescent="0.25">
      <c r="A157" s="4">
        <v>156</v>
      </c>
      <c r="B157" s="5" t="s">
        <v>590</v>
      </c>
      <c r="C157" s="9" t="s">
        <v>591</v>
      </c>
      <c r="D157" s="7">
        <v>10</v>
      </c>
      <c r="E157" s="6" t="s">
        <v>592</v>
      </c>
      <c r="F157" s="11">
        <v>8419</v>
      </c>
      <c r="G157" s="11">
        <v>64981</v>
      </c>
      <c r="H157" s="11">
        <v>126596</v>
      </c>
      <c r="I157" s="11">
        <v>26754</v>
      </c>
      <c r="J157" s="11"/>
      <c r="K157" s="11">
        <v>30280403</v>
      </c>
      <c r="L157" s="11">
        <v>9375276</v>
      </c>
      <c r="M157" s="11">
        <v>19327913</v>
      </c>
      <c r="N157" s="11">
        <v>13305222</v>
      </c>
      <c r="O157" s="11">
        <v>4186208</v>
      </c>
      <c r="P157" s="7">
        <v>1743000</v>
      </c>
      <c r="Q157" s="7">
        <v>2766000</v>
      </c>
      <c r="R157" s="7">
        <v>1770000</v>
      </c>
      <c r="S157" s="7">
        <v>643000</v>
      </c>
      <c r="T157" s="7">
        <v>156000</v>
      </c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>
        <v>1743000</v>
      </c>
      <c r="AK157" s="11">
        <v>2766000</v>
      </c>
      <c r="AL157" s="11">
        <v>1770000</v>
      </c>
      <c r="AM157" s="11">
        <v>643000</v>
      </c>
      <c r="AN157" s="11">
        <v>156000</v>
      </c>
      <c r="AO157" s="7">
        <v>117587000</v>
      </c>
      <c r="AP157" s="7">
        <v>192391000</v>
      </c>
      <c r="AQ157" s="7">
        <v>43830000</v>
      </c>
      <c r="AR157" s="7">
        <v>57687000</v>
      </c>
      <c r="AS157" s="7">
        <v>53791000</v>
      </c>
      <c r="AT157" s="7">
        <v>1191000</v>
      </c>
      <c r="AU157" s="7">
        <v>73669000</v>
      </c>
      <c r="AV157" s="7">
        <v>18251000</v>
      </c>
      <c r="AW157" s="7">
        <v>27072000</v>
      </c>
      <c r="AX157" s="7">
        <v>21065000</v>
      </c>
      <c r="AY157" s="11"/>
      <c r="AZ157" s="11"/>
      <c r="BA157" s="11"/>
      <c r="BB157" s="11"/>
      <c r="BC157" s="11"/>
      <c r="BD157" s="7">
        <v>20572000</v>
      </c>
      <c r="BE157" s="7">
        <v>10666000</v>
      </c>
      <c r="BF157" s="7">
        <v>75000</v>
      </c>
      <c r="BG157" s="7">
        <v>98000</v>
      </c>
      <c r="BH157" s="7"/>
      <c r="BI157" s="11"/>
      <c r="BJ157" s="11"/>
      <c r="BK157" s="11"/>
      <c r="BL157" s="11"/>
      <c r="BM157" s="11"/>
      <c r="BN157" s="11">
        <v>139350000</v>
      </c>
      <c r="BO157" s="11">
        <v>276781000</v>
      </c>
      <c r="BP157" s="11">
        <v>62156000</v>
      </c>
      <c r="BQ157" s="11">
        <v>84857000</v>
      </c>
      <c r="BR157" s="11">
        <v>74856000</v>
      </c>
      <c r="BS157" s="11">
        <v>141093000</v>
      </c>
      <c r="BT157" s="11">
        <v>279547000</v>
      </c>
      <c r="BU157" s="11">
        <v>63926000</v>
      </c>
      <c r="BV157" s="11">
        <v>85500000</v>
      </c>
      <c r="BW157" s="11">
        <v>75012000</v>
      </c>
      <c r="BX157" s="7">
        <v>10000</v>
      </c>
      <c r="BY157" s="7">
        <v>10000</v>
      </c>
      <c r="BZ157" s="7">
        <v>10000</v>
      </c>
      <c r="CA157" s="7">
        <v>10000</v>
      </c>
      <c r="CB157" s="7">
        <v>10000</v>
      </c>
      <c r="CC157" s="11"/>
      <c r="CD157" s="11"/>
      <c r="CE157" s="11"/>
      <c r="CF157" s="11"/>
      <c r="CG157" s="11"/>
      <c r="CH157" s="7">
        <v>4532000</v>
      </c>
      <c r="CI157" s="7">
        <v>4773000</v>
      </c>
      <c r="CJ157" s="7">
        <v>-27906000</v>
      </c>
      <c r="CK157" s="7">
        <v>-33735000</v>
      </c>
      <c r="CL157" s="7">
        <v>-36201000</v>
      </c>
      <c r="CM157" s="11">
        <v>4542000</v>
      </c>
      <c r="CN157" s="11">
        <v>4783000</v>
      </c>
      <c r="CO157" s="11">
        <v>-27896000</v>
      </c>
      <c r="CP157" s="11">
        <v>-33725000</v>
      </c>
      <c r="CQ157" s="11">
        <v>-36191000</v>
      </c>
      <c r="CR157" s="11"/>
      <c r="CS157" s="11"/>
      <c r="CT157" s="11"/>
      <c r="CU157" s="11"/>
      <c r="CV157" s="11"/>
      <c r="CW157" s="11"/>
      <c r="CX157" s="11"/>
      <c r="CY157" s="11"/>
      <c r="CZ157" s="11"/>
      <c r="DA157" s="11"/>
      <c r="DB157" s="11"/>
      <c r="DC157" s="11"/>
      <c r="DD157" s="11"/>
      <c r="DE157" s="11"/>
      <c r="DF157" s="11"/>
      <c r="DG157" s="7"/>
      <c r="DH157" s="7">
        <v>5804000</v>
      </c>
      <c r="DI157" s="7">
        <v>11971000</v>
      </c>
      <c r="DJ157" s="7">
        <v>12832000</v>
      </c>
      <c r="DK157" s="7">
        <v>12382000</v>
      </c>
      <c r="DL157" s="7">
        <v>136551000</v>
      </c>
      <c r="DM157" s="7">
        <v>268960000</v>
      </c>
      <c r="DN157" s="7">
        <v>79851000</v>
      </c>
      <c r="DO157" s="7">
        <v>106393000</v>
      </c>
      <c r="DP157" s="7">
        <v>98821000</v>
      </c>
      <c r="DQ157" s="11"/>
      <c r="DR157" s="11"/>
      <c r="DS157" s="11"/>
      <c r="DT157" s="11"/>
      <c r="DU157" s="11"/>
      <c r="DV157" s="11"/>
      <c r="DW157" s="11"/>
      <c r="DX157" s="11"/>
      <c r="DY157" s="11"/>
      <c r="DZ157" s="11"/>
      <c r="EA157" s="11">
        <v>136551000</v>
      </c>
      <c r="EB157" s="11">
        <v>274764000</v>
      </c>
      <c r="EC157" s="11">
        <v>91822000</v>
      </c>
      <c r="ED157" s="11">
        <v>119225000</v>
      </c>
      <c r="EE157" s="11">
        <v>111203000</v>
      </c>
      <c r="EF157" s="7">
        <v>288133000</v>
      </c>
      <c r="EG157" s="7">
        <v>195157000</v>
      </c>
      <c r="EH157" s="7">
        <v>370819000</v>
      </c>
      <c r="EI157" s="7">
        <v>24236000</v>
      </c>
      <c r="EJ157" s="7">
        <v>1305000</v>
      </c>
      <c r="EK157" s="7">
        <v>274761000</v>
      </c>
      <c r="EL157" s="7">
        <v>180954000</v>
      </c>
      <c r="EM157" s="7">
        <v>395275000</v>
      </c>
      <c r="EN157" s="7">
        <v>14653000</v>
      </c>
      <c r="EO157" s="7">
        <v>2358000</v>
      </c>
      <c r="EP157" s="7"/>
      <c r="EQ157" s="7"/>
      <c r="ER157" s="7"/>
      <c r="ES157" s="7"/>
      <c r="ET157" s="7"/>
      <c r="EU157" s="7">
        <v>12871000</v>
      </c>
      <c r="EV157" s="7">
        <v>13601000</v>
      </c>
      <c r="EW157" s="7">
        <v>14683000</v>
      </c>
      <c r="EX157" s="7">
        <v>7189000</v>
      </c>
      <c r="EY157" s="7">
        <v>1218000</v>
      </c>
      <c r="EZ157" s="11"/>
      <c r="FA157" s="11"/>
      <c r="FB157" s="11"/>
      <c r="FC157" s="11"/>
      <c r="FD157" s="11"/>
      <c r="FE157" s="11"/>
      <c r="FF157" s="11"/>
      <c r="FG157" s="11"/>
      <c r="FH157" s="11"/>
      <c r="FI157" s="11"/>
      <c r="FJ157" s="11"/>
      <c r="FK157" s="11"/>
      <c r="FL157" s="11"/>
      <c r="FM157" s="11"/>
      <c r="FN157" s="11"/>
      <c r="FO157" s="7"/>
      <c r="FP157" s="7"/>
      <c r="FQ157" s="7">
        <v>25019000</v>
      </c>
      <c r="FR157" s="7">
        <v>4274000</v>
      </c>
      <c r="FS157" s="7"/>
      <c r="FT157" s="7">
        <v>122000</v>
      </c>
      <c r="FU157" s="7">
        <v>241000</v>
      </c>
      <c r="FV157" s="7">
        <v>21842000</v>
      </c>
      <c r="FW157" s="7">
        <v>8849000</v>
      </c>
      <c r="FX157" s="7">
        <v>205000</v>
      </c>
      <c r="FY157" s="11"/>
      <c r="FZ157" s="11"/>
      <c r="GA157" s="11"/>
      <c r="GB157" s="11"/>
      <c r="GC157" s="11"/>
      <c r="GD157" s="7">
        <v>379000</v>
      </c>
      <c r="GE157" s="7">
        <v>361000</v>
      </c>
      <c r="GF157" s="7">
        <v>-35962000</v>
      </c>
      <c r="GG157" s="7">
        <v>-2181000</v>
      </c>
      <c r="GH157" s="7">
        <v>-2476000</v>
      </c>
    </row>
    <row r="158" spans="1:190" ht="26.25" x14ac:dyDescent="0.25">
      <c r="A158" s="4">
        <v>157</v>
      </c>
      <c r="B158" s="5" t="s">
        <v>593</v>
      </c>
      <c r="C158" s="9" t="s">
        <v>594</v>
      </c>
      <c r="D158" s="7">
        <v>23</v>
      </c>
      <c r="E158" s="6" t="s">
        <v>595</v>
      </c>
      <c r="F158" s="11"/>
      <c r="G158" s="11"/>
      <c r="H158" s="11">
        <v>1164441</v>
      </c>
      <c r="I158" s="11"/>
      <c r="J158" s="11"/>
      <c r="K158" s="11">
        <v>155297331</v>
      </c>
      <c r="L158" s="11">
        <v>103634920</v>
      </c>
      <c r="M158" s="11">
        <v>59965671</v>
      </c>
      <c r="N158" s="11">
        <v>14006629</v>
      </c>
      <c r="O158" s="11">
        <v>181461765</v>
      </c>
      <c r="P158" s="7">
        <v>171460000</v>
      </c>
      <c r="Q158" s="7">
        <v>133699000</v>
      </c>
      <c r="R158" s="7">
        <v>153009000</v>
      </c>
      <c r="S158" s="7">
        <v>113517000</v>
      </c>
      <c r="T158" s="7">
        <v>84912000</v>
      </c>
      <c r="U158" s="11"/>
      <c r="V158" s="11"/>
      <c r="W158" s="11"/>
      <c r="X158" s="11">
        <v>24714000</v>
      </c>
      <c r="Y158" s="11">
        <v>43389000</v>
      </c>
      <c r="Z158" s="11"/>
      <c r="AA158" s="11"/>
      <c r="AB158" s="11"/>
      <c r="AC158" s="11"/>
      <c r="AD158" s="11"/>
      <c r="AE158" s="11">
        <v>130000</v>
      </c>
      <c r="AF158" s="11">
        <v>46000</v>
      </c>
      <c r="AG158" s="11"/>
      <c r="AH158" s="11"/>
      <c r="AI158" s="11"/>
      <c r="AJ158" s="11">
        <v>172038000</v>
      </c>
      <c r="AK158" s="11">
        <v>134216000</v>
      </c>
      <c r="AL158" s="11">
        <v>205619000</v>
      </c>
      <c r="AM158" s="11">
        <v>144776000</v>
      </c>
      <c r="AN158" s="11">
        <v>192507000</v>
      </c>
      <c r="AO158" s="7">
        <v>253338000</v>
      </c>
      <c r="AP158" s="7">
        <v>321752000</v>
      </c>
      <c r="AQ158" s="7">
        <v>266434000</v>
      </c>
      <c r="AR158" s="7">
        <v>370302000</v>
      </c>
      <c r="AS158" s="7">
        <v>244419000</v>
      </c>
      <c r="AT158" s="7">
        <v>451618000</v>
      </c>
      <c r="AU158" s="7">
        <v>670895000</v>
      </c>
      <c r="AV158" s="7">
        <v>221296000</v>
      </c>
      <c r="AW158" s="7">
        <v>162334000</v>
      </c>
      <c r="AX158" s="7">
        <v>269190000</v>
      </c>
      <c r="AY158" s="11">
        <v>25000000</v>
      </c>
      <c r="AZ158" s="11">
        <v>25000000</v>
      </c>
      <c r="BA158" s="11"/>
      <c r="BB158" s="11"/>
      <c r="BC158" s="11"/>
      <c r="BD158" s="7">
        <v>31361000</v>
      </c>
      <c r="BE158" s="7">
        <v>720000</v>
      </c>
      <c r="BF158" s="7">
        <v>48000</v>
      </c>
      <c r="BG158" s="7">
        <v>15451000</v>
      </c>
      <c r="BH158" s="7">
        <v>12291000</v>
      </c>
      <c r="BI158" s="11">
        <v>4611000</v>
      </c>
      <c r="BJ158" s="11">
        <v>4667000</v>
      </c>
      <c r="BK158" s="11">
        <v>9399000</v>
      </c>
      <c r="BL158" s="11">
        <v>9715000</v>
      </c>
      <c r="BM158" s="11">
        <v>9460000</v>
      </c>
      <c r="BN158" s="11">
        <v>765928000</v>
      </c>
      <c r="BO158" s="11">
        <v>1023035000</v>
      </c>
      <c r="BP158" s="11">
        <v>497177000</v>
      </c>
      <c r="BQ158" s="11">
        <v>557802000</v>
      </c>
      <c r="BR158" s="11">
        <v>535361000</v>
      </c>
      <c r="BS158" s="11">
        <v>937966000</v>
      </c>
      <c r="BT158" s="11">
        <v>1157250000</v>
      </c>
      <c r="BU158" s="11">
        <v>702796000</v>
      </c>
      <c r="BV158" s="11">
        <v>702578000</v>
      </c>
      <c r="BW158" s="11">
        <v>727867000</v>
      </c>
      <c r="BX158" s="7">
        <v>50135000</v>
      </c>
      <c r="BY158" s="7">
        <v>50135000</v>
      </c>
      <c r="BZ158" s="7">
        <v>50135000</v>
      </c>
      <c r="CA158" s="7">
        <v>50135000</v>
      </c>
      <c r="CB158" s="7">
        <v>50135000</v>
      </c>
      <c r="CC158" s="11">
        <v>117779000</v>
      </c>
      <c r="CD158" s="11">
        <v>117119000</v>
      </c>
      <c r="CE158" s="11">
        <v>131841000</v>
      </c>
      <c r="CF158" s="11">
        <v>147112000</v>
      </c>
      <c r="CG158" s="11">
        <v>162866000</v>
      </c>
      <c r="CH158" s="7">
        <v>-39553000</v>
      </c>
      <c r="CI158" s="7">
        <v>-25956000</v>
      </c>
      <c r="CJ158" s="7">
        <v>-645547000</v>
      </c>
      <c r="CK158" s="7">
        <v>-675513000</v>
      </c>
      <c r="CL158" s="7">
        <v>-640973000</v>
      </c>
      <c r="CM158" s="11">
        <v>128361000</v>
      </c>
      <c r="CN158" s="11">
        <v>46325000</v>
      </c>
      <c r="CO158" s="11">
        <v>-558544000</v>
      </c>
      <c r="CP158" s="11">
        <v>-573239000</v>
      </c>
      <c r="CQ158" s="11">
        <v>-522946000</v>
      </c>
      <c r="CR158" s="11">
        <v>478837000</v>
      </c>
      <c r="CS158" s="11">
        <v>262262000</v>
      </c>
      <c r="CT158" s="11">
        <v>136287000</v>
      </c>
      <c r="CU158" s="11">
        <v>136287000</v>
      </c>
      <c r="CV158" s="11">
        <v>99100000</v>
      </c>
      <c r="CW158" s="11"/>
      <c r="CX158" s="11"/>
      <c r="CY158" s="11">
        <v>43775000</v>
      </c>
      <c r="CZ158" s="11">
        <v>28611000</v>
      </c>
      <c r="DA158" s="11">
        <v>9588000</v>
      </c>
      <c r="DB158" s="11">
        <v>487349000</v>
      </c>
      <c r="DC158" s="11">
        <v>281156000</v>
      </c>
      <c r="DD158" s="11">
        <v>212695000</v>
      </c>
      <c r="DE158" s="11">
        <v>176689000</v>
      </c>
      <c r="DF158" s="11">
        <v>121114000</v>
      </c>
      <c r="DG158" s="7">
        <v>15629000</v>
      </c>
      <c r="DH158" s="7">
        <v>214814000</v>
      </c>
      <c r="DI158" s="7">
        <v>160190000</v>
      </c>
      <c r="DJ158" s="7">
        <v>159508000</v>
      </c>
      <c r="DK158" s="7">
        <v>158989000</v>
      </c>
      <c r="DL158" s="7">
        <v>285837000</v>
      </c>
      <c r="DM158" s="7">
        <v>594866000</v>
      </c>
      <c r="DN158" s="7">
        <v>868366000</v>
      </c>
      <c r="DO158" s="7">
        <v>928311000</v>
      </c>
      <c r="DP158" s="7">
        <v>953651000</v>
      </c>
      <c r="DQ158" s="11"/>
      <c r="DR158" s="11"/>
      <c r="DS158" s="11"/>
      <c r="DT158" s="11"/>
      <c r="DU158" s="11"/>
      <c r="DV158" s="11"/>
      <c r="DW158" s="11"/>
      <c r="DX158" s="11"/>
      <c r="DY158" s="11"/>
      <c r="DZ158" s="11"/>
      <c r="EA158" s="11">
        <v>322256000</v>
      </c>
      <c r="EB158" s="11">
        <v>829770000</v>
      </c>
      <c r="EC158" s="11">
        <v>1048646000</v>
      </c>
      <c r="ED158" s="11">
        <v>1099127000</v>
      </c>
      <c r="EE158" s="11">
        <v>1129699000</v>
      </c>
      <c r="EF158" s="7">
        <v>1562762000</v>
      </c>
      <c r="EG158" s="7">
        <v>1628832000</v>
      </c>
      <c r="EH158" s="7">
        <v>675007000</v>
      </c>
      <c r="EI158" s="7">
        <v>538838000</v>
      </c>
      <c r="EJ158" s="7">
        <v>908559000</v>
      </c>
      <c r="EK158" s="7">
        <v>1450564000</v>
      </c>
      <c r="EL158" s="7">
        <v>1483319000</v>
      </c>
      <c r="EM158" s="7">
        <v>952715000</v>
      </c>
      <c r="EN158" s="7">
        <v>458001000</v>
      </c>
      <c r="EO158" s="7">
        <v>801416000</v>
      </c>
      <c r="EP158" s="7">
        <v>177000</v>
      </c>
      <c r="EQ158" s="7"/>
      <c r="ER158" s="7">
        <v>89000</v>
      </c>
      <c r="ES158" s="7">
        <v>159000</v>
      </c>
      <c r="ET158" s="7">
        <v>34000</v>
      </c>
      <c r="EU158" s="7">
        <v>49005000</v>
      </c>
      <c r="EV158" s="7">
        <v>53580000</v>
      </c>
      <c r="EW158" s="7">
        <v>62313000</v>
      </c>
      <c r="EX158" s="7">
        <v>51201000</v>
      </c>
      <c r="EY158" s="7">
        <v>45438000</v>
      </c>
      <c r="EZ158" s="11"/>
      <c r="FA158" s="11"/>
      <c r="FB158" s="11"/>
      <c r="FC158" s="11"/>
      <c r="FD158" s="11"/>
      <c r="FE158" s="11">
        <v>877000</v>
      </c>
      <c r="FF158" s="11">
        <v>875000</v>
      </c>
      <c r="FG158" s="11"/>
      <c r="FH158" s="11"/>
      <c r="FI158" s="11">
        <v>1000</v>
      </c>
      <c r="FJ158" s="11">
        <v>34409000</v>
      </c>
      <c r="FK158" s="11">
        <v>48292000</v>
      </c>
      <c r="FL158" s="11">
        <v>31749000</v>
      </c>
      <c r="FM158" s="11">
        <v>11495000</v>
      </c>
      <c r="FN158" s="11">
        <v>5557000</v>
      </c>
      <c r="FO158" s="7">
        <v>605251000</v>
      </c>
      <c r="FP158" s="7">
        <v>356243000</v>
      </c>
      <c r="FQ158" s="7">
        <v>102790000</v>
      </c>
      <c r="FR158" s="7">
        <v>28504000</v>
      </c>
      <c r="FS158" s="7">
        <v>35918000</v>
      </c>
      <c r="FT158" s="7">
        <v>619090000</v>
      </c>
      <c r="FU158" s="7">
        <v>375791000</v>
      </c>
      <c r="FV158" s="7">
        <v>89949000</v>
      </c>
      <c r="FW158" s="7">
        <v>51287000</v>
      </c>
      <c r="FX158" s="7">
        <v>133443000</v>
      </c>
      <c r="FY158" s="11">
        <v>-7484000</v>
      </c>
      <c r="FZ158" s="11">
        <v>-10777000</v>
      </c>
      <c r="GA158" s="11">
        <v>37396000</v>
      </c>
      <c r="GB158" s="11">
        <v>-25165000</v>
      </c>
      <c r="GC158" s="11">
        <v>8928000</v>
      </c>
      <c r="GD158" s="7">
        <v>8165000</v>
      </c>
      <c r="GE158" s="7">
        <v>14191000</v>
      </c>
      <c r="GF158" s="7">
        <v>-321622000</v>
      </c>
      <c r="GG158" s="7">
        <v>-29966000</v>
      </c>
      <c r="GH158" s="7">
        <v>-34975000</v>
      </c>
    </row>
    <row r="159" spans="1:190" x14ac:dyDescent="0.25">
      <c r="A159" s="4">
        <v>158</v>
      </c>
      <c r="B159" s="5" t="s">
        <v>596</v>
      </c>
      <c r="C159" s="9" t="s">
        <v>597</v>
      </c>
      <c r="D159" s="7">
        <v>16</v>
      </c>
      <c r="E159" s="6" t="s">
        <v>190</v>
      </c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7"/>
      <c r="Q159" s="7"/>
      <c r="R159" s="7"/>
      <c r="S159" s="7"/>
      <c r="T159" s="7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11"/>
      <c r="AZ159" s="11"/>
      <c r="BA159" s="11"/>
      <c r="BB159" s="11"/>
      <c r="BC159" s="11"/>
      <c r="BD159" s="7"/>
      <c r="BE159" s="7"/>
      <c r="BF159" s="7"/>
      <c r="BG159" s="7"/>
      <c r="BH159" s="7"/>
      <c r="BI159" s="11"/>
      <c r="BJ159" s="11"/>
      <c r="BK159" s="11"/>
      <c r="BL159" s="11"/>
      <c r="BM159" s="11"/>
      <c r="BN159" s="11"/>
      <c r="BO159" s="11"/>
      <c r="BP159" s="11"/>
      <c r="BQ159" s="11"/>
      <c r="BR159" s="11"/>
      <c r="BS159" s="11"/>
      <c r="BT159" s="11"/>
      <c r="BU159" s="11"/>
      <c r="BV159" s="11"/>
      <c r="BW159" s="11"/>
      <c r="BX159" s="7"/>
      <c r="BY159" s="7"/>
      <c r="BZ159" s="7"/>
      <c r="CA159" s="7"/>
      <c r="CB159" s="7"/>
      <c r="CC159" s="11"/>
      <c r="CD159" s="11"/>
      <c r="CE159" s="11"/>
      <c r="CF159" s="11"/>
      <c r="CG159" s="11"/>
      <c r="CH159" s="7"/>
      <c r="CI159" s="7"/>
      <c r="CJ159" s="7"/>
      <c r="CK159" s="7"/>
      <c r="CL159" s="7"/>
      <c r="CM159" s="11"/>
      <c r="CN159" s="11"/>
      <c r="CO159" s="11"/>
      <c r="CP159" s="11"/>
      <c r="CQ159" s="11"/>
      <c r="CR159" s="11"/>
      <c r="CS159" s="11"/>
      <c r="CT159" s="11"/>
      <c r="CU159" s="11"/>
      <c r="CV159" s="11"/>
      <c r="CW159" s="11"/>
      <c r="CX159" s="11"/>
      <c r="CY159" s="11"/>
      <c r="CZ159" s="11"/>
      <c r="DA159" s="11"/>
      <c r="DB159" s="11"/>
      <c r="DC159" s="11"/>
      <c r="DD159" s="11"/>
      <c r="DE159" s="11"/>
      <c r="DF159" s="11"/>
      <c r="DG159" s="7"/>
      <c r="DH159" s="7"/>
      <c r="DI159" s="7"/>
      <c r="DJ159" s="7"/>
      <c r="DK159" s="7"/>
      <c r="DL159" s="7"/>
      <c r="DM159" s="7"/>
      <c r="DN159" s="7"/>
      <c r="DO159" s="7"/>
      <c r="DP159" s="7"/>
      <c r="DQ159" s="11"/>
      <c r="DR159" s="11"/>
      <c r="DS159" s="11"/>
      <c r="DT159" s="11"/>
      <c r="DU159" s="11"/>
      <c r="DV159" s="11"/>
      <c r="DW159" s="11"/>
      <c r="DX159" s="11"/>
      <c r="DY159" s="11"/>
      <c r="DZ159" s="11"/>
      <c r="EA159" s="11"/>
      <c r="EB159" s="11"/>
      <c r="EC159" s="11"/>
      <c r="ED159" s="11"/>
      <c r="EE159" s="11"/>
      <c r="EF159" s="7"/>
      <c r="EG159" s="7"/>
      <c r="EH159" s="7"/>
      <c r="EI159" s="7"/>
      <c r="EJ159" s="7"/>
      <c r="EK159" s="7"/>
      <c r="EL159" s="7"/>
      <c r="EM159" s="7"/>
      <c r="EN159" s="7"/>
      <c r="EO159" s="7"/>
      <c r="EP159" s="7"/>
      <c r="EQ159" s="7"/>
      <c r="ER159" s="7"/>
      <c r="ES159" s="7"/>
      <c r="ET159" s="7"/>
      <c r="EU159" s="7"/>
      <c r="EV159" s="7"/>
      <c r="EW159" s="7"/>
      <c r="EX159" s="7"/>
      <c r="EY159" s="7"/>
      <c r="EZ159" s="11"/>
      <c r="FA159" s="11"/>
      <c r="FB159" s="11"/>
      <c r="FC159" s="11"/>
      <c r="FD159" s="11"/>
      <c r="FE159" s="11"/>
      <c r="FF159" s="11"/>
      <c r="FG159" s="11"/>
      <c r="FH159" s="11"/>
      <c r="FI159" s="11"/>
      <c r="FJ159" s="11"/>
      <c r="FK159" s="11"/>
      <c r="FL159" s="11"/>
      <c r="FM159" s="11"/>
      <c r="FN159" s="11"/>
      <c r="FO159" s="7"/>
      <c r="FP159" s="7"/>
      <c r="FQ159" s="7"/>
      <c r="FR159" s="7"/>
      <c r="FS159" s="7"/>
      <c r="FT159" s="7"/>
      <c r="FU159" s="7"/>
      <c r="FV159" s="7"/>
      <c r="FW159" s="7"/>
      <c r="FX159" s="7"/>
      <c r="FY159" s="11"/>
      <c r="FZ159" s="11"/>
      <c r="GA159" s="11"/>
      <c r="GB159" s="11"/>
      <c r="GC159" s="11"/>
      <c r="GD159" s="7"/>
      <c r="GE159" s="7"/>
      <c r="GF159" s="7"/>
      <c r="GG159" s="7"/>
      <c r="GH159" s="7"/>
    </row>
    <row r="160" spans="1:190" x14ac:dyDescent="0.25">
      <c r="A160" s="4">
        <v>159</v>
      </c>
      <c r="B160" s="5" t="s">
        <v>598</v>
      </c>
      <c r="C160" s="9" t="s">
        <v>599</v>
      </c>
      <c r="D160" s="7">
        <v>17</v>
      </c>
      <c r="E160" s="6" t="s">
        <v>239</v>
      </c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7">
        <v>1682000</v>
      </c>
      <c r="Q160" s="7"/>
      <c r="R160" s="7">
        <v>1940000</v>
      </c>
      <c r="S160" s="7"/>
      <c r="T160" s="7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>
        <v>1682000</v>
      </c>
      <c r="AK160" s="11"/>
      <c r="AL160" s="11">
        <v>1940000</v>
      </c>
      <c r="AM160" s="11"/>
      <c r="AN160" s="11"/>
      <c r="AO160" s="7"/>
      <c r="AP160" s="7"/>
      <c r="AQ160" s="7"/>
      <c r="AR160" s="7"/>
      <c r="AS160" s="7"/>
      <c r="AT160" s="7">
        <v>25448000</v>
      </c>
      <c r="AU160" s="7">
        <v>20127000</v>
      </c>
      <c r="AV160" s="7">
        <v>7782000</v>
      </c>
      <c r="AW160" s="7">
        <v>7536000</v>
      </c>
      <c r="AX160" s="7"/>
      <c r="AY160" s="11">
        <v>9247000</v>
      </c>
      <c r="AZ160" s="11"/>
      <c r="BA160" s="11"/>
      <c r="BB160" s="11"/>
      <c r="BC160" s="11"/>
      <c r="BD160" s="7"/>
      <c r="BE160" s="7">
        <v>137000</v>
      </c>
      <c r="BF160" s="7"/>
      <c r="BG160" s="7">
        <v>714000</v>
      </c>
      <c r="BH160" s="7"/>
      <c r="BI160" s="11"/>
      <c r="BJ160" s="11"/>
      <c r="BK160" s="11"/>
      <c r="BL160" s="11"/>
      <c r="BM160" s="11"/>
      <c r="BN160" s="11">
        <v>34695000</v>
      </c>
      <c r="BO160" s="11">
        <v>20264000</v>
      </c>
      <c r="BP160" s="11">
        <v>7782000</v>
      </c>
      <c r="BQ160" s="11">
        <v>8250000</v>
      </c>
      <c r="BR160" s="11"/>
      <c r="BS160" s="11">
        <v>36377000</v>
      </c>
      <c r="BT160" s="11">
        <v>20264000</v>
      </c>
      <c r="BU160" s="11">
        <v>9722000</v>
      </c>
      <c r="BV160" s="11">
        <v>8250000</v>
      </c>
      <c r="BW160" s="11"/>
      <c r="BX160" s="7">
        <v>11000</v>
      </c>
      <c r="BY160" s="7">
        <v>11000</v>
      </c>
      <c r="BZ160" s="7">
        <v>11000</v>
      </c>
      <c r="CA160" s="7">
        <v>11000</v>
      </c>
      <c r="CB160" s="7"/>
      <c r="CC160" s="11"/>
      <c r="CD160" s="11"/>
      <c r="CE160" s="11"/>
      <c r="CF160" s="11"/>
      <c r="CG160" s="11"/>
      <c r="CH160" s="7">
        <v>-10539000</v>
      </c>
      <c r="CI160" s="7">
        <v>-27656000</v>
      </c>
      <c r="CJ160" s="7">
        <v>-39714000</v>
      </c>
      <c r="CK160" s="7">
        <v>-40230000</v>
      </c>
      <c r="CL160" s="7"/>
      <c r="CM160" s="11">
        <v>-13438000</v>
      </c>
      <c r="CN160" s="11">
        <v>-27645000</v>
      </c>
      <c r="CO160" s="11">
        <v>-39703000</v>
      </c>
      <c r="CP160" s="11">
        <v>-40219000</v>
      </c>
      <c r="CQ160" s="11"/>
      <c r="CR160" s="11"/>
      <c r="CS160" s="11"/>
      <c r="CT160" s="11"/>
      <c r="CU160" s="11"/>
      <c r="CV160" s="11"/>
      <c r="CW160" s="11"/>
      <c r="CX160" s="11"/>
      <c r="CY160" s="11"/>
      <c r="CZ160" s="11"/>
      <c r="DA160" s="11"/>
      <c r="DB160" s="11"/>
      <c r="DC160" s="11"/>
      <c r="DD160" s="11"/>
      <c r="DE160" s="11"/>
      <c r="DF160" s="11"/>
      <c r="DG160" s="7"/>
      <c r="DH160" s="7"/>
      <c r="DI160" s="7"/>
      <c r="DJ160" s="7"/>
      <c r="DK160" s="7"/>
      <c r="DL160" s="7">
        <v>49815000</v>
      </c>
      <c r="DM160" s="7">
        <v>47909000</v>
      </c>
      <c r="DN160" s="7">
        <v>49425000</v>
      </c>
      <c r="DO160" s="7">
        <v>48469000</v>
      </c>
      <c r="DP160" s="7"/>
      <c r="DQ160" s="11"/>
      <c r="DR160" s="11"/>
      <c r="DS160" s="11"/>
      <c r="DT160" s="11"/>
      <c r="DU160" s="11"/>
      <c r="DV160" s="11"/>
      <c r="DW160" s="11"/>
      <c r="DX160" s="11"/>
      <c r="DY160" s="11"/>
      <c r="DZ160" s="11"/>
      <c r="EA160" s="11">
        <v>49815000</v>
      </c>
      <c r="EB160" s="11">
        <v>47909000</v>
      </c>
      <c r="EC160" s="11">
        <v>49425000</v>
      </c>
      <c r="ED160" s="11">
        <v>48469000</v>
      </c>
      <c r="EE160" s="11"/>
      <c r="EF160" s="7">
        <v>251000</v>
      </c>
      <c r="EG160" s="7">
        <v>4186000</v>
      </c>
      <c r="EH160" s="7">
        <v>35000</v>
      </c>
      <c r="EI160" s="7">
        <v>2334000</v>
      </c>
      <c r="EJ160" s="7"/>
      <c r="EK160" s="7"/>
      <c r="EL160" s="7"/>
      <c r="EM160" s="7"/>
      <c r="EN160" s="7"/>
      <c r="EO160" s="7"/>
      <c r="EP160" s="7"/>
      <c r="EQ160" s="7"/>
      <c r="ER160" s="7"/>
      <c r="ES160" s="7"/>
      <c r="ET160" s="7"/>
      <c r="EU160" s="7"/>
      <c r="EV160" s="7">
        <v>725000</v>
      </c>
      <c r="EW160" s="7">
        <v>694000</v>
      </c>
      <c r="EX160" s="7">
        <v>849000</v>
      </c>
      <c r="EY160" s="7"/>
      <c r="EZ160" s="11"/>
      <c r="FA160" s="11"/>
      <c r="FB160" s="11"/>
      <c r="FC160" s="11"/>
      <c r="FD160" s="11"/>
      <c r="FE160" s="11"/>
      <c r="FF160" s="11"/>
      <c r="FG160" s="11"/>
      <c r="FH160" s="11"/>
      <c r="FI160" s="11"/>
      <c r="FJ160" s="11"/>
      <c r="FK160" s="11"/>
      <c r="FL160" s="11"/>
      <c r="FM160" s="11"/>
      <c r="FN160" s="11"/>
      <c r="FO160" s="7"/>
      <c r="FP160" s="7"/>
      <c r="FQ160" s="7"/>
      <c r="FR160" s="7">
        <v>66000</v>
      </c>
      <c r="FS160" s="7"/>
      <c r="FT160" s="7">
        <v>4701000</v>
      </c>
      <c r="FU160" s="7">
        <v>20257000</v>
      </c>
      <c r="FV160" s="7">
        <v>11398000</v>
      </c>
      <c r="FW160" s="7">
        <v>1976000</v>
      </c>
      <c r="FX160" s="7"/>
      <c r="FY160" s="11">
        <v>-4000</v>
      </c>
      <c r="FZ160" s="11">
        <v>-321000</v>
      </c>
      <c r="GA160" s="11">
        <v>-1000</v>
      </c>
      <c r="GB160" s="11">
        <v>-91000</v>
      </c>
      <c r="GC160" s="11"/>
      <c r="GD160" s="7">
        <v>-4454000</v>
      </c>
      <c r="GE160" s="7">
        <v>-17117000</v>
      </c>
      <c r="GF160" s="7">
        <v>-12058000</v>
      </c>
      <c r="GG160" s="7">
        <v>-516000</v>
      </c>
      <c r="GH160" s="7"/>
    </row>
    <row r="161" spans="1:190" x14ac:dyDescent="0.25">
      <c r="A161" s="4">
        <v>160</v>
      </c>
      <c r="B161" s="5" t="s">
        <v>600</v>
      </c>
      <c r="C161" s="9" t="s">
        <v>601</v>
      </c>
      <c r="D161" s="7">
        <v>14</v>
      </c>
      <c r="E161" s="6" t="s">
        <v>500</v>
      </c>
      <c r="F161" s="11">
        <v>244760</v>
      </c>
      <c r="G161" s="11">
        <v>561231</v>
      </c>
      <c r="H161" s="11">
        <v>911970</v>
      </c>
      <c r="I161" s="11">
        <v>167784</v>
      </c>
      <c r="J161" s="11"/>
      <c r="K161" s="11">
        <v>548444</v>
      </c>
      <c r="L161" s="11">
        <v>1147588</v>
      </c>
      <c r="M161" s="11">
        <v>1593557</v>
      </c>
      <c r="N161" s="11">
        <v>978181</v>
      </c>
      <c r="O161" s="11"/>
      <c r="P161" s="7"/>
      <c r="Q161" s="7">
        <v>444000</v>
      </c>
      <c r="R161" s="7"/>
      <c r="S161" s="7"/>
      <c r="T161" s="7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>
        <v>444000</v>
      </c>
      <c r="AL161" s="11"/>
      <c r="AM161" s="11"/>
      <c r="AN161" s="11"/>
      <c r="AO161" s="7">
        <v>39630000</v>
      </c>
      <c r="AP161" s="7">
        <v>78843000</v>
      </c>
      <c r="AQ161" s="7">
        <v>19473000</v>
      </c>
      <c r="AR161" s="7"/>
      <c r="AS161" s="7"/>
      <c r="AT161" s="7">
        <v>20536000</v>
      </c>
      <c r="AU161" s="7">
        <v>8837000</v>
      </c>
      <c r="AV161" s="7">
        <v>3702000</v>
      </c>
      <c r="AW161" s="7"/>
      <c r="AX161" s="7"/>
      <c r="AY161" s="11"/>
      <c r="AZ161" s="11"/>
      <c r="BA161" s="11"/>
      <c r="BB161" s="11"/>
      <c r="BC161" s="11"/>
      <c r="BD161" s="7">
        <v>2511000</v>
      </c>
      <c r="BE161" s="7">
        <v>8600000</v>
      </c>
      <c r="BF161" s="7">
        <v>2000</v>
      </c>
      <c r="BG161" s="7"/>
      <c r="BH161" s="7"/>
      <c r="BI161" s="11"/>
      <c r="BJ161" s="11"/>
      <c r="BK161" s="11"/>
      <c r="BL161" s="11"/>
      <c r="BM161" s="11"/>
      <c r="BN161" s="11">
        <v>63506000</v>
      </c>
      <c r="BO161" s="11">
        <v>100824000</v>
      </c>
      <c r="BP161" s="11">
        <v>24118000</v>
      </c>
      <c r="BQ161" s="11"/>
      <c r="BR161" s="11"/>
      <c r="BS161" s="11">
        <v>63506000</v>
      </c>
      <c r="BT161" s="11">
        <v>101268000</v>
      </c>
      <c r="BU161" s="11">
        <v>24118000</v>
      </c>
      <c r="BV161" s="11"/>
      <c r="BW161" s="11"/>
      <c r="BX161" s="7">
        <v>15000</v>
      </c>
      <c r="BY161" s="7">
        <v>15000</v>
      </c>
      <c r="BZ161" s="7">
        <v>15000</v>
      </c>
      <c r="CA161" s="7"/>
      <c r="CB161" s="7"/>
      <c r="CC161" s="11"/>
      <c r="CD161" s="11"/>
      <c r="CE161" s="11"/>
      <c r="CF161" s="11"/>
      <c r="CG161" s="11"/>
      <c r="CH161" s="7">
        <v>1515000</v>
      </c>
      <c r="CI161" s="7">
        <v>3628000</v>
      </c>
      <c r="CJ161" s="7">
        <v>6722000</v>
      </c>
      <c r="CK161" s="7"/>
      <c r="CL161" s="7"/>
      <c r="CM161" s="11">
        <v>1530000</v>
      </c>
      <c r="CN161" s="11">
        <v>3643000</v>
      </c>
      <c r="CO161" s="11">
        <v>6737000</v>
      </c>
      <c r="CP161" s="11"/>
      <c r="CQ161" s="11"/>
      <c r="CR161" s="11"/>
      <c r="CS161" s="11"/>
      <c r="CT161" s="11"/>
      <c r="CU161" s="11"/>
      <c r="CV161" s="11"/>
      <c r="CW161" s="11"/>
      <c r="CX161" s="11"/>
      <c r="CY161" s="11"/>
      <c r="CZ161" s="11"/>
      <c r="DA161" s="11"/>
      <c r="DB161" s="11"/>
      <c r="DC161" s="11"/>
      <c r="DD161" s="11"/>
      <c r="DE161" s="11"/>
      <c r="DF161" s="11"/>
      <c r="DG161" s="7">
        <v>6764000</v>
      </c>
      <c r="DH161" s="7">
        <v>4725000</v>
      </c>
      <c r="DI161" s="7">
        <v>466000</v>
      </c>
      <c r="DJ161" s="7"/>
      <c r="DK161" s="7"/>
      <c r="DL161" s="7">
        <v>55212000</v>
      </c>
      <c r="DM161" s="7">
        <v>92900000</v>
      </c>
      <c r="DN161" s="7">
        <v>16915000</v>
      </c>
      <c r="DO161" s="7"/>
      <c r="DP161" s="7"/>
      <c r="DQ161" s="11"/>
      <c r="DR161" s="11"/>
      <c r="DS161" s="11"/>
      <c r="DT161" s="11"/>
      <c r="DU161" s="11"/>
      <c r="DV161" s="11"/>
      <c r="DW161" s="11"/>
      <c r="DX161" s="11"/>
      <c r="DY161" s="11"/>
      <c r="DZ161" s="11"/>
      <c r="EA161" s="11">
        <v>61976000</v>
      </c>
      <c r="EB161" s="11">
        <v>97625000</v>
      </c>
      <c r="EC161" s="11">
        <v>17381000</v>
      </c>
      <c r="ED161" s="11"/>
      <c r="EE161" s="11"/>
      <c r="EF161" s="7">
        <v>110117000</v>
      </c>
      <c r="EG161" s="7">
        <v>134431000</v>
      </c>
      <c r="EH161" s="7">
        <v>174922000</v>
      </c>
      <c r="EI161" s="7"/>
      <c r="EJ161" s="7"/>
      <c r="EK161" s="7">
        <v>95795000</v>
      </c>
      <c r="EL161" s="7">
        <v>91169000</v>
      </c>
      <c r="EM161" s="7">
        <v>167398000</v>
      </c>
      <c r="EN161" s="7"/>
      <c r="EO161" s="7"/>
      <c r="EP161" s="7">
        <v>12298000</v>
      </c>
      <c r="EQ161" s="7">
        <v>40513000</v>
      </c>
      <c r="ER161" s="7">
        <v>3388000</v>
      </c>
      <c r="ES161" s="7"/>
      <c r="ET161" s="7"/>
      <c r="EU161" s="7"/>
      <c r="EV161" s="7"/>
      <c r="EW161" s="7"/>
      <c r="EX161" s="7"/>
      <c r="EY161" s="7"/>
      <c r="EZ161" s="11"/>
      <c r="FA161" s="11"/>
      <c r="FB161" s="11"/>
      <c r="FC161" s="11"/>
      <c r="FD161" s="11"/>
      <c r="FE161" s="11"/>
      <c r="FF161" s="11"/>
      <c r="FG161" s="11"/>
      <c r="FH161" s="11"/>
      <c r="FI161" s="11"/>
      <c r="FJ161" s="11"/>
      <c r="FK161" s="11"/>
      <c r="FL161" s="11"/>
      <c r="FM161" s="11"/>
      <c r="FN161" s="11"/>
      <c r="FO161" s="7"/>
      <c r="FP161" s="7"/>
      <c r="FQ161" s="7"/>
      <c r="FR161" s="7"/>
      <c r="FS161" s="7"/>
      <c r="FT161" s="7">
        <v>132000</v>
      </c>
      <c r="FU161" s="7">
        <v>108000</v>
      </c>
      <c r="FV161" s="7">
        <v>268000</v>
      </c>
      <c r="FW161" s="7"/>
      <c r="FX161" s="7"/>
      <c r="FY161" s="11">
        <v>-379000</v>
      </c>
      <c r="FZ161" s="11">
        <v>-528000</v>
      </c>
      <c r="GA161" s="11">
        <v>-774000</v>
      </c>
      <c r="GB161" s="11"/>
      <c r="GC161" s="11"/>
      <c r="GD161" s="7">
        <v>1513000</v>
      </c>
      <c r="GE161" s="7">
        <v>2113000</v>
      </c>
      <c r="GF161" s="7">
        <v>3094000</v>
      </c>
      <c r="GG161" s="7"/>
      <c r="GH161" s="7"/>
    </row>
    <row r="162" spans="1:190" x14ac:dyDescent="0.25">
      <c r="A162" s="4">
        <v>161</v>
      </c>
      <c r="B162" s="5" t="s">
        <v>602</v>
      </c>
      <c r="C162" s="9" t="s">
        <v>603</v>
      </c>
      <c r="D162" s="7">
        <v>19</v>
      </c>
      <c r="E162" s="6" t="s">
        <v>190</v>
      </c>
      <c r="F162" s="11">
        <v>101570</v>
      </c>
      <c r="G162" s="11">
        <v>65059</v>
      </c>
      <c r="H162" s="11"/>
      <c r="I162" s="11"/>
      <c r="J162" s="11"/>
      <c r="K162" s="11">
        <v>1134742</v>
      </c>
      <c r="L162" s="11">
        <v>1181189</v>
      </c>
      <c r="M162" s="11">
        <v>145890</v>
      </c>
      <c r="N162" s="11"/>
      <c r="O162" s="11"/>
      <c r="P162" s="7">
        <v>27000</v>
      </c>
      <c r="Q162" s="7"/>
      <c r="R162" s="7"/>
      <c r="S162" s="7"/>
      <c r="T162" s="7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>
        <v>27000</v>
      </c>
      <c r="AK162" s="11"/>
      <c r="AL162" s="11"/>
      <c r="AM162" s="11"/>
      <c r="AN162" s="11"/>
      <c r="AO162" s="7">
        <v>8286000</v>
      </c>
      <c r="AP162" s="7">
        <v>10419000</v>
      </c>
      <c r="AQ162" s="7">
        <v>8141000</v>
      </c>
      <c r="AR162" s="7">
        <v>8141000</v>
      </c>
      <c r="AS162" s="7"/>
      <c r="AT162" s="7">
        <v>44082000</v>
      </c>
      <c r="AU162" s="7">
        <v>47748000</v>
      </c>
      <c r="AV162" s="7">
        <v>36397000</v>
      </c>
      <c r="AW162" s="7">
        <v>36397000</v>
      </c>
      <c r="AX162" s="7"/>
      <c r="AY162" s="11">
        <v>100000</v>
      </c>
      <c r="AZ162" s="11"/>
      <c r="BA162" s="11"/>
      <c r="BB162" s="11"/>
      <c r="BC162" s="11"/>
      <c r="BD162" s="7">
        <v>79000</v>
      </c>
      <c r="BE162" s="7">
        <v>277000</v>
      </c>
      <c r="BF162" s="7"/>
      <c r="BG162" s="7"/>
      <c r="BH162" s="7"/>
      <c r="BI162" s="11">
        <v>69000</v>
      </c>
      <c r="BJ162" s="11">
        <v>81000</v>
      </c>
      <c r="BK162" s="11"/>
      <c r="BL162" s="11"/>
      <c r="BM162" s="11"/>
      <c r="BN162" s="11">
        <v>52616000</v>
      </c>
      <c r="BO162" s="11">
        <v>58537000</v>
      </c>
      <c r="BP162" s="11">
        <v>44538000</v>
      </c>
      <c r="BQ162" s="11">
        <v>44538000</v>
      </c>
      <c r="BR162" s="11"/>
      <c r="BS162" s="11">
        <v>52643000</v>
      </c>
      <c r="BT162" s="11">
        <v>58537000</v>
      </c>
      <c r="BU162" s="11">
        <v>44538000</v>
      </c>
      <c r="BV162" s="11">
        <v>44538000</v>
      </c>
      <c r="BW162" s="11"/>
      <c r="BX162" s="7">
        <v>10000</v>
      </c>
      <c r="BY162" s="7">
        <v>10000</v>
      </c>
      <c r="BZ162" s="7">
        <v>10000</v>
      </c>
      <c r="CA162" s="7">
        <v>10000</v>
      </c>
      <c r="CB162" s="7"/>
      <c r="CC162" s="11"/>
      <c r="CD162" s="11"/>
      <c r="CE162" s="11"/>
      <c r="CF162" s="11"/>
      <c r="CG162" s="11"/>
      <c r="CH162" s="7">
        <v>2518000</v>
      </c>
      <c r="CI162" s="7">
        <v>2521000</v>
      </c>
      <c r="CJ162" s="7">
        <v>2525000</v>
      </c>
      <c r="CK162" s="7">
        <v>2525000</v>
      </c>
      <c r="CL162" s="7"/>
      <c r="CM162" s="11">
        <v>2528000</v>
      </c>
      <c r="CN162" s="11">
        <v>2531000</v>
      </c>
      <c r="CO162" s="11">
        <v>2535000</v>
      </c>
      <c r="CP162" s="11">
        <v>2535000</v>
      </c>
      <c r="CQ162" s="11"/>
      <c r="CR162" s="11">
        <v>41408000</v>
      </c>
      <c r="CS162" s="11">
        <v>46526000</v>
      </c>
      <c r="CT162" s="11">
        <v>33122000</v>
      </c>
      <c r="CU162" s="11">
        <v>33122000</v>
      </c>
      <c r="CV162" s="11"/>
      <c r="CW162" s="11"/>
      <c r="CX162" s="11"/>
      <c r="CY162" s="11"/>
      <c r="CZ162" s="11"/>
      <c r="DA162" s="11"/>
      <c r="DB162" s="11">
        <v>41408000</v>
      </c>
      <c r="DC162" s="11">
        <v>46526000</v>
      </c>
      <c r="DD162" s="11">
        <v>33122000</v>
      </c>
      <c r="DE162" s="11">
        <v>33122000</v>
      </c>
      <c r="DF162" s="11"/>
      <c r="DG162" s="7">
        <v>812000</v>
      </c>
      <c r="DH162" s="7">
        <v>822000</v>
      </c>
      <c r="DI162" s="7">
        <v>836000</v>
      </c>
      <c r="DJ162" s="7">
        <v>836000</v>
      </c>
      <c r="DK162" s="7"/>
      <c r="DL162" s="7">
        <v>7896000</v>
      </c>
      <c r="DM162" s="7">
        <v>8658000</v>
      </c>
      <c r="DN162" s="7">
        <v>8045000</v>
      </c>
      <c r="DO162" s="7">
        <v>8045000</v>
      </c>
      <c r="DP162" s="7"/>
      <c r="DQ162" s="11"/>
      <c r="DR162" s="11"/>
      <c r="DS162" s="11"/>
      <c r="DT162" s="11"/>
      <c r="DU162" s="11"/>
      <c r="DV162" s="11"/>
      <c r="DW162" s="11"/>
      <c r="DX162" s="11"/>
      <c r="DY162" s="11"/>
      <c r="DZ162" s="11"/>
      <c r="EA162" s="11">
        <v>8707000</v>
      </c>
      <c r="EB162" s="11">
        <v>9480000</v>
      </c>
      <c r="EC162" s="11">
        <v>8881000</v>
      </c>
      <c r="ED162" s="11">
        <v>8881000</v>
      </c>
      <c r="EE162" s="11"/>
      <c r="EF162" s="7">
        <v>29138000</v>
      </c>
      <c r="EG162" s="7">
        <v>1319000</v>
      </c>
      <c r="EH162" s="7">
        <v>534000</v>
      </c>
      <c r="EI162" s="7"/>
      <c r="EJ162" s="7"/>
      <c r="EK162" s="7">
        <v>21355000</v>
      </c>
      <c r="EL162" s="7">
        <v>962000</v>
      </c>
      <c r="EM162" s="7">
        <v>487000</v>
      </c>
      <c r="EN162" s="7"/>
      <c r="EO162" s="7"/>
      <c r="EP162" s="7"/>
      <c r="EQ162" s="7"/>
      <c r="ER162" s="7"/>
      <c r="ES162" s="7"/>
      <c r="ET162" s="7"/>
      <c r="EU162" s="7">
        <v>5954000</v>
      </c>
      <c r="EV162" s="7">
        <v>299000</v>
      </c>
      <c r="EW162" s="7">
        <v>42000</v>
      </c>
      <c r="EX162" s="7"/>
      <c r="EY162" s="7"/>
      <c r="EZ162" s="11"/>
      <c r="FA162" s="11"/>
      <c r="FB162" s="11"/>
      <c r="FC162" s="11"/>
      <c r="FD162" s="11"/>
      <c r="FE162" s="11"/>
      <c r="FF162" s="11"/>
      <c r="FG162" s="11"/>
      <c r="FH162" s="11"/>
      <c r="FI162" s="11"/>
      <c r="FJ162" s="11">
        <v>1369000</v>
      </c>
      <c r="FK162" s="11"/>
      <c r="FL162" s="11"/>
      <c r="FM162" s="11"/>
      <c r="FN162" s="11"/>
      <c r="FO162" s="7">
        <v>258000</v>
      </c>
      <c r="FP162" s="7"/>
      <c r="FQ162" s="7"/>
      <c r="FR162" s="7"/>
      <c r="FS162" s="7"/>
      <c r="FT162" s="7">
        <v>1357000</v>
      </c>
      <c r="FU162" s="7">
        <v>54000</v>
      </c>
      <c r="FV162" s="7"/>
      <c r="FW162" s="7"/>
      <c r="FX162" s="7"/>
      <c r="FY162" s="11">
        <v>-103000</v>
      </c>
      <c r="FZ162" s="11"/>
      <c r="GA162" s="11">
        <v>-1000</v>
      </c>
      <c r="GB162" s="11"/>
      <c r="GC162" s="11"/>
      <c r="GD162" s="7">
        <v>-742000</v>
      </c>
      <c r="GE162" s="7">
        <v>4000</v>
      </c>
      <c r="GF162" s="7">
        <v>4000</v>
      </c>
      <c r="GG162" s="7"/>
      <c r="GH162" s="7"/>
    </row>
    <row r="163" spans="1:190" ht="26.25" x14ac:dyDescent="0.25">
      <c r="A163" s="4">
        <v>162</v>
      </c>
      <c r="B163" s="5" t="s">
        <v>604</v>
      </c>
      <c r="C163" s="9" t="s">
        <v>605</v>
      </c>
      <c r="D163" s="7">
        <v>14</v>
      </c>
      <c r="E163" s="6" t="s">
        <v>204</v>
      </c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7"/>
      <c r="Q163" s="7"/>
      <c r="R163" s="7"/>
      <c r="S163" s="7"/>
      <c r="T163" s="7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7">
        <v>28000</v>
      </c>
      <c r="AP163" s="7">
        <v>40000</v>
      </c>
      <c r="AQ163" s="7">
        <v>55000</v>
      </c>
      <c r="AR163" s="7">
        <v>51000</v>
      </c>
      <c r="AS163" s="7">
        <v>48000</v>
      </c>
      <c r="AT163" s="7">
        <v>30317000</v>
      </c>
      <c r="AU163" s="7">
        <v>36012000</v>
      </c>
      <c r="AV163" s="7">
        <v>32511000</v>
      </c>
      <c r="AW163" s="7">
        <v>28476000</v>
      </c>
      <c r="AX163" s="7">
        <v>15196000</v>
      </c>
      <c r="AY163" s="11"/>
      <c r="AZ163" s="11"/>
      <c r="BA163" s="11"/>
      <c r="BB163" s="11"/>
      <c r="BC163" s="11"/>
      <c r="BD163" s="7">
        <v>66000</v>
      </c>
      <c r="BE163" s="7">
        <v>916000</v>
      </c>
      <c r="BF163" s="7">
        <v>78000</v>
      </c>
      <c r="BG163" s="7">
        <v>125000</v>
      </c>
      <c r="BH163" s="7">
        <v>42000</v>
      </c>
      <c r="BI163" s="11"/>
      <c r="BJ163" s="11"/>
      <c r="BK163" s="11"/>
      <c r="BL163" s="11"/>
      <c r="BM163" s="11"/>
      <c r="BN163" s="11">
        <v>30411000</v>
      </c>
      <c r="BO163" s="11">
        <v>36968000</v>
      </c>
      <c r="BP163" s="11">
        <v>32644000</v>
      </c>
      <c r="BQ163" s="11">
        <v>28652000</v>
      </c>
      <c r="BR163" s="11">
        <v>15286000</v>
      </c>
      <c r="BS163" s="11">
        <v>30411000</v>
      </c>
      <c r="BT163" s="11">
        <v>36968000</v>
      </c>
      <c r="BU163" s="11">
        <v>32644000</v>
      </c>
      <c r="BV163" s="11">
        <v>28652000</v>
      </c>
      <c r="BW163" s="11">
        <v>15286000</v>
      </c>
      <c r="BX163" s="7"/>
      <c r="BY163" s="7"/>
      <c r="BZ163" s="7"/>
      <c r="CA163" s="7"/>
      <c r="CB163" s="7"/>
      <c r="CC163" s="11"/>
      <c r="CD163" s="11"/>
      <c r="CE163" s="11"/>
      <c r="CF163" s="11"/>
      <c r="CG163" s="11"/>
      <c r="CH163" s="7"/>
      <c r="CI163" s="7"/>
      <c r="CJ163" s="7"/>
      <c r="CK163" s="7"/>
      <c r="CL163" s="7"/>
      <c r="CM163" s="11">
        <v>8792000</v>
      </c>
      <c r="CN163" s="11">
        <v>11610000</v>
      </c>
      <c r="CO163" s="11">
        <v>9628000</v>
      </c>
      <c r="CP163" s="11">
        <v>6736000</v>
      </c>
      <c r="CQ163" s="11">
        <v>638000</v>
      </c>
      <c r="CR163" s="11"/>
      <c r="CS163" s="11"/>
      <c r="CT163" s="11"/>
      <c r="CU163" s="11"/>
      <c r="CV163" s="11"/>
      <c r="CW163" s="11"/>
      <c r="CX163" s="11"/>
      <c r="CY163" s="11"/>
      <c r="CZ163" s="11"/>
      <c r="DA163" s="11"/>
      <c r="DB163" s="11"/>
      <c r="DC163" s="11"/>
      <c r="DD163" s="11"/>
      <c r="DE163" s="11"/>
      <c r="DF163" s="11"/>
      <c r="DG163" s="7"/>
      <c r="DH163" s="7"/>
      <c r="DI163" s="7"/>
      <c r="DJ163" s="7"/>
      <c r="DK163" s="7"/>
      <c r="DL163" s="7">
        <v>21618000</v>
      </c>
      <c r="DM163" s="7">
        <v>25358000</v>
      </c>
      <c r="DN163" s="7">
        <v>23016000</v>
      </c>
      <c r="DO163" s="7">
        <v>21916000</v>
      </c>
      <c r="DP163" s="7">
        <v>14648000</v>
      </c>
      <c r="DQ163" s="11"/>
      <c r="DR163" s="11"/>
      <c r="DS163" s="11"/>
      <c r="DT163" s="11"/>
      <c r="DU163" s="11"/>
      <c r="DV163" s="11"/>
      <c r="DW163" s="11"/>
      <c r="DX163" s="11"/>
      <c r="DY163" s="11"/>
      <c r="DZ163" s="11"/>
      <c r="EA163" s="11">
        <v>21618000</v>
      </c>
      <c r="EB163" s="11">
        <v>25358000</v>
      </c>
      <c r="EC163" s="11">
        <v>23016000</v>
      </c>
      <c r="ED163" s="11">
        <v>21916000</v>
      </c>
      <c r="EE163" s="11">
        <v>14648000</v>
      </c>
      <c r="EF163" s="7">
        <v>12855000</v>
      </c>
      <c r="EG163" s="7">
        <v>7744000</v>
      </c>
      <c r="EH163" s="7"/>
      <c r="EI163" s="7"/>
      <c r="EJ163" s="7"/>
      <c r="EK163" s="7">
        <v>11697000</v>
      </c>
      <c r="EL163" s="7">
        <v>5443000</v>
      </c>
      <c r="EM163" s="7">
        <v>1347000</v>
      </c>
      <c r="EN163" s="7">
        <v>1166000</v>
      </c>
      <c r="EO163" s="7">
        <v>1197000</v>
      </c>
      <c r="EP163" s="7"/>
      <c r="EQ163" s="7"/>
      <c r="ER163" s="7"/>
      <c r="ES163" s="7"/>
      <c r="ET163" s="7"/>
      <c r="EU163" s="7"/>
      <c r="EV163" s="7"/>
      <c r="EW163" s="7"/>
      <c r="EX163" s="7"/>
      <c r="EY163" s="7"/>
      <c r="EZ163" s="11"/>
      <c r="FA163" s="11"/>
      <c r="FB163" s="11"/>
      <c r="FC163" s="11"/>
      <c r="FD163" s="11"/>
      <c r="FE163" s="11"/>
      <c r="FF163" s="11"/>
      <c r="FG163" s="11"/>
      <c r="FH163" s="11"/>
      <c r="FI163" s="11"/>
      <c r="FJ163" s="11"/>
      <c r="FK163" s="11"/>
      <c r="FL163" s="11"/>
      <c r="FM163" s="11"/>
      <c r="FN163" s="11"/>
      <c r="FO163" s="7">
        <v>124000</v>
      </c>
      <c r="FP163" s="7">
        <v>98000</v>
      </c>
      <c r="FQ163" s="7">
        <v>16000</v>
      </c>
      <c r="FR163" s="7">
        <v>137000</v>
      </c>
      <c r="FS163" s="7">
        <v>129000</v>
      </c>
      <c r="FT163" s="7">
        <v>3000</v>
      </c>
      <c r="FU163" s="7">
        <v>143000</v>
      </c>
      <c r="FV163" s="7">
        <v>613000</v>
      </c>
      <c r="FW163" s="7">
        <v>1779000</v>
      </c>
      <c r="FX163" s="7">
        <v>4886000</v>
      </c>
      <c r="FY163" s="11">
        <v>129000</v>
      </c>
      <c r="FZ163" s="11">
        <v>173000</v>
      </c>
      <c r="GA163" s="11">
        <v>20000</v>
      </c>
      <c r="GB163" s="11">
        <v>46000</v>
      </c>
      <c r="GC163" s="11">
        <v>39000</v>
      </c>
      <c r="GD163" s="7">
        <v>1150000</v>
      </c>
      <c r="GE163" s="7">
        <v>2083000</v>
      </c>
      <c r="GF163" s="7">
        <v>-1964000</v>
      </c>
      <c r="GG163" s="7">
        <v>-2854000</v>
      </c>
      <c r="GH163" s="7">
        <v>-5993000</v>
      </c>
    </row>
    <row r="164" spans="1:190" x14ac:dyDescent="0.25">
      <c r="A164" s="4">
        <v>163</v>
      </c>
      <c r="B164" s="5" t="s">
        <v>606</v>
      </c>
      <c r="C164" s="9" t="s">
        <v>607</v>
      </c>
      <c r="D164" s="7">
        <v>14</v>
      </c>
      <c r="E164" s="6" t="s">
        <v>190</v>
      </c>
      <c r="F164" s="11">
        <v>1144900</v>
      </c>
      <c r="G164" s="11">
        <v>20337833</v>
      </c>
      <c r="H164" s="11">
        <v>667810</v>
      </c>
      <c r="I164" s="11">
        <v>1339533</v>
      </c>
      <c r="J164" s="11">
        <v>71822</v>
      </c>
      <c r="K164" s="11">
        <v>24053864</v>
      </c>
      <c r="L164" s="11">
        <v>50568333</v>
      </c>
      <c r="M164" s="11">
        <v>502889</v>
      </c>
      <c r="N164" s="11">
        <v>2065700</v>
      </c>
      <c r="O164" s="11"/>
      <c r="P164" s="7">
        <v>10465000</v>
      </c>
      <c r="Q164" s="7">
        <v>3848000</v>
      </c>
      <c r="R164" s="7">
        <v>2069000</v>
      </c>
      <c r="S164" s="7">
        <v>1733000</v>
      </c>
      <c r="T164" s="7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>
        <v>669000</v>
      </c>
      <c r="AF164" s="11">
        <v>69000</v>
      </c>
      <c r="AG164" s="11">
        <v>78000</v>
      </c>
      <c r="AH164" s="11"/>
      <c r="AI164" s="11"/>
      <c r="AJ164" s="11">
        <v>11162000</v>
      </c>
      <c r="AK164" s="11">
        <v>3985000</v>
      </c>
      <c r="AL164" s="11">
        <v>2210000</v>
      </c>
      <c r="AM164" s="11">
        <v>1733000</v>
      </c>
      <c r="AN164" s="11"/>
      <c r="AO164" s="7">
        <v>208480000</v>
      </c>
      <c r="AP164" s="7">
        <v>132954000</v>
      </c>
      <c r="AQ164" s="7">
        <v>2099000</v>
      </c>
      <c r="AR164" s="7">
        <v>1469000</v>
      </c>
      <c r="AS164" s="7"/>
      <c r="AT164" s="7">
        <v>94545000</v>
      </c>
      <c r="AU164" s="7">
        <v>98435000</v>
      </c>
      <c r="AV164" s="7">
        <v>81078000</v>
      </c>
      <c r="AW164" s="7">
        <v>80325000</v>
      </c>
      <c r="AX164" s="7">
        <v>78856000</v>
      </c>
      <c r="AY164" s="11">
        <v>3370000</v>
      </c>
      <c r="AZ164" s="11">
        <v>5234000</v>
      </c>
      <c r="BA164" s="11">
        <v>5234000</v>
      </c>
      <c r="BB164" s="11">
        <v>5234000</v>
      </c>
      <c r="BC164" s="11"/>
      <c r="BD164" s="7">
        <v>61654000</v>
      </c>
      <c r="BE164" s="7">
        <v>12000</v>
      </c>
      <c r="BF164" s="7">
        <v>39000</v>
      </c>
      <c r="BG164" s="7">
        <v>7367000</v>
      </c>
      <c r="BH164" s="7">
        <v>3070000</v>
      </c>
      <c r="BI164" s="11">
        <v>574000</v>
      </c>
      <c r="BJ164" s="11">
        <v>121000</v>
      </c>
      <c r="BK164" s="11">
        <v>28000</v>
      </c>
      <c r="BL164" s="11"/>
      <c r="BM164" s="11"/>
      <c r="BN164" s="11">
        <v>369597000</v>
      </c>
      <c r="BO164" s="11">
        <v>237708000</v>
      </c>
      <c r="BP164" s="11">
        <v>89430000</v>
      </c>
      <c r="BQ164" s="11">
        <v>94395000</v>
      </c>
      <c r="BR164" s="11">
        <v>81926000</v>
      </c>
      <c r="BS164" s="11">
        <v>380759000</v>
      </c>
      <c r="BT164" s="11">
        <v>241693000</v>
      </c>
      <c r="BU164" s="11">
        <v>91640000</v>
      </c>
      <c r="BV164" s="11">
        <v>96128000</v>
      </c>
      <c r="BW164" s="11">
        <v>81926000</v>
      </c>
      <c r="BX164" s="7">
        <v>7600000</v>
      </c>
      <c r="BY164" s="7">
        <v>7600000</v>
      </c>
      <c r="BZ164" s="7">
        <v>7600000</v>
      </c>
      <c r="CA164" s="7">
        <v>7600000</v>
      </c>
      <c r="CB164" s="7">
        <v>7600000</v>
      </c>
      <c r="CC164" s="11"/>
      <c r="CD164" s="11"/>
      <c r="CE164" s="11"/>
      <c r="CF164" s="11"/>
      <c r="CG164" s="11"/>
      <c r="CH164" s="7">
        <v>30490000</v>
      </c>
      <c r="CI164" s="7">
        <v>-11660000</v>
      </c>
      <c r="CJ164" s="7">
        <v>-55925000</v>
      </c>
      <c r="CK164" s="7">
        <v>-51435000</v>
      </c>
      <c r="CL164" s="7">
        <v>-45949000</v>
      </c>
      <c r="CM164" s="11">
        <v>38090000</v>
      </c>
      <c r="CN164" s="11">
        <v>-4060000</v>
      </c>
      <c r="CO164" s="11">
        <v>-48325000</v>
      </c>
      <c r="CP164" s="11">
        <v>-43835000</v>
      </c>
      <c r="CQ164" s="11">
        <v>-38349000</v>
      </c>
      <c r="CR164" s="11"/>
      <c r="CS164" s="11">
        <v>528000</v>
      </c>
      <c r="CT164" s="11">
        <v>528000</v>
      </c>
      <c r="CU164" s="11">
        <v>528000</v>
      </c>
      <c r="CV164" s="11"/>
      <c r="CW164" s="11">
        <v>1767000</v>
      </c>
      <c r="CX164" s="11">
        <v>527000</v>
      </c>
      <c r="CY164" s="11">
        <v>439000</v>
      </c>
      <c r="CZ164" s="11">
        <v>439000</v>
      </c>
      <c r="DA164" s="11"/>
      <c r="DB164" s="11">
        <v>1767000</v>
      </c>
      <c r="DC164" s="11">
        <v>1057000</v>
      </c>
      <c r="DD164" s="11">
        <v>969000</v>
      </c>
      <c r="DE164" s="11">
        <v>967000</v>
      </c>
      <c r="DF164" s="11"/>
      <c r="DG164" s="7">
        <v>411000</v>
      </c>
      <c r="DH164" s="7">
        <v>687000</v>
      </c>
      <c r="DI164" s="7">
        <v>687000</v>
      </c>
      <c r="DJ164" s="7">
        <v>687000</v>
      </c>
      <c r="DK164" s="7"/>
      <c r="DL164" s="7">
        <v>340491000</v>
      </c>
      <c r="DM164" s="7">
        <v>244009000</v>
      </c>
      <c r="DN164" s="7">
        <v>138309000</v>
      </c>
      <c r="DO164" s="7">
        <v>138309000</v>
      </c>
      <c r="DP164" s="7">
        <v>120275000</v>
      </c>
      <c r="DQ164" s="11"/>
      <c r="DR164" s="11"/>
      <c r="DS164" s="11"/>
      <c r="DT164" s="11"/>
      <c r="DU164" s="11"/>
      <c r="DV164" s="11"/>
      <c r="DW164" s="11"/>
      <c r="DX164" s="11"/>
      <c r="DY164" s="11"/>
      <c r="DZ164" s="11"/>
      <c r="EA164" s="11">
        <v>340902000</v>
      </c>
      <c r="EB164" s="11">
        <v>244696000</v>
      </c>
      <c r="EC164" s="11">
        <v>138996000</v>
      </c>
      <c r="ED164" s="11">
        <v>138996000</v>
      </c>
      <c r="EE164" s="11">
        <v>120275000</v>
      </c>
      <c r="EF164" s="7">
        <v>746272000</v>
      </c>
      <c r="EG164" s="7">
        <v>34274000</v>
      </c>
      <c r="EH164" s="7">
        <v>64000</v>
      </c>
      <c r="EI164" s="7"/>
      <c r="EJ164" s="7"/>
      <c r="EK164" s="7">
        <v>794999000</v>
      </c>
      <c r="EL164" s="7">
        <v>42639000</v>
      </c>
      <c r="EM164" s="7"/>
      <c r="EN164" s="7"/>
      <c r="EO164" s="7"/>
      <c r="EP164" s="7"/>
      <c r="EQ164" s="7"/>
      <c r="ER164" s="7"/>
      <c r="ES164" s="7"/>
      <c r="ET164" s="7"/>
      <c r="EU164" s="7">
        <v>66016000</v>
      </c>
      <c r="EV164" s="7">
        <v>25216000</v>
      </c>
      <c r="EW164" s="7">
        <v>3013000</v>
      </c>
      <c r="EX164" s="7"/>
      <c r="EY164" s="7"/>
      <c r="EZ164" s="11"/>
      <c r="FA164" s="11"/>
      <c r="FB164" s="11"/>
      <c r="FC164" s="11"/>
      <c r="FD164" s="11"/>
      <c r="FE164" s="11">
        <v>113000</v>
      </c>
      <c r="FF164" s="11">
        <v>18000</v>
      </c>
      <c r="FG164" s="11"/>
      <c r="FH164" s="11"/>
      <c r="FI164" s="11"/>
      <c r="FJ164" s="11">
        <v>3704000</v>
      </c>
      <c r="FK164" s="11"/>
      <c r="FL164" s="11"/>
      <c r="FM164" s="11"/>
      <c r="FN164" s="11"/>
      <c r="FO164" s="7">
        <v>133020000</v>
      </c>
      <c r="FP164" s="7">
        <v>64168000</v>
      </c>
      <c r="FQ164" s="7">
        <v>92261000</v>
      </c>
      <c r="FR164" s="7">
        <v>14568000</v>
      </c>
      <c r="FS164" s="7">
        <v>4568000</v>
      </c>
      <c r="FT164" s="7">
        <v>11620000</v>
      </c>
      <c r="FU164" s="7">
        <v>71523000</v>
      </c>
      <c r="FV164" s="7">
        <v>133577000</v>
      </c>
      <c r="FW164" s="7">
        <v>14568000</v>
      </c>
      <c r="FX164" s="7">
        <v>4568000</v>
      </c>
      <c r="FY164" s="11">
        <v>-596000</v>
      </c>
      <c r="FZ164" s="11"/>
      <c r="GA164" s="11"/>
      <c r="GB164" s="11"/>
      <c r="GC164" s="11"/>
      <c r="GD164" s="7">
        <v>2470000</v>
      </c>
      <c r="GE164" s="7">
        <v>-41616000</v>
      </c>
      <c r="GF164" s="7">
        <v>-44265000</v>
      </c>
      <c r="GG164" s="7"/>
      <c r="GH164" s="7"/>
    </row>
    <row r="165" spans="1:190" x14ac:dyDescent="0.25">
      <c r="A165" s="4">
        <v>164</v>
      </c>
      <c r="B165" s="5" t="s">
        <v>608</v>
      </c>
      <c r="C165" s="9" t="s">
        <v>609</v>
      </c>
      <c r="D165" s="7">
        <v>17</v>
      </c>
      <c r="E165" s="6" t="s">
        <v>190</v>
      </c>
      <c r="F165" s="11">
        <v>67713</v>
      </c>
      <c r="G165" s="11"/>
      <c r="H165" s="11"/>
      <c r="I165" s="11"/>
      <c r="J165" s="11"/>
      <c r="K165" s="11">
        <v>1059107</v>
      </c>
      <c r="L165" s="11"/>
      <c r="M165" s="11"/>
      <c r="N165" s="11"/>
      <c r="O165" s="11"/>
      <c r="P165" s="7">
        <v>11563000</v>
      </c>
      <c r="Q165" s="7">
        <v>8100000</v>
      </c>
      <c r="R165" s="7"/>
      <c r="S165" s="7">
        <v>8100000</v>
      </c>
      <c r="T165" s="7">
        <v>8100000</v>
      </c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>
        <v>17000</v>
      </c>
      <c r="AF165" s="11">
        <v>8000</v>
      </c>
      <c r="AG165" s="11"/>
      <c r="AH165" s="11">
        <v>8000</v>
      </c>
      <c r="AI165" s="11">
        <v>8000</v>
      </c>
      <c r="AJ165" s="11">
        <v>11580000</v>
      </c>
      <c r="AK165" s="11">
        <v>8108000</v>
      </c>
      <c r="AL165" s="11"/>
      <c r="AM165" s="11">
        <v>8108000</v>
      </c>
      <c r="AN165" s="11">
        <v>8108000</v>
      </c>
      <c r="AO165" s="7">
        <v>113385000</v>
      </c>
      <c r="AP165" s="7">
        <v>128094000</v>
      </c>
      <c r="AQ165" s="7"/>
      <c r="AR165" s="7">
        <v>128094000</v>
      </c>
      <c r="AS165" s="7">
        <v>128094000</v>
      </c>
      <c r="AT165" s="7">
        <v>267386000</v>
      </c>
      <c r="AU165" s="7">
        <v>293445000</v>
      </c>
      <c r="AV165" s="7"/>
      <c r="AW165" s="7">
        <v>293446000</v>
      </c>
      <c r="AX165" s="7">
        <v>293446000</v>
      </c>
      <c r="AY165" s="11">
        <v>129000</v>
      </c>
      <c r="AZ165" s="11">
        <v>74000</v>
      </c>
      <c r="BA165" s="11"/>
      <c r="BB165" s="11">
        <v>74000</v>
      </c>
      <c r="BC165" s="11">
        <v>74000</v>
      </c>
      <c r="BD165" s="7">
        <v>4623000</v>
      </c>
      <c r="BE165" s="7">
        <v>5000</v>
      </c>
      <c r="BF165" s="7"/>
      <c r="BG165" s="7">
        <v>5000</v>
      </c>
      <c r="BH165" s="7">
        <v>5000</v>
      </c>
      <c r="BI165" s="11">
        <v>3876000</v>
      </c>
      <c r="BJ165" s="11">
        <v>197000</v>
      </c>
      <c r="BK165" s="11"/>
      <c r="BL165" s="11">
        <v>197000</v>
      </c>
      <c r="BM165" s="11">
        <v>197000</v>
      </c>
      <c r="BN165" s="11">
        <v>389477000</v>
      </c>
      <c r="BO165" s="11">
        <v>421706000</v>
      </c>
      <c r="BP165" s="11"/>
      <c r="BQ165" s="11">
        <v>421706000</v>
      </c>
      <c r="BR165" s="11">
        <v>421706000</v>
      </c>
      <c r="BS165" s="11">
        <v>401057000</v>
      </c>
      <c r="BT165" s="11">
        <v>429814000</v>
      </c>
      <c r="BU165" s="11"/>
      <c r="BV165" s="11">
        <v>429814000</v>
      </c>
      <c r="BW165" s="11">
        <v>429814000</v>
      </c>
      <c r="BX165" s="7">
        <v>1000000</v>
      </c>
      <c r="BY165" s="7">
        <v>1000000</v>
      </c>
      <c r="BZ165" s="7">
        <v>1000000</v>
      </c>
      <c r="CA165" s="7">
        <v>1000000</v>
      </c>
      <c r="CB165" s="7">
        <v>1000000</v>
      </c>
      <c r="CC165" s="11"/>
      <c r="CD165" s="11"/>
      <c r="CE165" s="11"/>
      <c r="CF165" s="11"/>
      <c r="CG165" s="11"/>
      <c r="CH165" s="7">
        <v>-102934000</v>
      </c>
      <c r="CI165" s="7">
        <v>-102765000</v>
      </c>
      <c r="CJ165" s="7">
        <v>-495635000</v>
      </c>
      <c r="CK165" s="7">
        <v>-102765000</v>
      </c>
      <c r="CL165" s="7">
        <v>-102765000</v>
      </c>
      <c r="CM165" s="11">
        <v>-101934000</v>
      </c>
      <c r="CN165" s="11">
        <v>-101765000</v>
      </c>
      <c r="CO165" s="11">
        <v>-494635000</v>
      </c>
      <c r="CP165" s="11">
        <v>-101765000</v>
      </c>
      <c r="CQ165" s="11">
        <v>-101765000</v>
      </c>
      <c r="CR165" s="11"/>
      <c r="CS165" s="11"/>
      <c r="CT165" s="11"/>
      <c r="CU165" s="11"/>
      <c r="CV165" s="11"/>
      <c r="CW165" s="11">
        <v>1809000</v>
      </c>
      <c r="CX165" s="11">
        <v>2000</v>
      </c>
      <c r="CY165" s="11"/>
      <c r="CZ165" s="11">
        <v>2000</v>
      </c>
      <c r="DA165" s="11">
        <v>2000</v>
      </c>
      <c r="DB165" s="11">
        <v>1809000</v>
      </c>
      <c r="DC165" s="11">
        <v>2000</v>
      </c>
      <c r="DD165" s="11"/>
      <c r="DE165" s="11">
        <v>2000</v>
      </c>
      <c r="DF165" s="11">
        <v>2000</v>
      </c>
      <c r="DG165" s="7"/>
      <c r="DH165" s="7"/>
      <c r="DI165" s="7"/>
      <c r="DJ165" s="7"/>
      <c r="DK165" s="7"/>
      <c r="DL165" s="7">
        <v>501181000</v>
      </c>
      <c r="DM165" s="7">
        <v>530709000</v>
      </c>
      <c r="DN165" s="7">
        <v>494635000</v>
      </c>
      <c r="DO165" s="7">
        <v>530709000</v>
      </c>
      <c r="DP165" s="7">
        <v>530709000</v>
      </c>
      <c r="DQ165" s="11"/>
      <c r="DR165" s="11"/>
      <c r="DS165" s="11"/>
      <c r="DT165" s="11"/>
      <c r="DU165" s="11"/>
      <c r="DV165" s="11"/>
      <c r="DW165" s="11"/>
      <c r="DX165" s="11"/>
      <c r="DY165" s="11"/>
      <c r="DZ165" s="11"/>
      <c r="EA165" s="11">
        <v>501181000</v>
      </c>
      <c r="EB165" s="11">
        <v>531578000</v>
      </c>
      <c r="EC165" s="11">
        <v>494635000</v>
      </c>
      <c r="ED165" s="11">
        <v>531577000</v>
      </c>
      <c r="EE165" s="11">
        <v>531577000</v>
      </c>
      <c r="EF165" s="7">
        <v>634524000</v>
      </c>
      <c r="EG165" s="7">
        <v>151018000</v>
      </c>
      <c r="EH165" s="7"/>
      <c r="EI165" s="7"/>
      <c r="EJ165" s="7"/>
      <c r="EK165" s="7">
        <v>707906000</v>
      </c>
      <c r="EL165" s="7">
        <v>129923000</v>
      </c>
      <c r="EM165" s="7"/>
      <c r="EN165" s="7"/>
      <c r="EO165" s="7"/>
      <c r="EP165" s="7"/>
      <c r="EQ165" s="7"/>
      <c r="ER165" s="7"/>
      <c r="ES165" s="7"/>
      <c r="ET165" s="7"/>
      <c r="EU165" s="7">
        <v>28203000</v>
      </c>
      <c r="EV165" s="7">
        <v>14708000</v>
      </c>
      <c r="EW165" s="7"/>
      <c r="EX165" s="7"/>
      <c r="EY165" s="7"/>
      <c r="EZ165" s="11"/>
      <c r="FA165" s="11"/>
      <c r="FB165" s="11"/>
      <c r="FC165" s="11"/>
      <c r="FD165" s="11"/>
      <c r="FE165" s="11">
        <v>7000</v>
      </c>
      <c r="FF165" s="11"/>
      <c r="FG165" s="11"/>
      <c r="FH165" s="11"/>
      <c r="FI165" s="11"/>
      <c r="FJ165" s="11">
        <v>3369000</v>
      </c>
      <c r="FK165" s="11"/>
      <c r="FL165" s="11"/>
      <c r="FM165" s="11"/>
      <c r="FN165" s="11"/>
      <c r="FO165" s="7">
        <v>57758000</v>
      </c>
      <c r="FP165" s="7">
        <v>260000</v>
      </c>
      <c r="FQ165" s="7"/>
      <c r="FR165" s="7"/>
      <c r="FS165" s="7"/>
      <c r="FT165" s="7">
        <v>76949000</v>
      </c>
      <c r="FU165" s="7">
        <v>6477000</v>
      </c>
      <c r="FV165" s="7"/>
      <c r="FW165" s="7"/>
      <c r="FX165" s="7"/>
      <c r="FY165" s="11"/>
      <c r="FZ165" s="11">
        <v>-1000</v>
      </c>
      <c r="GA165" s="11"/>
      <c r="GB165" s="11"/>
      <c r="GC165" s="11"/>
      <c r="GD165" s="7">
        <v>-124138000</v>
      </c>
      <c r="GE165" s="7">
        <v>169000</v>
      </c>
      <c r="GF165" s="7"/>
      <c r="GG165" s="7"/>
      <c r="GH165" s="7"/>
    </row>
    <row r="166" spans="1:190" x14ac:dyDescent="0.25">
      <c r="A166" s="4">
        <v>165</v>
      </c>
      <c r="B166" s="5" t="s">
        <v>608</v>
      </c>
      <c r="C166" s="9" t="s">
        <v>610</v>
      </c>
      <c r="D166" s="7">
        <v>24</v>
      </c>
      <c r="E166" s="6" t="s">
        <v>611</v>
      </c>
      <c r="F166" s="11">
        <v>1140897</v>
      </c>
      <c r="G166" s="11">
        <v>672219</v>
      </c>
      <c r="H166" s="11">
        <v>433441</v>
      </c>
      <c r="I166" s="11">
        <v>9952219</v>
      </c>
      <c r="J166" s="11">
        <v>22504</v>
      </c>
      <c r="K166" s="11">
        <v>15175957</v>
      </c>
      <c r="L166" s="11">
        <v>7487681</v>
      </c>
      <c r="M166" s="11">
        <v>19667370</v>
      </c>
      <c r="N166" s="11">
        <v>6922822</v>
      </c>
      <c r="O166" s="11">
        <v>35269</v>
      </c>
      <c r="P166" s="7">
        <v>16028000</v>
      </c>
      <c r="Q166" s="7">
        <v>13392000</v>
      </c>
      <c r="R166" s="7">
        <v>10398000</v>
      </c>
      <c r="S166" s="7">
        <v>9607000</v>
      </c>
      <c r="T166" s="7"/>
      <c r="U166" s="11"/>
      <c r="V166" s="11"/>
      <c r="W166" s="11"/>
      <c r="X166" s="11"/>
      <c r="Y166" s="11"/>
      <c r="Z166" s="11"/>
      <c r="AA166" s="11"/>
      <c r="AB166" s="11"/>
      <c r="AC166" s="11">
        <v>33376000</v>
      </c>
      <c r="AD166" s="11"/>
      <c r="AE166" s="11">
        <v>9818000</v>
      </c>
      <c r="AF166" s="11">
        <v>9818000</v>
      </c>
      <c r="AG166" s="11"/>
      <c r="AH166" s="11"/>
      <c r="AI166" s="11"/>
      <c r="AJ166" s="11">
        <v>25846000</v>
      </c>
      <c r="AK166" s="11">
        <v>23210000</v>
      </c>
      <c r="AL166" s="11">
        <v>10398000</v>
      </c>
      <c r="AM166" s="11">
        <v>42983000</v>
      </c>
      <c r="AN166" s="11"/>
      <c r="AO166" s="7">
        <v>208752000</v>
      </c>
      <c r="AP166" s="7">
        <v>266863000</v>
      </c>
      <c r="AQ166" s="7">
        <v>327812000</v>
      </c>
      <c r="AR166" s="7">
        <v>208249000</v>
      </c>
      <c r="AS166" s="7"/>
      <c r="AT166" s="7">
        <v>92096000</v>
      </c>
      <c r="AU166" s="7">
        <v>134668000</v>
      </c>
      <c r="AV166" s="7">
        <v>74841000</v>
      </c>
      <c r="AW166" s="7">
        <v>115066000</v>
      </c>
      <c r="AX166" s="7"/>
      <c r="AY166" s="11">
        <v>33000</v>
      </c>
      <c r="AZ166" s="11">
        <v>2043000</v>
      </c>
      <c r="BA166" s="11"/>
      <c r="BB166" s="11"/>
      <c r="BC166" s="11"/>
      <c r="BD166" s="7">
        <v>15898000</v>
      </c>
      <c r="BE166" s="7">
        <v>205000</v>
      </c>
      <c r="BF166" s="7">
        <v>39000</v>
      </c>
      <c r="BG166" s="7">
        <v>210000</v>
      </c>
      <c r="BH166" s="7"/>
      <c r="BI166" s="11">
        <v>2088000</v>
      </c>
      <c r="BJ166" s="11">
        <v>12290000</v>
      </c>
      <c r="BK166" s="11"/>
      <c r="BL166" s="11"/>
      <c r="BM166" s="11"/>
      <c r="BN166" s="11">
        <v>320657000</v>
      </c>
      <c r="BO166" s="11">
        <v>417810000</v>
      </c>
      <c r="BP166" s="11">
        <v>402692000</v>
      </c>
      <c r="BQ166" s="11">
        <v>323525000</v>
      </c>
      <c r="BR166" s="11"/>
      <c r="BS166" s="11">
        <v>346503000</v>
      </c>
      <c r="BT166" s="11">
        <v>441020000</v>
      </c>
      <c r="BU166" s="11">
        <v>413090000</v>
      </c>
      <c r="BV166" s="11">
        <v>366509000</v>
      </c>
      <c r="BW166" s="11"/>
      <c r="BX166" s="7">
        <v>4146000</v>
      </c>
      <c r="BY166" s="7">
        <v>4146000</v>
      </c>
      <c r="BZ166" s="7"/>
      <c r="CA166" s="7"/>
      <c r="CB166" s="7"/>
      <c r="CC166" s="11">
        <v>47551000</v>
      </c>
      <c r="CD166" s="11"/>
      <c r="CE166" s="11"/>
      <c r="CF166" s="11"/>
      <c r="CG166" s="11"/>
      <c r="CH166" s="7">
        <v>25632000</v>
      </c>
      <c r="CI166" s="7">
        <v>27439000</v>
      </c>
      <c r="CJ166" s="7"/>
      <c r="CK166" s="7"/>
      <c r="CL166" s="7"/>
      <c r="CM166" s="11">
        <v>77329000</v>
      </c>
      <c r="CN166" s="11">
        <v>79136000</v>
      </c>
      <c r="CO166" s="11">
        <v>73611000</v>
      </c>
      <c r="CP166" s="11">
        <v>-48797000</v>
      </c>
      <c r="CQ166" s="11"/>
      <c r="CR166" s="11">
        <v>76786000</v>
      </c>
      <c r="CS166" s="11">
        <v>102891000</v>
      </c>
      <c r="CT166" s="11">
        <v>77543000</v>
      </c>
      <c r="CU166" s="11">
        <v>73076000</v>
      </c>
      <c r="CV166" s="11"/>
      <c r="CW166" s="11">
        <v>9914000</v>
      </c>
      <c r="CX166" s="11">
        <v>5740000</v>
      </c>
      <c r="CY166" s="11">
        <v>49000</v>
      </c>
      <c r="CZ166" s="11">
        <v>268000</v>
      </c>
      <c r="DA166" s="11"/>
      <c r="DB166" s="11">
        <v>87515000</v>
      </c>
      <c r="DC166" s="11">
        <v>109546000</v>
      </c>
      <c r="DD166" s="11">
        <v>77592000</v>
      </c>
      <c r="DE166" s="11">
        <v>73344000</v>
      </c>
      <c r="DF166" s="11"/>
      <c r="DG166" s="7">
        <v>278000</v>
      </c>
      <c r="DH166" s="7">
        <v>18609000</v>
      </c>
      <c r="DI166" s="7">
        <v>32246000</v>
      </c>
      <c r="DJ166" s="7">
        <v>44596000</v>
      </c>
      <c r="DK166" s="7"/>
      <c r="DL166" s="7">
        <v>181381000</v>
      </c>
      <c r="DM166" s="7">
        <v>233729000</v>
      </c>
      <c r="DN166" s="7">
        <v>229641000</v>
      </c>
      <c r="DO166" s="7">
        <v>297366000</v>
      </c>
      <c r="DP166" s="7"/>
      <c r="DQ166" s="11"/>
      <c r="DR166" s="11"/>
      <c r="DS166" s="11"/>
      <c r="DT166" s="11"/>
      <c r="DU166" s="11"/>
      <c r="DV166" s="11"/>
      <c r="DW166" s="11"/>
      <c r="DX166" s="11"/>
      <c r="DY166" s="11"/>
      <c r="DZ166" s="11"/>
      <c r="EA166" s="11">
        <v>181659000</v>
      </c>
      <c r="EB166" s="11">
        <v>252338000</v>
      </c>
      <c r="EC166" s="11">
        <v>261887000</v>
      </c>
      <c r="ED166" s="11">
        <v>341962000</v>
      </c>
      <c r="EE166" s="11"/>
      <c r="EF166" s="7">
        <v>362112000</v>
      </c>
      <c r="EG166" s="7">
        <v>282951000</v>
      </c>
      <c r="EH166" s="7">
        <v>143601000</v>
      </c>
      <c r="EI166" s="7">
        <v>122828000</v>
      </c>
      <c r="EJ166" s="7"/>
      <c r="EK166" s="7">
        <v>287425000</v>
      </c>
      <c r="EL166" s="7">
        <v>223123000</v>
      </c>
      <c r="EM166" s="7">
        <v>150744000</v>
      </c>
      <c r="EN166" s="7">
        <v>137983000</v>
      </c>
      <c r="EO166" s="7"/>
      <c r="EP166" s="7"/>
      <c r="EQ166" s="7"/>
      <c r="ER166" s="7"/>
      <c r="ES166" s="7"/>
      <c r="ET166" s="7"/>
      <c r="EU166" s="7">
        <v>22091000</v>
      </c>
      <c r="EV166" s="7">
        <v>40044000</v>
      </c>
      <c r="EW166" s="7"/>
      <c r="EX166" s="7"/>
      <c r="EY166" s="7"/>
      <c r="EZ166" s="11"/>
      <c r="FA166" s="11"/>
      <c r="FB166" s="11"/>
      <c r="FC166" s="11"/>
      <c r="FD166" s="11"/>
      <c r="FE166" s="11"/>
      <c r="FF166" s="11"/>
      <c r="FG166" s="11"/>
      <c r="FH166" s="11"/>
      <c r="FI166" s="11"/>
      <c r="FJ166" s="11">
        <v>6901000</v>
      </c>
      <c r="FK166" s="11">
        <v>9236000</v>
      </c>
      <c r="FL166" s="11">
        <v>12797000</v>
      </c>
      <c r="FM166" s="11">
        <v>4429000</v>
      </c>
      <c r="FN166" s="11"/>
      <c r="FO166" s="7">
        <v>28357000</v>
      </c>
      <c r="FP166" s="7">
        <v>20828000</v>
      </c>
      <c r="FQ166" s="7">
        <v>41069000</v>
      </c>
      <c r="FR166" s="7">
        <v>74954000</v>
      </c>
      <c r="FS166" s="7"/>
      <c r="FT166" s="7">
        <v>70191000</v>
      </c>
      <c r="FU166" s="7">
        <v>28371000</v>
      </c>
      <c r="FV166" s="7">
        <v>26349000</v>
      </c>
      <c r="FW166" s="7">
        <v>82200000</v>
      </c>
      <c r="FX166" s="7"/>
      <c r="FY166" s="11">
        <v>-1356000</v>
      </c>
      <c r="FZ166" s="11">
        <v>-204000</v>
      </c>
      <c r="GA166" s="11">
        <v>305000</v>
      </c>
      <c r="GB166" s="11">
        <v>-5514000</v>
      </c>
      <c r="GC166" s="11"/>
      <c r="GD166" s="7">
        <v>2505000</v>
      </c>
      <c r="GE166" s="7">
        <v>1807000</v>
      </c>
      <c r="GF166" s="7">
        <v>-5525000</v>
      </c>
      <c r="GG166" s="7">
        <v>-21316000</v>
      </c>
      <c r="GH166" s="7"/>
    </row>
    <row r="167" spans="1:190" ht="26.25" x14ac:dyDescent="0.25">
      <c r="A167" s="4">
        <v>166</v>
      </c>
      <c r="B167" s="5" t="s">
        <v>612</v>
      </c>
      <c r="C167" s="9" t="s">
        <v>613</v>
      </c>
      <c r="D167" s="7">
        <v>14</v>
      </c>
      <c r="E167" s="6" t="s">
        <v>204</v>
      </c>
      <c r="F167" s="11"/>
      <c r="G167" s="11"/>
      <c r="H167" s="11"/>
      <c r="I167" s="11"/>
      <c r="J167" s="11"/>
      <c r="K167" s="11">
        <v>19609</v>
      </c>
      <c r="L167" s="11">
        <v>10654</v>
      </c>
      <c r="M167" s="11"/>
      <c r="N167" s="11">
        <v>1048</v>
      </c>
      <c r="O167" s="11">
        <v>1249</v>
      </c>
      <c r="P167" s="7"/>
      <c r="Q167" s="7"/>
      <c r="R167" s="7"/>
      <c r="S167" s="7"/>
      <c r="T167" s="7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7">
        <v>41000</v>
      </c>
      <c r="AP167" s="7"/>
      <c r="AQ167" s="7"/>
      <c r="AR167" s="7"/>
      <c r="AS167" s="7"/>
      <c r="AT167" s="7">
        <v>22978000</v>
      </c>
      <c r="AU167" s="7">
        <v>15371000</v>
      </c>
      <c r="AV167" s="7">
        <v>6136000</v>
      </c>
      <c r="AW167" s="7">
        <v>4639000</v>
      </c>
      <c r="AX167" s="7">
        <v>1118000</v>
      </c>
      <c r="AY167" s="11"/>
      <c r="AZ167" s="11"/>
      <c r="BA167" s="11"/>
      <c r="BB167" s="11"/>
      <c r="BC167" s="11"/>
      <c r="BD167" s="7">
        <v>11335000</v>
      </c>
      <c r="BE167" s="7"/>
      <c r="BF167" s="7"/>
      <c r="BG167" s="7"/>
      <c r="BH167" s="7"/>
      <c r="BI167" s="11"/>
      <c r="BJ167" s="11"/>
      <c r="BK167" s="11"/>
      <c r="BL167" s="11"/>
      <c r="BM167" s="11"/>
      <c r="BN167" s="11">
        <v>34354000</v>
      </c>
      <c r="BO167" s="11">
        <v>15371000</v>
      </c>
      <c r="BP167" s="11">
        <v>6136000</v>
      </c>
      <c r="BQ167" s="11">
        <v>4639000</v>
      </c>
      <c r="BR167" s="11">
        <v>1118000</v>
      </c>
      <c r="BS167" s="11">
        <v>34354000</v>
      </c>
      <c r="BT167" s="11">
        <v>15371000</v>
      </c>
      <c r="BU167" s="11">
        <v>6136000</v>
      </c>
      <c r="BV167" s="11">
        <v>4639000</v>
      </c>
      <c r="BW167" s="11">
        <v>1118000</v>
      </c>
      <c r="BX167" s="7">
        <v>10000</v>
      </c>
      <c r="BY167" s="7">
        <v>10000</v>
      </c>
      <c r="BZ167" s="7">
        <v>10000</v>
      </c>
      <c r="CA167" s="7">
        <v>10000</v>
      </c>
      <c r="CB167" s="7">
        <v>10000</v>
      </c>
      <c r="CC167" s="11"/>
      <c r="CD167" s="11"/>
      <c r="CE167" s="11"/>
      <c r="CF167" s="11"/>
      <c r="CG167" s="11"/>
      <c r="CH167" s="7">
        <v>-9157000</v>
      </c>
      <c r="CI167" s="7">
        <v>-10368000</v>
      </c>
      <c r="CJ167" s="7">
        <v>-12020000</v>
      </c>
      <c r="CK167" s="7">
        <v>-12020000</v>
      </c>
      <c r="CL167" s="7">
        <v>-12020000</v>
      </c>
      <c r="CM167" s="11">
        <v>-9147000</v>
      </c>
      <c r="CN167" s="11">
        <v>-10358000</v>
      </c>
      <c r="CO167" s="11">
        <v>-12010000</v>
      </c>
      <c r="CP167" s="11">
        <v>-12010000</v>
      </c>
      <c r="CQ167" s="11">
        <v>-12010000</v>
      </c>
      <c r="CR167" s="11"/>
      <c r="CS167" s="11"/>
      <c r="CT167" s="11"/>
      <c r="CU167" s="11"/>
      <c r="CV167" s="11"/>
      <c r="CW167" s="11"/>
      <c r="CX167" s="11"/>
      <c r="CY167" s="11"/>
      <c r="CZ167" s="11"/>
      <c r="DA167" s="11"/>
      <c r="DB167" s="11"/>
      <c r="DC167" s="11"/>
      <c r="DD167" s="11"/>
      <c r="DE167" s="11"/>
      <c r="DF167" s="11"/>
      <c r="DG167" s="7"/>
      <c r="DH167" s="7"/>
      <c r="DI167" s="7"/>
      <c r="DJ167" s="7"/>
      <c r="DK167" s="7"/>
      <c r="DL167" s="7">
        <v>23920000</v>
      </c>
      <c r="DM167" s="7">
        <v>16472000</v>
      </c>
      <c r="DN167" s="7">
        <v>18146000</v>
      </c>
      <c r="DO167" s="7">
        <v>16649000</v>
      </c>
      <c r="DP167" s="7">
        <v>13128000</v>
      </c>
      <c r="DQ167" s="11">
        <v>19581000</v>
      </c>
      <c r="DR167" s="11">
        <v>9257000</v>
      </c>
      <c r="DS167" s="11"/>
      <c r="DT167" s="11"/>
      <c r="DU167" s="11"/>
      <c r="DV167" s="11"/>
      <c r="DW167" s="11"/>
      <c r="DX167" s="11"/>
      <c r="DY167" s="11"/>
      <c r="DZ167" s="11"/>
      <c r="EA167" s="11">
        <v>43501000</v>
      </c>
      <c r="EB167" s="11">
        <v>25729000</v>
      </c>
      <c r="EC167" s="11">
        <v>18146000</v>
      </c>
      <c r="ED167" s="11">
        <v>16649000</v>
      </c>
      <c r="EE167" s="11">
        <v>13128000</v>
      </c>
      <c r="EF167" s="7">
        <v>4808000</v>
      </c>
      <c r="EG167" s="7"/>
      <c r="EH167" s="7"/>
      <c r="EI167" s="7"/>
      <c r="EJ167" s="7"/>
      <c r="EK167" s="7">
        <v>2081000</v>
      </c>
      <c r="EL167" s="7"/>
      <c r="EM167" s="7"/>
      <c r="EN167" s="7"/>
      <c r="EO167" s="7"/>
      <c r="EP167" s="7"/>
      <c r="EQ167" s="7"/>
      <c r="ER167" s="7"/>
      <c r="ES167" s="7"/>
      <c r="ET167" s="7"/>
      <c r="EU167" s="7">
        <v>3038000</v>
      </c>
      <c r="EV167" s="7">
        <v>1211000</v>
      </c>
      <c r="EW167" s="7"/>
      <c r="EX167" s="7"/>
      <c r="EY167" s="7"/>
      <c r="EZ167" s="11"/>
      <c r="FA167" s="11"/>
      <c r="FB167" s="11"/>
      <c r="FC167" s="11"/>
      <c r="FD167" s="11"/>
      <c r="FE167" s="11"/>
      <c r="FF167" s="11"/>
      <c r="FG167" s="11"/>
      <c r="FH167" s="11"/>
      <c r="FI167" s="11"/>
      <c r="FJ167" s="11"/>
      <c r="FK167" s="11"/>
      <c r="FL167" s="11"/>
      <c r="FM167" s="11"/>
      <c r="FN167" s="11"/>
      <c r="FO167" s="7">
        <v>600000</v>
      </c>
      <c r="FP167" s="7"/>
      <c r="FQ167" s="7"/>
      <c r="FR167" s="7"/>
      <c r="FS167" s="7"/>
      <c r="FT167" s="7">
        <v>835000</v>
      </c>
      <c r="FU167" s="7"/>
      <c r="FV167" s="7">
        <v>1652000</v>
      </c>
      <c r="FW167" s="7"/>
      <c r="FX167" s="7"/>
      <c r="FY167" s="11"/>
      <c r="FZ167" s="11"/>
      <c r="GA167" s="11"/>
      <c r="GB167" s="11"/>
      <c r="GC167" s="11"/>
      <c r="GD167" s="7">
        <v>-546000</v>
      </c>
      <c r="GE167" s="7">
        <v>-1211000</v>
      </c>
      <c r="GF167" s="7">
        <v>-1652000</v>
      </c>
      <c r="GG167" s="7"/>
      <c r="GH167" s="7"/>
    </row>
    <row r="168" spans="1:190" ht="26.25" x14ac:dyDescent="0.25">
      <c r="A168" s="4">
        <v>167</v>
      </c>
      <c r="B168" s="5" t="s">
        <v>614</v>
      </c>
      <c r="C168" s="9" t="s">
        <v>615</v>
      </c>
      <c r="D168" s="7">
        <v>10</v>
      </c>
      <c r="E168" s="6" t="s">
        <v>303</v>
      </c>
      <c r="F168" s="11">
        <v>43015</v>
      </c>
      <c r="G168" s="11">
        <v>433323</v>
      </c>
      <c r="H168" s="11"/>
      <c r="I168" s="11"/>
      <c r="J168" s="11"/>
      <c r="K168" s="11">
        <v>954047</v>
      </c>
      <c r="L168" s="11">
        <v>5500746</v>
      </c>
      <c r="M168" s="11">
        <v>38103</v>
      </c>
      <c r="N168" s="11"/>
      <c r="O168" s="11"/>
      <c r="P168" s="7">
        <v>2732000</v>
      </c>
      <c r="Q168" s="7">
        <v>8982000</v>
      </c>
      <c r="R168" s="7"/>
      <c r="S168" s="7">
        <v>8982000</v>
      </c>
      <c r="T168" s="7"/>
      <c r="U168" s="11"/>
      <c r="V168" s="11"/>
      <c r="W168" s="11"/>
      <c r="X168" s="11"/>
      <c r="Y168" s="11"/>
      <c r="Z168" s="11"/>
      <c r="AA168" s="11">
        <v>10490000</v>
      </c>
      <c r="AB168" s="11"/>
      <c r="AC168" s="11">
        <v>10490000</v>
      </c>
      <c r="AD168" s="11"/>
      <c r="AE168" s="11"/>
      <c r="AF168" s="11"/>
      <c r="AG168" s="11"/>
      <c r="AH168" s="11"/>
      <c r="AI168" s="11"/>
      <c r="AJ168" s="11">
        <v>2732000</v>
      </c>
      <c r="AK168" s="11">
        <v>19472000</v>
      </c>
      <c r="AL168" s="11"/>
      <c r="AM168" s="11">
        <v>19472000</v>
      </c>
      <c r="AN168" s="11"/>
      <c r="AO168" s="7">
        <v>2852000</v>
      </c>
      <c r="AP168" s="7">
        <v>3718000</v>
      </c>
      <c r="AQ168" s="7"/>
      <c r="AR168" s="7">
        <v>3718000</v>
      </c>
      <c r="AS168" s="7"/>
      <c r="AT168" s="7">
        <v>91767000</v>
      </c>
      <c r="AU168" s="7">
        <v>49637000</v>
      </c>
      <c r="AV168" s="7"/>
      <c r="AW168" s="7">
        <v>49637000</v>
      </c>
      <c r="AX168" s="7"/>
      <c r="AY168" s="11"/>
      <c r="AZ168" s="11"/>
      <c r="BA168" s="11"/>
      <c r="BB168" s="11"/>
      <c r="BC168" s="11"/>
      <c r="BD168" s="7">
        <v>4788000</v>
      </c>
      <c r="BE168" s="7">
        <v>4000</v>
      </c>
      <c r="BF168" s="7"/>
      <c r="BG168" s="7">
        <v>4000</v>
      </c>
      <c r="BH168" s="7"/>
      <c r="BI168" s="11">
        <v>1960000</v>
      </c>
      <c r="BJ168" s="11"/>
      <c r="BK168" s="11"/>
      <c r="BL168" s="11"/>
      <c r="BM168" s="11"/>
      <c r="BN168" s="11">
        <v>101368000</v>
      </c>
      <c r="BO168" s="11">
        <v>53359000</v>
      </c>
      <c r="BP168" s="11"/>
      <c r="BQ168" s="11">
        <v>53359000</v>
      </c>
      <c r="BR168" s="11"/>
      <c r="BS168" s="11">
        <v>104100000</v>
      </c>
      <c r="BT168" s="11">
        <v>72832000</v>
      </c>
      <c r="BU168" s="11"/>
      <c r="BV168" s="11">
        <v>72831000</v>
      </c>
      <c r="BW168" s="11"/>
      <c r="BX168" s="7">
        <v>10000</v>
      </c>
      <c r="BY168" s="7"/>
      <c r="BZ168" s="7"/>
      <c r="CA168" s="7"/>
      <c r="CB168" s="7"/>
      <c r="CC168" s="11"/>
      <c r="CD168" s="11"/>
      <c r="CE168" s="11"/>
      <c r="CF168" s="11"/>
      <c r="CG168" s="11"/>
      <c r="CH168" s="7">
        <v>12186000</v>
      </c>
      <c r="CI168" s="7"/>
      <c r="CJ168" s="7"/>
      <c r="CK168" s="7"/>
      <c r="CL168" s="7"/>
      <c r="CM168" s="11">
        <v>12196000</v>
      </c>
      <c r="CN168" s="11">
        <v>-40176000</v>
      </c>
      <c r="CO168" s="11"/>
      <c r="CP168" s="11">
        <v>-40176000</v>
      </c>
      <c r="CQ168" s="11"/>
      <c r="CR168" s="11"/>
      <c r="CS168" s="11"/>
      <c r="CT168" s="11"/>
      <c r="CU168" s="11"/>
      <c r="CV168" s="11"/>
      <c r="CW168" s="11">
        <v>5319000</v>
      </c>
      <c r="CX168" s="11">
        <v>7188000</v>
      </c>
      <c r="CY168" s="11"/>
      <c r="CZ168" s="11">
        <v>7187000</v>
      </c>
      <c r="DA168" s="11"/>
      <c r="DB168" s="11">
        <v>5319000</v>
      </c>
      <c r="DC168" s="11">
        <v>7188000</v>
      </c>
      <c r="DD168" s="11"/>
      <c r="DE168" s="11">
        <v>7187000</v>
      </c>
      <c r="DF168" s="11"/>
      <c r="DG168" s="7"/>
      <c r="DH168" s="7"/>
      <c r="DI168" s="7"/>
      <c r="DJ168" s="7"/>
      <c r="DK168" s="7"/>
      <c r="DL168" s="7">
        <v>82137000</v>
      </c>
      <c r="DM168" s="7">
        <v>105820000</v>
      </c>
      <c r="DN168" s="7"/>
      <c r="DO168" s="7">
        <v>105820000</v>
      </c>
      <c r="DP168" s="7"/>
      <c r="DQ168" s="11"/>
      <c r="DR168" s="11"/>
      <c r="DS168" s="11"/>
      <c r="DT168" s="11"/>
      <c r="DU168" s="11"/>
      <c r="DV168" s="11">
        <v>4448000</v>
      </c>
      <c r="DW168" s="11"/>
      <c r="DX168" s="11"/>
      <c r="DY168" s="11"/>
      <c r="DZ168" s="11"/>
      <c r="EA168" s="11">
        <v>86585000</v>
      </c>
      <c r="EB168" s="11">
        <v>105820000</v>
      </c>
      <c r="EC168" s="11"/>
      <c r="ED168" s="11">
        <v>105820000</v>
      </c>
      <c r="EE168" s="11"/>
      <c r="EF168" s="7">
        <v>109081000</v>
      </c>
      <c r="EG168" s="7">
        <v>80239000</v>
      </c>
      <c r="EH168" s="7"/>
      <c r="EI168" s="7"/>
      <c r="EJ168" s="7"/>
      <c r="EK168" s="7">
        <v>64148000</v>
      </c>
      <c r="EL168" s="7">
        <v>108540000</v>
      </c>
      <c r="EM168" s="7"/>
      <c r="EN168" s="7"/>
      <c r="EO168" s="7"/>
      <c r="EP168" s="7">
        <v>4338000</v>
      </c>
      <c r="EQ168" s="7"/>
      <c r="ER168" s="7"/>
      <c r="ES168" s="7"/>
      <c r="ET168" s="7"/>
      <c r="EU168" s="7">
        <v>3266000</v>
      </c>
      <c r="EV168" s="7"/>
      <c r="EW168" s="7"/>
      <c r="EX168" s="7"/>
      <c r="EY168" s="7"/>
      <c r="EZ168" s="11"/>
      <c r="FA168" s="11"/>
      <c r="FB168" s="11"/>
      <c r="FC168" s="11"/>
      <c r="FD168" s="11"/>
      <c r="FE168" s="11"/>
      <c r="FF168" s="11"/>
      <c r="FG168" s="11"/>
      <c r="FH168" s="11"/>
      <c r="FI168" s="11"/>
      <c r="FJ168" s="11"/>
      <c r="FK168" s="11"/>
      <c r="FL168" s="11"/>
      <c r="FM168" s="11"/>
      <c r="FN168" s="11"/>
      <c r="FO168" s="7"/>
      <c r="FP168" s="7">
        <v>41502000</v>
      </c>
      <c r="FQ168" s="7"/>
      <c r="FR168" s="7"/>
      <c r="FS168" s="7"/>
      <c r="FT168" s="7">
        <v>25143000</v>
      </c>
      <c r="FU168" s="7">
        <v>65621000</v>
      </c>
      <c r="FV168" s="7"/>
      <c r="FW168" s="7"/>
      <c r="FX168" s="7"/>
      <c r="FY168" s="11"/>
      <c r="FZ168" s="11">
        <v>-9934000</v>
      </c>
      <c r="GA168" s="11"/>
      <c r="GB168" s="11"/>
      <c r="GC168" s="11"/>
      <c r="GD168" s="7">
        <v>12186000</v>
      </c>
      <c r="GE168" s="7">
        <v>-42486000</v>
      </c>
      <c r="GF168" s="7"/>
      <c r="GG168" s="7"/>
      <c r="GH168" s="7"/>
    </row>
    <row r="169" spans="1:190" x14ac:dyDescent="0.25">
      <c r="A169" s="4">
        <v>168</v>
      </c>
      <c r="B169" s="5" t="s">
        <v>616</v>
      </c>
      <c r="C169" s="9" t="s">
        <v>617</v>
      </c>
      <c r="D169" s="7">
        <v>27</v>
      </c>
      <c r="E169" s="6" t="s">
        <v>618</v>
      </c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7"/>
      <c r="Q169" s="7"/>
      <c r="R169" s="7"/>
      <c r="S169" s="7"/>
      <c r="T169" s="7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11"/>
      <c r="AZ169" s="11"/>
      <c r="BA169" s="11"/>
      <c r="BB169" s="11"/>
      <c r="BC169" s="11"/>
      <c r="BD169" s="7"/>
      <c r="BE169" s="7"/>
      <c r="BF169" s="7"/>
      <c r="BG169" s="7"/>
      <c r="BH169" s="7"/>
      <c r="BI169" s="11"/>
      <c r="BJ169" s="11"/>
      <c r="BK169" s="11"/>
      <c r="BL169" s="11"/>
      <c r="BM169" s="11"/>
      <c r="BN169" s="11"/>
      <c r="BO169" s="11"/>
      <c r="BP169" s="11"/>
      <c r="BQ169" s="11"/>
      <c r="BR169" s="11"/>
      <c r="BS169" s="11"/>
      <c r="BT169" s="11"/>
      <c r="BU169" s="11"/>
      <c r="BV169" s="11"/>
      <c r="BW169" s="11"/>
      <c r="BX169" s="7"/>
      <c r="BY169" s="7"/>
      <c r="BZ169" s="7"/>
      <c r="CA169" s="7"/>
      <c r="CB169" s="7"/>
      <c r="CC169" s="11"/>
      <c r="CD169" s="11"/>
      <c r="CE169" s="11"/>
      <c r="CF169" s="11"/>
      <c r="CG169" s="11"/>
      <c r="CH169" s="7"/>
      <c r="CI169" s="7"/>
      <c r="CJ169" s="7"/>
      <c r="CK169" s="7"/>
      <c r="CL169" s="7"/>
      <c r="CM169" s="11"/>
      <c r="CN169" s="11"/>
      <c r="CO169" s="11"/>
      <c r="CP169" s="11"/>
      <c r="CQ169" s="11"/>
      <c r="CR169" s="11"/>
      <c r="CS169" s="11"/>
      <c r="CT169" s="11"/>
      <c r="CU169" s="11"/>
      <c r="CV169" s="11"/>
      <c r="CW169" s="11"/>
      <c r="CX169" s="11"/>
      <c r="CY169" s="11"/>
      <c r="CZ169" s="11"/>
      <c r="DA169" s="11"/>
      <c r="DB169" s="11"/>
      <c r="DC169" s="11"/>
      <c r="DD169" s="11"/>
      <c r="DE169" s="11"/>
      <c r="DF169" s="11"/>
      <c r="DG169" s="7"/>
      <c r="DH169" s="7"/>
      <c r="DI169" s="7"/>
      <c r="DJ169" s="7"/>
      <c r="DK169" s="7"/>
      <c r="DL169" s="7"/>
      <c r="DM169" s="7"/>
      <c r="DN169" s="7"/>
      <c r="DO169" s="7"/>
      <c r="DP169" s="7"/>
      <c r="DQ169" s="11"/>
      <c r="DR169" s="11"/>
      <c r="DS169" s="11"/>
      <c r="DT169" s="11"/>
      <c r="DU169" s="11"/>
      <c r="DV169" s="11"/>
      <c r="DW169" s="11"/>
      <c r="DX169" s="11"/>
      <c r="DY169" s="11"/>
      <c r="DZ169" s="11"/>
      <c r="EA169" s="11"/>
      <c r="EB169" s="11"/>
      <c r="EC169" s="11"/>
      <c r="ED169" s="11"/>
      <c r="EE169" s="11"/>
      <c r="EF169" s="7"/>
      <c r="EG169" s="7"/>
      <c r="EH169" s="7"/>
      <c r="EI169" s="7"/>
      <c r="EJ169" s="7"/>
      <c r="EK169" s="7"/>
      <c r="EL169" s="7"/>
      <c r="EM169" s="7"/>
      <c r="EN169" s="7"/>
      <c r="EO169" s="7"/>
      <c r="EP169" s="7"/>
      <c r="EQ169" s="7"/>
      <c r="ER169" s="7"/>
      <c r="ES169" s="7"/>
      <c r="ET169" s="7"/>
      <c r="EU169" s="7"/>
      <c r="EV169" s="7"/>
      <c r="EW169" s="7"/>
      <c r="EX169" s="7"/>
      <c r="EY169" s="7"/>
      <c r="EZ169" s="11"/>
      <c r="FA169" s="11"/>
      <c r="FB169" s="11"/>
      <c r="FC169" s="11"/>
      <c r="FD169" s="11"/>
      <c r="FE169" s="11"/>
      <c r="FF169" s="11"/>
      <c r="FG169" s="11"/>
      <c r="FH169" s="11"/>
      <c r="FI169" s="11"/>
      <c r="FJ169" s="11"/>
      <c r="FK169" s="11"/>
      <c r="FL169" s="11"/>
      <c r="FM169" s="11"/>
      <c r="FN169" s="11"/>
      <c r="FO169" s="7"/>
      <c r="FP169" s="7"/>
      <c r="FQ169" s="7"/>
      <c r="FR169" s="7"/>
      <c r="FS169" s="7"/>
      <c r="FT169" s="7"/>
      <c r="FU169" s="7"/>
      <c r="FV169" s="7"/>
      <c r="FW169" s="7"/>
      <c r="FX169" s="7"/>
      <c r="FY169" s="11"/>
      <c r="FZ169" s="11"/>
      <c r="GA169" s="11"/>
      <c r="GB169" s="11"/>
      <c r="GC169" s="11"/>
      <c r="GD169" s="7"/>
      <c r="GE169" s="7"/>
      <c r="GF169" s="7"/>
      <c r="GG169" s="7"/>
      <c r="GH169" s="7"/>
    </row>
    <row r="170" spans="1:190" x14ac:dyDescent="0.25">
      <c r="A170" s="4">
        <v>169</v>
      </c>
      <c r="B170" s="5" t="s">
        <v>619</v>
      </c>
      <c r="C170" s="9" t="s">
        <v>620</v>
      </c>
      <c r="D170" s="7">
        <v>31</v>
      </c>
      <c r="E170" s="6" t="s">
        <v>198</v>
      </c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7"/>
      <c r="Q170" s="7"/>
      <c r="R170" s="7"/>
      <c r="S170" s="7"/>
      <c r="T170" s="7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11"/>
      <c r="AZ170" s="11"/>
      <c r="BA170" s="11"/>
      <c r="BB170" s="11"/>
      <c r="BC170" s="11"/>
      <c r="BD170" s="7"/>
      <c r="BE170" s="7"/>
      <c r="BF170" s="7"/>
      <c r="BG170" s="7"/>
      <c r="BH170" s="7"/>
      <c r="BI170" s="11"/>
      <c r="BJ170" s="11"/>
      <c r="BK170" s="11"/>
      <c r="BL170" s="11"/>
      <c r="BM170" s="11"/>
      <c r="BN170" s="11"/>
      <c r="BO170" s="11"/>
      <c r="BP170" s="11"/>
      <c r="BQ170" s="11"/>
      <c r="BR170" s="11"/>
      <c r="BS170" s="11"/>
      <c r="BT170" s="11"/>
      <c r="BU170" s="11"/>
      <c r="BV170" s="11"/>
      <c r="BW170" s="11"/>
      <c r="BX170" s="7"/>
      <c r="BY170" s="7"/>
      <c r="BZ170" s="7"/>
      <c r="CA170" s="7"/>
      <c r="CB170" s="7"/>
      <c r="CC170" s="11"/>
      <c r="CD170" s="11"/>
      <c r="CE170" s="11"/>
      <c r="CF170" s="11"/>
      <c r="CG170" s="11"/>
      <c r="CH170" s="7"/>
      <c r="CI170" s="7"/>
      <c r="CJ170" s="7"/>
      <c r="CK170" s="7"/>
      <c r="CL170" s="7"/>
      <c r="CM170" s="11"/>
      <c r="CN170" s="11"/>
      <c r="CO170" s="11"/>
      <c r="CP170" s="11"/>
      <c r="CQ170" s="11"/>
      <c r="CR170" s="11"/>
      <c r="CS170" s="11"/>
      <c r="CT170" s="11"/>
      <c r="CU170" s="11"/>
      <c r="CV170" s="11"/>
      <c r="CW170" s="11"/>
      <c r="CX170" s="11"/>
      <c r="CY170" s="11"/>
      <c r="CZ170" s="11"/>
      <c r="DA170" s="11"/>
      <c r="DB170" s="11"/>
      <c r="DC170" s="11"/>
      <c r="DD170" s="11"/>
      <c r="DE170" s="11"/>
      <c r="DF170" s="11"/>
      <c r="DG170" s="7"/>
      <c r="DH170" s="7"/>
      <c r="DI170" s="7"/>
      <c r="DJ170" s="7"/>
      <c r="DK170" s="7"/>
      <c r="DL170" s="7"/>
      <c r="DM170" s="7"/>
      <c r="DN170" s="7"/>
      <c r="DO170" s="7"/>
      <c r="DP170" s="7"/>
      <c r="DQ170" s="11"/>
      <c r="DR170" s="11"/>
      <c r="DS170" s="11"/>
      <c r="DT170" s="11"/>
      <c r="DU170" s="11"/>
      <c r="DV170" s="11"/>
      <c r="DW170" s="11"/>
      <c r="DX170" s="11"/>
      <c r="DY170" s="11"/>
      <c r="DZ170" s="11"/>
      <c r="EA170" s="11"/>
      <c r="EB170" s="11"/>
      <c r="EC170" s="11"/>
      <c r="ED170" s="11"/>
      <c r="EE170" s="11"/>
      <c r="EF170" s="7"/>
      <c r="EG170" s="7"/>
      <c r="EH170" s="7"/>
      <c r="EI170" s="7"/>
      <c r="EJ170" s="7"/>
      <c r="EK170" s="7"/>
      <c r="EL170" s="7"/>
      <c r="EM170" s="7"/>
      <c r="EN170" s="7"/>
      <c r="EO170" s="7"/>
      <c r="EP170" s="7"/>
      <c r="EQ170" s="7"/>
      <c r="ER170" s="7"/>
      <c r="ES170" s="7"/>
      <c r="ET170" s="7"/>
      <c r="EU170" s="7"/>
      <c r="EV170" s="7"/>
      <c r="EW170" s="7"/>
      <c r="EX170" s="7"/>
      <c r="EY170" s="7"/>
      <c r="EZ170" s="11"/>
      <c r="FA170" s="11"/>
      <c r="FB170" s="11"/>
      <c r="FC170" s="11"/>
      <c r="FD170" s="11"/>
      <c r="FE170" s="11"/>
      <c r="FF170" s="11"/>
      <c r="FG170" s="11"/>
      <c r="FH170" s="11"/>
      <c r="FI170" s="11"/>
      <c r="FJ170" s="11"/>
      <c r="FK170" s="11"/>
      <c r="FL170" s="11"/>
      <c r="FM170" s="11"/>
      <c r="FN170" s="11"/>
      <c r="FO170" s="7"/>
      <c r="FP170" s="7"/>
      <c r="FQ170" s="7"/>
      <c r="FR170" s="7"/>
      <c r="FS170" s="7"/>
      <c r="FT170" s="7"/>
      <c r="FU170" s="7"/>
      <c r="FV170" s="7"/>
      <c r="FW170" s="7"/>
      <c r="FX170" s="7"/>
      <c r="FY170" s="11"/>
      <c r="FZ170" s="11"/>
      <c r="GA170" s="11"/>
      <c r="GB170" s="11"/>
      <c r="GC170" s="11"/>
      <c r="GD170" s="7"/>
      <c r="GE170" s="7"/>
      <c r="GF170" s="7"/>
      <c r="GG170" s="7"/>
      <c r="GH170" s="7"/>
    </row>
    <row r="171" spans="1:190" ht="26.25" x14ac:dyDescent="0.25">
      <c r="A171" s="4">
        <v>170</v>
      </c>
      <c r="B171" s="5" t="s">
        <v>621</v>
      </c>
      <c r="C171" s="9" t="s">
        <v>622</v>
      </c>
      <c r="D171" s="7">
        <v>33</v>
      </c>
      <c r="E171" s="6" t="s">
        <v>623</v>
      </c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7"/>
      <c r="Q171" s="7"/>
      <c r="R171" s="7"/>
      <c r="S171" s="7"/>
      <c r="T171" s="7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11"/>
      <c r="AZ171" s="11"/>
      <c r="BA171" s="11"/>
      <c r="BB171" s="11"/>
      <c r="BC171" s="11"/>
      <c r="BD171" s="7"/>
      <c r="BE171" s="7"/>
      <c r="BF171" s="7"/>
      <c r="BG171" s="7"/>
      <c r="BH171" s="7"/>
      <c r="BI171" s="11"/>
      <c r="BJ171" s="11"/>
      <c r="BK171" s="11"/>
      <c r="BL171" s="11"/>
      <c r="BM171" s="11"/>
      <c r="BN171" s="11"/>
      <c r="BO171" s="11"/>
      <c r="BP171" s="11"/>
      <c r="BQ171" s="11"/>
      <c r="BR171" s="11"/>
      <c r="BS171" s="11"/>
      <c r="BT171" s="11"/>
      <c r="BU171" s="11"/>
      <c r="BV171" s="11"/>
      <c r="BW171" s="11"/>
      <c r="BX171" s="7"/>
      <c r="BY171" s="7"/>
      <c r="BZ171" s="7"/>
      <c r="CA171" s="7"/>
      <c r="CB171" s="7"/>
      <c r="CC171" s="11"/>
      <c r="CD171" s="11"/>
      <c r="CE171" s="11"/>
      <c r="CF171" s="11"/>
      <c r="CG171" s="11"/>
      <c r="CH171" s="7"/>
      <c r="CI171" s="7"/>
      <c r="CJ171" s="7"/>
      <c r="CK171" s="7"/>
      <c r="CL171" s="7"/>
      <c r="CM171" s="11"/>
      <c r="CN171" s="11"/>
      <c r="CO171" s="11"/>
      <c r="CP171" s="11"/>
      <c r="CQ171" s="11"/>
      <c r="CR171" s="11"/>
      <c r="CS171" s="11"/>
      <c r="CT171" s="11"/>
      <c r="CU171" s="11"/>
      <c r="CV171" s="11"/>
      <c r="CW171" s="11"/>
      <c r="CX171" s="11"/>
      <c r="CY171" s="11"/>
      <c r="CZ171" s="11"/>
      <c r="DA171" s="11"/>
      <c r="DB171" s="11"/>
      <c r="DC171" s="11"/>
      <c r="DD171" s="11"/>
      <c r="DE171" s="11"/>
      <c r="DF171" s="11"/>
      <c r="DG171" s="7"/>
      <c r="DH171" s="7"/>
      <c r="DI171" s="7"/>
      <c r="DJ171" s="7"/>
      <c r="DK171" s="7"/>
      <c r="DL171" s="7"/>
      <c r="DM171" s="7"/>
      <c r="DN171" s="7"/>
      <c r="DO171" s="7"/>
      <c r="DP171" s="7"/>
      <c r="DQ171" s="11"/>
      <c r="DR171" s="11"/>
      <c r="DS171" s="11"/>
      <c r="DT171" s="11"/>
      <c r="DU171" s="11"/>
      <c r="DV171" s="11"/>
      <c r="DW171" s="11"/>
      <c r="DX171" s="11"/>
      <c r="DY171" s="11"/>
      <c r="DZ171" s="11"/>
      <c r="EA171" s="11"/>
      <c r="EB171" s="11"/>
      <c r="EC171" s="11"/>
      <c r="ED171" s="11"/>
      <c r="EE171" s="11"/>
      <c r="EF171" s="7"/>
      <c r="EG171" s="7"/>
      <c r="EH171" s="7"/>
      <c r="EI171" s="7"/>
      <c r="EJ171" s="7"/>
      <c r="EK171" s="7"/>
      <c r="EL171" s="7"/>
      <c r="EM171" s="7"/>
      <c r="EN171" s="7"/>
      <c r="EO171" s="7"/>
      <c r="EP171" s="7"/>
      <c r="EQ171" s="7"/>
      <c r="ER171" s="7"/>
      <c r="ES171" s="7"/>
      <c r="ET171" s="7"/>
      <c r="EU171" s="7"/>
      <c r="EV171" s="7"/>
      <c r="EW171" s="7"/>
      <c r="EX171" s="7"/>
      <c r="EY171" s="7"/>
      <c r="EZ171" s="11"/>
      <c r="FA171" s="11"/>
      <c r="FB171" s="11"/>
      <c r="FC171" s="11"/>
      <c r="FD171" s="11"/>
      <c r="FE171" s="11"/>
      <c r="FF171" s="11"/>
      <c r="FG171" s="11"/>
      <c r="FH171" s="11"/>
      <c r="FI171" s="11"/>
      <c r="FJ171" s="11"/>
      <c r="FK171" s="11"/>
      <c r="FL171" s="11"/>
      <c r="FM171" s="11"/>
      <c r="FN171" s="11"/>
      <c r="FO171" s="7"/>
      <c r="FP171" s="7"/>
      <c r="FQ171" s="7"/>
      <c r="FR171" s="7"/>
      <c r="FS171" s="7"/>
      <c r="FT171" s="7"/>
      <c r="FU171" s="7"/>
      <c r="FV171" s="7"/>
      <c r="FW171" s="7"/>
      <c r="FX171" s="7"/>
      <c r="FY171" s="11"/>
      <c r="FZ171" s="11"/>
      <c r="GA171" s="11"/>
      <c r="GB171" s="11"/>
      <c r="GC171" s="11"/>
      <c r="GD171" s="7"/>
      <c r="GE171" s="7"/>
      <c r="GF171" s="7"/>
      <c r="GG171" s="7"/>
      <c r="GH171" s="7"/>
    </row>
    <row r="172" spans="1:190" x14ac:dyDescent="0.25">
      <c r="A172" s="4">
        <v>171</v>
      </c>
      <c r="B172" s="5" t="s">
        <v>624</v>
      </c>
      <c r="C172" s="9" t="s">
        <v>625</v>
      </c>
      <c r="D172" s="7">
        <v>7</v>
      </c>
      <c r="E172" s="6" t="s">
        <v>381</v>
      </c>
      <c r="F172" s="11">
        <v>1257369</v>
      </c>
      <c r="G172" s="11">
        <v>2082013</v>
      </c>
      <c r="H172" s="11">
        <v>960512</v>
      </c>
      <c r="I172" s="11">
        <v>2185118</v>
      </c>
      <c r="J172" s="11">
        <v>1002386</v>
      </c>
      <c r="K172" s="11">
        <v>12898400</v>
      </c>
      <c r="L172" s="11">
        <v>10079404</v>
      </c>
      <c r="M172" s="11">
        <v>15858498</v>
      </c>
      <c r="N172" s="11">
        <v>16257031</v>
      </c>
      <c r="O172" s="11">
        <v>4515889</v>
      </c>
      <c r="P172" s="7">
        <v>33394000</v>
      </c>
      <c r="Q172" s="7">
        <v>31358000</v>
      </c>
      <c r="R172" s="7">
        <v>26657000</v>
      </c>
      <c r="S172" s="7">
        <v>20250000</v>
      </c>
      <c r="T172" s="7">
        <v>16818000</v>
      </c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>
        <v>33394000</v>
      </c>
      <c r="AK172" s="11">
        <v>31358000</v>
      </c>
      <c r="AL172" s="11">
        <v>26657000</v>
      </c>
      <c r="AM172" s="11">
        <v>20250000</v>
      </c>
      <c r="AN172" s="11">
        <v>16818000</v>
      </c>
      <c r="AO172" s="7">
        <v>2051000</v>
      </c>
      <c r="AP172" s="7">
        <v>15551000</v>
      </c>
      <c r="AQ172" s="7">
        <v>2702000</v>
      </c>
      <c r="AR172" s="7">
        <v>13585000</v>
      </c>
      <c r="AS172" s="7">
        <v>34248000</v>
      </c>
      <c r="AT172" s="7">
        <v>20336000</v>
      </c>
      <c r="AU172" s="7">
        <v>22002000</v>
      </c>
      <c r="AV172" s="7">
        <v>52027000</v>
      </c>
      <c r="AW172" s="7">
        <v>48873000</v>
      </c>
      <c r="AX172" s="7">
        <v>208511000</v>
      </c>
      <c r="AY172" s="11"/>
      <c r="AZ172" s="11"/>
      <c r="BA172" s="11"/>
      <c r="BB172" s="11"/>
      <c r="BC172" s="11"/>
      <c r="BD172" s="7">
        <v>5902000</v>
      </c>
      <c r="BE172" s="7">
        <v>352000</v>
      </c>
      <c r="BF172" s="7">
        <v>11103000</v>
      </c>
      <c r="BG172" s="7">
        <v>850000</v>
      </c>
      <c r="BH172" s="7">
        <v>542000</v>
      </c>
      <c r="BI172" s="11"/>
      <c r="BJ172" s="11"/>
      <c r="BK172" s="11"/>
      <c r="BL172" s="11"/>
      <c r="BM172" s="11"/>
      <c r="BN172" s="11">
        <v>28289000</v>
      </c>
      <c r="BO172" s="11">
        <v>37905000</v>
      </c>
      <c r="BP172" s="11">
        <v>65832000</v>
      </c>
      <c r="BQ172" s="11">
        <v>63308000</v>
      </c>
      <c r="BR172" s="11">
        <v>243301000</v>
      </c>
      <c r="BS172" s="11">
        <v>61683000</v>
      </c>
      <c r="BT172" s="11">
        <v>69264000</v>
      </c>
      <c r="BU172" s="11">
        <v>92489000</v>
      </c>
      <c r="BV172" s="11">
        <v>83558000</v>
      </c>
      <c r="BW172" s="11">
        <v>260119000</v>
      </c>
      <c r="BX172" s="7"/>
      <c r="BY172" s="7"/>
      <c r="BZ172" s="7"/>
      <c r="CA172" s="7"/>
      <c r="CB172" s="7"/>
      <c r="CC172" s="11"/>
      <c r="CD172" s="11"/>
      <c r="CE172" s="11"/>
      <c r="CF172" s="11"/>
      <c r="CG172" s="11"/>
      <c r="CH172" s="7"/>
      <c r="CI172" s="7"/>
      <c r="CJ172" s="7"/>
      <c r="CK172" s="7"/>
      <c r="CL172" s="7"/>
      <c r="CM172" s="11">
        <v>17067000</v>
      </c>
      <c r="CN172" s="11">
        <v>21907000</v>
      </c>
      <c r="CO172" s="11">
        <v>28673000</v>
      </c>
      <c r="CP172" s="11">
        <v>28684000</v>
      </c>
      <c r="CQ172" s="11">
        <v>-1123000</v>
      </c>
      <c r="CR172" s="11"/>
      <c r="CS172" s="11">
        <v>8059000</v>
      </c>
      <c r="CT172" s="11">
        <v>9765000</v>
      </c>
      <c r="CU172" s="11">
        <v>24313000</v>
      </c>
      <c r="CV172" s="11">
        <v>71951000</v>
      </c>
      <c r="CW172" s="11">
        <v>13639000</v>
      </c>
      <c r="CX172" s="11">
        <v>9661000</v>
      </c>
      <c r="CY172" s="11">
        <v>2867000</v>
      </c>
      <c r="CZ172" s="11">
        <v>311000</v>
      </c>
      <c r="DA172" s="11"/>
      <c r="DB172" s="11">
        <v>13639000</v>
      </c>
      <c r="DC172" s="11">
        <v>17720000</v>
      </c>
      <c r="DD172" s="11">
        <v>12632000</v>
      </c>
      <c r="DE172" s="11">
        <v>24624000</v>
      </c>
      <c r="DF172" s="11">
        <v>71951000</v>
      </c>
      <c r="DG172" s="7"/>
      <c r="DH172" s="7"/>
      <c r="DI172" s="7"/>
      <c r="DJ172" s="7"/>
      <c r="DK172" s="7"/>
      <c r="DL172" s="7">
        <v>30977000</v>
      </c>
      <c r="DM172" s="7">
        <v>29636000</v>
      </c>
      <c r="DN172" s="7">
        <v>51184000</v>
      </c>
      <c r="DO172" s="7">
        <v>30249000</v>
      </c>
      <c r="DP172" s="7">
        <v>189291000</v>
      </c>
      <c r="DQ172" s="11"/>
      <c r="DR172" s="11"/>
      <c r="DS172" s="11"/>
      <c r="DT172" s="11"/>
      <c r="DU172" s="11"/>
      <c r="DV172" s="11"/>
      <c r="DW172" s="11"/>
      <c r="DX172" s="11"/>
      <c r="DY172" s="11"/>
      <c r="DZ172" s="11"/>
      <c r="EA172" s="11">
        <v>30977000</v>
      </c>
      <c r="EB172" s="11">
        <v>29636000</v>
      </c>
      <c r="EC172" s="11">
        <v>51184000</v>
      </c>
      <c r="ED172" s="11">
        <v>30249000</v>
      </c>
      <c r="EE172" s="11">
        <v>189291000</v>
      </c>
      <c r="EF172" s="7">
        <v>97070000</v>
      </c>
      <c r="EG172" s="7">
        <v>65882000</v>
      </c>
      <c r="EH172" s="7">
        <v>117063000</v>
      </c>
      <c r="EI172" s="7">
        <v>67012000</v>
      </c>
      <c r="EJ172" s="7">
        <v>252902000</v>
      </c>
      <c r="EK172" s="7">
        <v>72267000</v>
      </c>
      <c r="EL172" s="7">
        <v>57126000</v>
      </c>
      <c r="EM172" s="7">
        <v>100015000</v>
      </c>
      <c r="EN172" s="7">
        <v>62208000</v>
      </c>
      <c r="EO172" s="7">
        <v>271463000</v>
      </c>
      <c r="EP172" s="7"/>
      <c r="EQ172" s="7"/>
      <c r="ER172" s="7"/>
      <c r="ES172" s="7"/>
      <c r="ET172" s="7"/>
      <c r="EU172" s="7"/>
      <c r="EV172" s="7"/>
      <c r="EW172" s="7"/>
      <c r="EX172" s="7"/>
      <c r="EY172" s="7"/>
      <c r="EZ172" s="11"/>
      <c r="FA172" s="11"/>
      <c r="FB172" s="11"/>
      <c r="FC172" s="11"/>
      <c r="FD172" s="11"/>
      <c r="FE172" s="11"/>
      <c r="FF172" s="11"/>
      <c r="FG172" s="11"/>
      <c r="FH172" s="11"/>
      <c r="FI172" s="11"/>
      <c r="FJ172" s="11">
        <v>3000</v>
      </c>
      <c r="FK172" s="11">
        <v>690000</v>
      </c>
      <c r="FL172" s="11">
        <v>1517000</v>
      </c>
      <c r="FM172" s="11">
        <v>3824000</v>
      </c>
      <c r="FN172" s="11">
        <v>7653000</v>
      </c>
      <c r="FO172" s="7">
        <v>1000</v>
      </c>
      <c r="FP172" s="7">
        <v>3633000</v>
      </c>
      <c r="FQ172" s="7">
        <v>1032000</v>
      </c>
      <c r="FR172" s="7">
        <v>1445000</v>
      </c>
      <c r="FS172" s="7">
        <v>4126000</v>
      </c>
      <c r="FT172" s="7">
        <v>1156000</v>
      </c>
      <c r="FU172" s="7">
        <v>6649000</v>
      </c>
      <c r="FV172" s="7">
        <v>2448000</v>
      </c>
      <c r="FW172" s="7">
        <v>1797000</v>
      </c>
      <c r="FX172" s="7">
        <v>5209000</v>
      </c>
      <c r="FY172" s="11">
        <v>4628000</v>
      </c>
      <c r="FZ172" s="11">
        <v>263000</v>
      </c>
      <c r="GA172" s="11">
        <v>-2823000</v>
      </c>
      <c r="GB172" s="11">
        <v>512000</v>
      </c>
      <c r="GC172" s="11"/>
      <c r="GD172" s="7">
        <v>19017000</v>
      </c>
      <c r="GE172" s="7">
        <v>4787000</v>
      </c>
      <c r="GF172" s="7">
        <v>16938000</v>
      </c>
      <c r="GG172" s="7">
        <v>116000</v>
      </c>
      <c r="GH172" s="7">
        <v>-27297000</v>
      </c>
    </row>
    <row r="173" spans="1:190" x14ac:dyDescent="0.25">
      <c r="A173" s="4">
        <v>172</v>
      </c>
      <c r="B173" s="5" t="s">
        <v>626</v>
      </c>
      <c r="C173" s="9" t="s">
        <v>627</v>
      </c>
      <c r="D173" s="7">
        <v>9</v>
      </c>
      <c r="E173" s="6" t="s">
        <v>628</v>
      </c>
      <c r="F173" s="11">
        <v>410348</v>
      </c>
      <c r="G173" s="11">
        <v>5727501</v>
      </c>
      <c r="H173" s="11">
        <v>922391</v>
      </c>
      <c r="I173" s="11">
        <v>6222893</v>
      </c>
      <c r="J173" s="11">
        <v>58483</v>
      </c>
      <c r="K173" s="11">
        <v>3711418</v>
      </c>
      <c r="L173" s="11">
        <v>5198244</v>
      </c>
      <c r="M173" s="11">
        <v>10538847</v>
      </c>
      <c r="N173" s="11">
        <v>1033008</v>
      </c>
      <c r="O173" s="11">
        <v>1924226</v>
      </c>
      <c r="P173" s="7">
        <v>110033000</v>
      </c>
      <c r="Q173" s="7">
        <v>315157000</v>
      </c>
      <c r="R173" s="7">
        <v>64743000</v>
      </c>
      <c r="S173" s="7">
        <v>63145000</v>
      </c>
      <c r="T173" s="7">
        <v>54865000</v>
      </c>
      <c r="U173" s="11"/>
      <c r="V173" s="11"/>
      <c r="W173" s="11"/>
      <c r="X173" s="11"/>
      <c r="Y173" s="11"/>
      <c r="Z173" s="11"/>
      <c r="AA173" s="11">
        <v>10000</v>
      </c>
      <c r="AB173" s="11">
        <v>10000</v>
      </c>
      <c r="AC173" s="11"/>
      <c r="AD173" s="11"/>
      <c r="AE173" s="11"/>
      <c r="AF173" s="11"/>
      <c r="AG173" s="11"/>
      <c r="AH173" s="11"/>
      <c r="AI173" s="11"/>
      <c r="AJ173" s="11">
        <v>110033000</v>
      </c>
      <c r="AK173" s="11">
        <v>315167000</v>
      </c>
      <c r="AL173" s="11">
        <v>64753000</v>
      </c>
      <c r="AM173" s="11">
        <v>63145000</v>
      </c>
      <c r="AN173" s="11">
        <v>54865000</v>
      </c>
      <c r="AO173" s="7">
        <v>205057000</v>
      </c>
      <c r="AP173" s="7">
        <v>32604000</v>
      </c>
      <c r="AQ173" s="7">
        <v>3255000</v>
      </c>
      <c r="AR173" s="7">
        <v>3255000</v>
      </c>
      <c r="AS173" s="7"/>
      <c r="AT173" s="7">
        <v>410508000</v>
      </c>
      <c r="AU173" s="7">
        <v>373851000</v>
      </c>
      <c r="AV173" s="7">
        <v>193984000</v>
      </c>
      <c r="AW173" s="7">
        <v>193984000</v>
      </c>
      <c r="AX173" s="7">
        <v>117568000</v>
      </c>
      <c r="AY173" s="11">
        <v>7723000</v>
      </c>
      <c r="AZ173" s="11">
        <v>2708000</v>
      </c>
      <c r="BA173" s="11"/>
      <c r="BB173" s="11"/>
      <c r="BC173" s="11"/>
      <c r="BD173" s="7">
        <v>304000</v>
      </c>
      <c r="BE173" s="7">
        <v>5221000</v>
      </c>
      <c r="BF173" s="7">
        <v>335000</v>
      </c>
      <c r="BG173" s="7"/>
      <c r="BH173" s="7">
        <v>8323000</v>
      </c>
      <c r="BI173" s="11">
        <v>7823000</v>
      </c>
      <c r="BJ173" s="11">
        <v>45413000</v>
      </c>
      <c r="BK173" s="11"/>
      <c r="BL173" s="11"/>
      <c r="BM173" s="11"/>
      <c r="BN173" s="11">
        <v>633127000</v>
      </c>
      <c r="BO173" s="11">
        <v>461047000</v>
      </c>
      <c r="BP173" s="11">
        <v>197574000</v>
      </c>
      <c r="BQ173" s="11">
        <v>197239000</v>
      </c>
      <c r="BR173" s="11">
        <v>125891000</v>
      </c>
      <c r="BS173" s="11">
        <v>743160000</v>
      </c>
      <c r="BT173" s="11">
        <v>776214000</v>
      </c>
      <c r="BU173" s="11">
        <v>262327000</v>
      </c>
      <c r="BV173" s="11">
        <v>260384000</v>
      </c>
      <c r="BW173" s="11">
        <v>180756000</v>
      </c>
      <c r="BX173" s="7">
        <v>10000</v>
      </c>
      <c r="BY173" s="7">
        <v>10000</v>
      </c>
      <c r="BZ173" s="7"/>
      <c r="CA173" s="7">
        <v>10000</v>
      </c>
      <c r="CB173" s="7">
        <v>10000</v>
      </c>
      <c r="CC173" s="11"/>
      <c r="CD173" s="11"/>
      <c r="CE173" s="11"/>
      <c r="CF173" s="11"/>
      <c r="CG173" s="11"/>
      <c r="CH173" s="7">
        <v>14685000</v>
      </c>
      <c r="CI173" s="7">
        <v>-294746000</v>
      </c>
      <c r="CJ173" s="7"/>
      <c r="CK173" s="7">
        <v>-415994000</v>
      </c>
      <c r="CL173" s="7">
        <v>-236254000</v>
      </c>
      <c r="CM173" s="11">
        <v>14695000</v>
      </c>
      <c r="CN173" s="11">
        <v>-294736000</v>
      </c>
      <c r="CO173" s="11">
        <v>-415984000</v>
      </c>
      <c r="CP173" s="11">
        <v>-415984000</v>
      </c>
      <c r="CQ173" s="11">
        <v>-236244000</v>
      </c>
      <c r="CR173" s="11">
        <v>16459000</v>
      </c>
      <c r="CS173" s="11"/>
      <c r="CT173" s="11"/>
      <c r="CU173" s="11"/>
      <c r="CV173" s="11"/>
      <c r="CW173" s="11">
        <v>50277000</v>
      </c>
      <c r="CX173" s="11">
        <v>268764000</v>
      </c>
      <c r="CY173" s="11">
        <v>20968000</v>
      </c>
      <c r="CZ173" s="11">
        <v>20968000</v>
      </c>
      <c r="DA173" s="11"/>
      <c r="DB173" s="11">
        <v>68327000</v>
      </c>
      <c r="DC173" s="11">
        <v>268764000</v>
      </c>
      <c r="DD173" s="11">
        <v>20968000</v>
      </c>
      <c r="DE173" s="11">
        <v>20968000</v>
      </c>
      <c r="DF173" s="11"/>
      <c r="DG173" s="7">
        <v>14333000</v>
      </c>
      <c r="DH173" s="7">
        <v>39163000</v>
      </c>
      <c r="DI173" s="7">
        <v>49617000</v>
      </c>
      <c r="DJ173" s="7">
        <v>49617000</v>
      </c>
      <c r="DK173" s="7"/>
      <c r="DL173" s="7">
        <v>643501000</v>
      </c>
      <c r="DM173" s="7">
        <v>763023000</v>
      </c>
      <c r="DN173" s="7">
        <v>607726000</v>
      </c>
      <c r="DO173" s="7">
        <v>605783000</v>
      </c>
      <c r="DP173" s="7">
        <v>417000000</v>
      </c>
      <c r="DQ173" s="11">
        <v>2305000</v>
      </c>
      <c r="DR173" s="11"/>
      <c r="DS173" s="11"/>
      <c r="DT173" s="11"/>
      <c r="DU173" s="11"/>
      <c r="DV173" s="11"/>
      <c r="DW173" s="11"/>
      <c r="DX173" s="11"/>
      <c r="DY173" s="11"/>
      <c r="DZ173" s="11"/>
      <c r="EA173" s="11">
        <v>660138000</v>
      </c>
      <c r="EB173" s="11">
        <v>802186000</v>
      </c>
      <c r="EC173" s="11">
        <v>657343000</v>
      </c>
      <c r="ED173" s="11">
        <v>655400000</v>
      </c>
      <c r="EE173" s="11">
        <v>417000000</v>
      </c>
      <c r="EF173" s="7">
        <v>758301000</v>
      </c>
      <c r="EG173" s="7">
        <v>826626000</v>
      </c>
      <c r="EH173" s="7">
        <v>404004000</v>
      </c>
      <c r="EI173" s="7"/>
      <c r="EJ173" s="7">
        <v>611000</v>
      </c>
      <c r="EK173" s="7">
        <v>379057000</v>
      </c>
      <c r="EL173" s="7">
        <v>765723000</v>
      </c>
      <c r="EM173" s="7">
        <v>573429000</v>
      </c>
      <c r="EN173" s="7"/>
      <c r="EO173" s="7"/>
      <c r="EP173" s="7"/>
      <c r="EQ173" s="7"/>
      <c r="ER173" s="7"/>
      <c r="ES173" s="7"/>
      <c r="ET173" s="7"/>
      <c r="EU173" s="7">
        <v>319958000</v>
      </c>
      <c r="EV173" s="7">
        <v>180551000</v>
      </c>
      <c r="EW173" s="7"/>
      <c r="EX173" s="7"/>
      <c r="EY173" s="7"/>
      <c r="EZ173" s="11"/>
      <c r="FA173" s="11"/>
      <c r="FB173" s="11"/>
      <c r="FC173" s="11"/>
      <c r="FD173" s="11"/>
      <c r="FE173" s="11"/>
      <c r="FF173" s="11">
        <v>174000</v>
      </c>
      <c r="FG173" s="11"/>
      <c r="FH173" s="11"/>
      <c r="FI173" s="11"/>
      <c r="FJ173" s="11"/>
      <c r="FK173" s="11">
        <v>23102000</v>
      </c>
      <c r="FL173" s="11">
        <v>2720000</v>
      </c>
      <c r="FM173" s="11"/>
      <c r="FN173" s="11"/>
      <c r="FO173" s="7">
        <v>8503000</v>
      </c>
      <c r="FP173" s="7">
        <v>68639000</v>
      </c>
      <c r="FQ173" s="7">
        <v>276856000</v>
      </c>
      <c r="FR173" s="7"/>
      <c r="FS173" s="7"/>
      <c r="FT173" s="7">
        <v>57667000</v>
      </c>
      <c r="FU173" s="7">
        <v>76760000</v>
      </c>
      <c r="FV173" s="7">
        <v>209871000</v>
      </c>
      <c r="FW173" s="7"/>
      <c r="FX173" s="7">
        <v>611000</v>
      </c>
      <c r="FY173" s="11">
        <v>-2025000</v>
      </c>
      <c r="FZ173" s="11">
        <v>-3668000</v>
      </c>
      <c r="GA173" s="11"/>
      <c r="GB173" s="11"/>
      <c r="GC173" s="11"/>
      <c r="GD173" s="7">
        <v>5490000</v>
      </c>
      <c r="GE173" s="7">
        <v>-154365000</v>
      </c>
      <c r="GF173" s="7">
        <v>-105160000</v>
      </c>
      <c r="GG173" s="7"/>
      <c r="GH173" s="7"/>
    </row>
    <row r="174" spans="1:190" x14ac:dyDescent="0.25">
      <c r="A174" s="4">
        <v>173</v>
      </c>
      <c r="B174" s="5" t="s">
        <v>629</v>
      </c>
      <c r="C174" s="9" t="s">
        <v>630</v>
      </c>
      <c r="D174" s="7">
        <v>9</v>
      </c>
      <c r="E174" s="6" t="s">
        <v>190</v>
      </c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7">
        <v>145264000</v>
      </c>
      <c r="Q174" s="7">
        <v>80834000</v>
      </c>
      <c r="R174" s="7">
        <v>87015000</v>
      </c>
      <c r="S174" s="7">
        <v>3414000</v>
      </c>
      <c r="T174" s="7"/>
      <c r="U174" s="11"/>
      <c r="V174" s="11"/>
      <c r="W174" s="11"/>
      <c r="X174" s="11"/>
      <c r="Y174" s="11"/>
      <c r="Z174" s="11"/>
      <c r="AA174" s="11"/>
      <c r="AB174" s="11">
        <v>2442000</v>
      </c>
      <c r="AC174" s="11">
        <v>24104000</v>
      </c>
      <c r="AD174" s="11">
        <v>24104000</v>
      </c>
      <c r="AE174" s="11"/>
      <c r="AF174" s="11"/>
      <c r="AG174" s="11"/>
      <c r="AH174" s="11"/>
      <c r="AI174" s="11"/>
      <c r="AJ174" s="11">
        <v>145264000</v>
      </c>
      <c r="AK174" s="11">
        <v>80834000</v>
      </c>
      <c r="AL174" s="11">
        <v>89457000</v>
      </c>
      <c r="AM174" s="11">
        <v>27518000</v>
      </c>
      <c r="AN174" s="11">
        <v>24104000</v>
      </c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11"/>
      <c r="AZ174" s="11"/>
      <c r="BA174" s="11"/>
      <c r="BB174" s="11"/>
      <c r="BC174" s="11"/>
      <c r="BD174" s="7"/>
      <c r="BE174" s="7"/>
      <c r="BF174" s="7"/>
      <c r="BG174" s="7"/>
      <c r="BH174" s="7">
        <v>2944000</v>
      </c>
      <c r="BI174" s="11"/>
      <c r="BJ174" s="11"/>
      <c r="BK174" s="11"/>
      <c r="BL174" s="11"/>
      <c r="BM174" s="11"/>
      <c r="BN174" s="11"/>
      <c r="BO174" s="11"/>
      <c r="BP174" s="11"/>
      <c r="BQ174" s="11"/>
      <c r="BR174" s="11">
        <v>2944000</v>
      </c>
      <c r="BS174" s="11">
        <v>145264000</v>
      </c>
      <c r="BT174" s="11">
        <v>80834000</v>
      </c>
      <c r="BU174" s="11">
        <v>89457000</v>
      </c>
      <c r="BV174" s="11">
        <v>27518000</v>
      </c>
      <c r="BW174" s="11">
        <v>27048000</v>
      </c>
      <c r="BX174" s="7">
        <v>10000</v>
      </c>
      <c r="BY174" s="7">
        <v>10000</v>
      </c>
      <c r="BZ174" s="7">
        <v>10000</v>
      </c>
      <c r="CA174" s="7">
        <v>10000</v>
      </c>
      <c r="CB174" s="7">
        <v>10000</v>
      </c>
      <c r="CC174" s="11"/>
      <c r="CD174" s="11"/>
      <c r="CE174" s="11"/>
      <c r="CF174" s="11"/>
      <c r="CG174" s="11"/>
      <c r="CH174" s="7">
        <v>-110000</v>
      </c>
      <c r="CI174" s="7">
        <v>-65838000</v>
      </c>
      <c r="CJ174" s="7">
        <v>-91600000</v>
      </c>
      <c r="CK174" s="7">
        <v>-94440000</v>
      </c>
      <c r="CL174" s="7">
        <v>-93825000</v>
      </c>
      <c r="CM174" s="11">
        <v>-100000</v>
      </c>
      <c r="CN174" s="11">
        <v>-65828000</v>
      </c>
      <c r="CO174" s="11">
        <v>-91590000</v>
      </c>
      <c r="CP174" s="11">
        <v>-94430000</v>
      </c>
      <c r="CQ174" s="11">
        <v>-93815000</v>
      </c>
      <c r="CR174" s="11"/>
      <c r="CS174" s="11"/>
      <c r="CT174" s="11"/>
      <c r="CU174" s="11"/>
      <c r="CV174" s="11"/>
      <c r="CW174" s="11"/>
      <c r="CX174" s="11"/>
      <c r="CY174" s="11"/>
      <c r="CZ174" s="11"/>
      <c r="DA174" s="11"/>
      <c r="DB174" s="11"/>
      <c r="DC174" s="11"/>
      <c r="DD174" s="11"/>
      <c r="DE174" s="11"/>
      <c r="DF174" s="11"/>
      <c r="DG174" s="7"/>
      <c r="DH174" s="7"/>
      <c r="DI174" s="7"/>
      <c r="DJ174" s="7"/>
      <c r="DK174" s="7"/>
      <c r="DL174" s="7">
        <v>140987000</v>
      </c>
      <c r="DM174" s="7">
        <v>146662000</v>
      </c>
      <c r="DN174" s="7">
        <v>181047000</v>
      </c>
      <c r="DO174" s="7">
        <v>121948000</v>
      </c>
      <c r="DP174" s="7">
        <v>120863000</v>
      </c>
      <c r="DQ174" s="11"/>
      <c r="DR174" s="11"/>
      <c r="DS174" s="11"/>
      <c r="DT174" s="11"/>
      <c r="DU174" s="11"/>
      <c r="DV174" s="11">
        <v>4377000</v>
      </c>
      <c r="DW174" s="11"/>
      <c r="DX174" s="11"/>
      <c r="DY174" s="11"/>
      <c r="DZ174" s="11"/>
      <c r="EA174" s="11">
        <v>145364000</v>
      </c>
      <c r="EB174" s="11">
        <v>146662000</v>
      </c>
      <c r="EC174" s="11">
        <v>181047000</v>
      </c>
      <c r="ED174" s="11">
        <v>121948000</v>
      </c>
      <c r="EE174" s="11">
        <v>120863000</v>
      </c>
      <c r="EF174" s="7"/>
      <c r="EG174" s="7"/>
      <c r="EH174" s="7"/>
      <c r="EI174" s="7"/>
      <c r="EJ174" s="7"/>
      <c r="EK174" s="7"/>
      <c r="EL174" s="7"/>
      <c r="EM174" s="7"/>
      <c r="EN174" s="7"/>
      <c r="EO174" s="7"/>
      <c r="EP174" s="7"/>
      <c r="EQ174" s="7"/>
      <c r="ER174" s="7"/>
      <c r="ES174" s="7"/>
      <c r="ET174" s="7"/>
      <c r="EU174" s="7"/>
      <c r="EV174" s="7"/>
      <c r="EW174" s="7"/>
      <c r="EX174" s="7"/>
      <c r="EY174" s="7"/>
      <c r="EZ174" s="11"/>
      <c r="FA174" s="11"/>
      <c r="FB174" s="11"/>
      <c r="FC174" s="11"/>
      <c r="FD174" s="11"/>
      <c r="FE174" s="11"/>
      <c r="FF174" s="11"/>
      <c r="FG174" s="11"/>
      <c r="FH174" s="11"/>
      <c r="FI174" s="11"/>
      <c r="FJ174" s="11"/>
      <c r="FK174" s="11"/>
      <c r="FL174" s="11"/>
      <c r="FM174" s="11"/>
      <c r="FN174" s="11"/>
      <c r="FO174" s="7"/>
      <c r="FP174" s="7"/>
      <c r="FQ174" s="7"/>
      <c r="FR174" s="7">
        <v>83705000</v>
      </c>
      <c r="FS174" s="7">
        <v>4268000</v>
      </c>
      <c r="FT174" s="7"/>
      <c r="FU174" s="7">
        <v>65728000</v>
      </c>
      <c r="FV174" s="7">
        <v>25762000</v>
      </c>
      <c r="FW174" s="7">
        <v>86545000</v>
      </c>
      <c r="FX174" s="7">
        <v>3709000</v>
      </c>
      <c r="FY174" s="11"/>
      <c r="FZ174" s="11"/>
      <c r="GA174" s="11"/>
      <c r="GB174" s="11"/>
      <c r="GC174" s="11">
        <v>56000</v>
      </c>
      <c r="GD174" s="7"/>
      <c r="GE174" s="7">
        <v>-65728000</v>
      </c>
      <c r="GF174" s="7">
        <v>-25762000</v>
      </c>
      <c r="GG174" s="7">
        <v>-2840000</v>
      </c>
      <c r="GH174" s="7">
        <v>615000</v>
      </c>
    </row>
    <row r="175" spans="1:190" ht="26.25" x14ac:dyDescent="0.25">
      <c r="A175" s="4">
        <v>174</v>
      </c>
      <c r="B175" s="5" t="s">
        <v>631</v>
      </c>
      <c r="C175" s="9" t="s">
        <v>632</v>
      </c>
      <c r="D175" s="7">
        <v>8</v>
      </c>
      <c r="E175" s="6" t="s">
        <v>633</v>
      </c>
      <c r="F175" s="11"/>
      <c r="G175" s="11"/>
      <c r="H175" s="11"/>
      <c r="I175" s="11"/>
      <c r="J175" s="11"/>
      <c r="K175" s="11">
        <v>940270</v>
      </c>
      <c r="L175" s="11"/>
      <c r="M175" s="11"/>
      <c r="N175" s="11"/>
      <c r="O175" s="11"/>
      <c r="P175" s="7">
        <v>202000</v>
      </c>
      <c r="Q175" s="7"/>
      <c r="R175" s="7"/>
      <c r="S175" s="7"/>
      <c r="T175" s="7"/>
      <c r="U175" s="11"/>
      <c r="V175" s="11"/>
      <c r="W175" s="11"/>
      <c r="X175" s="11"/>
      <c r="Y175" s="11"/>
      <c r="Z175" s="11"/>
      <c r="AA175" s="11"/>
      <c r="AB175" s="11"/>
      <c r="AC175" s="11">
        <v>100000</v>
      </c>
      <c r="AD175" s="11">
        <v>935000</v>
      </c>
      <c r="AE175" s="11"/>
      <c r="AF175" s="11"/>
      <c r="AG175" s="11"/>
      <c r="AH175" s="11"/>
      <c r="AI175" s="11"/>
      <c r="AJ175" s="11">
        <v>202000</v>
      </c>
      <c r="AK175" s="11"/>
      <c r="AL175" s="11"/>
      <c r="AM175" s="11">
        <v>100000</v>
      </c>
      <c r="AN175" s="11">
        <v>935000</v>
      </c>
      <c r="AO175" s="7">
        <v>401000</v>
      </c>
      <c r="AP175" s="7">
        <v>554000</v>
      </c>
      <c r="AQ175" s="7">
        <v>155000</v>
      </c>
      <c r="AR175" s="7">
        <v>288000</v>
      </c>
      <c r="AS175" s="7">
        <v>83000</v>
      </c>
      <c r="AT175" s="7">
        <v>8950000</v>
      </c>
      <c r="AU175" s="7">
        <v>14014000</v>
      </c>
      <c r="AV175" s="7">
        <v>20416000</v>
      </c>
      <c r="AW175" s="7">
        <v>21284000</v>
      </c>
      <c r="AX175" s="7">
        <v>9015000</v>
      </c>
      <c r="AY175" s="11"/>
      <c r="AZ175" s="11"/>
      <c r="BA175" s="11"/>
      <c r="BB175" s="11"/>
      <c r="BC175" s="11"/>
      <c r="BD175" s="7">
        <v>791000</v>
      </c>
      <c r="BE175" s="7">
        <v>15000</v>
      </c>
      <c r="BF175" s="7">
        <v>37000</v>
      </c>
      <c r="BG175" s="7">
        <v>40000</v>
      </c>
      <c r="BH175" s="7">
        <v>34000</v>
      </c>
      <c r="BI175" s="11"/>
      <c r="BJ175" s="11"/>
      <c r="BK175" s="11"/>
      <c r="BL175" s="11"/>
      <c r="BM175" s="11"/>
      <c r="BN175" s="11">
        <v>10142000</v>
      </c>
      <c r="BO175" s="11">
        <v>14583000</v>
      </c>
      <c r="BP175" s="11">
        <v>20608000</v>
      </c>
      <c r="BQ175" s="11">
        <v>21612000</v>
      </c>
      <c r="BR175" s="11">
        <v>9132000</v>
      </c>
      <c r="BS175" s="11">
        <v>10344000</v>
      </c>
      <c r="BT175" s="11">
        <v>14583000</v>
      </c>
      <c r="BU175" s="11">
        <v>20608000</v>
      </c>
      <c r="BV175" s="11">
        <v>21712000</v>
      </c>
      <c r="BW175" s="11">
        <v>10067000</v>
      </c>
      <c r="BX175" s="7"/>
      <c r="BY175" s="7"/>
      <c r="BZ175" s="7"/>
      <c r="CA175" s="7"/>
      <c r="CB175" s="7"/>
      <c r="CC175" s="11"/>
      <c r="CD175" s="11"/>
      <c r="CE175" s="11"/>
      <c r="CF175" s="11"/>
      <c r="CG175" s="11"/>
      <c r="CH175" s="7"/>
      <c r="CI175" s="7"/>
      <c r="CJ175" s="7"/>
      <c r="CK175" s="7"/>
      <c r="CL175" s="7"/>
      <c r="CM175" s="11">
        <v>10000</v>
      </c>
      <c r="CN175" s="11">
        <v>10000</v>
      </c>
      <c r="CO175" s="11">
        <v>10000</v>
      </c>
      <c r="CP175" s="11">
        <v>10000</v>
      </c>
      <c r="CQ175" s="11">
        <v>-22482000</v>
      </c>
      <c r="CR175" s="11"/>
      <c r="CS175" s="11"/>
      <c r="CT175" s="11"/>
      <c r="CU175" s="11">
        <v>1889000</v>
      </c>
      <c r="CV175" s="11"/>
      <c r="CW175" s="11"/>
      <c r="CX175" s="11"/>
      <c r="CY175" s="11"/>
      <c r="CZ175" s="11"/>
      <c r="DA175" s="11"/>
      <c r="DB175" s="11"/>
      <c r="DC175" s="11"/>
      <c r="DD175" s="11"/>
      <c r="DE175" s="11">
        <v>1889000</v>
      </c>
      <c r="DF175" s="11"/>
      <c r="DG175" s="7">
        <v>1069000</v>
      </c>
      <c r="DH175" s="7">
        <v>582000</v>
      </c>
      <c r="DI175" s="7">
        <v>2484000</v>
      </c>
      <c r="DJ175" s="7">
        <v>532000</v>
      </c>
      <c r="DK175" s="7"/>
      <c r="DL175" s="7">
        <v>9265000</v>
      </c>
      <c r="DM175" s="7">
        <v>13992000</v>
      </c>
      <c r="DN175" s="7">
        <v>18114000</v>
      </c>
      <c r="DO175" s="7">
        <v>19266000</v>
      </c>
      <c r="DP175" s="7">
        <v>32545000</v>
      </c>
      <c r="DQ175" s="11"/>
      <c r="DR175" s="11"/>
      <c r="DS175" s="11"/>
      <c r="DT175" s="11"/>
      <c r="DU175" s="11"/>
      <c r="DV175" s="11"/>
      <c r="DW175" s="11"/>
      <c r="DX175" s="11"/>
      <c r="DY175" s="11">
        <v>15000</v>
      </c>
      <c r="DZ175" s="11">
        <v>5000</v>
      </c>
      <c r="EA175" s="11">
        <v>10334000</v>
      </c>
      <c r="EB175" s="11">
        <v>14574000</v>
      </c>
      <c r="EC175" s="11">
        <v>20598000</v>
      </c>
      <c r="ED175" s="11">
        <v>19813000</v>
      </c>
      <c r="EE175" s="11">
        <v>32550000</v>
      </c>
      <c r="EF175" s="7">
        <v>21637000</v>
      </c>
      <c r="EG175" s="7">
        <v>28299000</v>
      </c>
      <c r="EH175" s="7">
        <v>33294000</v>
      </c>
      <c r="EI175" s="7">
        <v>35753000</v>
      </c>
      <c r="EJ175" s="7">
        <v>38477000</v>
      </c>
      <c r="EK175" s="7">
        <v>21065000</v>
      </c>
      <c r="EL175" s="7">
        <v>27654000</v>
      </c>
      <c r="EM175" s="7">
        <v>32476000</v>
      </c>
      <c r="EN175" s="7">
        <v>35174000</v>
      </c>
      <c r="EO175" s="7">
        <v>45125000</v>
      </c>
      <c r="EP175" s="7"/>
      <c r="EQ175" s="7"/>
      <c r="ER175" s="7"/>
      <c r="ES175" s="7"/>
      <c r="ET175" s="7"/>
      <c r="EU175" s="7"/>
      <c r="EV175" s="7"/>
      <c r="EW175" s="7"/>
      <c r="EX175" s="7"/>
      <c r="EY175" s="7"/>
      <c r="EZ175" s="11"/>
      <c r="FA175" s="11"/>
      <c r="FB175" s="11"/>
      <c r="FC175" s="11"/>
      <c r="FD175" s="11"/>
      <c r="FE175" s="11"/>
      <c r="FF175" s="11"/>
      <c r="FG175" s="11"/>
      <c r="FH175" s="11"/>
      <c r="FI175" s="11"/>
      <c r="FJ175" s="11"/>
      <c r="FK175" s="11"/>
      <c r="FL175" s="11"/>
      <c r="FM175" s="11"/>
      <c r="FN175" s="11"/>
      <c r="FO175" s="7"/>
      <c r="FP175" s="7">
        <v>384000</v>
      </c>
      <c r="FQ175" s="7">
        <v>728000</v>
      </c>
      <c r="FR175" s="7">
        <v>853000</v>
      </c>
      <c r="FS175" s="7">
        <v>271000</v>
      </c>
      <c r="FT175" s="7">
        <v>224000</v>
      </c>
      <c r="FU175" s="7">
        <v>328000</v>
      </c>
      <c r="FV175" s="7">
        <v>825000</v>
      </c>
      <c r="FW175" s="7">
        <v>1096000</v>
      </c>
      <c r="FX175" s="7">
        <v>1242000</v>
      </c>
      <c r="FY175" s="11"/>
      <c r="FZ175" s="11"/>
      <c r="GA175" s="11">
        <v>340000</v>
      </c>
      <c r="GB175" s="11">
        <v>250000</v>
      </c>
      <c r="GC175" s="11">
        <v>368000</v>
      </c>
      <c r="GD175" s="7">
        <v>348000</v>
      </c>
      <c r="GE175" s="7">
        <v>701000</v>
      </c>
      <c r="GF175" s="7">
        <v>381000</v>
      </c>
      <c r="GG175" s="7">
        <v>86000</v>
      </c>
      <c r="GH175" s="7">
        <v>-7987000</v>
      </c>
    </row>
    <row r="176" spans="1:190" ht="26.25" x14ac:dyDescent="0.25">
      <c r="A176" s="4">
        <v>175</v>
      </c>
      <c r="B176" s="5" t="s">
        <v>634</v>
      </c>
      <c r="C176" s="9" t="s">
        <v>635</v>
      </c>
      <c r="D176" s="7">
        <v>23</v>
      </c>
      <c r="E176" s="6" t="s">
        <v>636</v>
      </c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7">
        <v>4027000</v>
      </c>
      <c r="Q176" s="7"/>
      <c r="R176" s="7">
        <v>744000</v>
      </c>
      <c r="S176" s="7">
        <v>618000</v>
      </c>
      <c r="T176" s="7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>
        <v>4027000</v>
      </c>
      <c r="AK176" s="11"/>
      <c r="AL176" s="11">
        <v>744000</v>
      </c>
      <c r="AM176" s="11">
        <v>618000</v>
      </c>
      <c r="AN176" s="11"/>
      <c r="AO176" s="7">
        <v>5310000</v>
      </c>
      <c r="AP176" s="7">
        <v>5535000</v>
      </c>
      <c r="AQ176" s="7">
        <v>7638000</v>
      </c>
      <c r="AR176" s="7">
        <v>2218000</v>
      </c>
      <c r="AS176" s="7"/>
      <c r="AT176" s="7">
        <v>8639000</v>
      </c>
      <c r="AU176" s="7">
        <v>14846000</v>
      </c>
      <c r="AV176" s="7">
        <v>15253000</v>
      </c>
      <c r="AW176" s="7">
        <v>12922000</v>
      </c>
      <c r="AX176" s="7"/>
      <c r="AY176" s="11"/>
      <c r="AZ176" s="11"/>
      <c r="BA176" s="11"/>
      <c r="BB176" s="11"/>
      <c r="BC176" s="11"/>
      <c r="BD176" s="7">
        <v>263000</v>
      </c>
      <c r="BE176" s="7">
        <v>447000</v>
      </c>
      <c r="BF176" s="7">
        <v>468000</v>
      </c>
      <c r="BG176" s="7">
        <v>120000</v>
      </c>
      <c r="BH176" s="7"/>
      <c r="BI176" s="11"/>
      <c r="BJ176" s="11"/>
      <c r="BK176" s="11"/>
      <c r="BL176" s="11"/>
      <c r="BM176" s="11"/>
      <c r="BN176" s="11">
        <v>14212000</v>
      </c>
      <c r="BO176" s="11">
        <v>20828000</v>
      </c>
      <c r="BP176" s="11">
        <v>23359000</v>
      </c>
      <c r="BQ176" s="11">
        <v>15260000</v>
      </c>
      <c r="BR176" s="11"/>
      <c r="BS176" s="11">
        <v>18239000</v>
      </c>
      <c r="BT176" s="11">
        <v>20828000</v>
      </c>
      <c r="BU176" s="11">
        <v>24103000</v>
      </c>
      <c r="BV176" s="11">
        <v>15878000</v>
      </c>
      <c r="BW176" s="11"/>
      <c r="BX176" s="7">
        <v>14000</v>
      </c>
      <c r="BY176" s="7">
        <v>14000</v>
      </c>
      <c r="BZ176" s="7">
        <v>14000</v>
      </c>
      <c r="CA176" s="7">
        <v>14000</v>
      </c>
      <c r="CB176" s="7"/>
      <c r="CC176" s="11"/>
      <c r="CD176" s="11"/>
      <c r="CE176" s="11"/>
      <c r="CF176" s="11"/>
      <c r="CG176" s="11"/>
      <c r="CH176" s="7">
        <v>16702000</v>
      </c>
      <c r="CI176" s="7">
        <v>19358000</v>
      </c>
      <c r="CJ176" s="7">
        <v>22015000</v>
      </c>
      <c r="CK176" s="7">
        <v>14405000</v>
      </c>
      <c r="CL176" s="7"/>
      <c r="CM176" s="11">
        <v>16716000</v>
      </c>
      <c r="CN176" s="11">
        <v>19372000</v>
      </c>
      <c r="CO176" s="11">
        <v>22029000</v>
      </c>
      <c r="CP176" s="11">
        <v>14419000</v>
      </c>
      <c r="CQ176" s="11"/>
      <c r="CR176" s="11"/>
      <c r="CS176" s="11"/>
      <c r="CT176" s="11"/>
      <c r="CU176" s="11"/>
      <c r="CV176" s="11"/>
      <c r="CW176" s="11"/>
      <c r="CX176" s="11"/>
      <c r="CY176" s="11"/>
      <c r="CZ176" s="11"/>
      <c r="DA176" s="11"/>
      <c r="DB176" s="11"/>
      <c r="DC176" s="11"/>
      <c r="DD176" s="11"/>
      <c r="DE176" s="11"/>
      <c r="DF176" s="11"/>
      <c r="DG176" s="7">
        <v>1523000</v>
      </c>
      <c r="DH176" s="7"/>
      <c r="DI176" s="7"/>
      <c r="DJ176" s="7"/>
      <c r="DK176" s="7"/>
      <c r="DL176" s="7"/>
      <c r="DM176" s="7">
        <v>1456000</v>
      </c>
      <c r="DN176" s="7">
        <v>2074000</v>
      </c>
      <c r="DO176" s="7">
        <v>1459000</v>
      </c>
      <c r="DP176" s="7"/>
      <c r="DQ176" s="11"/>
      <c r="DR176" s="11"/>
      <c r="DS176" s="11"/>
      <c r="DT176" s="11"/>
      <c r="DU176" s="11"/>
      <c r="DV176" s="11"/>
      <c r="DW176" s="11"/>
      <c r="DX176" s="11"/>
      <c r="DY176" s="11"/>
      <c r="DZ176" s="11"/>
      <c r="EA176" s="11">
        <v>1523000</v>
      </c>
      <c r="EB176" s="11">
        <v>1456000</v>
      </c>
      <c r="EC176" s="11">
        <v>2074000</v>
      </c>
      <c r="ED176" s="11">
        <v>1459000</v>
      </c>
      <c r="EE176" s="11"/>
      <c r="EF176" s="7">
        <v>60187000</v>
      </c>
      <c r="EG176" s="7">
        <v>51655000</v>
      </c>
      <c r="EH176" s="7">
        <v>44893000</v>
      </c>
      <c r="EI176" s="7">
        <v>24778000</v>
      </c>
      <c r="EJ176" s="7"/>
      <c r="EK176" s="7">
        <v>50384000</v>
      </c>
      <c r="EL176" s="7">
        <v>42886000</v>
      </c>
      <c r="EM176" s="7">
        <v>37947000</v>
      </c>
      <c r="EN176" s="7">
        <v>22693000</v>
      </c>
      <c r="EO176" s="7"/>
      <c r="EP176" s="7">
        <v>6439000</v>
      </c>
      <c r="EQ176" s="7">
        <v>8673000</v>
      </c>
      <c r="ER176" s="7">
        <v>5793000</v>
      </c>
      <c r="ES176" s="7">
        <v>9823000</v>
      </c>
      <c r="ET176" s="7"/>
      <c r="EU176" s="7"/>
      <c r="EV176" s="7"/>
      <c r="EW176" s="7"/>
      <c r="EX176" s="7"/>
      <c r="EY176" s="7"/>
      <c r="EZ176" s="11"/>
      <c r="FA176" s="11"/>
      <c r="FB176" s="11"/>
      <c r="FC176" s="11"/>
      <c r="FD176" s="11"/>
      <c r="FE176" s="11"/>
      <c r="FF176" s="11"/>
      <c r="FG176" s="11"/>
      <c r="FH176" s="11"/>
      <c r="FI176" s="11"/>
      <c r="FJ176" s="11"/>
      <c r="FK176" s="11"/>
      <c r="FL176" s="11"/>
      <c r="FM176" s="11"/>
      <c r="FN176" s="11"/>
      <c r="FO176" s="7">
        <v>4872000</v>
      </c>
      <c r="FP176" s="7">
        <v>3666000</v>
      </c>
      <c r="FQ176" s="7">
        <v>2392000</v>
      </c>
      <c r="FR176" s="7">
        <v>767000</v>
      </c>
      <c r="FS176" s="7"/>
      <c r="FT176" s="7">
        <v>571000</v>
      </c>
      <c r="FU176" s="7">
        <v>543000</v>
      </c>
      <c r="FV176" s="7">
        <v>385000</v>
      </c>
      <c r="FW176" s="7">
        <v>382000</v>
      </c>
      <c r="FX176" s="7"/>
      <c r="FY176" s="11">
        <v>-323000</v>
      </c>
      <c r="FZ176" s="11">
        <v>-563000</v>
      </c>
      <c r="GA176" s="11">
        <v>-465000</v>
      </c>
      <c r="GB176" s="11">
        <v>-257000</v>
      </c>
      <c r="GC176" s="11"/>
      <c r="GD176" s="7">
        <v>7239000</v>
      </c>
      <c r="GE176" s="7">
        <v>2656000</v>
      </c>
      <c r="GF176" s="7">
        <v>2657000</v>
      </c>
      <c r="GG176" s="7">
        <v>-7610000</v>
      </c>
      <c r="GH176" s="7"/>
    </row>
    <row r="177" spans="1:190" ht="26.25" x14ac:dyDescent="0.25">
      <c r="A177" s="4">
        <v>176</v>
      </c>
      <c r="B177" s="5" t="s">
        <v>637</v>
      </c>
      <c r="C177" s="9" t="s">
        <v>638</v>
      </c>
      <c r="D177" s="7">
        <v>8</v>
      </c>
      <c r="E177" s="6" t="s">
        <v>255</v>
      </c>
      <c r="F177" s="11"/>
      <c r="G177" s="11">
        <v>210016</v>
      </c>
      <c r="H177" s="11">
        <v>1348631</v>
      </c>
      <c r="I177" s="11">
        <v>38468</v>
      </c>
      <c r="J177" s="11"/>
      <c r="K177" s="11">
        <v>1089283</v>
      </c>
      <c r="L177" s="11">
        <v>2391584</v>
      </c>
      <c r="M177" s="11">
        <v>3914191</v>
      </c>
      <c r="N177" s="11">
        <v>8102043</v>
      </c>
      <c r="O177" s="11">
        <v>5107420</v>
      </c>
      <c r="P177" s="7">
        <v>2704000</v>
      </c>
      <c r="Q177" s="7">
        <v>1526000</v>
      </c>
      <c r="R177" s="7">
        <v>729000</v>
      </c>
      <c r="S177" s="7">
        <v>12652000</v>
      </c>
      <c r="T177" s="7">
        <v>9747000</v>
      </c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>
        <v>2704000</v>
      </c>
      <c r="AK177" s="11">
        <v>1526000</v>
      </c>
      <c r="AL177" s="11">
        <v>729000</v>
      </c>
      <c r="AM177" s="11">
        <v>12652000</v>
      </c>
      <c r="AN177" s="11">
        <v>9747000</v>
      </c>
      <c r="AO177" s="7">
        <v>522000</v>
      </c>
      <c r="AP177" s="7">
        <v>2866000</v>
      </c>
      <c r="AQ177" s="7">
        <v>3131000</v>
      </c>
      <c r="AR177" s="7">
        <v>31909000</v>
      </c>
      <c r="AS177" s="7">
        <v>6226000</v>
      </c>
      <c r="AT177" s="7">
        <v>12611000</v>
      </c>
      <c r="AU177" s="7">
        <v>11128000</v>
      </c>
      <c r="AV177" s="7">
        <v>15832000</v>
      </c>
      <c r="AW177" s="7">
        <v>46818000</v>
      </c>
      <c r="AX177" s="7">
        <v>47410000</v>
      </c>
      <c r="AY177" s="11"/>
      <c r="AZ177" s="11"/>
      <c r="BA177" s="11"/>
      <c r="BB177" s="11"/>
      <c r="BC177" s="11"/>
      <c r="BD177" s="7">
        <v>35000</v>
      </c>
      <c r="BE177" s="7">
        <v>4295000</v>
      </c>
      <c r="BF177" s="7">
        <v>898000</v>
      </c>
      <c r="BG177" s="7">
        <v>3735000</v>
      </c>
      <c r="BH177" s="7">
        <v>4000</v>
      </c>
      <c r="BI177" s="11"/>
      <c r="BJ177" s="11"/>
      <c r="BK177" s="11"/>
      <c r="BL177" s="11"/>
      <c r="BM177" s="11"/>
      <c r="BN177" s="11">
        <v>13168000</v>
      </c>
      <c r="BO177" s="11">
        <v>18289000</v>
      </c>
      <c r="BP177" s="11">
        <v>19861000</v>
      </c>
      <c r="BQ177" s="11">
        <v>82462000</v>
      </c>
      <c r="BR177" s="11">
        <v>53640000</v>
      </c>
      <c r="BS177" s="11">
        <v>15872000</v>
      </c>
      <c r="BT177" s="11">
        <v>19814000</v>
      </c>
      <c r="BU177" s="11">
        <v>20589000</v>
      </c>
      <c r="BV177" s="11">
        <v>95114000</v>
      </c>
      <c r="BW177" s="11">
        <v>63388000</v>
      </c>
      <c r="BX177" s="7"/>
      <c r="BY177" s="7"/>
      <c r="BZ177" s="7"/>
      <c r="CA177" s="7"/>
      <c r="CB177" s="7"/>
      <c r="CC177" s="11"/>
      <c r="CD177" s="11"/>
      <c r="CE177" s="11"/>
      <c r="CF177" s="11"/>
      <c r="CG177" s="11"/>
      <c r="CH177" s="7"/>
      <c r="CI177" s="7"/>
      <c r="CJ177" s="7"/>
      <c r="CK177" s="7"/>
      <c r="CL177" s="7"/>
      <c r="CM177" s="11">
        <v>6931000</v>
      </c>
      <c r="CN177" s="11">
        <v>8705000</v>
      </c>
      <c r="CO177" s="11">
        <v>12342000</v>
      </c>
      <c r="CP177" s="11">
        <v>8858000</v>
      </c>
      <c r="CQ177" s="11">
        <v>4632000</v>
      </c>
      <c r="CR177" s="11">
        <v>1629000</v>
      </c>
      <c r="CS177" s="11">
        <v>3932000</v>
      </c>
      <c r="CT177" s="11">
        <v>1171000</v>
      </c>
      <c r="CU177" s="11">
        <v>21865000</v>
      </c>
      <c r="CV177" s="11">
        <v>16517000</v>
      </c>
      <c r="CW177" s="11">
        <v>3105000</v>
      </c>
      <c r="CX177" s="11">
        <v>695000</v>
      </c>
      <c r="CY177" s="11">
        <v>125000</v>
      </c>
      <c r="CZ177" s="11">
        <v>12652000</v>
      </c>
      <c r="DA177" s="11">
        <v>10591000</v>
      </c>
      <c r="DB177" s="11">
        <v>4734000</v>
      </c>
      <c r="DC177" s="11">
        <v>4627000</v>
      </c>
      <c r="DD177" s="11">
        <v>1296000</v>
      </c>
      <c r="DE177" s="11">
        <v>34517000</v>
      </c>
      <c r="DF177" s="11">
        <v>27108000</v>
      </c>
      <c r="DG177" s="7"/>
      <c r="DH177" s="7"/>
      <c r="DI177" s="7">
        <v>46000</v>
      </c>
      <c r="DJ177" s="7">
        <v>585000</v>
      </c>
      <c r="DK177" s="7">
        <v>2096000</v>
      </c>
      <c r="DL177" s="7">
        <v>4207000</v>
      </c>
      <c r="DM177" s="7">
        <v>6481000</v>
      </c>
      <c r="DN177" s="7">
        <v>6906000</v>
      </c>
      <c r="DO177" s="7">
        <v>51154000</v>
      </c>
      <c r="DP177" s="7">
        <v>29552000</v>
      </c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>
        <v>4207000</v>
      </c>
      <c r="EB177" s="11">
        <v>6481000</v>
      </c>
      <c r="EC177" s="11">
        <v>6952000</v>
      </c>
      <c r="ED177" s="11">
        <v>51739000</v>
      </c>
      <c r="EE177" s="11">
        <v>31648000</v>
      </c>
      <c r="EF177" s="7">
        <v>30975000</v>
      </c>
      <c r="EG177" s="7">
        <v>47862000</v>
      </c>
      <c r="EH177" s="7">
        <v>82674000</v>
      </c>
      <c r="EI177" s="7">
        <v>87627000</v>
      </c>
      <c r="EJ177" s="7">
        <v>49283000</v>
      </c>
      <c r="EK177" s="7">
        <v>29728000</v>
      </c>
      <c r="EL177" s="7">
        <v>45769000</v>
      </c>
      <c r="EM177" s="7">
        <v>72722000</v>
      </c>
      <c r="EN177" s="7">
        <v>84492000</v>
      </c>
      <c r="EO177" s="7">
        <v>49023000</v>
      </c>
      <c r="EP177" s="7"/>
      <c r="EQ177" s="7"/>
      <c r="ER177" s="7"/>
      <c r="ES177" s="7"/>
      <c r="ET177" s="7"/>
      <c r="EU177" s="7"/>
      <c r="EV177" s="7"/>
      <c r="EW177" s="7"/>
      <c r="EX177" s="7"/>
      <c r="EY177" s="7"/>
      <c r="EZ177" s="11"/>
      <c r="FA177" s="11"/>
      <c r="FB177" s="11"/>
      <c r="FC177" s="11"/>
      <c r="FD177" s="11"/>
      <c r="FE177" s="11"/>
      <c r="FF177" s="11"/>
      <c r="FG177" s="11"/>
      <c r="FH177" s="11"/>
      <c r="FI177" s="11"/>
      <c r="FJ177" s="11">
        <v>459000</v>
      </c>
      <c r="FK177" s="11">
        <v>456000</v>
      </c>
      <c r="FL177" s="11">
        <v>1110000</v>
      </c>
      <c r="FM177" s="11">
        <v>1608000</v>
      </c>
      <c r="FN177" s="11">
        <v>2678000</v>
      </c>
      <c r="FO177" s="7"/>
      <c r="FP177" s="7">
        <v>826000</v>
      </c>
      <c r="FQ177" s="7">
        <v>10383000</v>
      </c>
      <c r="FR177" s="7">
        <v>951000</v>
      </c>
      <c r="FS177" s="7">
        <v>397000</v>
      </c>
      <c r="FT177" s="7">
        <v>295000</v>
      </c>
      <c r="FU177" s="7">
        <v>408000</v>
      </c>
      <c r="FV177" s="7">
        <v>16393000</v>
      </c>
      <c r="FW177" s="7">
        <v>3767000</v>
      </c>
      <c r="FX177" s="7">
        <v>2205000</v>
      </c>
      <c r="FY177" s="11">
        <v>181000</v>
      </c>
      <c r="FZ177" s="11">
        <v>263000</v>
      </c>
      <c r="GA177" s="11">
        <v>1202000</v>
      </c>
      <c r="GB177" s="11">
        <v>240000</v>
      </c>
      <c r="GC177" s="11"/>
      <c r="GD177" s="7">
        <v>312000</v>
      </c>
      <c r="GE177" s="7">
        <v>1792000</v>
      </c>
      <c r="GF177" s="7">
        <v>1630000</v>
      </c>
      <c r="GG177" s="7">
        <v>-1529000</v>
      </c>
      <c r="GH177" s="7">
        <v>-4226000</v>
      </c>
    </row>
    <row r="178" spans="1:190" x14ac:dyDescent="0.25">
      <c r="A178" s="4">
        <v>177</v>
      </c>
      <c r="B178" s="5" t="s">
        <v>639</v>
      </c>
      <c r="C178" s="9" t="s">
        <v>640</v>
      </c>
      <c r="D178" s="7">
        <v>13</v>
      </c>
      <c r="E178" s="6" t="s">
        <v>641</v>
      </c>
      <c r="F178" s="11"/>
      <c r="G178" s="11"/>
      <c r="H178" s="11"/>
      <c r="I178" s="11"/>
      <c r="J178" s="11"/>
      <c r="K178" s="11"/>
      <c r="L178" s="11"/>
      <c r="M178" s="11"/>
      <c r="N178" s="11">
        <v>81667</v>
      </c>
      <c r="O178" s="11"/>
      <c r="P178" s="7"/>
      <c r="Q178" s="7"/>
      <c r="R178" s="7"/>
      <c r="S178" s="7"/>
      <c r="T178" s="7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7">
        <v>34484000</v>
      </c>
      <c r="AP178" s="7">
        <v>34484000</v>
      </c>
      <c r="AQ178" s="7">
        <v>34484000</v>
      </c>
      <c r="AR178" s="7">
        <v>34484000</v>
      </c>
      <c r="AS178" s="7"/>
      <c r="AT178" s="7">
        <v>10960000</v>
      </c>
      <c r="AU178" s="7">
        <v>10601000</v>
      </c>
      <c r="AV178" s="7">
        <v>10601000</v>
      </c>
      <c r="AW178" s="7">
        <v>10601000</v>
      </c>
      <c r="AX178" s="7"/>
      <c r="AY178" s="11"/>
      <c r="AZ178" s="11">
        <v>8000</v>
      </c>
      <c r="BA178" s="11">
        <v>8000</v>
      </c>
      <c r="BB178" s="11">
        <v>8000</v>
      </c>
      <c r="BC178" s="11"/>
      <c r="BD178" s="7"/>
      <c r="BE178" s="7"/>
      <c r="BF178" s="7"/>
      <c r="BG178" s="7"/>
      <c r="BH178" s="7"/>
      <c r="BI178" s="11"/>
      <c r="BJ178" s="11"/>
      <c r="BK178" s="11"/>
      <c r="BL178" s="11"/>
      <c r="BM178" s="11"/>
      <c r="BN178" s="11">
        <v>45444000</v>
      </c>
      <c r="BO178" s="11">
        <v>45094000</v>
      </c>
      <c r="BP178" s="11">
        <v>45093000</v>
      </c>
      <c r="BQ178" s="11">
        <v>45093000</v>
      </c>
      <c r="BR178" s="11"/>
      <c r="BS178" s="11">
        <v>45444000</v>
      </c>
      <c r="BT178" s="11">
        <v>45094000</v>
      </c>
      <c r="BU178" s="11">
        <v>45093000</v>
      </c>
      <c r="BV178" s="11">
        <v>45093000</v>
      </c>
      <c r="BW178" s="11"/>
      <c r="BX178" s="7"/>
      <c r="BY178" s="7">
        <v>10000</v>
      </c>
      <c r="BZ178" s="7">
        <v>10000</v>
      </c>
      <c r="CA178" s="7">
        <v>10000</v>
      </c>
      <c r="CB178" s="7"/>
      <c r="CC178" s="11"/>
      <c r="CD178" s="11"/>
      <c r="CE178" s="11"/>
      <c r="CF178" s="11"/>
      <c r="CG178" s="11"/>
      <c r="CH178" s="7"/>
      <c r="CI178" s="7">
        <v>2092000</v>
      </c>
      <c r="CJ178" s="7">
        <v>2092000</v>
      </c>
      <c r="CK178" s="7">
        <v>2092000</v>
      </c>
      <c r="CL178" s="7"/>
      <c r="CM178" s="11">
        <v>2453000</v>
      </c>
      <c r="CN178" s="11">
        <v>2102000</v>
      </c>
      <c r="CO178" s="11">
        <v>2102000</v>
      </c>
      <c r="CP178" s="11">
        <v>2102000</v>
      </c>
      <c r="CQ178" s="11"/>
      <c r="CR178" s="11"/>
      <c r="CS178" s="11"/>
      <c r="CT178" s="11"/>
      <c r="CU178" s="11"/>
      <c r="CV178" s="11"/>
      <c r="CW178" s="11"/>
      <c r="CX178" s="11"/>
      <c r="CY178" s="11"/>
      <c r="CZ178" s="11"/>
      <c r="DA178" s="11"/>
      <c r="DB178" s="11"/>
      <c r="DC178" s="11"/>
      <c r="DD178" s="11"/>
      <c r="DE178" s="11"/>
      <c r="DF178" s="11"/>
      <c r="DG178" s="7"/>
      <c r="DH178" s="7"/>
      <c r="DI178" s="7"/>
      <c r="DJ178" s="7"/>
      <c r="DK178" s="7"/>
      <c r="DL178" s="7">
        <v>42991000</v>
      </c>
      <c r="DM178" s="7">
        <v>42991000</v>
      </c>
      <c r="DN178" s="7">
        <v>42991000</v>
      </c>
      <c r="DO178" s="7">
        <v>42991000</v>
      </c>
      <c r="DP178" s="7"/>
      <c r="DQ178" s="11"/>
      <c r="DR178" s="11"/>
      <c r="DS178" s="11"/>
      <c r="DT178" s="11"/>
      <c r="DU178" s="11"/>
      <c r="DV178" s="11"/>
      <c r="DW178" s="11"/>
      <c r="DX178" s="11"/>
      <c r="DY178" s="11"/>
      <c r="DZ178" s="11"/>
      <c r="EA178" s="11">
        <v>42991000</v>
      </c>
      <c r="EB178" s="11">
        <v>42991000</v>
      </c>
      <c r="EC178" s="11">
        <v>42991000</v>
      </c>
      <c r="ED178" s="11">
        <v>42991000</v>
      </c>
      <c r="EE178" s="11"/>
      <c r="EF178" s="7"/>
      <c r="EG178" s="7"/>
      <c r="EH178" s="7"/>
      <c r="EI178" s="7"/>
      <c r="EJ178" s="7"/>
      <c r="EK178" s="7">
        <v>358000</v>
      </c>
      <c r="EL178" s="7"/>
      <c r="EM178" s="7"/>
      <c r="EN178" s="7"/>
      <c r="EO178" s="7"/>
      <c r="EP178" s="7"/>
      <c r="EQ178" s="7"/>
      <c r="ER178" s="7"/>
      <c r="ES178" s="7"/>
      <c r="ET178" s="7"/>
      <c r="EU178" s="7"/>
      <c r="EV178" s="7">
        <v>347000</v>
      </c>
      <c r="EW178" s="7"/>
      <c r="EX178" s="7"/>
      <c r="EY178" s="7"/>
      <c r="EZ178" s="11"/>
      <c r="FA178" s="11"/>
      <c r="FB178" s="11"/>
      <c r="FC178" s="11"/>
      <c r="FD178" s="11"/>
      <c r="FE178" s="11"/>
      <c r="FF178" s="11"/>
      <c r="FG178" s="11"/>
      <c r="FH178" s="11"/>
      <c r="FI178" s="11"/>
      <c r="FJ178" s="11"/>
      <c r="FK178" s="11"/>
      <c r="FL178" s="11"/>
      <c r="FM178" s="11"/>
      <c r="FN178" s="11"/>
      <c r="FO178" s="7"/>
      <c r="FP178" s="7"/>
      <c r="FQ178" s="7"/>
      <c r="FR178" s="7"/>
      <c r="FS178" s="7"/>
      <c r="FT178" s="7">
        <v>147000</v>
      </c>
      <c r="FU178" s="7">
        <v>3000</v>
      </c>
      <c r="FV178" s="7"/>
      <c r="FW178" s="7"/>
      <c r="FX178" s="7"/>
      <c r="FY178" s="11"/>
      <c r="FZ178" s="11"/>
      <c r="GA178" s="11"/>
      <c r="GB178" s="11"/>
      <c r="GC178" s="11"/>
      <c r="GD178" s="7">
        <v>-505000</v>
      </c>
      <c r="GE178" s="7">
        <v>-350000</v>
      </c>
      <c r="GF178" s="7"/>
      <c r="GG178" s="7"/>
      <c r="GH178" s="7"/>
    </row>
    <row r="179" spans="1:190" ht="26.25" x14ac:dyDescent="0.25">
      <c r="A179" s="4">
        <v>178</v>
      </c>
      <c r="B179" s="5" t="s">
        <v>642</v>
      </c>
      <c r="C179" s="9" t="s">
        <v>643</v>
      </c>
      <c r="D179" s="7">
        <v>9</v>
      </c>
      <c r="E179" s="6" t="s">
        <v>644</v>
      </c>
      <c r="F179" s="11">
        <v>149322</v>
      </c>
      <c r="G179" s="11">
        <v>662916</v>
      </c>
      <c r="H179" s="11">
        <v>2</v>
      </c>
      <c r="I179" s="11"/>
      <c r="J179" s="11"/>
      <c r="K179" s="11">
        <v>5828090</v>
      </c>
      <c r="L179" s="11">
        <v>9252259</v>
      </c>
      <c r="M179" s="11">
        <v>5170427</v>
      </c>
      <c r="N179" s="11"/>
      <c r="O179" s="11"/>
      <c r="P179" s="7">
        <v>18342000</v>
      </c>
      <c r="Q179" s="7">
        <v>6988000</v>
      </c>
      <c r="R179" s="7">
        <v>7098000</v>
      </c>
      <c r="S179" s="7">
        <v>446000</v>
      </c>
      <c r="T179" s="7"/>
      <c r="U179" s="11"/>
      <c r="V179" s="11"/>
      <c r="W179" s="11"/>
      <c r="X179" s="11"/>
      <c r="Y179" s="11"/>
      <c r="Z179" s="11">
        <v>10000</v>
      </c>
      <c r="AA179" s="11">
        <v>5010000</v>
      </c>
      <c r="AB179" s="11">
        <v>5000000</v>
      </c>
      <c r="AC179" s="11">
        <v>5000000</v>
      </c>
      <c r="AD179" s="11"/>
      <c r="AE179" s="11"/>
      <c r="AF179" s="11"/>
      <c r="AG179" s="11"/>
      <c r="AH179" s="11"/>
      <c r="AI179" s="11"/>
      <c r="AJ179" s="11">
        <v>18352000</v>
      </c>
      <c r="AK179" s="11">
        <v>11998000</v>
      </c>
      <c r="AL179" s="11">
        <v>12098000</v>
      </c>
      <c r="AM179" s="11">
        <v>5446000</v>
      </c>
      <c r="AN179" s="11"/>
      <c r="AO179" s="7">
        <v>8224000</v>
      </c>
      <c r="AP179" s="7">
        <v>13639000</v>
      </c>
      <c r="AQ179" s="7">
        <v>8222000</v>
      </c>
      <c r="AR179" s="7">
        <v>423000</v>
      </c>
      <c r="AS179" s="7"/>
      <c r="AT179" s="7">
        <v>63257000</v>
      </c>
      <c r="AU179" s="7">
        <v>103852000</v>
      </c>
      <c r="AV179" s="7">
        <v>127038000</v>
      </c>
      <c r="AW179" s="7">
        <v>89997000</v>
      </c>
      <c r="AX179" s="7"/>
      <c r="AY179" s="11">
        <v>76972000</v>
      </c>
      <c r="AZ179" s="11">
        <v>76973000</v>
      </c>
      <c r="BA179" s="11">
        <v>75473000</v>
      </c>
      <c r="BB179" s="11">
        <v>57545000</v>
      </c>
      <c r="BC179" s="11"/>
      <c r="BD179" s="7">
        <v>57000</v>
      </c>
      <c r="BE179" s="7">
        <v>1672000</v>
      </c>
      <c r="BF179" s="7">
        <v>8000</v>
      </c>
      <c r="BG179" s="7">
        <v>14000</v>
      </c>
      <c r="BH179" s="7"/>
      <c r="BI179" s="11">
        <v>71000</v>
      </c>
      <c r="BJ179" s="11">
        <v>63000</v>
      </c>
      <c r="BK179" s="11">
        <v>14000</v>
      </c>
      <c r="BL179" s="11"/>
      <c r="BM179" s="11"/>
      <c r="BN179" s="11">
        <v>150013000</v>
      </c>
      <c r="BO179" s="11">
        <v>196199000</v>
      </c>
      <c r="BP179" s="11">
        <v>210755000</v>
      </c>
      <c r="BQ179" s="11">
        <v>147979000</v>
      </c>
      <c r="BR179" s="11"/>
      <c r="BS179" s="11">
        <v>168365000</v>
      </c>
      <c r="BT179" s="11">
        <v>208197000</v>
      </c>
      <c r="BU179" s="11">
        <v>222853000</v>
      </c>
      <c r="BV179" s="11">
        <v>153425000</v>
      </c>
      <c r="BW179" s="11"/>
      <c r="BX179" s="7">
        <v>100000</v>
      </c>
      <c r="BY179" s="7">
        <v>100000</v>
      </c>
      <c r="BZ179" s="7">
        <v>100000</v>
      </c>
      <c r="CA179" s="7">
        <v>100000</v>
      </c>
      <c r="CB179" s="7"/>
      <c r="CC179" s="11"/>
      <c r="CD179" s="11"/>
      <c r="CE179" s="11"/>
      <c r="CF179" s="11"/>
      <c r="CG179" s="11"/>
      <c r="CH179" s="7">
        <v>-36304000</v>
      </c>
      <c r="CI179" s="7">
        <v>-40324000</v>
      </c>
      <c r="CJ179" s="7">
        <v>-61419000</v>
      </c>
      <c r="CK179" s="7">
        <v>-127873000</v>
      </c>
      <c r="CL179" s="7"/>
      <c r="CM179" s="11">
        <v>-36204000</v>
      </c>
      <c r="CN179" s="11">
        <v>-40224000</v>
      </c>
      <c r="CO179" s="11">
        <v>-61319000</v>
      </c>
      <c r="CP179" s="11">
        <v>-127773000</v>
      </c>
      <c r="CQ179" s="11"/>
      <c r="CR179" s="11">
        <v>81163000</v>
      </c>
      <c r="CS179" s="11">
        <v>80637000</v>
      </c>
      <c r="CT179" s="11"/>
      <c r="CU179" s="11"/>
      <c r="CV179" s="11"/>
      <c r="CW179" s="11"/>
      <c r="CX179" s="11"/>
      <c r="CY179" s="11"/>
      <c r="CZ179" s="11"/>
      <c r="DA179" s="11"/>
      <c r="DB179" s="11">
        <v>81163000</v>
      </c>
      <c r="DC179" s="11">
        <v>80637000</v>
      </c>
      <c r="DD179" s="11"/>
      <c r="DE179" s="11"/>
      <c r="DF179" s="11"/>
      <c r="DG179" s="7">
        <v>4727000</v>
      </c>
      <c r="DH179" s="7">
        <v>4643000</v>
      </c>
      <c r="DI179" s="7">
        <v>84634000</v>
      </c>
      <c r="DJ179" s="7">
        <v>84634000</v>
      </c>
      <c r="DK179" s="7"/>
      <c r="DL179" s="7">
        <v>118679000</v>
      </c>
      <c r="DM179" s="7">
        <v>163141000</v>
      </c>
      <c r="DN179" s="7">
        <v>199538000</v>
      </c>
      <c r="DO179" s="7">
        <v>196564000</v>
      </c>
      <c r="DP179" s="7"/>
      <c r="DQ179" s="11"/>
      <c r="DR179" s="11"/>
      <c r="DS179" s="11"/>
      <c r="DT179" s="11"/>
      <c r="DU179" s="11"/>
      <c r="DV179" s="11"/>
      <c r="DW179" s="11"/>
      <c r="DX179" s="11"/>
      <c r="DY179" s="11"/>
      <c r="DZ179" s="11"/>
      <c r="EA179" s="11">
        <v>123406000</v>
      </c>
      <c r="EB179" s="11">
        <v>167784000</v>
      </c>
      <c r="EC179" s="11">
        <v>284172000</v>
      </c>
      <c r="ED179" s="11">
        <v>281198000</v>
      </c>
      <c r="EE179" s="11"/>
      <c r="EF179" s="7">
        <v>103555000</v>
      </c>
      <c r="EG179" s="7">
        <v>134066000</v>
      </c>
      <c r="EH179" s="7">
        <v>74731000</v>
      </c>
      <c r="EI179" s="7">
        <v>4346000</v>
      </c>
      <c r="EJ179" s="7"/>
      <c r="EK179" s="7">
        <v>93983000</v>
      </c>
      <c r="EL179" s="7">
        <v>121978000</v>
      </c>
      <c r="EM179" s="7">
        <v>76343000</v>
      </c>
      <c r="EN179" s="7">
        <v>6141000</v>
      </c>
      <c r="EO179" s="7"/>
      <c r="EP179" s="7">
        <v>8756000</v>
      </c>
      <c r="EQ179" s="7">
        <v>9781000</v>
      </c>
      <c r="ER179" s="7">
        <v>5519000</v>
      </c>
      <c r="ES179" s="7">
        <v>594000</v>
      </c>
      <c r="ET179" s="7"/>
      <c r="EU179" s="7">
        <v>20964000</v>
      </c>
      <c r="EV179" s="7">
        <v>18471000</v>
      </c>
      <c r="EW179" s="7">
        <v>22395000</v>
      </c>
      <c r="EX179" s="7">
        <v>3179000</v>
      </c>
      <c r="EY179" s="7"/>
      <c r="EZ179" s="11"/>
      <c r="FA179" s="11"/>
      <c r="FB179" s="11"/>
      <c r="FC179" s="11"/>
      <c r="FD179" s="11"/>
      <c r="FE179" s="11">
        <v>1887000</v>
      </c>
      <c r="FF179" s="11">
        <v>1251000</v>
      </c>
      <c r="FG179" s="11">
        <v>708000</v>
      </c>
      <c r="FH179" s="11">
        <v>130000</v>
      </c>
      <c r="FI179" s="11"/>
      <c r="FJ179" s="11">
        <v>584000</v>
      </c>
      <c r="FK179" s="11">
        <v>2192000</v>
      </c>
      <c r="FL179" s="11">
        <v>84000</v>
      </c>
      <c r="FM179" s="11"/>
      <c r="FN179" s="11"/>
      <c r="FO179" s="7">
        <v>31774000</v>
      </c>
      <c r="FP179" s="7">
        <v>25563000</v>
      </c>
      <c r="FQ179" s="7">
        <v>17718000</v>
      </c>
      <c r="FR179" s="7">
        <v>4645000</v>
      </c>
      <c r="FS179" s="7"/>
      <c r="FT179" s="7">
        <v>19506000</v>
      </c>
      <c r="FU179" s="7">
        <v>11797000</v>
      </c>
      <c r="FV179" s="7">
        <v>9413000</v>
      </c>
      <c r="FW179" s="7">
        <v>65653000</v>
      </c>
      <c r="FX179" s="7"/>
      <c r="FY179" s="11">
        <v>-370000</v>
      </c>
      <c r="FZ179" s="11">
        <v>-241000</v>
      </c>
      <c r="GA179" s="11"/>
      <c r="GB179" s="11"/>
      <c r="GC179" s="11"/>
      <c r="GD179" s="7">
        <v>-7189000</v>
      </c>
      <c r="GE179" s="7">
        <v>-4020000</v>
      </c>
      <c r="GF179" s="7">
        <v>-21095000</v>
      </c>
      <c r="GG179" s="7">
        <v>-66454000</v>
      </c>
      <c r="GH179" s="7"/>
    </row>
    <row r="180" spans="1:190" x14ac:dyDescent="0.25">
      <c r="A180" s="4">
        <v>179</v>
      </c>
      <c r="B180" s="5" t="s">
        <v>645</v>
      </c>
      <c r="C180" s="9" t="s">
        <v>646</v>
      </c>
      <c r="D180" s="7">
        <v>6</v>
      </c>
      <c r="E180" s="6" t="s">
        <v>478</v>
      </c>
      <c r="F180" s="11">
        <v>722821</v>
      </c>
      <c r="G180" s="11">
        <v>368280</v>
      </c>
      <c r="H180" s="11">
        <v>112526</v>
      </c>
      <c r="I180" s="11"/>
      <c r="J180" s="11">
        <v>20425</v>
      </c>
      <c r="K180" s="11">
        <v>5105678</v>
      </c>
      <c r="L180" s="11">
        <v>4131458</v>
      </c>
      <c r="M180" s="11">
        <v>2115125</v>
      </c>
      <c r="N180" s="11">
        <v>246542</v>
      </c>
      <c r="O180" s="11">
        <v>660978</v>
      </c>
      <c r="P180" s="7"/>
      <c r="Q180" s="7"/>
      <c r="R180" s="7"/>
      <c r="S180" s="7"/>
      <c r="T180" s="7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7">
        <v>15571000</v>
      </c>
      <c r="AP180" s="7">
        <v>20628000</v>
      </c>
      <c r="AQ180" s="7">
        <v>27963000</v>
      </c>
      <c r="AR180" s="7">
        <v>30786000</v>
      </c>
      <c r="AS180" s="7"/>
      <c r="AT180" s="7">
        <v>5485000</v>
      </c>
      <c r="AU180" s="7">
        <v>5033000</v>
      </c>
      <c r="AV180" s="7">
        <v>7187000</v>
      </c>
      <c r="AW180" s="7">
        <v>47270000</v>
      </c>
      <c r="AX180" s="7">
        <v>3713000</v>
      </c>
      <c r="AY180" s="11"/>
      <c r="AZ180" s="11"/>
      <c r="BA180" s="11"/>
      <c r="BB180" s="11"/>
      <c r="BC180" s="11">
        <v>218000</v>
      </c>
      <c r="BD180" s="7">
        <v>292000</v>
      </c>
      <c r="BE180" s="7">
        <v>61000</v>
      </c>
      <c r="BF180" s="7">
        <v>26000</v>
      </c>
      <c r="BG180" s="7">
        <v>28000</v>
      </c>
      <c r="BH180" s="7"/>
      <c r="BI180" s="11"/>
      <c r="BJ180" s="11"/>
      <c r="BK180" s="11"/>
      <c r="BL180" s="11"/>
      <c r="BM180" s="11"/>
      <c r="BN180" s="11">
        <v>21348000</v>
      </c>
      <c r="BO180" s="11">
        <v>25722000</v>
      </c>
      <c r="BP180" s="11">
        <v>35176000</v>
      </c>
      <c r="BQ180" s="11">
        <v>78084000</v>
      </c>
      <c r="BR180" s="11">
        <v>3932000</v>
      </c>
      <c r="BS180" s="11">
        <v>21348000</v>
      </c>
      <c r="BT180" s="11">
        <v>25723000</v>
      </c>
      <c r="BU180" s="11">
        <v>35176000</v>
      </c>
      <c r="BV180" s="11">
        <v>78084000</v>
      </c>
      <c r="BW180" s="11">
        <v>3932000</v>
      </c>
      <c r="BX180" s="7"/>
      <c r="BY180" s="7"/>
      <c r="BZ180" s="7"/>
      <c r="CA180" s="7"/>
      <c r="CB180" s="7">
        <v>20000</v>
      </c>
      <c r="CC180" s="11"/>
      <c r="CD180" s="11"/>
      <c r="CE180" s="11"/>
      <c r="CF180" s="11"/>
      <c r="CG180" s="11"/>
      <c r="CH180" s="7"/>
      <c r="CI180" s="7"/>
      <c r="CJ180" s="7"/>
      <c r="CK180" s="7"/>
      <c r="CL180" s="7">
        <v>-45302000</v>
      </c>
      <c r="CM180" s="11">
        <v>696000</v>
      </c>
      <c r="CN180" s="11">
        <v>870000</v>
      </c>
      <c r="CO180" s="11">
        <v>1006000</v>
      </c>
      <c r="CP180" s="11">
        <v>1053000</v>
      </c>
      <c r="CQ180" s="11">
        <v>-45282000</v>
      </c>
      <c r="CR180" s="11"/>
      <c r="CS180" s="11"/>
      <c r="CT180" s="11">
        <v>469000</v>
      </c>
      <c r="CU180" s="11"/>
      <c r="CV180" s="11"/>
      <c r="CW180" s="11"/>
      <c r="CX180" s="11"/>
      <c r="CY180" s="11"/>
      <c r="CZ180" s="11"/>
      <c r="DA180" s="11"/>
      <c r="DB180" s="11"/>
      <c r="DC180" s="11"/>
      <c r="DD180" s="11">
        <v>469000</v>
      </c>
      <c r="DE180" s="11"/>
      <c r="DF180" s="11"/>
      <c r="DG180" s="7">
        <v>4416000</v>
      </c>
      <c r="DH180" s="7">
        <v>7733000</v>
      </c>
      <c r="DI180" s="7">
        <v>7816000</v>
      </c>
      <c r="DJ180" s="7"/>
      <c r="DK180" s="7"/>
      <c r="DL180" s="7">
        <v>16236000</v>
      </c>
      <c r="DM180" s="7">
        <v>17120000</v>
      </c>
      <c r="DN180" s="7">
        <v>25885000</v>
      </c>
      <c r="DO180" s="7">
        <v>77031000</v>
      </c>
      <c r="DP180" s="7">
        <v>49214000</v>
      </c>
      <c r="DQ180" s="11"/>
      <c r="DR180" s="11"/>
      <c r="DS180" s="11"/>
      <c r="DT180" s="11"/>
      <c r="DU180" s="11"/>
      <c r="DV180" s="11"/>
      <c r="DW180" s="11"/>
      <c r="DX180" s="11"/>
      <c r="DY180" s="11"/>
      <c r="DZ180" s="11"/>
      <c r="EA180" s="11">
        <v>20652000</v>
      </c>
      <c r="EB180" s="11">
        <v>24853000</v>
      </c>
      <c r="EC180" s="11">
        <v>33701000</v>
      </c>
      <c r="ED180" s="11">
        <v>77031000</v>
      </c>
      <c r="EE180" s="11">
        <v>49214000</v>
      </c>
      <c r="EF180" s="7">
        <v>247757000</v>
      </c>
      <c r="EG180" s="7">
        <v>209672000</v>
      </c>
      <c r="EH180" s="7">
        <v>64554000</v>
      </c>
      <c r="EI180" s="7">
        <v>45681000</v>
      </c>
      <c r="EJ180" s="7">
        <v>26329000</v>
      </c>
      <c r="EK180" s="7">
        <v>244479000</v>
      </c>
      <c r="EL180" s="7">
        <v>207252000</v>
      </c>
      <c r="EM180" s="7">
        <v>63358000</v>
      </c>
      <c r="EN180" s="7">
        <v>45671000</v>
      </c>
      <c r="EO180" s="7">
        <v>69961000</v>
      </c>
      <c r="EP180" s="7"/>
      <c r="EQ180" s="7"/>
      <c r="ER180" s="7"/>
      <c r="ES180" s="7"/>
      <c r="ET180" s="7"/>
      <c r="EU180" s="7"/>
      <c r="EV180" s="7"/>
      <c r="EW180" s="7"/>
      <c r="EX180" s="7"/>
      <c r="EY180" s="7">
        <v>2703000</v>
      </c>
      <c r="EZ180" s="11"/>
      <c r="FA180" s="11"/>
      <c r="FB180" s="11"/>
      <c r="FC180" s="11"/>
      <c r="FD180" s="11"/>
      <c r="FE180" s="11"/>
      <c r="FF180" s="11"/>
      <c r="FG180" s="11"/>
      <c r="FH180" s="11"/>
      <c r="FI180" s="11"/>
      <c r="FJ180" s="11">
        <v>31000</v>
      </c>
      <c r="FK180" s="11">
        <v>770000</v>
      </c>
      <c r="FL180" s="11">
        <v>289000</v>
      </c>
      <c r="FM180" s="11"/>
      <c r="FN180" s="11"/>
      <c r="FO180" s="7">
        <v>707000</v>
      </c>
      <c r="FP180" s="7">
        <v>113000</v>
      </c>
      <c r="FQ180" s="7">
        <v>303000</v>
      </c>
      <c r="FR180" s="7">
        <v>1377000</v>
      </c>
      <c r="FS180" s="7"/>
      <c r="FT180" s="7">
        <v>735000</v>
      </c>
      <c r="FU180" s="7">
        <v>1260000</v>
      </c>
      <c r="FV180" s="7">
        <v>945000</v>
      </c>
      <c r="FW180" s="7">
        <v>1313000</v>
      </c>
      <c r="FX180" s="7"/>
      <c r="FY180" s="11">
        <v>717000</v>
      </c>
      <c r="FZ180" s="11">
        <v>329000</v>
      </c>
      <c r="GA180" s="11">
        <v>139000</v>
      </c>
      <c r="GB180" s="11">
        <v>27000</v>
      </c>
      <c r="GC180" s="11"/>
      <c r="GD180" s="7">
        <v>2502000</v>
      </c>
      <c r="GE180" s="7">
        <v>174000</v>
      </c>
      <c r="GF180" s="7">
        <v>126000</v>
      </c>
      <c r="GG180" s="7">
        <v>47000</v>
      </c>
      <c r="GH180" s="7">
        <v>-46335000</v>
      </c>
    </row>
    <row r="181" spans="1:190" ht="26.25" x14ac:dyDescent="0.25">
      <c r="A181" s="4">
        <v>180</v>
      </c>
      <c r="B181" s="5" t="s">
        <v>647</v>
      </c>
      <c r="C181" s="9" t="s">
        <v>648</v>
      </c>
      <c r="D181" s="7">
        <v>8</v>
      </c>
      <c r="E181" s="6" t="s">
        <v>633</v>
      </c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7"/>
      <c r="Q181" s="7"/>
      <c r="R181" s="7"/>
      <c r="S181" s="7"/>
      <c r="T181" s="7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7"/>
      <c r="AP181" s="7"/>
      <c r="AQ181" s="7"/>
      <c r="AR181" s="7"/>
      <c r="AS181" s="7"/>
      <c r="AT181" s="7">
        <v>11824000</v>
      </c>
      <c r="AU181" s="7">
        <v>16219000</v>
      </c>
      <c r="AV181" s="7">
        <v>21921000</v>
      </c>
      <c r="AW181" s="7">
        <v>18039000</v>
      </c>
      <c r="AX181" s="7">
        <v>16053000</v>
      </c>
      <c r="AY181" s="11"/>
      <c r="AZ181" s="11"/>
      <c r="BA181" s="11"/>
      <c r="BB181" s="11"/>
      <c r="BC181" s="11"/>
      <c r="BD181" s="7">
        <v>40000</v>
      </c>
      <c r="BE181" s="7">
        <v>11000</v>
      </c>
      <c r="BF181" s="7"/>
      <c r="BG181" s="7"/>
      <c r="BH181" s="7"/>
      <c r="BI181" s="11"/>
      <c r="BJ181" s="11"/>
      <c r="BK181" s="11"/>
      <c r="BL181" s="11"/>
      <c r="BM181" s="11"/>
      <c r="BN181" s="11">
        <v>11864000</v>
      </c>
      <c r="BO181" s="11">
        <v>16230000</v>
      </c>
      <c r="BP181" s="11">
        <v>21921000</v>
      </c>
      <c r="BQ181" s="11">
        <v>18039000</v>
      </c>
      <c r="BR181" s="11">
        <v>16053000</v>
      </c>
      <c r="BS181" s="11">
        <v>11864000</v>
      </c>
      <c r="BT181" s="11">
        <v>16230000</v>
      </c>
      <c r="BU181" s="11">
        <v>21921000</v>
      </c>
      <c r="BV181" s="11">
        <v>18039000</v>
      </c>
      <c r="BW181" s="11">
        <v>16053000</v>
      </c>
      <c r="BX181" s="7">
        <v>10000</v>
      </c>
      <c r="BY181" s="7">
        <v>10000</v>
      </c>
      <c r="BZ181" s="7">
        <v>10000</v>
      </c>
      <c r="CA181" s="7">
        <v>10000</v>
      </c>
      <c r="CB181" s="7">
        <v>10000</v>
      </c>
      <c r="CC181" s="11"/>
      <c r="CD181" s="11"/>
      <c r="CE181" s="11"/>
      <c r="CF181" s="11"/>
      <c r="CG181" s="11"/>
      <c r="CH181" s="7">
        <v>-19743000</v>
      </c>
      <c r="CI181" s="7">
        <v>-23081000</v>
      </c>
      <c r="CJ181" s="7">
        <v>-25069000</v>
      </c>
      <c r="CK181" s="7">
        <v>-38172000</v>
      </c>
      <c r="CL181" s="7">
        <v>-37908000</v>
      </c>
      <c r="CM181" s="11">
        <v>-19733000</v>
      </c>
      <c r="CN181" s="11">
        <v>-23071000</v>
      </c>
      <c r="CO181" s="11">
        <v>-25059000</v>
      </c>
      <c r="CP181" s="11">
        <v>-38162000</v>
      </c>
      <c r="CQ181" s="11">
        <v>-37898000</v>
      </c>
      <c r="CR181" s="11"/>
      <c r="CS181" s="11"/>
      <c r="CT181" s="11"/>
      <c r="CU181" s="11"/>
      <c r="CV181" s="11"/>
      <c r="CW181" s="11"/>
      <c r="CX181" s="11"/>
      <c r="CY181" s="11"/>
      <c r="CZ181" s="11"/>
      <c r="DA181" s="11"/>
      <c r="DB181" s="11"/>
      <c r="DC181" s="11"/>
      <c r="DD181" s="11"/>
      <c r="DE181" s="11"/>
      <c r="DF181" s="11"/>
      <c r="DG181" s="7"/>
      <c r="DH181" s="7"/>
      <c r="DI181" s="7"/>
      <c r="DJ181" s="7"/>
      <c r="DK181" s="7"/>
      <c r="DL181" s="7">
        <v>31597000</v>
      </c>
      <c r="DM181" s="7">
        <v>39301000</v>
      </c>
      <c r="DN181" s="7">
        <v>46980000</v>
      </c>
      <c r="DO181" s="7">
        <v>56201000</v>
      </c>
      <c r="DP181" s="7">
        <v>53951000</v>
      </c>
      <c r="DQ181" s="11"/>
      <c r="DR181" s="11"/>
      <c r="DS181" s="11"/>
      <c r="DT181" s="11"/>
      <c r="DU181" s="11"/>
      <c r="DV181" s="11"/>
      <c r="DW181" s="11"/>
      <c r="DX181" s="11"/>
      <c r="DY181" s="11"/>
      <c r="DZ181" s="11"/>
      <c r="EA181" s="11">
        <v>31597000</v>
      </c>
      <c r="EB181" s="11">
        <v>39301000</v>
      </c>
      <c r="EC181" s="11">
        <v>46980000</v>
      </c>
      <c r="ED181" s="11">
        <v>56201000</v>
      </c>
      <c r="EE181" s="11">
        <v>53951000</v>
      </c>
      <c r="EF181" s="7">
        <v>14179000</v>
      </c>
      <c r="EG181" s="7">
        <v>18338000</v>
      </c>
      <c r="EH181" s="7">
        <v>19955000</v>
      </c>
      <c r="EI181" s="7">
        <v>3612000</v>
      </c>
      <c r="EJ181" s="7">
        <v>1696000</v>
      </c>
      <c r="EK181" s="7">
        <v>17943000</v>
      </c>
      <c r="EL181" s="7">
        <v>19408000</v>
      </c>
      <c r="EM181" s="7">
        <v>19655000</v>
      </c>
      <c r="EN181" s="7">
        <v>11928000</v>
      </c>
      <c r="EO181" s="7"/>
      <c r="EP181" s="7"/>
      <c r="EQ181" s="7"/>
      <c r="ER181" s="7"/>
      <c r="ES181" s="7"/>
      <c r="ET181" s="7"/>
      <c r="EU181" s="7">
        <v>1905000</v>
      </c>
      <c r="EV181" s="7">
        <v>2550000</v>
      </c>
      <c r="EW181" s="7">
        <v>4052000</v>
      </c>
      <c r="EX181" s="7">
        <v>2581000</v>
      </c>
      <c r="EY181" s="7">
        <v>1484000</v>
      </c>
      <c r="EZ181" s="11"/>
      <c r="FA181" s="11"/>
      <c r="FB181" s="11"/>
      <c r="FC181" s="11"/>
      <c r="FD181" s="11"/>
      <c r="FE181" s="11"/>
      <c r="FF181" s="11"/>
      <c r="FG181" s="11"/>
      <c r="FH181" s="11"/>
      <c r="FI181" s="11"/>
      <c r="FJ181" s="11"/>
      <c r="FK181" s="11"/>
      <c r="FL181" s="11"/>
      <c r="FM181" s="11"/>
      <c r="FN181" s="11"/>
      <c r="FO181" s="7">
        <v>323000</v>
      </c>
      <c r="FP181" s="7">
        <v>1318000</v>
      </c>
      <c r="FQ181" s="7">
        <v>2421000</v>
      </c>
      <c r="FR181" s="7">
        <v>9000</v>
      </c>
      <c r="FS181" s="7"/>
      <c r="FT181" s="7">
        <v>651000</v>
      </c>
      <c r="FU181" s="7">
        <v>886000</v>
      </c>
      <c r="FV181" s="7">
        <v>493000</v>
      </c>
      <c r="FW181" s="7">
        <v>2179000</v>
      </c>
      <c r="FX181" s="7"/>
      <c r="FY181" s="11"/>
      <c r="FZ181" s="11"/>
      <c r="GA181" s="11"/>
      <c r="GB181" s="11"/>
      <c r="GC181" s="11"/>
      <c r="GD181" s="7">
        <v>-6118000</v>
      </c>
      <c r="GE181" s="7">
        <v>-3338000</v>
      </c>
      <c r="GF181" s="7">
        <v>-1988000</v>
      </c>
      <c r="GG181" s="7">
        <v>-13103000</v>
      </c>
      <c r="GH181" s="7">
        <v>180000</v>
      </c>
    </row>
    <row r="182" spans="1:190" ht="26.25" x14ac:dyDescent="0.25">
      <c r="A182" s="4">
        <v>181</v>
      </c>
      <c r="B182" s="5" t="s">
        <v>649</v>
      </c>
      <c r="C182" s="9" t="s">
        <v>650</v>
      </c>
      <c r="D182" s="7">
        <v>10</v>
      </c>
      <c r="E182" s="6" t="s">
        <v>204</v>
      </c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7"/>
      <c r="Q182" s="7"/>
      <c r="R182" s="7"/>
      <c r="S182" s="7"/>
      <c r="T182" s="7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7">
        <v>213000</v>
      </c>
      <c r="AP182" s="7"/>
      <c r="AQ182" s="7"/>
      <c r="AR182" s="7"/>
      <c r="AS182" s="7"/>
      <c r="AT182" s="7">
        <v>12528000</v>
      </c>
      <c r="AU182" s="7"/>
      <c r="AV182" s="7">
        <v>11759000</v>
      </c>
      <c r="AW182" s="7">
        <v>10291000</v>
      </c>
      <c r="AX182" s="7">
        <v>9934000</v>
      </c>
      <c r="AY182" s="11"/>
      <c r="AZ182" s="11"/>
      <c r="BA182" s="11"/>
      <c r="BB182" s="11"/>
      <c r="BC182" s="11"/>
      <c r="BD182" s="7"/>
      <c r="BE182" s="7"/>
      <c r="BF182" s="7"/>
      <c r="BG182" s="7"/>
      <c r="BH182" s="7">
        <v>26000</v>
      </c>
      <c r="BI182" s="11"/>
      <c r="BJ182" s="11"/>
      <c r="BK182" s="11"/>
      <c r="BL182" s="11"/>
      <c r="BM182" s="11"/>
      <c r="BN182" s="11">
        <v>12741000</v>
      </c>
      <c r="BO182" s="11"/>
      <c r="BP182" s="11">
        <v>11759000</v>
      </c>
      <c r="BQ182" s="11">
        <v>10291000</v>
      </c>
      <c r="BR182" s="11">
        <v>9960000</v>
      </c>
      <c r="BS182" s="11">
        <v>12741000</v>
      </c>
      <c r="BT182" s="11"/>
      <c r="BU182" s="11">
        <v>11759000</v>
      </c>
      <c r="BV182" s="11">
        <v>10291000</v>
      </c>
      <c r="BW182" s="11">
        <v>9960000</v>
      </c>
      <c r="BX182" s="7">
        <v>10000</v>
      </c>
      <c r="BY182" s="7"/>
      <c r="BZ182" s="7"/>
      <c r="CA182" s="7"/>
      <c r="CB182" s="7"/>
      <c r="CC182" s="11"/>
      <c r="CD182" s="11"/>
      <c r="CE182" s="11"/>
      <c r="CF182" s="11"/>
      <c r="CG182" s="11"/>
      <c r="CH182" s="7">
        <v>-5754000</v>
      </c>
      <c r="CI182" s="7"/>
      <c r="CJ182" s="7"/>
      <c r="CK182" s="7"/>
      <c r="CL182" s="7"/>
      <c r="CM182" s="11">
        <v>-5744000</v>
      </c>
      <c r="CN182" s="11"/>
      <c r="CO182" s="11">
        <v>-7652000</v>
      </c>
      <c r="CP182" s="11">
        <v>-8842000</v>
      </c>
      <c r="CQ182" s="11">
        <v>-9321000</v>
      </c>
      <c r="CR182" s="11">
        <v>144000</v>
      </c>
      <c r="CS182" s="11"/>
      <c r="CT182" s="11"/>
      <c r="CU182" s="11"/>
      <c r="CV182" s="11"/>
      <c r="CW182" s="11"/>
      <c r="CX182" s="11"/>
      <c r="CY182" s="11"/>
      <c r="CZ182" s="11"/>
      <c r="DA182" s="11"/>
      <c r="DB182" s="11">
        <v>144000</v>
      </c>
      <c r="DC182" s="11"/>
      <c r="DD182" s="11"/>
      <c r="DE182" s="11"/>
      <c r="DF182" s="11"/>
      <c r="DG182" s="7"/>
      <c r="DH182" s="7"/>
      <c r="DI182" s="7">
        <v>144000</v>
      </c>
      <c r="DJ182" s="7">
        <v>144000</v>
      </c>
      <c r="DK182" s="7">
        <v>237000</v>
      </c>
      <c r="DL182" s="7">
        <v>18341000</v>
      </c>
      <c r="DM182" s="7"/>
      <c r="DN182" s="7">
        <v>19267000</v>
      </c>
      <c r="DO182" s="7">
        <v>18989000</v>
      </c>
      <c r="DP182" s="7">
        <v>19044000</v>
      </c>
      <c r="DQ182" s="11"/>
      <c r="DR182" s="11"/>
      <c r="DS182" s="11"/>
      <c r="DT182" s="11"/>
      <c r="DU182" s="11"/>
      <c r="DV182" s="11"/>
      <c r="DW182" s="11"/>
      <c r="DX182" s="11"/>
      <c r="DY182" s="11"/>
      <c r="DZ182" s="11"/>
      <c r="EA182" s="11">
        <v>18341000</v>
      </c>
      <c r="EB182" s="11"/>
      <c r="EC182" s="11">
        <v>19411000</v>
      </c>
      <c r="ED182" s="11">
        <v>19133000</v>
      </c>
      <c r="EE182" s="11">
        <v>19281000</v>
      </c>
      <c r="EF182" s="7">
        <v>23416000</v>
      </c>
      <c r="EG182" s="7"/>
      <c r="EH182" s="7"/>
      <c r="EI182" s="7"/>
      <c r="EJ182" s="7"/>
      <c r="EK182" s="7">
        <v>20999000</v>
      </c>
      <c r="EL182" s="7"/>
      <c r="EM182" s="7">
        <v>1509000</v>
      </c>
      <c r="EN182" s="7">
        <v>1168000</v>
      </c>
      <c r="EO182" s="7">
        <v>473000</v>
      </c>
      <c r="EP182" s="7"/>
      <c r="EQ182" s="7"/>
      <c r="ER182" s="7"/>
      <c r="ES182" s="7"/>
      <c r="ET182" s="7"/>
      <c r="EU182" s="7">
        <v>5609000</v>
      </c>
      <c r="EV182" s="7"/>
      <c r="EW182" s="7"/>
      <c r="EX182" s="7"/>
      <c r="EY182" s="7"/>
      <c r="EZ182" s="11"/>
      <c r="FA182" s="11"/>
      <c r="FB182" s="11"/>
      <c r="FC182" s="11"/>
      <c r="FD182" s="11"/>
      <c r="FE182" s="11"/>
      <c r="FF182" s="11"/>
      <c r="FG182" s="11"/>
      <c r="FH182" s="11"/>
      <c r="FI182" s="11"/>
      <c r="FJ182" s="11"/>
      <c r="FK182" s="11"/>
      <c r="FL182" s="11"/>
      <c r="FM182" s="11"/>
      <c r="FN182" s="11"/>
      <c r="FO182" s="7">
        <v>128000</v>
      </c>
      <c r="FP182" s="7"/>
      <c r="FQ182" s="7"/>
      <c r="FR182" s="7"/>
      <c r="FS182" s="7"/>
      <c r="FT182" s="7">
        <v>2169000</v>
      </c>
      <c r="FU182" s="7"/>
      <c r="FV182" s="7">
        <v>4000</v>
      </c>
      <c r="FW182" s="7">
        <v>7000</v>
      </c>
      <c r="FX182" s="7">
        <v>3000</v>
      </c>
      <c r="FY182" s="11"/>
      <c r="FZ182" s="11"/>
      <c r="GA182" s="11">
        <v>6000</v>
      </c>
      <c r="GB182" s="11">
        <v>14000</v>
      </c>
      <c r="GC182" s="11">
        <v>4000</v>
      </c>
      <c r="GD182" s="7">
        <v>-5233000</v>
      </c>
      <c r="GE182" s="7"/>
      <c r="GF182" s="7">
        <v>-1519000</v>
      </c>
      <c r="GG182" s="7">
        <v>-1189000</v>
      </c>
      <c r="GH182" s="7">
        <v>-480000</v>
      </c>
    </row>
    <row r="183" spans="1:190" x14ac:dyDescent="0.25">
      <c r="A183" s="4">
        <v>182</v>
      </c>
      <c r="B183" s="5" t="s">
        <v>651</v>
      </c>
      <c r="C183" s="9" t="s">
        <v>652</v>
      </c>
      <c r="D183" s="7">
        <v>10</v>
      </c>
      <c r="E183" s="6" t="s">
        <v>653</v>
      </c>
      <c r="F183" s="11">
        <v>293435</v>
      </c>
      <c r="G183" s="11">
        <v>486856</v>
      </c>
      <c r="H183" s="11">
        <v>2740422</v>
      </c>
      <c r="I183" s="11"/>
      <c r="J183" s="11">
        <v>1739294</v>
      </c>
      <c r="K183" s="11">
        <v>6012998</v>
      </c>
      <c r="L183" s="11">
        <v>23871885</v>
      </c>
      <c r="M183" s="11">
        <v>3896673</v>
      </c>
      <c r="N183" s="11">
        <v>679333</v>
      </c>
      <c r="O183" s="11"/>
      <c r="P183" s="7">
        <v>472000</v>
      </c>
      <c r="Q183" s="7">
        <v>374000</v>
      </c>
      <c r="R183" s="7">
        <v>237000</v>
      </c>
      <c r="S183" s="7">
        <v>110000</v>
      </c>
      <c r="T183" s="7">
        <v>110000</v>
      </c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>
        <v>472000</v>
      </c>
      <c r="AK183" s="11">
        <v>374000</v>
      </c>
      <c r="AL183" s="11">
        <v>237000</v>
      </c>
      <c r="AM183" s="11">
        <v>110000</v>
      </c>
      <c r="AN183" s="11">
        <v>110000</v>
      </c>
      <c r="AO183" s="7">
        <v>3543000</v>
      </c>
      <c r="AP183" s="7">
        <v>92000</v>
      </c>
      <c r="AQ183" s="7"/>
      <c r="AR183" s="7"/>
      <c r="AS183" s="7"/>
      <c r="AT183" s="7">
        <v>26794000</v>
      </c>
      <c r="AU183" s="7">
        <v>20134000</v>
      </c>
      <c r="AV183" s="7">
        <v>19375000</v>
      </c>
      <c r="AW183" s="7"/>
      <c r="AX183" s="7"/>
      <c r="AY183" s="11">
        <v>295000</v>
      </c>
      <c r="AZ183" s="11">
        <v>295000</v>
      </c>
      <c r="BA183" s="11">
        <v>295000</v>
      </c>
      <c r="BB183" s="11"/>
      <c r="BC183" s="11"/>
      <c r="BD183" s="7">
        <v>6121000</v>
      </c>
      <c r="BE183" s="7">
        <v>7000</v>
      </c>
      <c r="BF183" s="7"/>
      <c r="BG183" s="7">
        <v>11901000</v>
      </c>
      <c r="BH183" s="7">
        <v>11219000</v>
      </c>
      <c r="BI183" s="11">
        <v>55000</v>
      </c>
      <c r="BJ183" s="11">
        <v>5000</v>
      </c>
      <c r="BK183" s="11">
        <v>2000</v>
      </c>
      <c r="BL183" s="11"/>
      <c r="BM183" s="11"/>
      <c r="BN183" s="11">
        <v>36808000</v>
      </c>
      <c r="BO183" s="11">
        <v>20533000</v>
      </c>
      <c r="BP183" s="11">
        <v>19672000</v>
      </c>
      <c r="BQ183" s="11">
        <v>11901000</v>
      </c>
      <c r="BR183" s="11">
        <v>11219000</v>
      </c>
      <c r="BS183" s="11">
        <v>37280000</v>
      </c>
      <c r="BT183" s="11">
        <v>20907000</v>
      </c>
      <c r="BU183" s="11">
        <v>19909000</v>
      </c>
      <c r="BV183" s="11">
        <v>12011000</v>
      </c>
      <c r="BW183" s="11">
        <v>11329000</v>
      </c>
      <c r="BX183" s="7">
        <v>15000</v>
      </c>
      <c r="BY183" s="7">
        <v>15000</v>
      </c>
      <c r="BZ183" s="7">
        <v>15000</v>
      </c>
      <c r="CA183" s="7">
        <v>15000</v>
      </c>
      <c r="CB183" s="7">
        <v>15000</v>
      </c>
      <c r="CC183" s="11"/>
      <c r="CD183" s="11"/>
      <c r="CE183" s="11"/>
      <c r="CF183" s="11"/>
      <c r="CG183" s="11"/>
      <c r="CH183" s="7">
        <v>8372000</v>
      </c>
      <c r="CI183" s="7">
        <v>-25141000</v>
      </c>
      <c r="CJ183" s="7">
        <v>-49909000</v>
      </c>
      <c r="CK183" s="7">
        <v>-35120000</v>
      </c>
      <c r="CL183" s="7">
        <v>-35802000</v>
      </c>
      <c r="CM183" s="11">
        <v>8387000</v>
      </c>
      <c r="CN183" s="11">
        <v>-25126000</v>
      </c>
      <c r="CO183" s="11">
        <v>-49894000</v>
      </c>
      <c r="CP183" s="11">
        <v>-35105000</v>
      </c>
      <c r="CQ183" s="11">
        <v>-35787000</v>
      </c>
      <c r="CR183" s="11"/>
      <c r="CS183" s="11"/>
      <c r="CT183" s="11"/>
      <c r="CU183" s="11"/>
      <c r="CV183" s="11"/>
      <c r="CW183" s="11"/>
      <c r="CX183" s="11"/>
      <c r="CY183" s="11"/>
      <c r="CZ183" s="11"/>
      <c r="DA183" s="11"/>
      <c r="DB183" s="11"/>
      <c r="DC183" s="11"/>
      <c r="DD183" s="11"/>
      <c r="DE183" s="11"/>
      <c r="DF183" s="11"/>
      <c r="DG183" s="7">
        <v>458000</v>
      </c>
      <c r="DH183" s="7">
        <v>1270000</v>
      </c>
      <c r="DI183" s="7">
        <v>1880000</v>
      </c>
      <c r="DJ183" s="7"/>
      <c r="DK183" s="7"/>
      <c r="DL183" s="7">
        <v>28435000</v>
      </c>
      <c r="DM183" s="7">
        <v>44763000</v>
      </c>
      <c r="DN183" s="7">
        <v>67923000</v>
      </c>
      <c r="DO183" s="7">
        <v>47116000</v>
      </c>
      <c r="DP183" s="7">
        <v>47116000</v>
      </c>
      <c r="DQ183" s="11"/>
      <c r="DR183" s="11"/>
      <c r="DS183" s="11"/>
      <c r="DT183" s="11"/>
      <c r="DU183" s="11"/>
      <c r="DV183" s="11"/>
      <c r="DW183" s="11"/>
      <c r="DX183" s="11"/>
      <c r="DY183" s="11"/>
      <c r="DZ183" s="11"/>
      <c r="EA183" s="11">
        <v>28893000</v>
      </c>
      <c r="EB183" s="11">
        <v>46033000</v>
      </c>
      <c r="EC183" s="11">
        <v>69803000</v>
      </c>
      <c r="ED183" s="11">
        <v>47116000</v>
      </c>
      <c r="EE183" s="11">
        <v>47116000</v>
      </c>
      <c r="EF183" s="7">
        <v>153814000</v>
      </c>
      <c r="EG183" s="7">
        <v>174156000</v>
      </c>
      <c r="EH183" s="7">
        <v>17799000</v>
      </c>
      <c r="EI183" s="7"/>
      <c r="EJ183" s="7"/>
      <c r="EK183" s="7">
        <v>151099000</v>
      </c>
      <c r="EL183" s="7">
        <v>198862000</v>
      </c>
      <c r="EM183" s="7">
        <v>41900000</v>
      </c>
      <c r="EN183" s="7"/>
      <c r="EO183" s="7"/>
      <c r="EP183" s="7"/>
      <c r="EQ183" s="7"/>
      <c r="ER183" s="7"/>
      <c r="ES183" s="7"/>
      <c r="ET183" s="7"/>
      <c r="EU183" s="7"/>
      <c r="EV183" s="7"/>
      <c r="EW183" s="7"/>
      <c r="EX183" s="7"/>
      <c r="EY183" s="7"/>
      <c r="EZ183" s="11"/>
      <c r="FA183" s="11"/>
      <c r="FB183" s="11"/>
      <c r="FC183" s="11"/>
      <c r="FD183" s="11"/>
      <c r="FE183" s="11"/>
      <c r="FF183" s="11"/>
      <c r="FG183" s="11"/>
      <c r="FH183" s="11"/>
      <c r="FI183" s="11"/>
      <c r="FJ183" s="11"/>
      <c r="FK183" s="11">
        <v>11000</v>
      </c>
      <c r="FL183" s="11">
        <v>14000</v>
      </c>
      <c r="FM183" s="11"/>
      <c r="FN183" s="11"/>
      <c r="FO183" s="7">
        <v>3455000</v>
      </c>
      <c r="FP183" s="7">
        <v>672000</v>
      </c>
      <c r="FQ183" s="7"/>
      <c r="FR183" s="7"/>
      <c r="FS183" s="7"/>
      <c r="FT183" s="7">
        <v>4362000</v>
      </c>
      <c r="FU183" s="7">
        <v>6090000</v>
      </c>
      <c r="FV183" s="7">
        <v>653000</v>
      </c>
      <c r="FW183" s="7"/>
      <c r="FX183" s="7"/>
      <c r="FY183" s="11">
        <v>-357000</v>
      </c>
      <c r="FZ183" s="11"/>
      <c r="GA183" s="11"/>
      <c r="GB183" s="11"/>
      <c r="GC183" s="11"/>
      <c r="GD183" s="7">
        <v>1451000</v>
      </c>
      <c r="GE183" s="7">
        <v>-30135000</v>
      </c>
      <c r="GF183" s="7">
        <v>-24768000</v>
      </c>
      <c r="GG183" s="7"/>
      <c r="GH183" s="7"/>
    </row>
    <row r="184" spans="1:190" x14ac:dyDescent="0.25">
      <c r="A184" s="4">
        <v>183</v>
      </c>
      <c r="B184" s="5" t="s">
        <v>654</v>
      </c>
      <c r="C184" s="9" t="s">
        <v>655</v>
      </c>
      <c r="D184" s="7">
        <v>17</v>
      </c>
      <c r="E184" s="6" t="s">
        <v>656</v>
      </c>
      <c r="F184" s="11">
        <v>81122</v>
      </c>
      <c r="G184" s="11">
        <v>35647</v>
      </c>
      <c r="H184" s="11">
        <v>22952</v>
      </c>
      <c r="I184" s="11">
        <v>35997</v>
      </c>
      <c r="J184" s="11"/>
      <c r="K184" s="11">
        <v>467283</v>
      </c>
      <c r="L184" s="11">
        <v>237189</v>
      </c>
      <c r="M184" s="11">
        <v>142380</v>
      </c>
      <c r="N184" s="11">
        <v>217229</v>
      </c>
      <c r="O184" s="11">
        <v>30232</v>
      </c>
      <c r="P184" s="7"/>
      <c r="Q184" s="7"/>
      <c r="R184" s="7"/>
      <c r="S184" s="7">
        <v>2217000</v>
      </c>
      <c r="T184" s="7">
        <v>1674000</v>
      </c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>
        <v>2961000</v>
      </c>
      <c r="AN184" s="11">
        <v>2607000</v>
      </c>
      <c r="AO184" s="7">
        <v>16590000</v>
      </c>
      <c r="AP184" s="7">
        <v>17100000</v>
      </c>
      <c r="AQ184" s="7">
        <v>23443000</v>
      </c>
      <c r="AR184" s="7">
        <v>2681000</v>
      </c>
      <c r="AS184" s="7">
        <v>34470000</v>
      </c>
      <c r="AT184" s="7">
        <v>3947000</v>
      </c>
      <c r="AU184" s="7">
        <v>4122000</v>
      </c>
      <c r="AV184" s="7">
        <v>5292000</v>
      </c>
      <c r="AW184" s="7">
        <v>2712000</v>
      </c>
      <c r="AX184" s="7">
        <v>2050000</v>
      </c>
      <c r="AY184" s="11">
        <v>105000</v>
      </c>
      <c r="AZ184" s="11">
        <v>105000</v>
      </c>
      <c r="BA184" s="11"/>
      <c r="BB184" s="11"/>
      <c r="BC184" s="11"/>
      <c r="BD184" s="7">
        <v>323000</v>
      </c>
      <c r="BE184" s="7">
        <v>215000</v>
      </c>
      <c r="BF184" s="7">
        <v>925000</v>
      </c>
      <c r="BG184" s="7">
        <v>714000</v>
      </c>
      <c r="BH184" s="7">
        <v>712000</v>
      </c>
      <c r="BI184" s="11"/>
      <c r="BJ184" s="11"/>
      <c r="BK184" s="11"/>
      <c r="BL184" s="11"/>
      <c r="BM184" s="11"/>
      <c r="BN184" s="11">
        <v>20966000</v>
      </c>
      <c r="BO184" s="11">
        <v>21545000</v>
      </c>
      <c r="BP184" s="11">
        <v>29661000</v>
      </c>
      <c r="BQ184" s="11">
        <v>6108000</v>
      </c>
      <c r="BR184" s="11">
        <v>37475000</v>
      </c>
      <c r="BS184" s="11">
        <v>20966000</v>
      </c>
      <c r="BT184" s="11">
        <v>21545000</v>
      </c>
      <c r="BU184" s="11">
        <v>29661000</v>
      </c>
      <c r="BV184" s="11">
        <v>9069000</v>
      </c>
      <c r="BW184" s="11">
        <v>40082000</v>
      </c>
      <c r="BX184" s="7">
        <v>10000</v>
      </c>
      <c r="BY184" s="7">
        <v>10000</v>
      </c>
      <c r="BZ184" s="7">
        <v>10000</v>
      </c>
      <c r="CA184" s="7">
        <v>10000</v>
      </c>
      <c r="CB184" s="7">
        <v>10000</v>
      </c>
      <c r="CC184" s="11"/>
      <c r="CD184" s="11"/>
      <c r="CE184" s="11"/>
      <c r="CF184" s="11"/>
      <c r="CG184" s="11"/>
      <c r="CH184" s="7">
        <v>6247000</v>
      </c>
      <c r="CI184" s="7">
        <v>6247000</v>
      </c>
      <c r="CJ184" s="7">
        <v>6373000</v>
      </c>
      <c r="CK184" s="7">
        <v>5202000</v>
      </c>
      <c r="CL184" s="7">
        <v>4857000</v>
      </c>
      <c r="CM184" s="11">
        <v>6257000</v>
      </c>
      <c r="CN184" s="11">
        <v>6257000</v>
      </c>
      <c r="CO184" s="11">
        <v>6383000</v>
      </c>
      <c r="CP184" s="11">
        <v>5212000</v>
      </c>
      <c r="CQ184" s="11">
        <v>4867000</v>
      </c>
      <c r="CR184" s="11">
        <v>2293000</v>
      </c>
      <c r="CS184" s="11">
        <v>1459000</v>
      </c>
      <c r="CT184" s="11">
        <v>616000</v>
      </c>
      <c r="CU184" s="11"/>
      <c r="CV184" s="11"/>
      <c r="CW184" s="11"/>
      <c r="CX184" s="11"/>
      <c r="CY184" s="11"/>
      <c r="CZ184" s="11">
        <v>1670000</v>
      </c>
      <c r="DA184" s="11">
        <v>2131000</v>
      </c>
      <c r="DB184" s="11">
        <v>2293000</v>
      </c>
      <c r="DC184" s="11">
        <v>1459000</v>
      </c>
      <c r="DD184" s="11">
        <v>616000</v>
      </c>
      <c r="DE184" s="11">
        <v>2113000</v>
      </c>
      <c r="DF184" s="11">
        <v>2552000</v>
      </c>
      <c r="DG184" s="7">
        <v>1371000</v>
      </c>
      <c r="DH184" s="7">
        <v>1371000</v>
      </c>
      <c r="DI184" s="7">
        <v>1381000</v>
      </c>
      <c r="DJ184" s="7">
        <v>1371000</v>
      </c>
      <c r="DK184" s="7">
        <v>1371000</v>
      </c>
      <c r="DL184" s="7">
        <v>11045000</v>
      </c>
      <c r="DM184" s="7">
        <v>12409000</v>
      </c>
      <c r="DN184" s="7">
        <v>21281000</v>
      </c>
      <c r="DO184" s="7">
        <v>324000</v>
      </c>
      <c r="DP184" s="7">
        <v>31244000</v>
      </c>
      <c r="DQ184" s="11"/>
      <c r="DR184" s="11"/>
      <c r="DS184" s="11"/>
      <c r="DT184" s="11"/>
      <c r="DU184" s="11"/>
      <c r="DV184" s="11"/>
      <c r="DW184" s="11">
        <v>49000</v>
      </c>
      <c r="DX184" s="11"/>
      <c r="DY184" s="11">
        <v>49000</v>
      </c>
      <c r="DZ184" s="11">
        <v>48000</v>
      </c>
      <c r="EA184" s="11">
        <v>12416000</v>
      </c>
      <c r="EB184" s="11">
        <v>13829000</v>
      </c>
      <c r="EC184" s="11">
        <v>22662000</v>
      </c>
      <c r="ED184" s="11">
        <v>1744000</v>
      </c>
      <c r="EE184" s="11">
        <v>32663000</v>
      </c>
      <c r="EF184" s="7">
        <v>10831000</v>
      </c>
      <c r="EG184" s="7">
        <v>12012000</v>
      </c>
      <c r="EH184" s="7">
        <v>8841000</v>
      </c>
      <c r="EI184" s="7">
        <v>14872000</v>
      </c>
      <c r="EJ184" s="7">
        <v>379000</v>
      </c>
      <c r="EK184" s="7">
        <v>6691000</v>
      </c>
      <c r="EL184" s="7">
        <v>7728000</v>
      </c>
      <c r="EM184" s="7">
        <v>4409000</v>
      </c>
      <c r="EN184" s="7">
        <v>13036000</v>
      </c>
      <c r="EO184" s="7">
        <v>133000</v>
      </c>
      <c r="EP184" s="7">
        <v>3684000</v>
      </c>
      <c r="EQ184" s="7">
        <v>3948000</v>
      </c>
      <c r="ER184" s="7">
        <v>3994000</v>
      </c>
      <c r="ES184" s="7">
        <v>8066000</v>
      </c>
      <c r="ET184" s="7">
        <v>843000</v>
      </c>
      <c r="EU184" s="7"/>
      <c r="EV184" s="7"/>
      <c r="EW184" s="7"/>
      <c r="EX184" s="7"/>
      <c r="EY184" s="7"/>
      <c r="EZ184" s="11"/>
      <c r="FA184" s="11"/>
      <c r="FB184" s="11"/>
      <c r="FC184" s="11"/>
      <c r="FD184" s="11"/>
      <c r="FE184" s="11"/>
      <c r="FF184" s="11"/>
      <c r="FG184" s="11"/>
      <c r="FH184" s="11"/>
      <c r="FI184" s="11"/>
      <c r="FJ184" s="11">
        <v>97000</v>
      </c>
      <c r="FK184" s="11">
        <v>258000</v>
      </c>
      <c r="FL184" s="11">
        <v>146000</v>
      </c>
      <c r="FM184" s="11">
        <v>91000</v>
      </c>
      <c r="FN184" s="11"/>
      <c r="FO184" s="7">
        <v>774000</v>
      </c>
      <c r="FP184" s="7">
        <v>39000</v>
      </c>
      <c r="FQ184" s="7">
        <v>49000</v>
      </c>
      <c r="FR184" s="7">
        <v>7088000</v>
      </c>
      <c r="FS184" s="7">
        <v>1117000</v>
      </c>
      <c r="FT184" s="7">
        <v>779000</v>
      </c>
      <c r="FU184" s="7">
        <v>111000</v>
      </c>
      <c r="FV184" s="7">
        <v>186000</v>
      </c>
      <c r="FW184" s="7">
        <v>2161000</v>
      </c>
      <c r="FX184" s="7">
        <v>1060000</v>
      </c>
      <c r="FY184" s="11">
        <v>-74000</v>
      </c>
      <c r="FZ184" s="11"/>
      <c r="GA184" s="11">
        <v>-26000</v>
      </c>
      <c r="GB184" s="11">
        <v>305000</v>
      </c>
      <c r="GC184" s="11">
        <v>210000</v>
      </c>
      <c r="GD184" s="7">
        <v>280000</v>
      </c>
      <c r="GE184" s="7">
        <v>5000</v>
      </c>
      <c r="GF184" s="7">
        <v>128000</v>
      </c>
      <c r="GG184" s="7">
        <v>-1093000</v>
      </c>
      <c r="GH184" s="7">
        <v>-330000</v>
      </c>
    </row>
    <row r="185" spans="1:190" x14ac:dyDescent="0.25">
      <c r="A185" s="4">
        <v>184</v>
      </c>
      <c r="B185" s="5" t="s">
        <v>657</v>
      </c>
      <c r="C185" s="9" t="s">
        <v>658</v>
      </c>
      <c r="D185" s="7">
        <v>20</v>
      </c>
      <c r="E185" s="6" t="s">
        <v>190</v>
      </c>
      <c r="F185" s="11"/>
      <c r="G185" s="11"/>
      <c r="H185" s="11"/>
      <c r="I185" s="11"/>
      <c r="J185" s="11"/>
      <c r="K185" s="11">
        <v>8861600</v>
      </c>
      <c r="L185" s="11">
        <v>8276117</v>
      </c>
      <c r="M185" s="11">
        <v>4186730</v>
      </c>
      <c r="N185" s="11">
        <v>1920974</v>
      </c>
      <c r="O185" s="11"/>
      <c r="P185" s="7">
        <v>1335000</v>
      </c>
      <c r="Q185" s="7">
        <v>945000</v>
      </c>
      <c r="R185" s="7"/>
      <c r="S185" s="7"/>
      <c r="T185" s="7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>
        <v>1335000</v>
      </c>
      <c r="AK185" s="11">
        <v>945000</v>
      </c>
      <c r="AL185" s="11"/>
      <c r="AM185" s="11"/>
      <c r="AN185" s="11"/>
      <c r="AO185" s="7">
        <v>2124000</v>
      </c>
      <c r="AP185" s="7">
        <v>1501000</v>
      </c>
      <c r="AQ185" s="7">
        <v>30000</v>
      </c>
      <c r="AR185" s="7">
        <v>1000</v>
      </c>
      <c r="AS185" s="7"/>
      <c r="AT185" s="7">
        <v>52009000</v>
      </c>
      <c r="AU185" s="7">
        <v>48040000</v>
      </c>
      <c r="AV185" s="7">
        <v>10366000</v>
      </c>
      <c r="AW185" s="7">
        <v>4544000</v>
      </c>
      <c r="AX185" s="7"/>
      <c r="AY185" s="11"/>
      <c r="AZ185" s="11"/>
      <c r="BA185" s="11">
        <v>1000000</v>
      </c>
      <c r="BB185" s="11"/>
      <c r="BC185" s="11"/>
      <c r="BD185" s="7">
        <v>17959000</v>
      </c>
      <c r="BE185" s="7">
        <v>4466000</v>
      </c>
      <c r="BF185" s="7">
        <v>81000</v>
      </c>
      <c r="BG185" s="7"/>
      <c r="BH185" s="7">
        <v>10000</v>
      </c>
      <c r="BI185" s="11">
        <v>513000</v>
      </c>
      <c r="BJ185" s="11">
        <v>473000</v>
      </c>
      <c r="BK185" s="11">
        <v>484000</v>
      </c>
      <c r="BL185" s="11">
        <v>390000</v>
      </c>
      <c r="BM185" s="11"/>
      <c r="BN185" s="11">
        <v>72608000</v>
      </c>
      <c r="BO185" s="11">
        <v>54483000</v>
      </c>
      <c r="BP185" s="11">
        <v>11964000</v>
      </c>
      <c r="BQ185" s="11">
        <v>4936000</v>
      </c>
      <c r="BR185" s="11">
        <v>10000</v>
      </c>
      <c r="BS185" s="11">
        <v>73943000</v>
      </c>
      <c r="BT185" s="11">
        <v>55428000</v>
      </c>
      <c r="BU185" s="11">
        <v>11964000</v>
      </c>
      <c r="BV185" s="11">
        <v>4936000</v>
      </c>
      <c r="BW185" s="11">
        <v>10000</v>
      </c>
      <c r="BX185" s="7">
        <v>10000</v>
      </c>
      <c r="BY185" s="7">
        <v>10000</v>
      </c>
      <c r="BZ185" s="7">
        <v>10000</v>
      </c>
      <c r="CA185" s="7">
        <v>10000</v>
      </c>
      <c r="CB185" s="7">
        <v>10000</v>
      </c>
      <c r="CC185" s="11"/>
      <c r="CD185" s="11"/>
      <c r="CE185" s="11"/>
      <c r="CF185" s="11"/>
      <c r="CG185" s="11"/>
      <c r="CH185" s="7">
        <v>27700000</v>
      </c>
      <c r="CI185" s="7">
        <v>20843000</v>
      </c>
      <c r="CJ185" s="7">
        <v>2988000</v>
      </c>
      <c r="CK185" s="7">
        <v>-15911000</v>
      </c>
      <c r="CL185" s="7"/>
      <c r="CM185" s="11">
        <v>27710000</v>
      </c>
      <c r="CN185" s="11">
        <v>20853000</v>
      </c>
      <c r="CO185" s="11">
        <v>2998000</v>
      </c>
      <c r="CP185" s="11">
        <v>-15901000</v>
      </c>
      <c r="CQ185" s="11">
        <v>10000</v>
      </c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7"/>
      <c r="DH185" s="7"/>
      <c r="DI185" s="7"/>
      <c r="DJ185" s="7"/>
      <c r="DK185" s="7"/>
      <c r="DL185" s="7">
        <v>46233000</v>
      </c>
      <c r="DM185" s="7">
        <v>34575000</v>
      </c>
      <c r="DN185" s="7">
        <v>8966000</v>
      </c>
      <c r="DO185" s="7">
        <v>20836000</v>
      </c>
      <c r="DP185" s="7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>
        <v>46233000</v>
      </c>
      <c r="EB185" s="11">
        <v>34575000</v>
      </c>
      <c r="EC185" s="11">
        <v>8966000</v>
      </c>
      <c r="ED185" s="11">
        <v>20836000</v>
      </c>
      <c r="EE185" s="11"/>
      <c r="EF185" s="7">
        <v>224861000</v>
      </c>
      <c r="EG185" s="7">
        <v>109334000</v>
      </c>
      <c r="EH185" s="7">
        <v>26336000</v>
      </c>
      <c r="EI185" s="7"/>
      <c r="EJ185" s="7"/>
      <c r="EK185" s="7">
        <v>200628000</v>
      </c>
      <c r="EL185" s="7">
        <v>96475000</v>
      </c>
      <c r="EM185" s="7">
        <v>26449000</v>
      </c>
      <c r="EN185" s="7"/>
      <c r="EO185" s="7"/>
      <c r="EP185" s="7"/>
      <c r="EQ185" s="7"/>
      <c r="ER185" s="7"/>
      <c r="ES185" s="7"/>
      <c r="ET185" s="7"/>
      <c r="EU185" s="7">
        <v>23342000</v>
      </c>
      <c r="EV185" s="7">
        <v>18594000</v>
      </c>
      <c r="EW185" s="7">
        <v>14776000</v>
      </c>
      <c r="EX185" s="7">
        <v>782000</v>
      </c>
      <c r="EY185" s="7"/>
      <c r="EZ185" s="11"/>
      <c r="FA185" s="11"/>
      <c r="FB185" s="11"/>
      <c r="FC185" s="11"/>
      <c r="FD185" s="11"/>
      <c r="FE185" s="11"/>
      <c r="FF185" s="11"/>
      <c r="FG185" s="11"/>
      <c r="FH185" s="11"/>
      <c r="FI185" s="11"/>
      <c r="FJ185" s="11"/>
      <c r="FK185" s="11"/>
      <c r="FL185" s="11"/>
      <c r="FM185" s="11"/>
      <c r="FN185" s="11"/>
      <c r="FO185" s="7">
        <v>2155000</v>
      </c>
      <c r="FP185" s="7">
        <v>5403000</v>
      </c>
      <c r="FQ185" s="7">
        <v>3000000</v>
      </c>
      <c r="FR185" s="7">
        <v>1435000</v>
      </c>
      <c r="FS185" s="7"/>
      <c r="FT185" s="7">
        <v>326000</v>
      </c>
      <c r="FU185" s="7">
        <v>6272000</v>
      </c>
      <c r="FV185" s="7">
        <v>3151000</v>
      </c>
      <c r="FW185" s="7">
        <v>19553000</v>
      </c>
      <c r="FX185" s="7"/>
      <c r="FY185" s="11">
        <v>-248000</v>
      </c>
      <c r="FZ185" s="11"/>
      <c r="GA185" s="11"/>
      <c r="GB185" s="11"/>
      <c r="GC185" s="11"/>
      <c r="GD185" s="7">
        <v>2472000</v>
      </c>
      <c r="GE185" s="7">
        <v>-6857000</v>
      </c>
      <c r="GF185" s="7">
        <v>-15040000</v>
      </c>
      <c r="GG185" s="7">
        <v>-18900000</v>
      </c>
      <c r="GH185" s="7"/>
    </row>
    <row r="186" spans="1:190" x14ac:dyDescent="0.25">
      <c r="A186" s="4">
        <v>185</v>
      </c>
      <c r="B186" s="5" t="s">
        <v>659</v>
      </c>
      <c r="C186" s="9" t="s">
        <v>660</v>
      </c>
      <c r="D186" s="7">
        <v>12</v>
      </c>
      <c r="E186" s="6" t="s">
        <v>239</v>
      </c>
      <c r="F186" s="11">
        <v>924245</v>
      </c>
      <c r="G186" s="11">
        <v>90223</v>
      </c>
      <c r="H186" s="11"/>
      <c r="I186" s="11"/>
      <c r="J186" s="11"/>
      <c r="K186" s="11">
        <v>7156104</v>
      </c>
      <c r="L186" s="11">
        <v>6077876</v>
      </c>
      <c r="M186" s="11"/>
      <c r="N186" s="11"/>
      <c r="O186" s="11"/>
      <c r="P186" s="7">
        <v>48641000</v>
      </c>
      <c r="Q186" s="7">
        <v>1306000</v>
      </c>
      <c r="R186" s="7"/>
      <c r="S186" s="7"/>
      <c r="T186" s="7"/>
      <c r="U186" s="11"/>
      <c r="V186" s="11"/>
      <c r="W186" s="11"/>
      <c r="X186" s="11"/>
      <c r="Y186" s="11"/>
      <c r="Z186" s="11"/>
      <c r="AA186" s="11">
        <v>12917000</v>
      </c>
      <c r="AB186" s="11"/>
      <c r="AC186" s="11"/>
      <c r="AD186" s="11"/>
      <c r="AE186" s="11"/>
      <c r="AF186" s="11"/>
      <c r="AG186" s="11"/>
      <c r="AH186" s="11"/>
      <c r="AI186" s="11"/>
      <c r="AJ186" s="11">
        <v>48641000</v>
      </c>
      <c r="AK186" s="11">
        <v>14223000</v>
      </c>
      <c r="AL186" s="11"/>
      <c r="AM186" s="11"/>
      <c r="AN186" s="11"/>
      <c r="AO186" s="7">
        <v>55030000</v>
      </c>
      <c r="AP186" s="7">
        <v>3547000</v>
      </c>
      <c r="AQ186" s="7"/>
      <c r="AR186" s="7"/>
      <c r="AS186" s="7"/>
      <c r="AT186" s="7">
        <v>90314000</v>
      </c>
      <c r="AU186" s="7">
        <v>55053000</v>
      </c>
      <c r="AV186" s="7"/>
      <c r="AW186" s="7"/>
      <c r="AX186" s="7"/>
      <c r="AY186" s="11"/>
      <c r="AZ186" s="11"/>
      <c r="BA186" s="11"/>
      <c r="BB186" s="11"/>
      <c r="BC186" s="11"/>
      <c r="BD186" s="7">
        <v>2061000</v>
      </c>
      <c r="BE186" s="7">
        <v>2728000</v>
      </c>
      <c r="BF186" s="7"/>
      <c r="BG186" s="7"/>
      <c r="BH186" s="7"/>
      <c r="BI186" s="11"/>
      <c r="BJ186" s="11"/>
      <c r="BK186" s="11"/>
      <c r="BL186" s="11"/>
      <c r="BM186" s="11"/>
      <c r="BN186" s="11">
        <v>147405000</v>
      </c>
      <c r="BO186" s="11">
        <v>61328000</v>
      </c>
      <c r="BP186" s="11"/>
      <c r="BQ186" s="11"/>
      <c r="BR186" s="11"/>
      <c r="BS186" s="11">
        <v>196046000</v>
      </c>
      <c r="BT186" s="11">
        <v>75551000</v>
      </c>
      <c r="BU186" s="11"/>
      <c r="BV186" s="11"/>
      <c r="BW186" s="11"/>
      <c r="BX186" s="7"/>
      <c r="BY186" s="7"/>
      <c r="BZ186" s="7"/>
      <c r="CA186" s="7"/>
      <c r="CB186" s="7"/>
      <c r="CC186" s="11"/>
      <c r="CD186" s="11"/>
      <c r="CE186" s="11"/>
      <c r="CF186" s="11"/>
      <c r="CG186" s="11"/>
      <c r="CH186" s="7"/>
      <c r="CI186" s="7"/>
      <c r="CJ186" s="7"/>
      <c r="CK186" s="7"/>
      <c r="CL186" s="7"/>
      <c r="CM186" s="11">
        <v>-23866000</v>
      </c>
      <c r="CN186" s="11">
        <v>-151967000</v>
      </c>
      <c r="CO186" s="11"/>
      <c r="CP186" s="11"/>
      <c r="CQ186" s="11"/>
      <c r="CR186" s="11"/>
      <c r="CS186" s="11"/>
      <c r="CT186" s="11"/>
      <c r="CU186" s="11"/>
      <c r="CV186" s="11"/>
      <c r="CW186" s="11">
        <v>73882000</v>
      </c>
      <c r="CX186" s="11">
        <v>2124000</v>
      </c>
      <c r="CY186" s="11"/>
      <c r="CZ186" s="11"/>
      <c r="DA186" s="11"/>
      <c r="DB186" s="11">
        <v>73882000</v>
      </c>
      <c r="DC186" s="11">
        <v>2124000</v>
      </c>
      <c r="DD186" s="11"/>
      <c r="DE186" s="11"/>
      <c r="DF186" s="11"/>
      <c r="DG186" s="7">
        <v>54583000</v>
      </c>
      <c r="DH186" s="7">
        <v>82073000</v>
      </c>
      <c r="DI186" s="7"/>
      <c r="DJ186" s="7"/>
      <c r="DK186" s="7"/>
      <c r="DL186" s="7">
        <v>91447000</v>
      </c>
      <c r="DM186" s="7">
        <v>143321000</v>
      </c>
      <c r="DN186" s="7"/>
      <c r="DO186" s="7"/>
      <c r="DP186" s="7"/>
      <c r="DQ186" s="11"/>
      <c r="DR186" s="11"/>
      <c r="DS186" s="11"/>
      <c r="DT186" s="11"/>
      <c r="DU186" s="11"/>
      <c r="DV186" s="11"/>
      <c r="DW186" s="11"/>
      <c r="DX186" s="11"/>
      <c r="DY186" s="11"/>
      <c r="DZ186" s="11"/>
      <c r="EA186" s="11">
        <v>146030000</v>
      </c>
      <c r="EB186" s="11">
        <v>225394000</v>
      </c>
      <c r="EC186" s="11"/>
      <c r="ED186" s="11"/>
      <c r="EE186" s="11"/>
      <c r="EF186" s="7">
        <v>604340000</v>
      </c>
      <c r="EG186" s="7">
        <v>143934000</v>
      </c>
      <c r="EH186" s="7"/>
      <c r="EI186" s="7"/>
      <c r="EJ186" s="7"/>
      <c r="EK186" s="7">
        <v>594214000</v>
      </c>
      <c r="EL186" s="7">
        <v>203338000</v>
      </c>
      <c r="EM186" s="7"/>
      <c r="EN186" s="7"/>
      <c r="EO186" s="7"/>
      <c r="EP186" s="7"/>
      <c r="EQ186" s="7"/>
      <c r="ER186" s="7"/>
      <c r="ES186" s="7"/>
      <c r="ET186" s="7"/>
      <c r="EU186" s="7"/>
      <c r="EV186" s="7"/>
      <c r="EW186" s="7"/>
      <c r="EX186" s="7"/>
      <c r="EY186" s="7"/>
      <c r="EZ186" s="11"/>
      <c r="FA186" s="11"/>
      <c r="FB186" s="11"/>
      <c r="FC186" s="11"/>
      <c r="FD186" s="11"/>
      <c r="FE186" s="11"/>
      <c r="FF186" s="11"/>
      <c r="FG186" s="11"/>
      <c r="FH186" s="11"/>
      <c r="FI186" s="11"/>
      <c r="FJ186" s="11">
        <v>5107000</v>
      </c>
      <c r="FK186" s="11">
        <v>12662000</v>
      </c>
      <c r="FL186" s="11"/>
      <c r="FM186" s="11"/>
      <c r="FN186" s="11"/>
      <c r="FO186" s="7">
        <v>44245000</v>
      </c>
      <c r="FP186" s="7">
        <v>54372000</v>
      </c>
      <c r="FQ186" s="7"/>
      <c r="FR186" s="7"/>
      <c r="FS186" s="7"/>
      <c r="FT186" s="7">
        <v>55963000</v>
      </c>
      <c r="FU186" s="7">
        <v>122949000</v>
      </c>
      <c r="FV186" s="7"/>
      <c r="FW186" s="7"/>
      <c r="FX186" s="7"/>
      <c r="FY186" s="11">
        <v>306000</v>
      </c>
      <c r="FZ186" s="11">
        <v>-12543000</v>
      </c>
      <c r="GA186" s="11"/>
      <c r="GB186" s="11"/>
      <c r="GC186" s="11"/>
      <c r="GD186" s="7">
        <v>-7005000</v>
      </c>
      <c r="GE186" s="7">
        <v>-128100000</v>
      </c>
      <c r="GF186" s="7"/>
      <c r="GG186" s="7"/>
      <c r="GH186" s="7"/>
    </row>
    <row r="187" spans="1:190" ht="26.25" x14ac:dyDescent="0.25">
      <c r="A187" s="4">
        <v>186</v>
      </c>
      <c r="B187" s="5" t="s">
        <v>661</v>
      </c>
      <c r="C187" s="9" t="s">
        <v>662</v>
      </c>
      <c r="D187" s="7">
        <v>13</v>
      </c>
      <c r="E187" s="6" t="s">
        <v>663</v>
      </c>
      <c r="F187" s="11">
        <v>21374</v>
      </c>
      <c r="G187" s="11"/>
      <c r="H187" s="11"/>
      <c r="I187" s="11"/>
      <c r="J187" s="11"/>
      <c r="K187" s="11">
        <v>5367984</v>
      </c>
      <c r="L187" s="11">
        <v>117944</v>
      </c>
      <c r="M187" s="11">
        <v>73293</v>
      </c>
      <c r="N187" s="11"/>
      <c r="O187" s="11"/>
      <c r="P187" s="7">
        <v>3009000</v>
      </c>
      <c r="Q187" s="7">
        <v>2177000</v>
      </c>
      <c r="R187" s="7"/>
      <c r="S187" s="7"/>
      <c r="T187" s="7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>
        <v>3009000</v>
      </c>
      <c r="AK187" s="11">
        <v>2177000</v>
      </c>
      <c r="AL187" s="11"/>
      <c r="AM187" s="11"/>
      <c r="AN187" s="11"/>
      <c r="AO187" s="7">
        <v>415000</v>
      </c>
      <c r="AP187" s="7"/>
      <c r="AQ187" s="7"/>
      <c r="AR187" s="7"/>
      <c r="AS187" s="7"/>
      <c r="AT187" s="7">
        <v>14719000</v>
      </c>
      <c r="AU187" s="7">
        <v>15025000</v>
      </c>
      <c r="AV187" s="7">
        <v>15100000</v>
      </c>
      <c r="AW187" s="7"/>
      <c r="AX187" s="7"/>
      <c r="AY187" s="11"/>
      <c r="AZ187" s="11">
        <v>5000</v>
      </c>
      <c r="BA187" s="11">
        <v>5000</v>
      </c>
      <c r="BB187" s="11"/>
      <c r="BC187" s="11"/>
      <c r="BD187" s="7">
        <v>38000</v>
      </c>
      <c r="BE187" s="7">
        <v>191000</v>
      </c>
      <c r="BF187" s="7">
        <v>43000</v>
      </c>
      <c r="BG187" s="7"/>
      <c r="BH187" s="7"/>
      <c r="BI187" s="11">
        <v>5000</v>
      </c>
      <c r="BJ187" s="11">
        <v>5000</v>
      </c>
      <c r="BK187" s="11">
        <v>578000</v>
      </c>
      <c r="BL187" s="11"/>
      <c r="BM187" s="11"/>
      <c r="BN187" s="11">
        <v>15216000</v>
      </c>
      <c r="BO187" s="11">
        <v>15226000</v>
      </c>
      <c r="BP187" s="11">
        <v>15730000</v>
      </c>
      <c r="BQ187" s="11"/>
      <c r="BR187" s="11"/>
      <c r="BS187" s="11">
        <v>18225000</v>
      </c>
      <c r="BT187" s="11">
        <v>17403000</v>
      </c>
      <c r="BU187" s="11">
        <v>15730000</v>
      </c>
      <c r="BV187" s="11"/>
      <c r="BW187" s="11"/>
      <c r="BX187" s="7">
        <v>10000</v>
      </c>
      <c r="BY187" s="7">
        <v>10000</v>
      </c>
      <c r="BZ187" s="7">
        <v>10000</v>
      </c>
      <c r="CA187" s="7">
        <v>10000</v>
      </c>
      <c r="CB187" s="7"/>
      <c r="CC187" s="11"/>
      <c r="CD187" s="11"/>
      <c r="CE187" s="11"/>
      <c r="CF187" s="11"/>
      <c r="CG187" s="11"/>
      <c r="CH187" s="7">
        <v>-6169000</v>
      </c>
      <c r="CI187" s="7">
        <v>-6427000</v>
      </c>
      <c r="CJ187" s="7">
        <v>-6723000</v>
      </c>
      <c r="CK187" s="7">
        <v>-7742000</v>
      </c>
      <c r="CL187" s="7"/>
      <c r="CM187" s="11">
        <v>-6159000</v>
      </c>
      <c r="CN187" s="11">
        <v>-6417000</v>
      </c>
      <c r="CO187" s="11">
        <v>-6713000</v>
      </c>
      <c r="CP187" s="11">
        <v>-7732000</v>
      </c>
      <c r="CQ187" s="11"/>
      <c r="CR187" s="11"/>
      <c r="CS187" s="11"/>
      <c r="CT187" s="11"/>
      <c r="CU187" s="11"/>
      <c r="CV187" s="11"/>
      <c r="CW187" s="11"/>
      <c r="CX187" s="11"/>
      <c r="CY187" s="11"/>
      <c r="CZ187" s="11"/>
      <c r="DA187" s="11"/>
      <c r="DB187" s="11"/>
      <c r="DC187" s="11"/>
      <c r="DD187" s="11"/>
      <c r="DE187" s="11"/>
      <c r="DF187" s="11"/>
      <c r="DG187" s="7">
        <v>3330000</v>
      </c>
      <c r="DH187" s="7">
        <v>2860000</v>
      </c>
      <c r="DI187" s="7">
        <v>2810000</v>
      </c>
      <c r="DJ187" s="7">
        <v>7732000</v>
      </c>
      <c r="DK187" s="7"/>
      <c r="DL187" s="7">
        <v>21054000</v>
      </c>
      <c r="DM187" s="7">
        <v>20960000</v>
      </c>
      <c r="DN187" s="7">
        <v>19633000</v>
      </c>
      <c r="DO187" s="7"/>
      <c r="DP187" s="7"/>
      <c r="DQ187" s="11"/>
      <c r="DR187" s="11"/>
      <c r="DS187" s="11"/>
      <c r="DT187" s="11"/>
      <c r="DU187" s="11"/>
      <c r="DV187" s="11"/>
      <c r="DW187" s="11"/>
      <c r="DX187" s="11"/>
      <c r="DY187" s="11"/>
      <c r="DZ187" s="11"/>
      <c r="EA187" s="11">
        <v>24384000</v>
      </c>
      <c r="EB187" s="11">
        <v>23820000</v>
      </c>
      <c r="EC187" s="11">
        <v>22443000</v>
      </c>
      <c r="ED187" s="11">
        <v>7732000</v>
      </c>
      <c r="EE187" s="11"/>
      <c r="EF187" s="7">
        <v>8321000</v>
      </c>
      <c r="EG187" s="7">
        <v>1250000</v>
      </c>
      <c r="EH187" s="7">
        <v>498000</v>
      </c>
      <c r="EI187" s="7"/>
      <c r="EJ187" s="7"/>
      <c r="EK187" s="7">
        <v>8428000</v>
      </c>
      <c r="EL187" s="7"/>
      <c r="EM187" s="7">
        <v>1076000</v>
      </c>
      <c r="EN187" s="7"/>
      <c r="EO187" s="7"/>
      <c r="EP187" s="7">
        <v>6074000</v>
      </c>
      <c r="EQ187" s="7">
        <v>767000</v>
      </c>
      <c r="ER187" s="7">
        <v>247000</v>
      </c>
      <c r="ES187" s="7"/>
      <c r="ET187" s="7"/>
      <c r="EU187" s="7">
        <v>4738000</v>
      </c>
      <c r="EV187" s="7">
        <v>62000</v>
      </c>
      <c r="EW187" s="7"/>
      <c r="EX187" s="7"/>
      <c r="EY187" s="7"/>
      <c r="EZ187" s="11"/>
      <c r="FA187" s="11"/>
      <c r="FB187" s="11"/>
      <c r="FC187" s="11"/>
      <c r="FD187" s="11"/>
      <c r="FE187" s="11">
        <v>189000</v>
      </c>
      <c r="FF187" s="11"/>
      <c r="FG187" s="11"/>
      <c r="FH187" s="11"/>
      <c r="FI187" s="11"/>
      <c r="FJ187" s="11"/>
      <c r="FK187" s="11"/>
      <c r="FL187" s="11"/>
      <c r="FM187" s="11"/>
      <c r="FN187" s="11"/>
      <c r="FO187" s="7"/>
      <c r="FP187" s="7"/>
      <c r="FQ187" s="7">
        <v>916000</v>
      </c>
      <c r="FR187" s="7"/>
      <c r="FS187" s="7"/>
      <c r="FT187" s="7">
        <v>225000</v>
      </c>
      <c r="FU187" s="7">
        <v>679000</v>
      </c>
      <c r="FV187" s="7">
        <v>387000</v>
      </c>
      <c r="FW187" s="7"/>
      <c r="FX187" s="7"/>
      <c r="FY187" s="11"/>
      <c r="FZ187" s="11"/>
      <c r="GA187" s="11"/>
      <c r="GB187" s="11"/>
      <c r="GC187" s="11"/>
      <c r="GD187" s="7">
        <v>-10955000</v>
      </c>
      <c r="GE187" s="7">
        <v>-258000</v>
      </c>
      <c r="GF187" s="7">
        <v>-296000</v>
      </c>
      <c r="GG187" s="7"/>
      <c r="GH187" s="7"/>
    </row>
    <row r="188" spans="1:190" x14ac:dyDescent="0.25">
      <c r="A188" s="4">
        <v>187</v>
      </c>
      <c r="B188" s="5" t="s">
        <v>664</v>
      </c>
      <c r="C188" s="9" t="s">
        <v>665</v>
      </c>
      <c r="D188" s="7">
        <v>12</v>
      </c>
      <c r="E188" s="6" t="s">
        <v>190</v>
      </c>
      <c r="F188" s="11"/>
      <c r="G188" s="11"/>
      <c r="H188" s="11"/>
      <c r="I188" s="11"/>
      <c r="J188" s="11"/>
      <c r="K188" s="11">
        <v>131285</v>
      </c>
      <c r="L188" s="11">
        <v>343639</v>
      </c>
      <c r="M188" s="11"/>
      <c r="N188" s="11"/>
      <c r="O188" s="11"/>
      <c r="P188" s="7"/>
      <c r="Q188" s="7"/>
      <c r="R188" s="7"/>
      <c r="S188" s="7"/>
      <c r="T188" s="7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7">
        <v>615675000</v>
      </c>
      <c r="AP188" s="7"/>
      <c r="AQ188" s="7"/>
      <c r="AR188" s="7"/>
      <c r="AS188" s="7"/>
      <c r="AT188" s="7">
        <v>260945000</v>
      </c>
      <c r="AU188" s="7"/>
      <c r="AV188" s="7"/>
      <c r="AW188" s="7"/>
      <c r="AX188" s="7"/>
      <c r="AY188" s="11">
        <v>9855000</v>
      </c>
      <c r="AZ188" s="11"/>
      <c r="BA188" s="11"/>
      <c r="BB188" s="11"/>
      <c r="BC188" s="11"/>
      <c r="BD188" s="7">
        <v>21107000</v>
      </c>
      <c r="BE188" s="7"/>
      <c r="BF188" s="7"/>
      <c r="BG188" s="7"/>
      <c r="BH188" s="7"/>
      <c r="BI188" s="11">
        <v>2000</v>
      </c>
      <c r="BJ188" s="11"/>
      <c r="BK188" s="11"/>
      <c r="BL188" s="11"/>
      <c r="BM188" s="11"/>
      <c r="BN188" s="11">
        <v>925064000</v>
      </c>
      <c r="BO188" s="11"/>
      <c r="BP188" s="11"/>
      <c r="BQ188" s="11"/>
      <c r="BR188" s="11"/>
      <c r="BS188" s="11">
        <v>925064000</v>
      </c>
      <c r="BT188" s="11"/>
      <c r="BU188" s="11"/>
      <c r="BV188" s="11"/>
      <c r="BW188" s="11"/>
      <c r="BX188" s="7">
        <v>30000</v>
      </c>
      <c r="BY188" s="7"/>
      <c r="BZ188" s="7"/>
      <c r="CA188" s="7"/>
      <c r="CB188" s="7"/>
      <c r="CC188" s="11"/>
      <c r="CD188" s="11"/>
      <c r="CE188" s="11"/>
      <c r="CF188" s="11"/>
      <c r="CG188" s="11"/>
      <c r="CH188" s="7">
        <v>-599914000</v>
      </c>
      <c r="CI188" s="7"/>
      <c r="CJ188" s="7"/>
      <c r="CK188" s="7"/>
      <c r="CL188" s="7"/>
      <c r="CM188" s="11">
        <v>-599884000</v>
      </c>
      <c r="CN188" s="11"/>
      <c r="CO188" s="11"/>
      <c r="CP188" s="11"/>
      <c r="CQ188" s="11"/>
      <c r="CR188" s="11"/>
      <c r="CS188" s="11"/>
      <c r="CT188" s="11"/>
      <c r="CU188" s="11"/>
      <c r="CV188" s="11"/>
      <c r="CW188" s="11"/>
      <c r="CX188" s="11"/>
      <c r="CY188" s="11"/>
      <c r="CZ188" s="11"/>
      <c r="DA188" s="11"/>
      <c r="DB188" s="11"/>
      <c r="DC188" s="11"/>
      <c r="DD188" s="11"/>
      <c r="DE188" s="11"/>
      <c r="DF188" s="11"/>
      <c r="DG188" s="7">
        <v>116867000</v>
      </c>
      <c r="DH188" s="7"/>
      <c r="DI188" s="7"/>
      <c r="DJ188" s="7"/>
      <c r="DK188" s="7"/>
      <c r="DL188" s="7">
        <v>1408081000</v>
      </c>
      <c r="DM188" s="7"/>
      <c r="DN188" s="7"/>
      <c r="DO188" s="7"/>
      <c r="DP188" s="7"/>
      <c r="DQ188" s="11"/>
      <c r="DR188" s="11"/>
      <c r="DS188" s="11"/>
      <c r="DT188" s="11"/>
      <c r="DU188" s="11"/>
      <c r="DV188" s="11"/>
      <c r="DW188" s="11"/>
      <c r="DX188" s="11"/>
      <c r="DY188" s="11"/>
      <c r="DZ188" s="11"/>
      <c r="EA188" s="11">
        <v>1524948000</v>
      </c>
      <c r="EB188" s="11"/>
      <c r="EC188" s="11"/>
      <c r="ED188" s="11"/>
      <c r="EE188" s="11"/>
      <c r="EF188" s="7">
        <v>99786000</v>
      </c>
      <c r="EG188" s="7"/>
      <c r="EH188" s="7"/>
      <c r="EI188" s="7"/>
      <c r="EJ188" s="7"/>
      <c r="EK188" s="7">
        <v>118948000</v>
      </c>
      <c r="EL188" s="7"/>
      <c r="EM188" s="7"/>
      <c r="EN188" s="7"/>
      <c r="EO188" s="7"/>
      <c r="EP188" s="7"/>
      <c r="EQ188" s="7"/>
      <c r="ER188" s="7"/>
      <c r="ES188" s="7"/>
      <c r="ET188" s="7"/>
      <c r="EU188" s="7">
        <v>5758000</v>
      </c>
      <c r="EV188" s="7"/>
      <c r="EW188" s="7"/>
      <c r="EX188" s="7"/>
      <c r="EY188" s="7"/>
      <c r="EZ188" s="11"/>
      <c r="FA188" s="11"/>
      <c r="FB188" s="11"/>
      <c r="FC188" s="11"/>
      <c r="FD188" s="11"/>
      <c r="FE188" s="11">
        <v>364000</v>
      </c>
      <c r="FF188" s="11"/>
      <c r="FG188" s="11"/>
      <c r="FH188" s="11"/>
      <c r="FI188" s="11"/>
      <c r="FJ188" s="11"/>
      <c r="FK188" s="11"/>
      <c r="FL188" s="11"/>
      <c r="FM188" s="11"/>
      <c r="FN188" s="11"/>
      <c r="FO188" s="7">
        <v>12736000</v>
      </c>
      <c r="FP188" s="7"/>
      <c r="FQ188" s="7"/>
      <c r="FR188" s="7"/>
      <c r="FS188" s="7"/>
      <c r="FT188" s="7">
        <v>7095000</v>
      </c>
      <c r="FU188" s="7"/>
      <c r="FV188" s="7"/>
      <c r="FW188" s="7"/>
      <c r="FX188" s="7"/>
      <c r="FY188" s="11">
        <v>-207000</v>
      </c>
      <c r="FZ188" s="11"/>
      <c r="GA188" s="11"/>
      <c r="GB188" s="11"/>
      <c r="GC188" s="11"/>
      <c r="GD188" s="7">
        <v>-19122000</v>
      </c>
      <c r="GE188" s="7"/>
      <c r="GF188" s="7"/>
      <c r="GG188" s="7"/>
      <c r="GH188" s="7"/>
    </row>
    <row r="189" spans="1:190" ht="26.25" x14ac:dyDescent="0.25">
      <c r="A189" s="4">
        <v>188</v>
      </c>
      <c r="B189" s="5" t="s">
        <v>666</v>
      </c>
      <c r="C189" s="9" t="s">
        <v>667</v>
      </c>
      <c r="D189" s="7">
        <v>6</v>
      </c>
      <c r="E189" s="6" t="s">
        <v>668</v>
      </c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7"/>
      <c r="Q189" s="7"/>
      <c r="R189" s="7"/>
      <c r="S189" s="7"/>
      <c r="T189" s="7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7">
        <v>6215000</v>
      </c>
      <c r="AP189" s="7">
        <v>9982000</v>
      </c>
      <c r="AQ189" s="7">
        <v>10404000</v>
      </c>
      <c r="AR189" s="7"/>
      <c r="AS189" s="7"/>
      <c r="AT189" s="7">
        <v>7918000</v>
      </c>
      <c r="AU189" s="7">
        <v>18068000</v>
      </c>
      <c r="AV189" s="7">
        <v>21414000</v>
      </c>
      <c r="AW189" s="7">
        <v>21946000</v>
      </c>
      <c r="AX189" s="7">
        <v>21976000</v>
      </c>
      <c r="AY189" s="11"/>
      <c r="AZ189" s="11"/>
      <c r="BA189" s="11"/>
      <c r="BB189" s="11"/>
      <c r="BC189" s="11"/>
      <c r="BD189" s="7">
        <v>13481000</v>
      </c>
      <c r="BE189" s="7">
        <v>4021000</v>
      </c>
      <c r="BF189" s="7">
        <v>2515000</v>
      </c>
      <c r="BG189" s="7">
        <v>18000</v>
      </c>
      <c r="BH189" s="7"/>
      <c r="BI189" s="11"/>
      <c r="BJ189" s="11"/>
      <c r="BK189" s="11"/>
      <c r="BL189" s="11"/>
      <c r="BM189" s="11"/>
      <c r="BN189" s="11">
        <v>27614000</v>
      </c>
      <c r="BO189" s="11">
        <v>32071000</v>
      </c>
      <c r="BP189" s="11">
        <v>34333000</v>
      </c>
      <c r="BQ189" s="11">
        <v>21964000</v>
      </c>
      <c r="BR189" s="11">
        <v>21976000</v>
      </c>
      <c r="BS189" s="11">
        <v>27614000</v>
      </c>
      <c r="BT189" s="11">
        <v>32071000</v>
      </c>
      <c r="BU189" s="11">
        <v>34334000</v>
      </c>
      <c r="BV189" s="11">
        <v>21964000</v>
      </c>
      <c r="BW189" s="11">
        <v>21976000</v>
      </c>
      <c r="BX189" s="7"/>
      <c r="BY189" s="7"/>
      <c r="BZ189" s="7"/>
      <c r="CA189" s="7"/>
      <c r="CB189" s="7"/>
      <c r="CC189" s="11"/>
      <c r="CD189" s="11"/>
      <c r="CE189" s="11"/>
      <c r="CF189" s="11"/>
      <c r="CG189" s="11"/>
      <c r="CH189" s="7"/>
      <c r="CI189" s="7"/>
      <c r="CJ189" s="7"/>
      <c r="CK189" s="7"/>
      <c r="CL189" s="7">
        <v>-2920000</v>
      </c>
      <c r="CM189" s="11">
        <v>19144000</v>
      </c>
      <c r="CN189" s="11">
        <v>21943000</v>
      </c>
      <c r="CO189" s="11">
        <v>23066000</v>
      </c>
      <c r="CP189" s="11">
        <v>21942000</v>
      </c>
      <c r="CQ189" s="11">
        <v>-2920000</v>
      </c>
      <c r="CR189" s="11"/>
      <c r="CS189" s="11"/>
      <c r="CT189" s="11"/>
      <c r="CU189" s="11"/>
      <c r="CV189" s="11"/>
      <c r="CW189" s="11"/>
      <c r="CX189" s="11"/>
      <c r="CY189" s="11"/>
      <c r="CZ189" s="11"/>
      <c r="DA189" s="11"/>
      <c r="DB189" s="11"/>
      <c r="DC189" s="11"/>
      <c r="DD189" s="11"/>
      <c r="DE189" s="11"/>
      <c r="DF189" s="11"/>
      <c r="DG189" s="7">
        <v>2473000</v>
      </c>
      <c r="DH189" s="7"/>
      <c r="DI189" s="7"/>
      <c r="DJ189" s="7"/>
      <c r="DK189" s="7"/>
      <c r="DL189" s="7">
        <v>5998000</v>
      </c>
      <c r="DM189" s="7">
        <v>10128000</v>
      </c>
      <c r="DN189" s="7">
        <v>11267000</v>
      </c>
      <c r="DO189" s="7">
        <v>22000</v>
      </c>
      <c r="DP189" s="7">
        <v>24896000</v>
      </c>
      <c r="DQ189" s="11"/>
      <c r="DR189" s="11"/>
      <c r="DS189" s="11"/>
      <c r="DT189" s="11"/>
      <c r="DU189" s="11"/>
      <c r="DV189" s="11"/>
      <c r="DW189" s="11"/>
      <c r="DX189" s="11"/>
      <c r="DY189" s="11"/>
      <c r="DZ189" s="11"/>
      <c r="EA189" s="11">
        <v>8471000</v>
      </c>
      <c r="EB189" s="11">
        <v>10128000</v>
      </c>
      <c r="EC189" s="11">
        <v>11267000</v>
      </c>
      <c r="ED189" s="11">
        <v>22000</v>
      </c>
      <c r="EE189" s="11">
        <v>24896000</v>
      </c>
      <c r="EF189" s="7">
        <v>149055000</v>
      </c>
      <c r="EG189" s="7">
        <v>178225000</v>
      </c>
      <c r="EH189" s="7">
        <v>194580000</v>
      </c>
      <c r="EI189" s="7">
        <v>71347000</v>
      </c>
      <c r="EJ189" s="7"/>
      <c r="EK189" s="7">
        <v>131347000</v>
      </c>
      <c r="EL189" s="7">
        <v>172464000</v>
      </c>
      <c r="EM189" s="7">
        <v>189744000</v>
      </c>
      <c r="EN189" s="7">
        <v>71401000</v>
      </c>
      <c r="EO189" s="7"/>
      <c r="EP189" s="7"/>
      <c r="EQ189" s="7"/>
      <c r="ER189" s="7"/>
      <c r="ES189" s="7"/>
      <c r="ET189" s="7"/>
      <c r="EU189" s="7"/>
      <c r="EV189" s="7"/>
      <c r="EW189" s="7"/>
      <c r="EX189" s="7"/>
      <c r="EY189" s="7"/>
      <c r="EZ189" s="11"/>
      <c r="FA189" s="11"/>
      <c r="FB189" s="11"/>
      <c r="FC189" s="11"/>
      <c r="FD189" s="11"/>
      <c r="FE189" s="11"/>
      <c r="FF189" s="11"/>
      <c r="FG189" s="11"/>
      <c r="FH189" s="11"/>
      <c r="FI189" s="11"/>
      <c r="FJ189" s="11">
        <v>39000</v>
      </c>
      <c r="FK189" s="11">
        <v>129000</v>
      </c>
      <c r="FL189" s="11"/>
      <c r="FM189" s="11"/>
      <c r="FN189" s="11"/>
      <c r="FO189" s="7">
        <v>739000</v>
      </c>
      <c r="FP189" s="7">
        <v>1071000</v>
      </c>
      <c r="FQ189" s="7">
        <v>209000</v>
      </c>
      <c r="FR189" s="7"/>
      <c r="FS189" s="7"/>
      <c r="FT189" s="7">
        <v>1358000</v>
      </c>
      <c r="FU189" s="7">
        <v>2114000</v>
      </c>
      <c r="FV189" s="7">
        <v>1955000</v>
      </c>
      <c r="FW189" s="7">
        <v>345000</v>
      </c>
      <c r="FX189" s="7"/>
      <c r="FY189" s="11">
        <v>1959000</v>
      </c>
      <c r="FZ189" s="11">
        <v>1790000</v>
      </c>
      <c r="GA189" s="11">
        <v>1967000</v>
      </c>
      <c r="GB189" s="11">
        <v>725000</v>
      </c>
      <c r="GC189" s="11"/>
      <c r="GD189" s="7">
        <v>15091000</v>
      </c>
      <c r="GE189" s="7">
        <v>2799000</v>
      </c>
      <c r="GF189" s="7">
        <v>1123000</v>
      </c>
      <c r="GG189" s="7">
        <v>-1124000</v>
      </c>
      <c r="GH189" s="7"/>
    </row>
    <row r="190" spans="1:190" ht="39" x14ac:dyDescent="0.25">
      <c r="A190" s="4">
        <v>189</v>
      </c>
      <c r="B190" s="5" t="s">
        <v>669</v>
      </c>
      <c r="C190" s="9" t="s">
        <v>670</v>
      </c>
      <c r="D190" s="7">
        <v>11</v>
      </c>
      <c r="E190" s="6" t="s">
        <v>671</v>
      </c>
      <c r="F190" s="11">
        <v>2655394</v>
      </c>
      <c r="G190" s="11">
        <v>6883334</v>
      </c>
      <c r="H190" s="11">
        <v>968069</v>
      </c>
      <c r="I190" s="11"/>
      <c r="J190" s="11"/>
      <c r="K190" s="11">
        <v>7730330</v>
      </c>
      <c r="L190" s="11">
        <v>7429202</v>
      </c>
      <c r="M190" s="11">
        <v>23353177</v>
      </c>
      <c r="N190" s="11">
        <v>2687243</v>
      </c>
      <c r="O190" s="11"/>
      <c r="P190" s="7"/>
      <c r="Q190" s="7">
        <v>20193000</v>
      </c>
      <c r="R190" s="7">
        <v>88866000</v>
      </c>
      <c r="S190" s="7">
        <v>75134000</v>
      </c>
      <c r="T190" s="7">
        <v>14777000</v>
      </c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>
        <v>536000</v>
      </c>
      <c r="AK190" s="11">
        <v>20193000</v>
      </c>
      <c r="AL190" s="11">
        <v>102997000</v>
      </c>
      <c r="AM190" s="11">
        <v>87689000</v>
      </c>
      <c r="AN190" s="11">
        <v>22341000</v>
      </c>
      <c r="AO190" s="7">
        <v>167779000</v>
      </c>
      <c r="AP190" s="7">
        <v>215355000</v>
      </c>
      <c r="AQ190" s="7">
        <v>418226000</v>
      </c>
      <c r="AR190" s="7">
        <v>428400000</v>
      </c>
      <c r="AS190" s="7">
        <v>197505000</v>
      </c>
      <c r="AT190" s="7">
        <v>262385000</v>
      </c>
      <c r="AU190" s="7">
        <v>311189000</v>
      </c>
      <c r="AV190" s="7">
        <v>139567000</v>
      </c>
      <c r="AW190" s="7">
        <v>34203000</v>
      </c>
      <c r="AX190" s="7">
        <v>276564000</v>
      </c>
      <c r="AY190" s="11"/>
      <c r="AZ190" s="11"/>
      <c r="BA190" s="11"/>
      <c r="BB190" s="11"/>
      <c r="BC190" s="11"/>
      <c r="BD190" s="7">
        <v>10977000</v>
      </c>
      <c r="BE190" s="7">
        <v>9282000</v>
      </c>
      <c r="BF190" s="7">
        <v>152000</v>
      </c>
      <c r="BG190" s="7">
        <v>5587000</v>
      </c>
      <c r="BH190" s="7">
        <v>651000</v>
      </c>
      <c r="BI190" s="11">
        <v>118000</v>
      </c>
      <c r="BJ190" s="11">
        <v>17256000</v>
      </c>
      <c r="BK190" s="11">
        <v>114176000</v>
      </c>
      <c r="BL190" s="11">
        <v>228434000</v>
      </c>
      <c r="BM190" s="11">
        <v>565657000</v>
      </c>
      <c r="BN190" s="11">
        <v>446930000</v>
      </c>
      <c r="BO190" s="11">
        <v>557345000</v>
      </c>
      <c r="BP190" s="11">
        <v>674050000</v>
      </c>
      <c r="BQ190" s="11">
        <v>696623000</v>
      </c>
      <c r="BR190" s="11">
        <v>1040377000</v>
      </c>
      <c r="BS190" s="11">
        <v>447466000</v>
      </c>
      <c r="BT190" s="11">
        <v>577538000</v>
      </c>
      <c r="BU190" s="11">
        <v>777047000</v>
      </c>
      <c r="BV190" s="11">
        <v>784312000</v>
      </c>
      <c r="BW190" s="11">
        <v>1062718000</v>
      </c>
      <c r="BX190" s="7">
        <v>20000</v>
      </c>
      <c r="BY190" s="7">
        <v>20000</v>
      </c>
      <c r="BZ190" s="7">
        <v>20000</v>
      </c>
      <c r="CA190" s="7">
        <v>20000</v>
      </c>
      <c r="CB190" s="7">
        <v>20000</v>
      </c>
      <c r="CC190" s="11"/>
      <c r="CD190" s="11"/>
      <c r="CE190" s="11"/>
      <c r="CF190" s="11"/>
      <c r="CG190" s="11"/>
      <c r="CH190" s="7">
        <v>15107000</v>
      </c>
      <c r="CI190" s="7">
        <v>37319000</v>
      </c>
      <c r="CJ190" s="7">
        <v>44425000</v>
      </c>
      <c r="CK190" s="7">
        <v>41620000</v>
      </c>
      <c r="CL190" s="7">
        <v>23651000</v>
      </c>
      <c r="CM190" s="11">
        <v>15127000</v>
      </c>
      <c r="CN190" s="11">
        <v>37339000</v>
      </c>
      <c r="CO190" s="11">
        <v>44445000</v>
      </c>
      <c r="CP190" s="11">
        <v>41640000</v>
      </c>
      <c r="CQ190" s="11">
        <v>23671000</v>
      </c>
      <c r="CR190" s="11">
        <v>58753000</v>
      </c>
      <c r="CS190" s="11">
        <v>58753000</v>
      </c>
      <c r="CT190" s="11">
        <v>86355000</v>
      </c>
      <c r="CU190" s="11">
        <v>81555000</v>
      </c>
      <c r="CV190" s="11">
        <v>54101000</v>
      </c>
      <c r="CW190" s="11"/>
      <c r="CX190" s="11"/>
      <c r="CY190" s="11">
        <v>64813000</v>
      </c>
      <c r="CZ190" s="11">
        <v>49053000</v>
      </c>
      <c r="DA190" s="11"/>
      <c r="DB190" s="11">
        <v>58753000</v>
      </c>
      <c r="DC190" s="11">
        <v>58753000</v>
      </c>
      <c r="DD190" s="11">
        <v>165723000</v>
      </c>
      <c r="DE190" s="11">
        <v>142831000</v>
      </c>
      <c r="DF190" s="11">
        <v>55723000</v>
      </c>
      <c r="DG190" s="7">
        <v>520000</v>
      </c>
      <c r="DH190" s="7">
        <v>30591000</v>
      </c>
      <c r="DI190" s="7">
        <v>116819000</v>
      </c>
      <c r="DJ190" s="7">
        <v>147176000</v>
      </c>
      <c r="DK190" s="7">
        <v>144164000</v>
      </c>
      <c r="DL190" s="7">
        <v>370172000</v>
      </c>
      <c r="DM190" s="7">
        <v>438169000</v>
      </c>
      <c r="DN190" s="7">
        <v>432899000</v>
      </c>
      <c r="DO190" s="7">
        <v>437857000</v>
      </c>
      <c r="DP190" s="7">
        <v>828597000</v>
      </c>
      <c r="DQ190" s="11"/>
      <c r="DR190" s="11"/>
      <c r="DS190" s="11"/>
      <c r="DT190" s="11"/>
      <c r="DU190" s="11"/>
      <c r="DV190" s="11"/>
      <c r="DW190" s="11"/>
      <c r="DX190" s="11"/>
      <c r="DY190" s="11"/>
      <c r="DZ190" s="11"/>
      <c r="EA190" s="11">
        <v>373586000</v>
      </c>
      <c r="EB190" s="11">
        <v>481446000</v>
      </c>
      <c r="EC190" s="11">
        <v>566879000</v>
      </c>
      <c r="ED190" s="11">
        <v>599841000</v>
      </c>
      <c r="EE190" s="11">
        <v>983324000</v>
      </c>
      <c r="EF190" s="7">
        <v>715641000</v>
      </c>
      <c r="EG190" s="7">
        <v>1029745000</v>
      </c>
      <c r="EH190" s="7">
        <v>893503000</v>
      </c>
      <c r="EI190" s="7">
        <v>725914000</v>
      </c>
      <c r="EJ190" s="7">
        <v>449610000</v>
      </c>
      <c r="EK190" s="7">
        <v>617689000</v>
      </c>
      <c r="EL190" s="7">
        <v>892281000</v>
      </c>
      <c r="EM190" s="7">
        <v>764087000</v>
      </c>
      <c r="EN190" s="7">
        <v>647917000</v>
      </c>
      <c r="EO190" s="7">
        <v>499362000</v>
      </c>
      <c r="EP190" s="7">
        <v>54360000</v>
      </c>
      <c r="EQ190" s="7">
        <v>61162000</v>
      </c>
      <c r="ER190" s="7">
        <v>53069000</v>
      </c>
      <c r="ES190" s="7">
        <v>23403000</v>
      </c>
      <c r="ET190" s="7">
        <v>3623000</v>
      </c>
      <c r="EU190" s="7">
        <v>28818000</v>
      </c>
      <c r="EV190" s="7">
        <v>53241000</v>
      </c>
      <c r="EW190" s="7">
        <v>39194000</v>
      </c>
      <c r="EX190" s="7">
        <v>30927000</v>
      </c>
      <c r="EY190" s="7">
        <v>28582000</v>
      </c>
      <c r="EZ190" s="11"/>
      <c r="FA190" s="11"/>
      <c r="FB190" s="11"/>
      <c r="FC190" s="11"/>
      <c r="FD190" s="11"/>
      <c r="FE190" s="11"/>
      <c r="FF190" s="11"/>
      <c r="FG190" s="11"/>
      <c r="FH190" s="11"/>
      <c r="FI190" s="11"/>
      <c r="FJ190" s="11">
        <v>6468000</v>
      </c>
      <c r="FK190" s="11">
        <v>7014000</v>
      </c>
      <c r="FL190" s="11">
        <v>18986000</v>
      </c>
      <c r="FM190" s="11">
        <v>22799000</v>
      </c>
      <c r="FN190" s="11">
        <v>12575000</v>
      </c>
      <c r="FO190" s="7">
        <v>430748000</v>
      </c>
      <c r="FP190" s="7">
        <v>351668000</v>
      </c>
      <c r="FQ190" s="7">
        <v>306631000</v>
      </c>
      <c r="FR190" s="7">
        <v>44633000</v>
      </c>
      <c r="FS190" s="7">
        <v>93463000</v>
      </c>
      <c r="FT190" s="7">
        <v>428806000</v>
      </c>
      <c r="FU190" s="7">
        <v>339043000</v>
      </c>
      <c r="FV190" s="7">
        <v>315605000</v>
      </c>
      <c r="FW190" s="7">
        <v>48883000</v>
      </c>
      <c r="FX190" s="7">
        <v>22510000</v>
      </c>
      <c r="FY190" s="11">
        <v>-2317000</v>
      </c>
      <c r="FZ190" s="11">
        <v>-6460000</v>
      </c>
      <c r="GA190" s="11">
        <v>-3891000</v>
      </c>
      <c r="GB190" s="11">
        <v>464000</v>
      </c>
      <c r="GC190" s="11">
        <v>5617000</v>
      </c>
      <c r="GD190" s="7">
        <v>7931000</v>
      </c>
      <c r="GE190" s="7">
        <v>22212000</v>
      </c>
      <c r="GF190" s="7">
        <v>7107000</v>
      </c>
      <c r="GG190" s="7">
        <v>-2805000</v>
      </c>
      <c r="GH190" s="7">
        <v>-17970000</v>
      </c>
    </row>
    <row r="191" spans="1:190" x14ac:dyDescent="0.25">
      <c r="A191" s="4">
        <v>190</v>
      </c>
      <c r="B191" s="5" t="s">
        <v>672</v>
      </c>
      <c r="C191" s="9" t="s">
        <v>673</v>
      </c>
      <c r="D191" s="7">
        <v>6</v>
      </c>
      <c r="E191" s="6" t="s">
        <v>674</v>
      </c>
      <c r="F191" s="11">
        <v>4099410</v>
      </c>
      <c r="G191" s="11">
        <v>97333</v>
      </c>
      <c r="H191" s="11">
        <v>30407846</v>
      </c>
      <c r="I191" s="11"/>
      <c r="J191" s="11"/>
      <c r="K191" s="11">
        <v>19697342</v>
      </c>
      <c r="L191" s="11">
        <v>138634504</v>
      </c>
      <c r="M191" s="11">
        <v>600525639</v>
      </c>
      <c r="N191" s="11">
        <v>253534594</v>
      </c>
      <c r="O191" s="11"/>
      <c r="P191" s="7">
        <v>2615000</v>
      </c>
      <c r="Q191" s="7">
        <v>230279000</v>
      </c>
      <c r="R191" s="7">
        <v>487200000</v>
      </c>
      <c r="S191" s="7">
        <v>230915000</v>
      </c>
      <c r="T191" s="7">
        <v>121550000</v>
      </c>
      <c r="U191" s="11"/>
      <c r="V191" s="11"/>
      <c r="W191" s="11"/>
      <c r="X191" s="11"/>
      <c r="Y191" s="11"/>
      <c r="Z191" s="11"/>
      <c r="AA191" s="11">
        <v>10000</v>
      </c>
      <c r="AB191" s="11">
        <v>10000</v>
      </c>
      <c r="AC191" s="11"/>
      <c r="AD191" s="11"/>
      <c r="AE191" s="11">
        <v>1588000</v>
      </c>
      <c r="AF191" s="11">
        <v>71205000</v>
      </c>
      <c r="AG191" s="11">
        <v>23334000</v>
      </c>
      <c r="AH191" s="11"/>
      <c r="AI191" s="11"/>
      <c r="AJ191" s="11">
        <v>4203000</v>
      </c>
      <c r="AK191" s="11">
        <v>308860000</v>
      </c>
      <c r="AL191" s="11">
        <v>585598000</v>
      </c>
      <c r="AM191" s="11">
        <v>486315000</v>
      </c>
      <c r="AN191" s="11">
        <v>483063000</v>
      </c>
      <c r="AO191" s="7">
        <v>825000</v>
      </c>
      <c r="AP191" s="7">
        <v>3806321000</v>
      </c>
      <c r="AQ191" s="7">
        <v>10360362000</v>
      </c>
      <c r="AR191" s="7">
        <v>9088150000</v>
      </c>
      <c r="AS191" s="7">
        <v>9081928000</v>
      </c>
      <c r="AT191" s="7">
        <v>163635000</v>
      </c>
      <c r="AU191" s="7">
        <v>1357321000</v>
      </c>
      <c r="AV191" s="7">
        <v>4055627000</v>
      </c>
      <c r="AW191" s="7">
        <v>1544859000</v>
      </c>
      <c r="AX191" s="7">
        <v>1490337000</v>
      </c>
      <c r="AY191" s="11">
        <v>21895000</v>
      </c>
      <c r="AZ191" s="11">
        <v>53635000</v>
      </c>
      <c r="BA191" s="11">
        <v>31735000</v>
      </c>
      <c r="BB191" s="11">
        <v>10800000</v>
      </c>
      <c r="BC191" s="11">
        <v>10800000</v>
      </c>
      <c r="BD191" s="7">
        <v>110771000</v>
      </c>
      <c r="BE191" s="7">
        <v>205680000</v>
      </c>
      <c r="BF191" s="7">
        <v>56513000</v>
      </c>
      <c r="BG191" s="7">
        <v>21679000</v>
      </c>
      <c r="BH191" s="7">
        <v>15804000</v>
      </c>
      <c r="BI191" s="11"/>
      <c r="BJ191" s="11"/>
      <c r="BK191" s="11">
        <v>37000</v>
      </c>
      <c r="BL191" s="11">
        <v>492000</v>
      </c>
      <c r="BM191" s="11">
        <v>2234000</v>
      </c>
      <c r="BN191" s="11">
        <v>297126000</v>
      </c>
      <c r="BO191" s="11">
        <v>5422957000</v>
      </c>
      <c r="BP191" s="11">
        <v>14504274000</v>
      </c>
      <c r="BQ191" s="11">
        <v>10665980000</v>
      </c>
      <c r="BR191" s="11">
        <v>10601432000</v>
      </c>
      <c r="BS191" s="11">
        <v>301329000</v>
      </c>
      <c r="BT191" s="11">
        <v>5731817000</v>
      </c>
      <c r="BU191" s="11">
        <v>15089872000</v>
      </c>
      <c r="BV191" s="11">
        <v>11152295000</v>
      </c>
      <c r="BW191" s="11">
        <v>11084495000</v>
      </c>
      <c r="BX191" s="7">
        <v>10000</v>
      </c>
      <c r="BY191" s="7">
        <v>10000</v>
      </c>
      <c r="BZ191" s="7">
        <v>1000000</v>
      </c>
      <c r="CA191" s="7">
        <v>1000000</v>
      </c>
      <c r="CB191" s="7">
        <v>1000000</v>
      </c>
      <c r="CC191" s="11"/>
      <c r="CD191" s="11"/>
      <c r="CE191" s="11"/>
      <c r="CF191" s="11"/>
      <c r="CG191" s="11"/>
      <c r="CH191" s="7">
        <v>12517000</v>
      </c>
      <c r="CI191" s="7">
        <v>17492000</v>
      </c>
      <c r="CJ191" s="7">
        <v>119177000</v>
      </c>
      <c r="CK191" s="7">
        <v>-735386000</v>
      </c>
      <c r="CL191" s="7">
        <v>-862380000</v>
      </c>
      <c r="CM191" s="11">
        <v>12527000</v>
      </c>
      <c r="CN191" s="11">
        <v>17502000</v>
      </c>
      <c r="CO191" s="11">
        <v>120177000</v>
      </c>
      <c r="CP191" s="11">
        <v>-734386000</v>
      </c>
      <c r="CQ191" s="11">
        <v>-861380000</v>
      </c>
      <c r="CR191" s="11"/>
      <c r="CS191" s="11"/>
      <c r="CT191" s="11"/>
      <c r="CU191" s="11"/>
      <c r="CV191" s="11"/>
      <c r="CW191" s="11"/>
      <c r="CX191" s="11">
        <v>118391000</v>
      </c>
      <c r="CY191" s="11">
        <v>224294000</v>
      </c>
      <c r="CZ191" s="11">
        <v>74374000</v>
      </c>
      <c r="DA191" s="11">
        <v>73481000</v>
      </c>
      <c r="DB191" s="11"/>
      <c r="DC191" s="11">
        <v>127044000</v>
      </c>
      <c r="DD191" s="11">
        <v>322868000</v>
      </c>
      <c r="DE191" s="11">
        <v>144140000</v>
      </c>
      <c r="DF191" s="11">
        <v>145432000</v>
      </c>
      <c r="DG191" s="7"/>
      <c r="DH191" s="7"/>
      <c r="DI191" s="7">
        <v>5000000</v>
      </c>
      <c r="DJ191" s="7"/>
      <c r="DK191" s="7"/>
      <c r="DL191" s="7">
        <v>288802000</v>
      </c>
      <c r="DM191" s="7">
        <v>5561856000</v>
      </c>
      <c r="DN191" s="7">
        <v>14572226000</v>
      </c>
      <c r="DO191" s="7">
        <v>11742541000</v>
      </c>
      <c r="DP191" s="7">
        <v>11800443000</v>
      </c>
      <c r="DQ191" s="11"/>
      <c r="DR191" s="11"/>
      <c r="DS191" s="11"/>
      <c r="DT191" s="11"/>
      <c r="DU191" s="11"/>
      <c r="DV191" s="11"/>
      <c r="DW191" s="11"/>
      <c r="DX191" s="11"/>
      <c r="DY191" s="11"/>
      <c r="DZ191" s="11"/>
      <c r="EA191" s="11">
        <v>288802000</v>
      </c>
      <c r="EB191" s="11">
        <v>5587271000</v>
      </c>
      <c r="EC191" s="11">
        <v>14646827000</v>
      </c>
      <c r="ED191" s="11">
        <v>11742541000</v>
      </c>
      <c r="EE191" s="11">
        <v>11800443000</v>
      </c>
      <c r="EF191" s="7">
        <v>477768000</v>
      </c>
      <c r="EG191" s="7">
        <v>1581781000</v>
      </c>
      <c r="EH191" s="7">
        <v>5713885000</v>
      </c>
      <c r="EI191" s="7">
        <v>4231423000</v>
      </c>
      <c r="EJ191" s="7">
        <v>45214000</v>
      </c>
      <c r="EK191" s="7">
        <v>423271000</v>
      </c>
      <c r="EL191" s="7">
        <v>1395104000</v>
      </c>
      <c r="EM191" s="7">
        <v>5134236000</v>
      </c>
      <c r="EN191" s="7">
        <v>4712567000</v>
      </c>
      <c r="EO191" s="7">
        <v>51857000</v>
      </c>
      <c r="EP191" s="7"/>
      <c r="EQ191" s="7"/>
      <c r="ER191" s="7"/>
      <c r="ES191" s="7"/>
      <c r="ET191" s="7"/>
      <c r="EU191" s="7">
        <v>51100000</v>
      </c>
      <c r="EV191" s="7">
        <v>175987000</v>
      </c>
      <c r="EW191" s="7">
        <v>495777000</v>
      </c>
      <c r="EX191" s="7">
        <v>409365000</v>
      </c>
      <c r="EY191" s="7">
        <v>279203000</v>
      </c>
      <c r="EZ191" s="11"/>
      <c r="FA191" s="11"/>
      <c r="FB191" s="11"/>
      <c r="FC191" s="11"/>
      <c r="FD191" s="11"/>
      <c r="FE191" s="11"/>
      <c r="FF191" s="11">
        <v>804000</v>
      </c>
      <c r="FG191" s="11">
        <v>27325000</v>
      </c>
      <c r="FH191" s="11">
        <v>750000</v>
      </c>
      <c r="FI191" s="11">
        <v>412000</v>
      </c>
      <c r="FJ191" s="11"/>
      <c r="FK191" s="11"/>
      <c r="FL191" s="11"/>
      <c r="FM191" s="11">
        <v>2643000</v>
      </c>
      <c r="FN191" s="11"/>
      <c r="FO191" s="7">
        <v>16079000</v>
      </c>
      <c r="FP191" s="7">
        <v>10289000</v>
      </c>
      <c r="FQ191" s="7">
        <v>216548000</v>
      </c>
      <c r="FR191" s="7">
        <v>224640000</v>
      </c>
      <c r="FS191" s="7">
        <v>222129000</v>
      </c>
      <c r="FT191" s="7">
        <v>3484000</v>
      </c>
      <c r="FU191" s="7">
        <v>13701000</v>
      </c>
      <c r="FV191" s="7">
        <v>245168000</v>
      </c>
      <c r="FW191" s="7">
        <v>395644000</v>
      </c>
      <c r="FX191" s="7">
        <v>167618000</v>
      </c>
      <c r="FY191" s="11">
        <v>-3463000</v>
      </c>
      <c r="FZ191" s="11">
        <v>-2849000</v>
      </c>
      <c r="GA191" s="11">
        <v>-22741000</v>
      </c>
      <c r="GB191" s="11">
        <v>209154000</v>
      </c>
      <c r="GC191" s="11">
        <v>103929000</v>
      </c>
      <c r="GD191" s="7">
        <v>12466000</v>
      </c>
      <c r="GE191" s="7">
        <v>4975000</v>
      </c>
      <c r="GF191" s="7">
        <v>58825000</v>
      </c>
      <c r="GG191" s="7">
        <v>-854563000</v>
      </c>
      <c r="GH191" s="7">
        <v>-126994000</v>
      </c>
    </row>
    <row r="192" spans="1:190" x14ac:dyDescent="0.25">
      <c r="A192" s="4">
        <v>191</v>
      </c>
      <c r="B192" s="5" t="s">
        <v>675</v>
      </c>
      <c r="C192" s="9" t="s">
        <v>676</v>
      </c>
      <c r="D192" s="7">
        <v>24</v>
      </c>
      <c r="E192" s="6" t="s">
        <v>653</v>
      </c>
      <c r="F192" s="11">
        <v>31</v>
      </c>
      <c r="G192" s="11"/>
      <c r="H192" s="11"/>
      <c r="I192" s="11">
        <v>3225</v>
      </c>
      <c r="J192" s="11">
        <v>1907</v>
      </c>
      <c r="K192" s="11">
        <v>689015</v>
      </c>
      <c r="L192" s="11">
        <v>704915</v>
      </c>
      <c r="M192" s="11">
        <v>67416</v>
      </c>
      <c r="N192" s="11">
        <v>105051</v>
      </c>
      <c r="O192" s="11">
        <v>77912</v>
      </c>
      <c r="P192" s="7">
        <v>4907000</v>
      </c>
      <c r="Q192" s="7">
        <v>4539000</v>
      </c>
      <c r="R192" s="7">
        <v>4458000</v>
      </c>
      <c r="S192" s="7">
        <v>4378000</v>
      </c>
      <c r="T192" s="7"/>
      <c r="U192" s="11"/>
      <c r="V192" s="11"/>
      <c r="W192" s="11"/>
      <c r="X192" s="11"/>
      <c r="Y192" s="11"/>
      <c r="Z192" s="11">
        <v>22000</v>
      </c>
      <c r="AA192" s="11">
        <v>22000</v>
      </c>
      <c r="AB192" s="11">
        <v>256000</v>
      </c>
      <c r="AC192" s="11">
        <v>256000</v>
      </c>
      <c r="AD192" s="11"/>
      <c r="AE192" s="11"/>
      <c r="AF192" s="11"/>
      <c r="AG192" s="11"/>
      <c r="AH192" s="11"/>
      <c r="AI192" s="11"/>
      <c r="AJ192" s="11">
        <v>4929000</v>
      </c>
      <c r="AK192" s="11">
        <v>4561000</v>
      </c>
      <c r="AL192" s="11">
        <v>4714000</v>
      </c>
      <c r="AM192" s="11">
        <v>4634000</v>
      </c>
      <c r="AN192" s="11"/>
      <c r="AO192" s="7"/>
      <c r="AP192" s="7"/>
      <c r="AQ192" s="7"/>
      <c r="AR192" s="7"/>
      <c r="AS192" s="7"/>
      <c r="AT192" s="7">
        <v>700000</v>
      </c>
      <c r="AU192" s="7">
        <v>881000</v>
      </c>
      <c r="AV192" s="7">
        <v>15759000</v>
      </c>
      <c r="AW192" s="7">
        <v>15259000</v>
      </c>
      <c r="AX192" s="7"/>
      <c r="AY192" s="11"/>
      <c r="AZ192" s="11"/>
      <c r="BA192" s="11"/>
      <c r="BB192" s="11"/>
      <c r="BC192" s="11"/>
      <c r="BD192" s="7"/>
      <c r="BE192" s="7"/>
      <c r="BF192" s="7"/>
      <c r="BG192" s="7"/>
      <c r="BH192" s="7"/>
      <c r="BI192" s="11"/>
      <c r="BJ192" s="11"/>
      <c r="BK192" s="11"/>
      <c r="BL192" s="11"/>
      <c r="BM192" s="11"/>
      <c r="BN192" s="11">
        <v>700000</v>
      </c>
      <c r="BO192" s="11">
        <v>881000</v>
      </c>
      <c r="BP192" s="11">
        <v>15759000</v>
      </c>
      <c r="BQ192" s="11">
        <v>15259000</v>
      </c>
      <c r="BR192" s="11"/>
      <c r="BS192" s="11">
        <v>5629000</v>
      </c>
      <c r="BT192" s="11">
        <v>5442000</v>
      </c>
      <c r="BU192" s="11">
        <v>20473000</v>
      </c>
      <c r="BV192" s="11">
        <v>19893000</v>
      </c>
      <c r="BW192" s="11"/>
      <c r="BX192" s="7">
        <v>1455000</v>
      </c>
      <c r="BY192" s="7">
        <v>1455000</v>
      </c>
      <c r="BZ192" s="7">
        <v>1455000</v>
      </c>
      <c r="CA192" s="7">
        <v>1455000</v>
      </c>
      <c r="CB192" s="7"/>
      <c r="CC192" s="11"/>
      <c r="CD192" s="11"/>
      <c r="CE192" s="11"/>
      <c r="CF192" s="11"/>
      <c r="CG192" s="11"/>
      <c r="CH192" s="7">
        <v>-47470000</v>
      </c>
      <c r="CI192" s="7">
        <v>-49431000</v>
      </c>
      <c r="CJ192" s="7">
        <v>-32336000</v>
      </c>
      <c r="CK192" s="7">
        <v>-38944000</v>
      </c>
      <c r="CL192" s="7"/>
      <c r="CM192" s="11">
        <v>-45940000</v>
      </c>
      <c r="CN192" s="11">
        <v>-47901000</v>
      </c>
      <c r="CO192" s="11">
        <v>-30806000</v>
      </c>
      <c r="CP192" s="11">
        <v>-37414000</v>
      </c>
      <c r="CQ192" s="11"/>
      <c r="CR192" s="11">
        <v>9845000</v>
      </c>
      <c r="CS192" s="11">
        <v>9845000</v>
      </c>
      <c r="CT192" s="11">
        <v>14316000</v>
      </c>
      <c r="CU192" s="11">
        <v>14133000</v>
      </c>
      <c r="CV192" s="11"/>
      <c r="CW192" s="11"/>
      <c r="CX192" s="11"/>
      <c r="CY192" s="11"/>
      <c r="CZ192" s="11">
        <v>14490000</v>
      </c>
      <c r="DA192" s="11"/>
      <c r="DB192" s="11">
        <v>9845000</v>
      </c>
      <c r="DC192" s="11">
        <v>9845000</v>
      </c>
      <c r="DD192" s="11">
        <v>14316000</v>
      </c>
      <c r="DE192" s="11">
        <v>28623000</v>
      </c>
      <c r="DF192" s="11"/>
      <c r="DG192" s="7">
        <v>2258000</v>
      </c>
      <c r="DH192" s="7">
        <v>4278000</v>
      </c>
      <c r="DI192" s="7"/>
      <c r="DJ192" s="7"/>
      <c r="DK192" s="7"/>
      <c r="DL192" s="7">
        <v>39204000</v>
      </c>
      <c r="DM192" s="7">
        <v>38958000</v>
      </c>
      <c r="DN192" s="7">
        <v>36963000</v>
      </c>
      <c r="DO192" s="7">
        <v>27150000</v>
      </c>
      <c r="DP192" s="7"/>
      <c r="DQ192" s="11"/>
      <c r="DR192" s="11"/>
      <c r="DS192" s="11"/>
      <c r="DT192" s="11"/>
      <c r="DU192" s="11"/>
      <c r="DV192" s="11"/>
      <c r="DW192" s="11"/>
      <c r="DX192" s="11"/>
      <c r="DY192" s="11"/>
      <c r="DZ192" s="11"/>
      <c r="EA192" s="11">
        <v>41724000</v>
      </c>
      <c r="EB192" s="11">
        <v>43498000</v>
      </c>
      <c r="EC192" s="11">
        <v>36963000</v>
      </c>
      <c r="ED192" s="11">
        <v>28684000</v>
      </c>
      <c r="EE192" s="11"/>
      <c r="EF192" s="7">
        <v>6618000</v>
      </c>
      <c r="EG192" s="7">
        <v>216000</v>
      </c>
      <c r="EH192" s="7">
        <v>261000</v>
      </c>
      <c r="EI192" s="7">
        <v>283000</v>
      </c>
      <c r="EJ192" s="7"/>
      <c r="EK192" s="7">
        <v>6690000</v>
      </c>
      <c r="EL192" s="7"/>
      <c r="EM192" s="7">
        <v>81000</v>
      </c>
      <c r="EN192" s="7"/>
      <c r="EO192" s="7"/>
      <c r="EP192" s="7"/>
      <c r="EQ192" s="7"/>
      <c r="ER192" s="7">
        <v>949000</v>
      </c>
      <c r="ES192" s="7">
        <v>255000</v>
      </c>
      <c r="ET192" s="7"/>
      <c r="EU192" s="7">
        <v>6651000</v>
      </c>
      <c r="EV192" s="7">
        <v>324000</v>
      </c>
      <c r="EW192" s="7"/>
      <c r="EX192" s="7"/>
      <c r="EY192" s="7"/>
      <c r="EZ192" s="11"/>
      <c r="FA192" s="11"/>
      <c r="FB192" s="11"/>
      <c r="FC192" s="11"/>
      <c r="FD192" s="11"/>
      <c r="FE192" s="11"/>
      <c r="FF192" s="11"/>
      <c r="FG192" s="11"/>
      <c r="FH192" s="11"/>
      <c r="FI192" s="11"/>
      <c r="FJ192" s="11">
        <v>2989000</v>
      </c>
      <c r="FK192" s="11">
        <v>3100000</v>
      </c>
      <c r="FL192" s="11">
        <v>2021000</v>
      </c>
      <c r="FM192" s="11">
        <v>2021000</v>
      </c>
      <c r="FN192" s="11"/>
      <c r="FO192" s="7">
        <v>11737000</v>
      </c>
      <c r="FP192" s="7">
        <v>1976000</v>
      </c>
      <c r="FQ192" s="7">
        <v>1159000</v>
      </c>
      <c r="FR192" s="7"/>
      <c r="FS192" s="7"/>
      <c r="FT192" s="7">
        <v>21222000</v>
      </c>
      <c r="FU192" s="7">
        <v>729000</v>
      </c>
      <c r="FV192" s="7">
        <v>1061000</v>
      </c>
      <c r="FW192" s="7"/>
      <c r="FX192" s="7"/>
      <c r="FY192" s="11"/>
      <c r="FZ192" s="11"/>
      <c r="GA192" s="11"/>
      <c r="GB192" s="11"/>
      <c r="GC192" s="11"/>
      <c r="GD192" s="7">
        <v>-19486000</v>
      </c>
      <c r="GE192" s="7">
        <v>-1961000</v>
      </c>
      <c r="GF192" s="7">
        <v>-2692000</v>
      </c>
      <c r="GG192" s="7">
        <v>-1993000</v>
      </c>
      <c r="GH192" s="7"/>
    </row>
    <row r="193" spans="1:190" ht="26.25" x14ac:dyDescent="0.25">
      <c r="A193" s="4">
        <v>192</v>
      </c>
      <c r="B193" s="5" t="s">
        <v>677</v>
      </c>
      <c r="C193" s="9" t="s">
        <v>678</v>
      </c>
      <c r="D193" s="7">
        <v>18</v>
      </c>
      <c r="E193" s="6" t="s">
        <v>378</v>
      </c>
      <c r="F193" s="11"/>
      <c r="G193" s="11">
        <v>455531</v>
      </c>
      <c r="H193" s="11"/>
      <c r="I193" s="11"/>
      <c r="J193" s="11">
        <v>1889240</v>
      </c>
      <c r="K193" s="11"/>
      <c r="L193" s="11">
        <v>1524257</v>
      </c>
      <c r="M193" s="11">
        <v>20353</v>
      </c>
      <c r="N193" s="11"/>
      <c r="O193" s="11">
        <v>1040750</v>
      </c>
      <c r="P193" s="7">
        <v>87936000</v>
      </c>
      <c r="Q193" s="7">
        <v>87217000</v>
      </c>
      <c r="R193" s="7">
        <v>86500000</v>
      </c>
      <c r="S193" s="7">
        <v>31145000</v>
      </c>
      <c r="T193" s="7"/>
      <c r="U193" s="11"/>
      <c r="V193" s="11"/>
      <c r="W193" s="11"/>
      <c r="X193" s="11"/>
      <c r="Y193" s="11"/>
      <c r="Z193" s="11">
        <v>57003000</v>
      </c>
      <c r="AA193" s="11">
        <v>57003000</v>
      </c>
      <c r="AB193" s="11">
        <v>57003000</v>
      </c>
      <c r="AC193" s="11">
        <v>57003000</v>
      </c>
      <c r="AD193" s="11">
        <v>57003000</v>
      </c>
      <c r="AE193" s="11"/>
      <c r="AF193" s="11"/>
      <c r="AG193" s="11"/>
      <c r="AH193" s="11"/>
      <c r="AI193" s="11"/>
      <c r="AJ193" s="11">
        <v>150922000</v>
      </c>
      <c r="AK193" s="11">
        <v>149950000</v>
      </c>
      <c r="AL193" s="11">
        <v>149233000</v>
      </c>
      <c r="AM193" s="11">
        <v>93878000</v>
      </c>
      <c r="AN193" s="11">
        <v>62733000</v>
      </c>
      <c r="AO193" s="7">
        <v>21380000</v>
      </c>
      <c r="AP193" s="7">
        <v>21598000</v>
      </c>
      <c r="AQ193" s="7">
        <v>21864000</v>
      </c>
      <c r="AR193" s="7">
        <v>22129000</v>
      </c>
      <c r="AS193" s="7">
        <v>22316000</v>
      </c>
      <c r="AT193" s="7">
        <v>219016000</v>
      </c>
      <c r="AU193" s="7">
        <v>193017000</v>
      </c>
      <c r="AV193" s="7">
        <v>195136000</v>
      </c>
      <c r="AW193" s="7">
        <v>196825000</v>
      </c>
      <c r="AX193" s="7">
        <v>170156000</v>
      </c>
      <c r="AY193" s="11">
        <v>48747000</v>
      </c>
      <c r="AZ193" s="11">
        <v>48747000</v>
      </c>
      <c r="BA193" s="11">
        <v>48747000</v>
      </c>
      <c r="BB193" s="11">
        <v>48747000</v>
      </c>
      <c r="BC193" s="11">
        <v>48747000</v>
      </c>
      <c r="BD193" s="7">
        <v>5614000</v>
      </c>
      <c r="BE193" s="7">
        <v>34138000</v>
      </c>
      <c r="BF193" s="7">
        <v>30643000</v>
      </c>
      <c r="BG193" s="7">
        <v>27278000</v>
      </c>
      <c r="BH193" s="7">
        <v>26563000</v>
      </c>
      <c r="BI193" s="11"/>
      <c r="BJ193" s="11"/>
      <c r="BK193" s="11"/>
      <c r="BL193" s="11"/>
      <c r="BM193" s="11"/>
      <c r="BN193" s="11">
        <v>296973000</v>
      </c>
      <c r="BO193" s="11">
        <v>299716000</v>
      </c>
      <c r="BP193" s="11">
        <v>298606000</v>
      </c>
      <c r="BQ193" s="11">
        <v>297195000</v>
      </c>
      <c r="BR193" s="11">
        <v>269998000</v>
      </c>
      <c r="BS193" s="11">
        <v>447895000</v>
      </c>
      <c r="BT193" s="11">
        <v>449666000</v>
      </c>
      <c r="BU193" s="11">
        <v>447839000</v>
      </c>
      <c r="BV193" s="11">
        <v>391073000</v>
      </c>
      <c r="BW193" s="11">
        <v>332731000</v>
      </c>
      <c r="BX193" s="7">
        <v>5028000</v>
      </c>
      <c r="BY193" s="7">
        <v>5028000</v>
      </c>
      <c r="BZ193" s="7">
        <v>5028000</v>
      </c>
      <c r="CA193" s="7">
        <v>5028000</v>
      </c>
      <c r="CB193" s="7">
        <v>5028000</v>
      </c>
      <c r="CC193" s="11">
        <v>79491000</v>
      </c>
      <c r="CD193" s="11">
        <v>79491000</v>
      </c>
      <c r="CE193" s="11">
        <v>79491000</v>
      </c>
      <c r="CF193" s="11">
        <v>79491000</v>
      </c>
      <c r="CG193" s="11">
        <v>79491000</v>
      </c>
      <c r="CH193" s="7">
        <v>-144285000</v>
      </c>
      <c r="CI193" s="7">
        <v>-146209000</v>
      </c>
      <c r="CJ193" s="7">
        <v>-147098000</v>
      </c>
      <c r="CK193" s="7">
        <v>-136731000</v>
      </c>
      <c r="CL193" s="7">
        <v>-245686000</v>
      </c>
      <c r="CM193" s="11">
        <v>-59766000</v>
      </c>
      <c r="CN193" s="11">
        <v>-61690000</v>
      </c>
      <c r="CO193" s="11">
        <v>-62579000</v>
      </c>
      <c r="CP193" s="11">
        <v>-52212000</v>
      </c>
      <c r="CQ193" s="11">
        <v>-161167000</v>
      </c>
      <c r="CR193" s="11"/>
      <c r="CS193" s="11"/>
      <c r="CT193" s="11"/>
      <c r="CU193" s="11"/>
      <c r="CV193" s="11"/>
      <c r="CW193" s="11"/>
      <c r="CX193" s="11"/>
      <c r="CY193" s="11"/>
      <c r="CZ193" s="11"/>
      <c r="DA193" s="11"/>
      <c r="DB193" s="11"/>
      <c r="DC193" s="11"/>
      <c r="DD193" s="11"/>
      <c r="DE193" s="11"/>
      <c r="DF193" s="11"/>
      <c r="DG193" s="7">
        <v>170638000</v>
      </c>
      <c r="DH193" s="7">
        <v>170638000</v>
      </c>
      <c r="DI193" s="7">
        <v>170638000</v>
      </c>
      <c r="DJ193" s="7">
        <v>170638000</v>
      </c>
      <c r="DK193" s="7">
        <v>170638000</v>
      </c>
      <c r="DL193" s="7">
        <v>292356000</v>
      </c>
      <c r="DM193" s="7">
        <v>296051000</v>
      </c>
      <c r="DN193" s="7">
        <v>316313000</v>
      </c>
      <c r="DO193" s="7">
        <v>267608000</v>
      </c>
      <c r="DP193" s="7">
        <v>318221000</v>
      </c>
      <c r="DQ193" s="11"/>
      <c r="DR193" s="11"/>
      <c r="DS193" s="11"/>
      <c r="DT193" s="11"/>
      <c r="DU193" s="11"/>
      <c r="DV193" s="11">
        <v>44440000</v>
      </c>
      <c r="DW193" s="11">
        <v>44440000</v>
      </c>
      <c r="DX193" s="11">
        <v>23240000</v>
      </c>
      <c r="DY193" s="11">
        <v>4812000</v>
      </c>
      <c r="DZ193" s="11">
        <v>4812000</v>
      </c>
      <c r="EA193" s="11">
        <v>507661000</v>
      </c>
      <c r="EB193" s="11">
        <v>511356000</v>
      </c>
      <c r="EC193" s="11">
        <v>510418000</v>
      </c>
      <c r="ED193" s="11">
        <v>443285000</v>
      </c>
      <c r="EE193" s="11">
        <v>493898000</v>
      </c>
      <c r="EF193" s="7">
        <v>2664000</v>
      </c>
      <c r="EG193" s="7">
        <v>1146000</v>
      </c>
      <c r="EH193" s="7">
        <v>2512000</v>
      </c>
      <c r="EI193" s="7">
        <v>2363000</v>
      </c>
      <c r="EJ193" s="7">
        <v>443000</v>
      </c>
      <c r="EK193" s="7">
        <v>3175000</v>
      </c>
      <c r="EL193" s="7">
        <v>598000</v>
      </c>
      <c r="EM193" s="7">
        <v>598000</v>
      </c>
      <c r="EN193" s="7">
        <v>537000</v>
      </c>
      <c r="EO193" s="7">
        <v>13000</v>
      </c>
      <c r="EP193" s="7"/>
      <c r="EQ193" s="7"/>
      <c r="ER193" s="7"/>
      <c r="ES193" s="7"/>
      <c r="ET193" s="7"/>
      <c r="EU193" s="7">
        <v>4983000</v>
      </c>
      <c r="EV193" s="7">
        <v>2014000</v>
      </c>
      <c r="EW193" s="7">
        <v>2492000</v>
      </c>
      <c r="EX193" s="7">
        <v>1415000</v>
      </c>
      <c r="EY193" s="7">
        <v>579000</v>
      </c>
      <c r="EZ193" s="11"/>
      <c r="FA193" s="11"/>
      <c r="FB193" s="11"/>
      <c r="FC193" s="11"/>
      <c r="FD193" s="11"/>
      <c r="FE193" s="11"/>
      <c r="FF193" s="11"/>
      <c r="FG193" s="11"/>
      <c r="FH193" s="11"/>
      <c r="FI193" s="11"/>
      <c r="FJ193" s="11"/>
      <c r="FK193" s="11"/>
      <c r="FL193" s="11"/>
      <c r="FM193" s="11"/>
      <c r="FN193" s="11"/>
      <c r="FO193" s="7">
        <v>28313000</v>
      </c>
      <c r="FP193" s="7"/>
      <c r="FQ193" s="7">
        <v>146000</v>
      </c>
      <c r="FR193" s="7">
        <v>44731000</v>
      </c>
      <c r="FS193" s="7">
        <v>2291000</v>
      </c>
      <c r="FT193" s="7">
        <v>61497000</v>
      </c>
      <c r="FU193" s="7">
        <v>458000</v>
      </c>
      <c r="FV193" s="7">
        <v>457000</v>
      </c>
      <c r="FW193" s="7">
        <v>56912000</v>
      </c>
      <c r="FX193" s="7">
        <v>111097000</v>
      </c>
      <c r="FY193" s="11"/>
      <c r="FZ193" s="11"/>
      <c r="GA193" s="11"/>
      <c r="GB193" s="11">
        <v>1433000</v>
      </c>
      <c r="GC193" s="11"/>
      <c r="GD193" s="7">
        <v>-38678000</v>
      </c>
      <c r="GE193" s="7">
        <v>-1924000</v>
      </c>
      <c r="GF193" s="7">
        <v>-889000</v>
      </c>
      <c r="GG193" s="7">
        <v>-10337000</v>
      </c>
      <c r="GH193" s="7">
        <v>-108955000</v>
      </c>
    </row>
    <row r="194" spans="1:190" ht="26.25" x14ac:dyDescent="0.25">
      <c r="A194" s="4">
        <v>193</v>
      </c>
      <c r="B194" s="5" t="s">
        <v>679</v>
      </c>
      <c r="C194" s="9" t="s">
        <v>680</v>
      </c>
      <c r="D194" s="7">
        <v>13</v>
      </c>
      <c r="E194" s="6" t="s">
        <v>204</v>
      </c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7"/>
      <c r="Q194" s="7"/>
      <c r="R194" s="7"/>
      <c r="S194" s="7"/>
      <c r="T194" s="7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11"/>
      <c r="AZ194" s="11"/>
      <c r="BA194" s="11"/>
      <c r="BB194" s="11"/>
      <c r="BC194" s="11"/>
      <c r="BD194" s="7"/>
      <c r="BE194" s="7"/>
      <c r="BF194" s="7"/>
      <c r="BG194" s="7"/>
      <c r="BH194" s="7"/>
      <c r="BI194" s="11"/>
      <c r="BJ194" s="11"/>
      <c r="BK194" s="11"/>
      <c r="BL194" s="11"/>
      <c r="BM194" s="11"/>
      <c r="BN194" s="11"/>
      <c r="BO194" s="11"/>
      <c r="BP194" s="11"/>
      <c r="BQ194" s="11"/>
      <c r="BR194" s="11"/>
      <c r="BS194" s="11"/>
      <c r="BT194" s="11"/>
      <c r="BU194" s="11"/>
      <c r="BV194" s="11"/>
      <c r="BW194" s="11"/>
      <c r="BX194" s="7"/>
      <c r="BY194" s="7"/>
      <c r="BZ194" s="7"/>
      <c r="CA194" s="7"/>
      <c r="CB194" s="7"/>
      <c r="CC194" s="11"/>
      <c r="CD194" s="11"/>
      <c r="CE194" s="11"/>
      <c r="CF194" s="11"/>
      <c r="CG194" s="11"/>
      <c r="CH194" s="7"/>
      <c r="CI194" s="7"/>
      <c r="CJ194" s="7"/>
      <c r="CK194" s="7"/>
      <c r="CL194" s="7"/>
      <c r="CM194" s="11"/>
      <c r="CN194" s="11"/>
      <c r="CO194" s="11"/>
      <c r="CP194" s="11"/>
      <c r="CQ194" s="11"/>
      <c r="CR194" s="11"/>
      <c r="CS194" s="11"/>
      <c r="CT194" s="11"/>
      <c r="CU194" s="11"/>
      <c r="CV194" s="11"/>
      <c r="CW194" s="11"/>
      <c r="CX194" s="11"/>
      <c r="CY194" s="11"/>
      <c r="CZ194" s="11"/>
      <c r="DA194" s="11"/>
      <c r="DB194" s="11"/>
      <c r="DC194" s="11"/>
      <c r="DD194" s="11"/>
      <c r="DE194" s="11"/>
      <c r="DF194" s="11"/>
      <c r="DG194" s="7"/>
      <c r="DH194" s="7"/>
      <c r="DI194" s="7"/>
      <c r="DJ194" s="7"/>
      <c r="DK194" s="7"/>
      <c r="DL194" s="7"/>
      <c r="DM194" s="7"/>
      <c r="DN194" s="7"/>
      <c r="DO194" s="7"/>
      <c r="DP194" s="7"/>
      <c r="DQ194" s="11"/>
      <c r="DR194" s="11"/>
      <c r="DS194" s="11"/>
      <c r="DT194" s="11"/>
      <c r="DU194" s="11"/>
      <c r="DV194" s="11"/>
      <c r="DW194" s="11"/>
      <c r="DX194" s="11"/>
      <c r="DY194" s="11"/>
      <c r="DZ194" s="11"/>
      <c r="EA194" s="11"/>
      <c r="EB194" s="11"/>
      <c r="EC194" s="11"/>
      <c r="ED194" s="11"/>
      <c r="EE194" s="11"/>
      <c r="EF194" s="7"/>
      <c r="EG194" s="7"/>
      <c r="EH194" s="7"/>
      <c r="EI194" s="7"/>
      <c r="EJ194" s="7"/>
      <c r="EK194" s="7"/>
      <c r="EL194" s="7"/>
      <c r="EM194" s="7"/>
      <c r="EN194" s="7"/>
      <c r="EO194" s="7"/>
      <c r="EP194" s="7"/>
      <c r="EQ194" s="7"/>
      <c r="ER194" s="7"/>
      <c r="ES194" s="7"/>
      <c r="ET194" s="7"/>
      <c r="EU194" s="7"/>
      <c r="EV194" s="7"/>
      <c r="EW194" s="7"/>
      <c r="EX194" s="7"/>
      <c r="EY194" s="7"/>
      <c r="EZ194" s="11"/>
      <c r="FA194" s="11"/>
      <c r="FB194" s="11"/>
      <c r="FC194" s="11"/>
      <c r="FD194" s="11"/>
      <c r="FE194" s="11"/>
      <c r="FF194" s="11"/>
      <c r="FG194" s="11"/>
      <c r="FH194" s="11"/>
      <c r="FI194" s="11"/>
      <c r="FJ194" s="11"/>
      <c r="FK194" s="11"/>
      <c r="FL194" s="11"/>
      <c r="FM194" s="11"/>
      <c r="FN194" s="11"/>
      <c r="FO194" s="7"/>
      <c r="FP194" s="7"/>
      <c r="FQ194" s="7"/>
      <c r="FR194" s="7"/>
      <c r="FS194" s="7"/>
      <c r="FT194" s="7"/>
      <c r="FU194" s="7"/>
      <c r="FV194" s="7"/>
      <c r="FW194" s="7"/>
      <c r="FX194" s="7"/>
      <c r="FY194" s="11"/>
      <c r="FZ194" s="11"/>
      <c r="GA194" s="11"/>
      <c r="GB194" s="11"/>
      <c r="GC194" s="11"/>
      <c r="GD194" s="7"/>
      <c r="GE194" s="7"/>
      <c r="GF194" s="7"/>
      <c r="GG194" s="7"/>
      <c r="GH194" s="7"/>
    </row>
    <row r="195" spans="1:190" x14ac:dyDescent="0.25">
      <c r="A195" s="4">
        <v>194</v>
      </c>
      <c r="B195" s="5" t="s">
        <v>681</v>
      </c>
      <c r="C195" s="9" t="s">
        <v>682</v>
      </c>
      <c r="D195" s="7">
        <v>11</v>
      </c>
      <c r="E195" s="6" t="s">
        <v>683</v>
      </c>
      <c r="F195" s="11"/>
      <c r="G195" s="11">
        <v>7398032</v>
      </c>
      <c r="H195" s="11"/>
      <c r="I195" s="11"/>
      <c r="J195" s="11"/>
      <c r="K195" s="11">
        <v>48710</v>
      </c>
      <c r="L195" s="11">
        <v>21804565</v>
      </c>
      <c r="M195" s="11">
        <v>953076</v>
      </c>
      <c r="N195" s="11"/>
      <c r="O195" s="11"/>
      <c r="P195" s="7">
        <v>14281000</v>
      </c>
      <c r="Q195" s="7">
        <v>12657000</v>
      </c>
      <c r="R195" s="7">
        <v>10022000</v>
      </c>
      <c r="S195" s="7">
        <v>8160000</v>
      </c>
      <c r="T195" s="7"/>
      <c r="U195" s="11"/>
      <c r="V195" s="11"/>
      <c r="W195" s="11"/>
      <c r="X195" s="11"/>
      <c r="Y195" s="11"/>
      <c r="Z195" s="11">
        <v>22718000</v>
      </c>
      <c r="AA195" s="11">
        <v>22718000</v>
      </c>
      <c r="AB195" s="11">
        <v>22718000</v>
      </c>
      <c r="AC195" s="11">
        <v>22718000</v>
      </c>
      <c r="AD195" s="11"/>
      <c r="AE195" s="11"/>
      <c r="AF195" s="11"/>
      <c r="AG195" s="11"/>
      <c r="AH195" s="11"/>
      <c r="AI195" s="11"/>
      <c r="AJ195" s="11">
        <v>78185000</v>
      </c>
      <c r="AK195" s="11">
        <v>70732000</v>
      </c>
      <c r="AL195" s="11">
        <v>68514000</v>
      </c>
      <c r="AM195" s="11">
        <v>66652000</v>
      </c>
      <c r="AN195" s="11">
        <v>27947000</v>
      </c>
      <c r="AO195" s="7">
        <v>1267000</v>
      </c>
      <c r="AP195" s="7">
        <v>1254000</v>
      </c>
      <c r="AQ195" s="7">
        <v>1126000</v>
      </c>
      <c r="AR195" s="7">
        <v>1126000</v>
      </c>
      <c r="AS195" s="7"/>
      <c r="AT195" s="7">
        <v>285240000</v>
      </c>
      <c r="AU195" s="7">
        <v>225493000</v>
      </c>
      <c r="AV195" s="7">
        <v>212307000</v>
      </c>
      <c r="AW195" s="7">
        <v>192186000</v>
      </c>
      <c r="AX195" s="7">
        <v>3873000</v>
      </c>
      <c r="AY195" s="11">
        <v>510000</v>
      </c>
      <c r="AZ195" s="11">
        <v>414000</v>
      </c>
      <c r="BA195" s="11"/>
      <c r="BB195" s="11"/>
      <c r="BC195" s="11"/>
      <c r="BD195" s="7">
        <v>11684000</v>
      </c>
      <c r="BE195" s="7">
        <v>1530000</v>
      </c>
      <c r="BF195" s="7">
        <v>3158000</v>
      </c>
      <c r="BG195" s="7">
        <v>13487000</v>
      </c>
      <c r="BH195" s="7">
        <v>26435000</v>
      </c>
      <c r="BI195" s="11">
        <v>169000</v>
      </c>
      <c r="BJ195" s="11">
        <v>238000</v>
      </c>
      <c r="BK195" s="11"/>
      <c r="BL195" s="11"/>
      <c r="BM195" s="11"/>
      <c r="BN195" s="11">
        <v>299970000</v>
      </c>
      <c r="BO195" s="11">
        <v>231127000</v>
      </c>
      <c r="BP195" s="11">
        <v>217376000</v>
      </c>
      <c r="BQ195" s="11">
        <v>207584000</v>
      </c>
      <c r="BR195" s="11">
        <v>31093000</v>
      </c>
      <c r="BS195" s="11">
        <v>378155000</v>
      </c>
      <c r="BT195" s="11">
        <v>301859000</v>
      </c>
      <c r="BU195" s="11">
        <v>285890000</v>
      </c>
      <c r="BV195" s="11">
        <v>274236000</v>
      </c>
      <c r="BW195" s="11">
        <v>59040000</v>
      </c>
      <c r="BX195" s="7">
        <v>2000000</v>
      </c>
      <c r="BY195" s="7">
        <v>2000000</v>
      </c>
      <c r="BZ195" s="7">
        <v>2000000</v>
      </c>
      <c r="CA195" s="7">
        <v>2000000</v>
      </c>
      <c r="CB195" s="7">
        <v>2000000</v>
      </c>
      <c r="CC195" s="11">
        <v>6624000</v>
      </c>
      <c r="CD195" s="11">
        <v>6624000</v>
      </c>
      <c r="CE195" s="11">
        <v>6624000</v>
      </c>
      <c r="CF195" s="11">
        <v>6624000</v>
      </c>
      <c r="CG195" s="11">
        <v>6624000</v>
      </c>
      <c r="CH195" s="7">
        <v>-167649000</v>
      </c>
      <c r="CI195" s="7">
        <v>-129551000</v>
      </c>
      <c r="CJ195" s="7">
        <v>-135471000</v>
      </c>
      <c r="CK195" s="7">
        <v>-135471000</v>
      </c>
      <c r="CL195" s="7">
        <v>-350096000</v>
      </c>
      <c r="CM195" s="11">
        <v>-159025000</v>
      </c>
      <c r="CN195" s="11">
        <v>-120927000</v>
      </c>
      <c r="CO195" s="11">
        <v>-126847000</v>
      </c>
      <c r="CP195" s="11">
        <v>-126847000</v>
      </c>
      <c r="CQ195" s="11">
        <v>-341472000</v>
      </c>
      <c r="CR195" s="11"/>
      <c r="CS195" s="11"/>
      <c r="CT195" s="11"/>
      <c r="CU195" s="11"/>
      <c r="CV195" s="11"/>
      <c r="CW195" s="11">
        <v>311000</v>
      </c>
      <c r="CX195" s="11">
        <v>58000</v>
      </c>
      <c r="CY195" s="11"/>
      <c r="CZ195" s="11"/>
      <c r="DA195" s="11"/>
      <c r="DB195" s="11">
        <v>419000</v>
      </c>
      <c r="DC195" s="11">
        <v>193000</v>
      </c>
      <c r="DD195" s="11">
        <v>36000</v>
      </c>
      <c r="DE195" s="11">
        <v>36000</v>
      </c>
      <c r="DF195" s="11">
        <v>36000</v>
      </c>
      <c r="DG195" s="7"/>
      <c r="DH195" s="7"/>
      <c r="DI195" s="7"/>
      <c r="DJ195" s="7"/>
      <c r="DK195" s="7"/>
      <c r="DL195" s="7">
        <v>535028000</v>
      </c>
      <c r="DM195" s="7">
        <v>421091000</v>
      </c>
      <c r="DN195" s="7">
        <v>412130000</v>
      </c>
      <c r="DO195" s="7">
        <v>400476000</v>
      </c>
      <c r="DP195" s="7">
        <v>400476000</v>
      </c>
      <c r="DQ195" s="11"/>
      <c r="DR195" s="11"/>
      <c r="DS195" s="11"/>
      <c r="DT195" s="11"/>
      <c r="DU195" s="11"/>
      <c r="DV195" s="11"/>
      <c r="DW195" s="11"/>
      <c r="DX195" s="11"/>
      <c r="DY195" s="11"/>
      <c r="DZ195" s="11"/>
      <c r="EA195" s="11">
        <v>536761000</v>
      </c>
      <c r="EB195" s="11">
        <v>422593000</v>
      </c>
      <c r="EC195" s="11">
        <v>412701000</v>
      </c>
      <c r="ED195" s="11">
        <v>401047000</v>
      </c>
      <c r="EE195" s="11">
        <v>400476000</v>
      </c>
      <c r="EF195" s="7">
        <v>447179000</v>
      </c>
      <c r="EG195" s="7">
        <v>144530000</v>
      </c>
      <c r="EH195" s="7">
        <v>12742000</v>
      </c>
      <c r="EI195" s="7"/>
      <c r="EJ195" s="7">
        <v>7394000</v>
      </c>
      <c r="EK195" s="7">
        <v>395903000</v>
      </c>
      <c r="EL195" s="7">
        <v>90382000</v>
      </c>
      <c r="EM195" s="7">
        <v>17158000</v>
      </c>
      <c r="EN195" s="7"/>
      <c r="EO195" s="7">
        <v>214219000</v>
      </c>
      <c r="EP195" s="7"/>
      <c r="EQ195" s="7"/>
      <c r="ER195" s="7"/>
      <c r="ES195" s="7"/>
      <c r="ET195" s="7"/>
      <c r="EU195" s="7">
        <v>44333000</v>
      </c>
      <c r="EV195" s="7">
        <v>29002000</v>
      </c>
      <c r="EW195" s="7">
        <v>1661000</v>
      </c>
      <c r="EX195" s="7"/>
      <c r="EY195" s="7"/>
      <c r="EZ195" s="11"/>
      <c r="FA195" s="11"/>
      <c r="FB195" s="11"/>
      <c r="FC195" s="11"/>
      <c r="FD195" s="11"/>
      <c r="FE195" s="11">
        <v>68000</v>
      </c>
      <c r="FF195" s="11">
        <v>35000</v>
      </c>
      <c r="FG195" s="11"/>
      <c r="FH195" s="11"/>
      <c r="FI195" s="11"/>
      <c r="FJ195" s="11"/>
      <c r="FK195" s="11"/>
      <c r="FL195" s="11"/>
      <c r="FM195" s="11"/>
      <c r="FN195" s="11"/>
      <c r="FO195" s="7">
        <v>27910000</v>
      </c>
      <c r="FP195" s="7">
        <v>39902000</v>
      </c>
      <c r="FQ195" s="7">
        <v>423000</v>
      </c>
      <c r="FR195" s="7"/>
      <c r="FS195" s="7">
        <v>8000</v>
      </c>
      <c r="FT195" s="7">
        <v>34972000</v>
      </c>
      <c r="FU195" s="7">
        <v>15346000</v>
      </c>
      <c r="FV195" s="7">
        <v>266000</v>
      </c>
      <c r="FW195" s="7"/>
      <c r="FX195" s="7">
        <v>7808000</v>
      </c>
      <c r="FY195" s="11">
        <v>-853000</v>
      </c>
      <c r="FZ195" s="11">
        <v>-11639000</v>
      </c>
      <c r="GA195" s="11"/>
      <c r="GB195" s="11"/>
      <c r="GC195" s="11"/>
      <c r="GD195" s="7">
        <v>-904000</v>
      </c>
      <c r="GE195" s="7">
        <v>38098000</v>
      </c>
      <c r="GF195" s="7">
        <v>-5920000</v>
      </c>
      <c r="GG195" s="7"/>
      <c r="GH195" s="7">
        <v>-214625000</v>
      </c>
    </row>
    <row r="196" spans="1:190" x14ac:dyDescent="0.25">
      <c r="A196" s="4">
        <v>195</v>
      </c>
      <c r="B196" s="5" t="s">
        <v>684</v>
      </c>
      <c r="C196" s="9" t="s">
        <v>685</v>
      </c>
      <c r="D196" s="7">
        <v>17</v>
      </c>
      <c r="E196" s="6" t="s">
        <v>686</v>
      </c>
      <c r="F196" s="11">
        <v>497136</v>
      </c>
      <c r="G196" s="11"/>
      <c r="H196" s="11"/>
      <c r="I196" s="11"/>
      <c r="J196" s="11"/>
      <c r="K196" s="11">
        <v>3705313</v>
      </c>
      <c r="L196" s="11">
        <v>2875686</v>
      </c>
      <c r="M196" s="11"/>
      <c r="N196" s="11"/>
      <c r="O196" s="11"/>
      <c r="P196" s="7">
        <v>4016000</v>
      </c>
      <c r="Q196" s="7">
        <v>625000</v>
      </c>
      <c r="R196" s="7"/>
      <c r="S196" s="7"/>
      <c r="T196" s="7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>
        <v>4016000</v>
      </c>
      <c r="AK196" s="11">
        <v>625000</v>
      </c>
      <c r="AL196" s="11"/>
      <c r="AM196" s="11"/>
      <c r="AN196" s="11"/>
      <c r="AO196" s="7">
        <v>97000</v>
      </c>
      <c r="AP196" s="7"/>
      <c r="AQ196" s="7"/>
      <c r="AR196" s="7"/>
      <c r="AS196" s="7"/>
      <c r="AT196" s="7">
        <v>19811000</v>
      </c>
      <c r="AU196" s="7">
        <v>13672000</v>
      </c>
      <c r="AV196" s="7"/>
      <c r="AW196" s="7"/>
      <c r="AX196" s="7"/>
      <c r="AY196" s="11"/>
      <c r="AZ196" s="11"/>
      <c r="BA196" s="11"/>
      <c r="BB196" s="11"/>
      <c r="BC196" s="11"/>
      <c r="BD196" s="7">
        <v>483000</v>
      </c>
      <c r="BE196" s="7"/>
      <c r="BF196" s="7"/>
      <c r="BG196" s="7"/>
      <c r="BH196" s="7"/>
      <c r="BI196" s="11"/>
      <c r="BJ196" s="11"/>
      <c r="BK196" s="11"/>
      <c r="BL196" s="11"/>
      <c r="BM196" s="11"/>
      <c r="BN196" s="11">
        <v>20391000</v>
      </c>
      <c r="BO196" s="11">
        <v>13672000</v>
      </c>
      <c r="BP196" s="11"/>
      <c r="BQ196" s="11"/>
      <c r="BR196" s="11"/>
      <c r="BS196" s="11">
        <v>24407000</v>
      </c>
      <c r="BT196" s="11">
        <v>14297000</v>
      </c>
      <c r="BU196" s="11"/>
      <c r="BV196" s="11"/>
      <c r="BW196" s="11"/>
      <c r="BX196" s="7"/>
      <c r="BY196" s="7"/>
      <c r="BZ196" s="7"/>
      <c r="CA196" s="7"/>
      <c r="CB196" s="7"/>
      <c r="CC196" s="11"/>
      <c r="CD196" s="11"/>
      <c r="CE196" s="11"/>
      <c r="CF196" s="11"/>
      <c r="CG196" s="11"/>
      <c r="CH196" s="7"/>
      <c r="CI196" s="7"/>
      <c r="CJ196" s="7"/>
      <c r="CK196" s="7"/>
      <c r="CL196" s="7"/>
      <c r="CM196" s="11">
        <v>2852000</v>
      </c>
      <c r="CN196" s="11">
        <v>-5213000</v>
      </c>
      <c r="CO196" s="11"/>
      <c r="CP196" s="11"/>
      <c r="CQ196" s="11"/>
      <c r="CR196" s="11"/>
      <c r="CS196" s="11"/>
      <c r="CT196" s="11"/>
      <c r="CU196" s="11"/>
      <c r="CV196" s="11"/>
      <c r="CW196" s="11"/>
      <c r="CX196" s="11"/>
      <c r="CY196" s="11"/>
      <c r="CZ196" s="11"/>
      <c r="DA196" s="11"/>
      <c r="DB196" s="11"/>
      <c r="DC196" s="11"/>
      <c r="DD196" s="11"/>
      <c r="DE196" s="11"/>
      <c r="DF196" s="11"/>
      <c r="DG196" s="7">
        <v>240000</v>
      </c>
      <c r="DH196" s="7">
        <v>240000</v>
      </c>
      <c r="DI196" s="7"/>
      <c r="DJ196" s="7"/>
      <c r="DK196" s="7"/>
      <c r="DL196" s="7">
        <v>21315000</v>
      </c>
      <c r="DM196" s="7">
        <v>19270000</v>
      </c>
      <c r="DN196" s="7"/>
      <c r="DO196" s="7"/>
      <c r="DP196" s="7"/>
      <c r="DQ196" s="11"/>
      <c r="DR196" s="11"/>
      <c r="DS196" s="11"/>
      <c r="DT196" s="11"/>
      <c r="DU196" s="11"/>
      <c r="DV196" s="11"/>
      <c r="DW196" s="11"/>
      <c r="DX196" s="11"/>
      <c r="DY196" s="11"/>
      <c r="DZ196" s="11"/>
      <c r="EA196" s="11">
        <v>21555000</v>
      </c>
      <c r="EB196" s="11">
        <v>19510000</v>
      </c>
      <c r="EC196" s="11"/>
      <c r="ED196" s="11"/>
      <c r="EE196" s="11"/>
      <c r="EF196" s="7">
        <v>31713000</v>
      </c>
      <c r="EG196" s="7">
        <v>30013000</v>
      </c>
      <c r="EH196" s="7"/>
      <c r="EI196" s="7"/>
      <c r="EJ196" s="7"/>
      <c r="EK196" s="7">
        <v>29492000</v>
      </c>
      <c r="EL196" s="7">
        <v>34589000</v>
      </c>
      <c r="EM196" s="7"/>
      <c r="EN196" s="7"/>
      <c r="EO196" s="7"/>
      <c r="EP196" s="7"/>
      <c r="EQ196" s="7"/>
      <c r="ER196" s="7"/>
      <c r="ES196" s="7"/>
      <c r="ET196" s="7"/>
      <c r="EU196" s="7"/>
      <c r="EV196" s="7"/>
      <c r="EW196" s="7"/>
      <c r="EX196" s="7"/>
      <c r="EY196" s="7"/>
      <c r="EZ196" s="11"/>
      <c r="FA196" s="11"/>
      <c r="FB196" s="11"/>
      <c r="FC196" s="11"/>
      <c r="FD196" s="11"/>
      <c r="FE196" s="11"/>
      <c r="FF196" s="11"/>
      <c r="FG196" s="11"/>
      <c r="FH196" s="11"/>
      <c r="FI196" s="11"/>
      <c r="FJ196" s="11">
        <v>6000</v>
      </c>
      <c r="FK196" s="11">
        <v>33000</v>
      </c>
      <c r="FL196" s="11"/>
      <c r="FM196" s="11"/>
      <c r="FN196" s="11"/>
      <c r="FO196" s="7">
        <v>12000</v>
      </c>
      <c r="FP196" s="7">
        <v>3000</v>
      </c>
      <c r="FQ196" s="7"/>
      <c r="FR196" s="7"/>
      <c r="FS196" s="7"/>
      <c r="FT196" s="7">
        <v>1097000</v>
      </c>
      <c r="FU196" s="7">
        <v>3453000</v>
      </c>
      <c r="FV196" s="7"/>
      <c r="FW196" s="7"/>
      <c r="FX196" s="7"/>
      <c r="FY196" s="11">
        <v>293000</v>
      </c>
      <c r="FZ196" s="11">
        <v>6000</v>
      </c>
      <c r="GA196" s="11"/>
      <c r="GB196" s="11"/>
      <c r="GC196" s="11"/>
      <c r="GD196" s="7">
        <v>837000</v>
      </c>
      <c r="GE196" s="7">
        <v>-8065000</v>
      </c>
      <c r="GF196" s="7"/>
      <c r="GG196" s="7"/>
      <c r="GH196" s="7"/>
    </row>
    <row r="197" spans="1:190" x14ac:dyDescent="0.25">
      <c r="A197" s="4">
        <v>196</v>
      </c>
      <c r="B197" s="5" t="s">
        <v>687</v>
      </c>
      <c r="C197" s="9" t="s">
        <v>688</v>
      </c>
      <c r="D197" s="7">
        <v>17</v>
      </c>
      <c r="E197" s="6" t="s">
        <v>318</v>
      </c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7">
        <v>290000</v>
      </c>
      <c r="Q197" s="7">
        <v>379000</v>
      </c>
      <c r="R197" s="7">
        <v>275000</v>
      </c>
      <c r="S197" s="7">
        <v>205000</v>
      </c>
      <c r="T197" s="7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>
        <v>290000</v>
      </c>
      <c r="AK197" s="11">
        <v>379000</v>
      </c>
      <c r="AL197" s="11">
        <v>275000</v>
      </c>
      <c r="AM197" s="11">
        <v>205000</v>
      </c>
      <c r="AN197" s="11"/>
      <c r="AO197" s="7">
        <v>759000</v>
      </c>
      <c r="AP197" s="7">
        <v>799000</v>
      </c>
      <c r="AQ197" s="7">
        <v>744000</v>
      </c>
      <c r="AR197" s="7">
        <v>890000</v>
      </c>
      <c r="AS197" s="7"/>
      <c r="AT197" s="7">
        <v>86022000</v>
      </c>
      <c r="AU197" s="7">
        <v>94228000</v>
      </c>
      <c r="AV197" s="7">
        <v>104618000</v>
      </c>
      <c r="AW197" s="7">
        <v>114957000</v>
      </c>
      <c r="AX197" s="7">
        <v>109720000</v>
      </c>
      <c r="AY197" s="11"/>
      <c r="AZ197" s="11"/>
      <c r="BA197" s="11"/>
      <c r="BB197" s="11"/>
      <c r="BC197" s="11"/>
      <c r="BD197" s="7">
        <v>5754000</v>
      </c>
      <c r="BE197" s="7">
        <v>7169000</v>
      </c>
      <c r="BF197" s="7">
        <v>1631000</v>
      </c>
      <c r="BG197" s="7">
        <v>5131000</v>
      </c>
      <c r="BH197" s="7">
        <v>521000</v>
      </c>
      <c r="BI197" s="11">
        <v>19000</v>
      </c>
      <c r="BJ197" s="11">
        <v>51000</v>
      </c>
      <c r="BK197" s="11">
        <v>55000</v>
      </c>
      <c r="BL197" s="11">
        <v>27000</v>
      </c>
      <c r="BM197" s="11">
        <v>8000</v>
      </c>
      <c r="BN197" s="11">
        <v>92554000</v>
      </c>
      <c r="BO197" s="11">
        <v>102247000</v>
      </c>
      <c r="BP197" s="11">
        <v>107048000</v>
      </c>
      <c r="BQ197" s="11">
        <v>121005000</v>
      </c>
      <c r="BR197" s="11">
        <v>110249000</v>
      </c>
      <c r="BS197" s="11">
        <v>92844000</v>
      </c>
      <c r="BT197" s="11">
        <v>102626000</v>
      </c>
      <c r="BU197" s="11">
        <v>107323000</v>
      </c>
      <c r="BV197" s="11">
        <v>121210000</v>
      </c>
      <c r="BW197" s="11">
        <v>110249000</v>
      </c>
      <c r="BX197" s="7">
        <v>10000</v>
      </c>
      <c r="BY197" s="7">
        <v>10000</v>
      </c>
      <c r="BZ197" s="7">
        <v>10000</v>
      </c>
      <c r="CA197" s="7">
        <v>10000</v>
      </c>
      <c r="CB197" s="7">
        <v>10000</v>
      </c>
      <c r="CC197" s="11">
        <v>427000</v>
      </c>
      <c r="CD197" s="11">
        <v>427000</v>
      </c>
      <c r="CE197" s="11">
        <v>427000</v>
      </c>
      <c r="CF197" s="11">
        <v>427000</v>
      </c>
      <c r="CG197" s="11">
        <v>427000</v>
      </c>
      <c r="CH197" s="7">
        <v>30730000</v>
      </c>
      <c r="CI197" s="7">
        <v>31314000</v>
      </c>
      <c r="CJ197" s="7">
        <v>26254000</v>
      </c>
      <c r="CK197" s="7">
        <v>31801000</v>
      </c>
      <c r="CL197" s="7">
        <v>36021000</v>
      </c>
      <c r="CM197" s="11">
        <v>31167000</v>
      </c>
      <c r="CN197" s="11">
        <v>31751000</v>
      </c>
      <c r="CO197" s="11">
        <v>26691000</v>
      </c>
      <c r="CP197" s="11">
        <v>32238000</v>
      </c>
      <c r="CQ197" s="11">
        <v>36458000</v>
      </c>
      <c r="CR197" s="11"/>
      <c r="CS197" s="11"/>
      <c r="CT197" s="11"/>
      <c r="CU197" s="11"/>
      <c r="CV197" s="11"/>
      <c r="CW197" s="11"/>
      <c r="CX197" s="11"/>
      <c r="CY197" s="11"/>
      <c r="CZ197" s="11"/>
      <c r="DA197" s="11"/>
      <c r="DB197" s="11"/>
      <c r="DC197" s="11"/>
      <c r="DD197" s="11"/>
      <c r="DE197" s="11"/>
      <c r="DF197" s="11"/>
      <c r="DG197" s="7"/>
      <c r="DH197" s="7"/>
      <c r="DI197" s="7"/>
      <c r="DJ197" s="7"/>
      <c r="DK197" s="7"/>
      <c r="DL197" s="7">
        <v>61677000</v>
      </c>
      <c r="DM197" s="7">
        <v>70875000</v>
      </c>
      <c r="DN197" s="7">
        <v>80632000</v>
      </c>
      <c r="DO197" s="7">
        <v>88972000</v>
      </c>
      <c r="DP197" s="7">
        <v>73791000</v>
      </c>
      <c r="DQ197" s="11"/>
      <c r="DR197" s="11"/>
      <c r="DS197" s="11"/>
      <c r="DT197" s="11"/>
      <c r="DU197" s="11"/>
      <c r="DV197" s="11"/>
      <c r="DW197" s="11"/>
      <c r="DX197" s="11"/>
      <c r="DY197" s="11"/>
      <c r="DZ197" s="11"/>
      <c r="EA197" s="11">
        <v>61677000</v>
      </c>
      <c r="EB197" s="11">
        <v>70875000</v>
      </c>
      <c r="EC197" s="11">
        <v>80632000</v>
      </c>
      <c r="ED197" s="11">
        <v>88972000</v>
      </c>
      <c r="EE197" s="11">
        <v>73791000</v>
      </c>
      <c r="EF197" s="7">
        <v>84766000</v>
      </c>
      <c r="EG197" s="7">
        <v>93628000</v>
      </c>
      <c r="EH197" s="7">
        <v>89782000</v>
      </c>
      <c r="EI197" s="7">
        <v>91452000</v>
      </c>
      <c r="EJ197" s="7">
        <v>41343000</v>
      </c>
      <c r="EK197" s="7">
        <v>83691000</v>
      </c>
      <c r="EL197" s="7">
        <v>90452000</v>
      </c>
      <c r="EM197" s="7">
        <v>93431000</v>
      </c>
      <c r="EN197" s="7">
        <v>82987000</v>
      </c>
      <c r="EO197" s="7">
        <v>42953000</v>
      </c>
      <c r="EP197" s="7"/>
      <c r="EQ197" s="7"/>
      <c r="ER197" s="7"/>
      <c r="ES197" s="7"/>
      <c r="ET197" s="7"/>
      <c r="EU197" s="7"/>
      <c r="EV197" s="7"/>
      <c r="EW197" s="7"/>
      <c r="EX197" s="7"/>
      <c r="EY197" s="7"/>
      <c r="EZ197" s="11"/>
      <c r="FA197" s="11"/>
      <c r="FB197" s="11"/>
      <c r="FC197" s="11"/>
      <c r="FD197" s="11"/>
      <c r="FE197" s="11"/>
      <c r="FF197" s="11"/>
      <c r="FG197" s="11"/>
      <c r="FH197" s="11"/>
      <c r="FI197" s="11"/>
      <c r="FJ197" s="11"/>
      <c r="FK197" s="11"/>
      <c r="FL197" s="11"/>
      <c r="FM197" s="11"/>
      <c r="FN197" s="11"/>
      <c r="FO197" s="7">
        <v>182000</v>
      </c>
      <c r="FP197" s="7">
        <v>290000</v>
      </c>
      <c r="FQ197" s="7">
        <v>2988000</v>
      </c>
      <c r="FR197" s="7">
        <v>163000</v>
      </c>
      <c r="FS197" s="7">
        <v>10977000</v>
      </c>
      <c r="FT197" s="7">
        <v>11598000</v>
      </c>
      <c r="FU197" s="7">
        <v>967000</v>
      </c>
      <c r="FV197" s="7">
        <v>2205000</v>
      </c>
      <c r="FW197" s="7">
        <v>656000</v>
      </c>
      <c r="FX197" s="7">
        <v>3461000</v>
      </c>
      <c r="FY197" s="11">
        <v>-2054000</v>
      </c>
      <c r="FZ197" s="11">
        <v>-2511000</v>
      </c>
      <c r="GA197" s="11">
        <v>-2425000</v>
      </c>
      <c r="GB197" s="11">
        <v>-2425000</v>
      </c>
      <c r="GC197" s="11">
        <v>-1709000</v>
      </c>
      <c r="GD197" s="7">
        <v>-12395000</v>
      </c>
      <c r="GE197" s="7">
        <v>-12000</v>
      </c>
      <c r="GF197" s="7">
        <v>-5291000</v>
      </c>
      <c r="GG197" s="7">
        <v>5547000</v>
      </c>
      <c r="GH197" s="7">
        <v>4197000</v>
      </c>
    </row>
    <row r="198" spans="1:190" ht="26.25" x14ac:dyDescent="0.25">
      <c r="A198" s="4">
        <v>197</v>
      </c>
      <c r="B198" s="5" t="s">
        <v>689</v>
      </c>
      <c r="C198" s="9" t="s">
        <v>690</v>
      </c>
      <c r="D198" s="7">
        <v>8</v>
      </c>
      <c r="E198" s="6" t="s">
        <v>691</v>
      </c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7"/>
      <c r="Q198" s="7"/>
      <c r="R198" s="7"/>
      <c r="S198" s="7"/>
      <c r="T198" s="7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11"/>
      <c r="AZ198" s="11"/>
      <c r="BA198" s="11"/>
      <c r="BB198" s="11"/>
      <c r="BC198" s="11"/>
      <c r="BD198" s="7"/>
      <c r="BE198" s="7">
        <v>10000</v>
      </c>
      <c r="BF198" s="7">
        <v>10000</v>
      </c>
      <c r="BG198" s="7">
        <v>10000</v>
      </c>
      <c r="BH198" s="7"/>
      <c r="BI198" s="11"/>
      <c r="BJ198" s="11"/>
      <c r="BK198" s="11"/>
      <c r="BL198" s="11"/>
      <c r="BM198" s="11"/>
      <c r="BN198" s="11"/>
      <c r="BO198" s="11">
        <v>10000</v>
      </c>
      <c r="BP198" s="11">
        <v>10000</v>
      </c>
      <c r="BQ198" s="11">
        <v>10000</v>
      </c>
      <c r="BR198" s="11"/>
      <c r="BS198" s="11"/>
      <c r="BT198" s="11">
        <v>10000</v>
      </c>
      <c r="BU198" s="11">
        <v>10000</v>
      </c>
      <c r="BV198" s="11">
        <v>10000</v>
      </c>
      <c r="BW198" s="11"/>
      <c r="BX198" s="7"/>
      <c r="BY198" s="7"/>
      <c r="BZ198" s="7">
        <v>10000</v>
      </c>
      <c r="CA198" s="7">
        <v>10000</v>
      </c>
      <c r="CB198" s="7"/>
      <c r="CC198" s="11"/>
      <c r="CD198" s="11"/>
      <c r="CE198" s="11"/>
      <c r="CF198" s="11"/>
      <c r="CG198" s="11"/>
      <c r="CH198" s="7"/>
      <c r="CI198" s="7"/>
      <c r="CJ198" s="7"/>
      <c r="CK198" s="7"/>
      <c r="CL198" s="7"/>
      <c r="CM198" s="11"/>
      <c r="CN198" s="11">
        <v>10000</v>
      </c>
      <c r="CO198" s="11">
        <v>10000</v>
      </c>
      <c r="CP198" s="11">
        <v>10000</v>
      </c>
      <c r="CQ198" s="11"/>
      <c r="CR198" s="11"/>
      <c r="CS198" s="11"/>
      <c r="CT198" s="11"/>
      <c r="CU198" s="11"/>
      <c r="CV198" s="11"/>
      <c r="CW198" s="11"/>
      <c r="CX198" s="11"/>
      <c r="CY198" s="11"/>
      <c r="CZ198" s="11"/>
      <c r="DA198" s="11"/>
      <c r="DB198" s="11"/>
      <c r="DC198" s="11"/>
      <c r="DD198" s="11"/>
      <c r="DE198" s="11"/>
      <c r="DF198" s="11"/>
      <c r="DG198" s="7"/>
      <c r="DH198" s="7"/>
      <c r="DI198" s="7"/>
      <c r="DJ198" s="7"/>
      <c r="DK198" s="7"/>
      <c r="DL198" s="7"/>
      <c r="DM198" s="7"/>
      <c r="DN198" s="7"/>
      <c r="DO198" s="7"/>
      <c r="DP198" s="7"/>
      <c r="DQ198" s="11"/>
      <c r="DR198" s="11"/>
      <c r="DS198" s="11"/>
      <c r="DT198" s="11"/>
      <c r="DU198" s="11"/>
      <c r="DV198" s="11"/>
      <c r="DW198" s="11"/>
      <c r="DX198" s="11"/>
      <c r="DY198" s="11"/>
      <c r="DZ198" s="11"/>
      <c r="EA198" s="11"/>
      <c r="EB198" s="11"/>
      <c r="EC198" s="11"/>
      <c r="ED198" s="11"/>
      <c r="EE198" s="11"/>
      <c r="EF198" s="7"/>
      <c r="EG198" s="7"/>
      <c r="EH198" s="7"/>
      <c r="EI198" s="7"/>
      <c r="EJ198" s="7"/>
      <c r="EK198" s="7"/>
      <c r="EL198" s="7"/>
      <c r="EM198" s="7"/>
      <c r="EN198" s="7"/>
      <c r="EO198" s="7"/>
      <c r="EP198" s="7"/>
      <c r="EQ198" s="7"/>
      <c r="ER198" s="7"/>
      <c r="ES198" s="7"/>
      <c r="ET198" s="7"/>
      <c r="EU198" s="7"/>
      <c r="EV198" s="7"/>
      <c r="EW198" s="7"/>
      <c r="EX198" s="7"/>
      <c r="EY198" s="7"/>
      <c r="EZ198" s="11"/>
      <c r="FA198" s="11"/>
      <c r="FB198" s="11"/>
      <c r="FC198" s="11"/>
      <c r="FD198" s="11"/>
      <c r="FE198" s="11"/>
      <c r="FF198" s="11"/>
      <c r="FG198" s="11"/>
      <c r="FH198" s="11"/>
      <c r="FI198" s="11"/>
      <c r="FJ198" s="11"/>
      <c r="FK198" s="11"/>
      <c r="FL198" s="11"/>
      <c r="FM198" s="11"/>
      <c r="FN198" s="11"/>
      <c r="FO198" s="7"/>
      <c r="FP198" s="7"/>
      <c r="FQ198" s="7"/>
      <c r="FR198" s="7"/>
      <c r="FS198" s="7"/>
      <c r="FT198" s="7"/>
      <c r="FU198" s="7"/>
      <c r="FV198" s="7"/>
      <c r="FW198" s="7"/>
      <c r="FX198" s="7"/>
      <c r="FY198" s="11"/>
      <c r="FZ198" s="11"/>
      <c r="GA198" s="11"/>
      <c r="GB198" s="11"/>
      <c r="GC198" s="11"/>
      <c r="GD198" s="7"/>
      <c r="GE198" s="7"/>
      <c r="GF198" s="7"/>
      <c r="GG198" s="7"/>
      <c r="GH198" s="7"/>
    </row>
    <row r="199" spans="1:190" ht="26.25" x14ac:dyDescent="0.25">
      <c r="A199" s="4">
        <v>198</v>
      </c>
      <c r="B199" s="5" t="s">
        <v>692</v>
      </c>
      <c r="C199" s="9" t="s">
        <v>693</v>
      </c>
      <c r="D199" s="7">
        <v>13</v>
      </c>
      <c r="E199" s="6" t="s">
        <v>204</v>
      </c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7"/>
      <c r="Q199" s="7"/>
      <c r="R199" s="7"/>
      <c r="S199" s="7"/>
      <c r="T199" s="7"/>
      <c r="U199" s="11"/>
      <c r="V199" s="11"/>
      <c r="W199" s="11"/>
      <c r="X199" s="11"/>
      <c r="Y199" s="11"/>
      <c r="Z199" s="11">
        <v>364000</v>
      </c>
      <c r="AA199" s="11"/>
      <c r="AB199" s="11"/>
      <c r="AC199" s="11"/>
      <c r="AD199" s="11"/>
      <c r="AE199" s="11"/>
      <c r="AF199" s="11"/>
      <c r="AG199" s="11"/>
      <c r="AH199" s="11"/>
      <c r="AI199" s="11"/>
      <c r="AJ199" s="11">
        <v>364000</v>
      </c>
      <c r="AK199" s="11"/>
      <c r="AL199" s="11"/>
      <c r="AM199" s="11"/>
      <c r="AN199" s="11"/>
      <c r="AO199" s="7"/>
      <c r="AP199" s="7"/>
      <c r="AQ199" s="7"/>
      <c r="AR199" s="7"/>
      <c r="AS199" s="7"/>
      <c r="AT199" s="7">
        <v>6583000</v>
      </c>
      <c r="AU199" s="7">
        <v>5496000</v>
      </c>
      <c r="AV199" s="7">
        <v>2008000</v>
      </c>
      <c r="AW199" s="7">
        <v>345000</v>
      </c>
      <c r="AX199" s="7">
        <v>846000</v>
      </c>
      <c r="AY199" s="11"/>
      <c r="AZ199" s="11"/>
      <c r="BA199" s="11"/>
      <c r="BB199" s="11"/>
      <c r="BC199" s="11"/>
      <c r="BD199" s="7">
        <v>183000</v>
      </c>
      <c r="BE199" s="7">
        <v>286000</v>
      </c>
      <c r="BF199" s="7">
        <v>229000</v>
      </c>
      <c r="BG199" s="7">
        <v>37000</v>
      </c>
      <c r="BH199" s="7">
        <v>114000</v>
      </c>
      <c r="BI199" s="11"/>
      <c r="BJ199" s="11"/>
      <c r="BK199" s="11"/>
      <c r="BL199" s="11"/>
      <c r="BM199" s="11"/>
      <c r="BN199" s="11">
        <v>6766000</v>
      </c>
      <c r="BO199" s="11">
        <v>5782000</v>
      </c>
      <c r="BP199" s="11">
        <v>2237000</v>
      </c>
      <c r="BQ199" s="11">
        <v>382000</v>
      </c>
      <c r="BR199" s="11">
        <v>960000</v>
      </c>
      <c r="BS199" s="11">
        <v>7130000</v>
      </c>
      <c r="BT199" s="11">
        <v>5782000</v>
      </c>
      <c r="BU199" s="11">
        <v>2237000</v>
      </c>
      <c r="BV199" s="11">
        <v>382000</v>
      </c>
      <c r="BW199" s="11">
        <v>960000</v>
      </c>
      <c r="BX199" s="7"/>
      <c r="BY199" s="7"/>
      <c r="BZ199" s="7"/>
      <c r="CA199" s="7"/>
      <c r="CB199" s="7"/>
      <c r="CC199" s="11"/>
      <c r="CD199" s="11"/>
      <c r="CE199" s="11"/>
      <c r="CF199" s="11"/>
      <c r="CG199" s="11"/>
      <c r="CH199" s="7"/>
      <c r="CI199" s="7"/>
      <c r="CJ199" s="7"/>
      <c r="CK199" s="7"/>
      <c r="CL199" s="7"/>
      <c r="CM199" s="11">
        <v>-22618000</v>
      </c>
      <c r="CN199" s="11">
        <v>-24022000</v>
      </c>
      <c r="CO199" s="11">
        <v>-26867000</v>
      </c>
      <c r="CP199" s="11">
        <v>-27153000</v>
      </c>
      <c r="CQ199" s="11">
        <v>-24429000</v>
      </c>
      <c r="CR199" s="11"/>
      <c r="CS199" s="11"/>
      <c r="CT199" s="11"/>
      <c r="CU199" s="11"/>
      <c r="CV199" s="11"/>
      <c r="CW199" s="11"/>
      <c r="CX199" s="11"/>
      <c r="CY199" s="11"/>
      <c r="CZ199" s="11"/>
      <c r="DA199" s="11"/>
      <c r="DB199" s="11"/>
      <c r="DC199" s="11"/>
      <c r="DD199" s="11"/>
      <c r="DE199" s="11"/>
      <c r="DF199" s="11"/>
      <c r="DG199" s="7"/>
      <c r="DH199" s="7"/>
      <c r="DI199" s="7"/>
      <c r="DJ199" s="7"/>
      <c r="DK199" s="7"/>
      <c r="DL199" s="7">
        <v>29748000</v>
      </c>
      <c r="DM199" s="7">
        <v>29804000</v>
      </c>
      <c r="DN199" s="7">
        <v>29104000</v>
      </c>
      <c r="DO199" s="7">
        <v>27535000</v>
      </c>
      <c r="DP199" s="7">
        <v>25389000</v>
      </c>
      <c r="DQ199" s="11"/>
      <c r="DR199" s="11"/>
      <c r="DS199" s="11"/>
      <c r="DT199" s="11"/>
      <c r="DU199" s="11"/>
      <c r="DV199" s="11"/>
      <c r="DW199" s="11"/>
      <c r="DX199" s="11"/>
      <c r="DY199" s="11"/>
      <c r="DZ199" s="11"/>
      <c r="EA199" s="11">
        <v>29748000</v>
      </c>
      <c r="EB199" s="11">
        <v>29804000</v>
      </c>
      <c r="EC199" s="11">
        <v>29104000</v>
      </c>
      <c r="ED199" s="11">
        <v>27535000</v>
      </c>
      <c r="EE199" s="11">
        <v>25389000</v>
      </c>
      <c r="EF199" s="7">
        <v>7800000</v>
      </c>
      <c r="EG199" s="7">
        <v>576000</v>
      </c>
      <c r="EH199" s="7"/>
      <c r="EI199" s="7"/>
      <c r="EJ199" s="7"/>
      <c r="EK199" s="7">
        <v>8870000</v>
      </c>
      <c r="EL199" s="7">
        <v>364000</v>
      </c>
      <c r="EM199" s="7"/>
      <c r="EN199" s="7"/>
      <c r="EO199" s="7"/>
      <c r="EP199" s="7"/>
      <c r="EQ199" s="7"/>
      <c r="ER199" s="7"/>
      <c r="ES199" s="7"/>
      <c r="ET199" s="7"/>
      <c r="EU199" s="7"/>
      <c r="EV199" s="7"/>
      <c r="EW199" s="7"/>
      <c r="EX199" s="7"/>
      <c r="EY199" s="7"/>
      <c r="EZ199" s="11"/>
      <c r="FA199" s="11"/>
      <c r="FB199" s="11"/>
      <c r="FC199" s="11"/>
      <c r="FD199" s="11"/>
      <c r="FE199" s="11"/>
      <c r="FF199" s="11"/>
      <c r="FG199" s="11"/>
      <c r="FH199" s="11"/>
      <c r="FI199" s="11"/>
      <c r="FJ199" s="11"/>
      <c r="FK199" s="11"/>
      <c r="FL199" s="11"/>
      <c r="FM199" s="11"/>
      <c r="FN199" s="11"/>
      <c r="FO199" s="7"/>
      <c r="FP199" s="7"/>
      <c r="FQ199" s="7"/>
      <c r="FR199" s="7"/>
      <c r="FS199" s="7"/>
      <c r="FT199" s="7">
        <v>3682000</v>
      </c>
      <c r="FU199" s="7">
        <v>1616000</v>
      </c>
      <c r="FV199" s="7">
        <v>2845000</v>
      </c>
      <c r="FW199" s="7">
        <v>1286000</v>
      </c>
      <c r="FX199" s="7">
        <v>400000</v>
      </c>
      <c r="FY199" s="11"/>
      <c r="FZ199" s="11"/>
      <c r="GA199" s="11"/>
      <c r="GB199" s="11"/>
      <c r="GC199" s="11"/>
      <c r="GD199" s="7">
        <v>-4752000</v>
      </c>
      <c r="GE199" s="7">
        <v>-1404000</v>
      </c>
      <c r="GF199" s="7">
        <v>-2845000</v>
      </c>
      <c r="GG199" s="7">
        <v>-1286000</v>
      </c>
      <c r="GH199" s="7">
        <v>-400000</v>
      </c>
    </row>
    <row r="200" spans="1:190" ht="26.25" x14ac:dyDescent="0.25">
      <c r="A200" s="4">
        <v>199</v>
      </c>
      <c r="B200" s="5" t="s">
        <v>694</v>
      </c>
      <c r="C200" s="9" t="s">
        <v>695</v>
      </c>
      <c r="D200" s="7">
        <v>11</v>
      </c>
      <c r="E200" s="6" t="s">
        <v>325</v>
      </c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7"/>
      <c r="Q200" s="7"/>
      <c r="R200" s="7"/>
      <c r="S200" s="7"/>
      <c r="T200" s="7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11"/>
      <c r="AZ200" s="11"/>
      <c r="BA200" s="11"/>
      <c r="BB200" s="11"/>
      <c r="BC200" s="11"/>
      <c r="BD200" s="7"/>
      <c r="BE200" s="7"/>
      <c r="BF200" s="7"/>
      <c r="BG200" s="7"/>
      <c r="BH200" s="7"/>
      <c r="BI200" s="11"/>
      <c r="BJ200" s="11"/>
      <c r="BK200" s="11"/>
      <c r="BL200" s="11"/>
      <c r="BM200" s="11"/>
      <c r="BN200" s="11"/>
      <c r="BO200" s="11"/>
      <c r="BP200" s="11"/>
      <c r="BQ200" s="11"/>
      <c r="BR200" s="11"/>
      <c r="BS200" s="11"/>
      <c r="BT200" s="11"/>
      <c r="BU200" s="11"/>
      <c r="BV200" s="11"/>
      <c r="BW200" s="11"/>
      <c r="BX200" s="7"/>
      <c r="BY200" s="7"/>
      <c r="BZ200" s="7"/>
      <c r="CA200" s="7"/>
      <c r="CB200" s="7"/>
      <c r="CC200" s="11"/>
      <c r="CD200" s="11"/>
      <c r="CE200" s="11"/>
      <c r="CF200" s="11"/>
      <c r="CG200" s="11"/>
      <c r="CH200" s="7"/>
      <c r="CI200" s="7"/>
      <c r="CJ200" s="7"/>
      <c r="CK200" s="7"/>
      <c r="CL200" s="7"/>
      <c r="CM200" s="11"/>
      <c r="CN200" s="11"/>
      <c r="CO200" s="11"/>
      <c r="CP200" s="11"/>
      <c r="CQ200" s="11"/>
      <c r="CR200" s="11"/>
      <c r="CS200" s="11"/>
      <c r="CT200" s="11"/>
      <c r="CU200" s="11"/>
      <c r="CV200" s="11"/>
      <c r="CW200" s="11"/>
      <c r="CX200" s="11"/>
      <c r="CY200" s="11"/>
      <c r="CZ200" s="11"/>
      <c r="DA200" s="11"/>
      <c r="DB200" s="11"/>
      <c r="DC200" s="11"/>
      <c r="DD200" s="11"/>
      <c r="DE200" s="11"/>
      <c r="DF200" s="11"/>
      <c r="DG200" s="7"/>
      <c r="DH200" s="7"/>
      <c r="DI200" s="7"/>
      <c r="DJ200" s="7"/>
      <c r="DK200" s="7"/>
      <c r="DL200" s="7"/>
      <c r="DM200" s="7"/>
      <c r="DN200" s="7"/>
      <c r="DO200" s="7"/>
      <c r="DP200" s="7"/>
      <c r="DQ200" s="11"/>
      <c r="DR200" s="11"/>
      <c r="DS200" s="11"/>
      <c r="DT200" s="11"/>
      <c r="DU200" s="11"/>
      <c r="DV200" s="11"/>
      <c r="DW200" s="11"/>
      <c r="DX200" s="11"/>
      <c r="DY200" s="11"/>
      <c r="DZ200" s="11"/>
      <c r="EA200" s="11"/>
      <c r="EB200" s="11"/>
      <c r="EC200" s="11"/>
      <c r="ED200" s="11"/>
      <c r="EE200" s="11"/>
      <c r="EF200" s="7"/>
      <c r="EG200" s="7"/>
      <c r="EH200" s="7"/>
      <c r="EI200" s="7"/>
      <c r="EJ200" s="7"/>
      <c r="EK200" s="7"/>
      <c r="EL200" s="7"/>
      <c r="EM200" s="7"/>
      <c r="EN200" s="7"/>
      <c r="EO200" s="7"/>
      <c r="EP200" s="7"/>
      <c r="EQ200" s="7"/>
      <c r="ER200" s="7"/>
      <c r="ES200" s="7"/>
      <c r="ET200" s="7"/>
      <c r="EU200" s="7"/>
      <c r="EV200" s="7"/>
      <c r="EW200" s="7"/>
      <c r="EX200" s="7"/>
      <c r="EY200" s="7"/>
      <c r="EZ200" s="11"/>
      <c r="FA200" s="11"/>
      <c r="FB200" s="11"/>
      <c r="FC200" s="11"/>
      <c r="FD200" s="11"/>
      <c r="FE200" s="11"/>
      <c r="FF200" s="11"/>
      <c r="FG200" s="11"/>
      <c r="FH200" s="11"/>
      <c r="FI200" s="11"/>
      <c r="FJ200" s="11"/>
      <c r="FK200" s="11"/>
      <c r="FL200" s="11"/>
      <c r="FM200" s="11"/>
      <c r="FN200" s="11"/>
      <c r="FO200" s="7"/>
      <c r="FP200" s="7"/>
      <c r="FQ200" s="7"/>
      <c r="FR200" s="7"/>
      <c r="FS200" s="7"/>
      <c r="FT200" s="7"/>
      <c r="FU200" s="7"/>
      <c r="FV200" s="7"/>
      <c r="FW200" s="7"/>
      <c r="FX200" s="7"/>
      <c r="FY200" s="11"/>
      <c r="FZ200" s="11"/>
      <c r="GA200" s="11"/>
      <c r="GB200" s="11"/>
      <c r="GC200" s="11"/>
      <c r="GD200" s="7"/>
      <c r="GE200" s="7"/>
      <c r="GF200" s="7"/>
      <c r="GG200" s="7"/>
      <c r="GH200" s="7"/>
    </row>
    <row r="201" spans="1:190" ht="26.25" x14ac:dyDescent="0.25">
      <c r="A201" s="4">
        <v>200</v>
      </c>
      <c r="B201" s="5" t="s">
        <v>696</v>
      </c>
      <c r="C201" s="9" t="s">
        <v>697</v>
      </c>
      <c r="D201" s="7">
        <v>9</v>
      </c>
      <c r="E201" s="6" t="s">
        <v>204</v>
      </c>
      <c r="F201" s="11">
        <v>51133</v>
      </c>
      <c r="G201" s="11">
        <v>268460</v>
      </c>
      <c r="H201" s="11">
        <v>15573</v>
      </c>
      <c r="I201" s="11"/>
      <c r="J201" s="11"/>
      <c r="K201" s="11">
        <v>32461</v>
      </c>
      <c r="L201" s="11">
        <v>28985</v>
      </c>
      <c r="M201" s="11">
        <v>17261</v>
      </c>
      <c r="N201" s="11">
        <v>3734</v>
      </c>
      <c r="O201" s="11"/>
      <c r="P201" s="7"/>
      <c r="Q201" s="7"/>
      <c r="R201" s="7"/>
      <c r="S201" s="7"/>
      <c r="T201" s="7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7"/>
      <c r="AP201" s="7"/>
      <c r="AQ201" s="7">
        <v>10000</v>
      </c>
      <c r="AR201" s="7"/>
      <c r="AS201" s="7"/>
      <c r="AT201" s="7">
        <v>48179000</v>
      </c>
      <c r="AU201" s="7">
        <v>46471000</v>
      </c>
      <c r="AV201" s="7">
        <v>43818000</v>
      </c>
      <c r="AW201" s="7">
        <v>43315000</v>
      </c>
      <c r="AX201" s="7"/>
      <c r="AY201" s="11"/>
      <c r="AZ201" s="11"/>
      <c r="BA201" s="11"/>
      <c r="BB201" s="11"/>
      <c r="BC201" s="11"/>
      <c r="BD201" s="7">
        <v>6205000</v>
      </c>
      <c r="BE201" s="7">
        <v>1177000</v>
      </c>
      <c r="BF201" s="7">
        <v>1130000</v>
      </c>
      <c r="BG201" s="7">
        <v>123000</v>
      </c>
      <c r="BH201" s="7"/>
      <c r="BI201" s="11"/>
      <c r="BJ201" s="11">
        <v>5000</v>
      </c>
      <c r="BK201" s="11">
        <v>5000</v>
      </c>
      <c r="BL201" s="11">
        <v>5000</v>
      </c>
      <c r="BM201" s="11"/>
      <c r="BN201" s="11">
        <v>54384000</v>
      </c>
      <c r="BO201" s="11">
        <v>47653000</v>
      </c>
      <c r="BP201" s="11">
        <v>44963000</v>
      </c>
      <c r="BQ201" s="11">
        <v>43443000</v>
      </c>
      <c r="BR201" s="11"/>
      <c r="BS201" s="11">
        <v>54384000</v>
      </c>
      <c r="BT201" s="11">
        <v>47653000</v>
      </c>
      <c r="BU201" s="11">
        <v>44963000</v>
      </c>
      <c r="BV201" s="11">
        <v>43443000</v>
      </c>
      <c r="BW201" s="11"/>
      <c r="BX201" s="7"/>
      <c r="BY201" s="7"/>
      <c r="BZ201" s="7"/>
      <c r="CA201" s="7"/>
      <c r="CB201" s="7"/>
      <c r="CC201" s="11"/>
      <c r="CD201" s="11"/>
      <c r="CE201" s="11"/>
      <c r="CF201" s="11"/>
      <c r="CG201" s="11"/>
      <c r="CH201" s="7">
        <v>1199000</v>
      </c>
      <c r="CI201" s="7">
        <v>42000</v>
      </c>
      <c r="CJ201" s="7">
        <v>-465000</v>
      </c>
      <c r="CK201" s="7">
        <v>-1080000</v>
      </c>
      <c r="CL201" s="7"/>
      <c r="CM201" s="11">
        <v>1199000</v>
      </c>
      <c r="CN201" s="11">
        <v>42000</v>
      </c>
      <c r="CO201" s="11">
        <v>-465000</v>
      </c>
      <c r="CP201" s="11">
        <v>-1080000</v>
      </c>
      <c r="CQ201" s="11"/>
      <c r="CR201" s="11"/>
      <c r="CS201" s="11"/>
      <c r="CT201" s="11"/>
      <c r="CU201" s="11"/>
      <c r="CV201" s="11"/>
      <c r="CW201" s="11"/>
      <c r="CX201" s="11"/>
      <c r="CY201" s="11"/>
      <c r="CZ201" s="11"/>
      <c r="DA201" s="11"/>
      <c r="DB201" s="11"/>
      <c r="DC201" s="11"/>
      <c r="DD201" s="11"/>
      <c r="DE201" s="11"/>
      <c r="DF201" s="11"/>
      <c r="DG201" s="7"/>
      <c r="DH201" s="7"/>
      <c r="DI201" s="7"/>
      <c r="DJ201" s="7"/>
      <c r="DK201" s="7"/>
      <c r="DL201" s="7">
        <v>40268000</v>
      </c>
      <c r="DM201" s="7">
        <v>40717000</v>
      </c>
      <c r="DN201" s="7">
        <v>40108000</v>
      </c>
      <c r="DO201" s="7">
        <v>42016000</v>
      </c>
      <c r="DP201" s="7"/>
      <c r="DQ201" s="11">
        <v>12917000</v>
      </c>
      <c r="DR201" s="11">
        <v>6894000</v>
      </c>
      <c r="DS201" s="11">
        <v>5320000</v>
      </c>
      <c r="DT201" s="11">
        <v>2507000</v>
      </c>
      <c r="DU201" s="11"/>
      <c r="DV201" s="11"/>
      <c r="DW201" s="11"/>
      <c r="DX201" s="11"/>
      <c r="DY201" s="11"/>
      <c r="DZ201" s="11"/>
      <c r="EA201" s="11">
        <v>53185000</v>
      </c>
      <c r="EB201" s="11">
        <v>47611000</v>
      </c>
      <c r="EC201" s="11">
        <v>45428000</v>
      </c>
      <c r="ED201" s="11">
        <v>44523000</v>
      </c>
      <c r="EE201" s="11"/>
      <c r="EF201" s="7">
        <v>49196000</v>
      </c>
      <c r="EG201" s="7">
        <v>23407000</v>
      </c>
      <c r="EH201" s="7">
        <v>8664000</v>
      </c>
      <c r="EI201" s="7">
        <v>3349000</v>
      </c>
      <c r="EJ201" s="7"/>
      <c r="EK201" s="7">
        <v>29601000</v>
      </c>
      <c r="EL201" s="7">
        <v>15977000</v>
      </c>
      <c r="EM201" s="7">
        <v>5411000</v>
      </c>
      <c r="EN201" s="7">
        <v>1945000</v>
      </c>
      <c r="EO201" s="7"/>
      <c r="EP201" s="7"/>
      <c r="EQ201" s="7"/>
      <c r="ER201" s="7"/>
      <c r="ES201" s="7"/>
      <c r="ET201" s="7"/>
      <c r="EU201" s="7">
        <v>9318000</v>
      </c>
      <c r="EV201" s="7">
        <v>7036000</v>
      </c>
      <c r="EW201" s="7">
        <v>3791000</v>
      </c>
      <c r="EX201" s="7">
        <v>2372000</v>
      </c>
      <c r="EY201" s="7"/>
      <c r="EZ201" s="11"/>
      <c r="FA201" s="11"/>
      <c r="FB201" s="11"/>
      <c r="FC201" s="11"/>
      <c r="FD201" s="11"/>
      <c r="FE201" s="11">
        <v>239000</v>
      </c>
      <c r="FF201" s="11">
        <v>219000</v>
      </c>
      <c r="FG201" s="11">
        <v>40000</v>
      </c>
      <c r="FH201" s="11">
        <v>3000</v>
      </c>
      <c r="FI201" s="11"/>
      <c r="FJ201" s="11"/>
      <c r="FK201" s="11"/>
      <c r="FL201" s="11"/>
      <c r="FM201" s="11">
        <v>1000</v>
      </c>
      <c r="FN201" s="11"/>
      <c r="FO201" s="7">
        <v>347000</v>
      </c>
      <c r="FP201" s="7">
        <v>1114000</v>
      </c>
      <c r="FQ201" s="7"/>
      <c r="FR201" s="7">
        <v>380000</v>
      </c>
      <c r="FS201" s="7"/>
      <c r="FT201" s="7">
        <v>5336000</v>
      </c>
      <c r="FU201" s="7">
        <v>2182000</v>
      </c>
      <c r="FV201" s="7">
        <v>9000</v>
      </c>
      <c r="FW201" s="7">
        <v>29000</v>
      </c>
      <c r="FX201" s="7"/>
      <c r="FY201" s="11">
        <v>-1047000</v>
      </c>
      <c r="FZ201" s="11">
        <v>-9000</v>
      </c>
      <c r="GA201" s="11"/>
      <c r="GB201" s="11"/>
      <c r="GC201" s="11"/>
      <c r="GD201" s="7">
        <v>4480000</v>
      </c>
      <c r="GE201" s="7">
        <v>-464000</v>
      </c>
      <c r="GF201" s="7">
        <v>-507000</v>
      </c>
      <c r="GG201" s="7">
        <v>-615000</v>
      </c>
      <c r="GH201" s="7"/>
    </row>
    <row r="202" spans="1:190" ht="26.25" x14ac:dyDescent="0.25">
      <c r="A202" s="4">
        <v>201</v>
      </c>
      <c r="B202" s="5" t="s">
        <v>698</v>
      </c>
      <c r="C202" s="9" t="s">
        <v>699</v>
      </c>
      <c r="D202" s="7">
        <v>11</v>
      </c>
      <c r="E202" s="6" t="s">
        <v>325</v>
      </c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7"/>
      <c r="Q202" s="7"/>
      <c r="R202" s="7"/>
      <c r="S202" s="7"/>
      <c r="T202" s="7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11"/>
      <c r="AZ202" s="11"/>
      <c r="BA202" s="11"/>
      <c r="BB202" s="11"/>
      <c r="BC202" s="11"/>
      <c r="BD202" s="7">
        <v>1094000</v>
      </c>
      <c r="BE202" s="7">
        <v>306000</v>
      </c>
      <c r="BF202" s="7">
        <v>407000</v>
      </c>
      <c r="BG202" s="7">
        <v>139000</v>
      </c>
      <c r="BH202" s="7"/>
      <c r="BI202" s="11"/>
      <c r="BJ202" s="11"/>
      <c r="BK202" s="11"/>
      <c r="BL202" s="11"/>
      <c r="BM202" s="11"/>
      <c r="BN202" s="11">
        <v>1094000</v>
      </c>
      <c r="BO202" s="11">
        <v>306000</v>
      </c>
      <c r="BP202" s="11">
        <v>407000</v>
      </c>
      <c r="BQ202" s="11">
        <v>139000</v>
      </c>
      <c r="BR202" s="11"/>
      <c r="BS202" s="11">
        <v>1094000</v>
      </c>
      <c r="BT202" s="11">
        <v>306000</v>
      </c>
      <c r="BU202" s="11">
        <v>407000</v>
      </c>
      <c r="BV202" s="11">
        <v>139000</v>
      </c>
      <c r="BW202" s="11"/>
      <c r="BX202" s="7"/>
      <c r="BY202" s="7"/>
      <c r="BZ202" s="7"/>
      <c r="CA202" s="7"/>
      <c r="CB202" s="7"/>
      <c r="CC202" s="11"/>
      <c r="CD202" s="11"/>
      <c r="CE202" s="11"/>
      <c r="CF202" s="11"/>
      <c r="CG202" s="11"/>
      <c r="CH202" s="7"/>
      <c r="CI202" s="7"/>
      <c r="CJ202" s="7"/>
      <c r="CK202" s="7"/>
      <c r="CL202" s="7"/>
      <c r="CM202" s="11">
        <v>-49791000</v>
      </c>
      <c r="CN202" s="11">
        <v>-55340000</v>
      </c>
      <c r="CO202" s="11">
        <v>-55872000</v>
      </c>
      <c r="CP202" s="11">
        <v>-56324000</v>
      </c>
      <c r="CQ202" s="11"/>
      <c r="CR202" s="11"/>
      <c r="CS202" s="11"/>
      <c r="CT202" s="11"/>
      <c r="CU202" s="11"/>
      <c r="CV202" s="11"/>
      <c r="CW202" s="11"/>
      <c r="CX202" s="11"/>
      <c r="CY202" s="11"/>
      <c r="CZ202" s="11"/>
      <c r="DA202" s="11"/>
      <c r="DB202" s="11"/>
      <c r="DC202" s="11"/>
      <c r="DD202" s="11"/>
      <c r="DE202" s="11"/>
      <c r="DF202" s="11"/>
      <c r="DG202" s="7"/>
      <c r="DH202" s="7"/>
      <c r="DI202" s="7"/>
      <c r="DJ202" s="7"/>
      <c r="DK202" s="7"/>
      <c r="DL202" s="7">
        <v>50885000</v>
      </c>
      <c r="DM202" s="7">
        <v>55646000</v>
      </c>
      <c r="DN202" s="7">
        <v>56279000</v>
      </c>
      <c r="DO202" s="7">
        <v>56463000</v>
      </c>
      <c r="DP202" s="7"/>
      <c r="DQ202" s="11"/>
      <c r="DR202" s="11"/>
      <c r="DS202" s="11"/>
      <c r="DT202" s="11"/>
      <c r="DU202" s="11"/>
      <c r="DV202" s="11"/>
      <c r="DW202" s="11"/>
      <c r="DX202" s="11"/>
      <c r="DY202" s="11"/>
      <c r="DZ202" s="11"/>
      <c r="EA202" s="11">
        <v>50885000</v>
      </c>
      <c r="EB202" s="11">
        <v>55646000</v>
      </c>
      <c r="EC202" s="11">
        <v>56279000</v>
      </c>
      <c r="ED202" s="11">
        <v>56463000</v>
      </c>
      <c r="EE202" s="11"/>
      <c r="EF202" s="7"/>
      <c r="EG202" s="7"/>
      <c r="EH202" s="7"/>
      <c r="EI202" s="7"/>
      <c r="EJ202" s="7"/>
      <c r="EK202" s="7">
        <v>120000</v>
      </c>
      <c r="EL202" s="7">
        <v>107000</v>
      </c>
      <c r="EM202" s="7">
        <v>143000</v>
      </c>
      <c r="EN202" s="7">
        <v>62000</v>
      </c>
      <c r="EO202" s="7"/>
      <c r="EP202" s="7"/>
      <c r="EQ202" s="7"/>
      <c r="ER202" s="7"/>
      <c r="ES202" s="7"/>
      <c r="ET202" s="7"/>
      <c r="EU202" s="7"/>
      <c r="EV202" s="7"/>
      <c r="EW202" s="7"/>
      <c r="EX202" s="7"/>
      <c r="EY202" s="7"/>
      <c r="EZ202" s="11"/>
      <c r="FA202" s="11"/>
      <c r="FB202" s="11"/>
      <c r="FC202" s="11"/>
      <c r="FD202" s="11"/>
      <c r="FE202" s="11"/>
      <c r="FF202" s="11"/>
      <c r="FG202" s="11"/>
      <c r="FH202" s="11"/>
      <c r="FI202" s="11"/>
      <c r="FJ202" s="11"/>
      <c r="FK202" s="11"/>
      <c r="FL202" s="11"/>
      <c r="FM202" s="11"/>
      <c r="FN202" s="11"/>
      <c r="FO202" s="7"/>
      <c r="FP202" s="7"/>
      <c r="FQ202" s="7"/>
      <c r="FR202" s="7"/>
      <c r="FS202" s="7"/>
      <c r="FT202" s="7">
        <v>591000</v>
      </c>
      <c r="FU202" s="7">
        <v>5442000</v>
      </c>
      <c r="FV202" s="7">
        <v>389000</v>
      </c>
      <c r="FW202" s="7">
        <v>390000</v>
      </c>
      <c r="FX202" s="7"/>
      <c r="FY202" s="11"/>
      <c r="FZ202" s="11"/>
      <c r="GA202" s="11"/>
      <c r="GB202" s="11"/>
      <c r="GC202" s="11"/>
      <c r="GD202" s="7">
        <v>-711000</v>
      </c>
      <c r="GE202" s="7">
        <v>-5549000</v>
      </c>
      <c r="GF202" s="7">
        <v>-532000</v>
      </c>
      <c r="GG202" s="7">
        <v>-452000</v>
      </c>
      <c r="GH202" s="7"/>
    </row>
    <row r="203" spans="1:190" ht="26.25" x14ac:dyDescent="0.25">
      <c r="A203" s="4">
        <v>202</v>
      </c>
      <c r="B203" s="5" t="s">
        <v>700</v>
      </c>
      <c r="C203" s="9" t="s">
        <v>701</v>
      </c>
      <c r="D203" s="7">
        <v>4</v>
      </c>
      <c r="E203" s="6" t="s">
        <v>325</v>
      </c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7"/>
      <c r="Q203" s="7"/>
      <c r="R203" s="7"/>
      <c r="S203" s="7"/>
      <c r="T203" s="7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7"/>
      <c r="AP203" s="7">
        <v>10000</v>
      </c>
      <c r="AQ203" s="7">
        <v>10000</v>
      </c>
      <c r="AR203" s="7">
        <v>10000</v>
      </c>
      <c r="AS203" s="7">
        <v>10000</v>
      </c>
      <c r="AT203" s="7"/>
      <c r="AU203" s="7"/>
      <c r="AV203" s="7">
        <v>32267000</v>
      </c>
      <c r="AW203" s="7">
        <v>71479000</v>
      </c>
      <c r="AX203" s="7">
        <v>71479000</v>
      </c>
      <c r="AY203" s="11"/>
      <c r="AZ203" s="11"/>
      <c r="BA203" s="11"/>
      <c r="BB203" s="11"/>
      <c r="BC203" s="11"/>
      <c r="BD203" s="7"/>
      <c r="BE203" s="7"/>
      <c r="BF203" s="7"/>
      <c r="BG203" s="7">
        <v>5000</v>
      </c>
      <c r="BH203" s="7">
        <v>5000</v>
      </c>
      <c r="BI203" s="11"/>
      <c r="BJ203" s="11"/>
      <c r="BK203" s="11"/>
      <c r="BL203" s="11"/>
      <c r="BM203" s="11"/>
      <c r="BN203" s="11"/>
      <c r="BO203" s="11">
        <v>10000</v>
      </c>
      <c r="BP203" s="11">
        <v>32277000</v>
      </c>
      <c r="BQ203" s="11">
        <v>71494000</v>
      </c>
      <c r="BR203" s="11">
        <v>71494000</v>
      </c>
      <c r="BS203" s="11"/>
      <c r="BT203" s="11">
        <v>10000</v>
      </c>
      <c r="BU203" s="11">
        <v>32277000</v>
      </c>
      <c r="BV203" s="11">
        <v>71494000</v>
      </c>
      <c r="BW203" s="11">
        <v>71494000</v>
      </c>
      <c r="BX203" s="7"/>
      <c r="BY203" s="7"/>
      <c r="BZ203" s="7"/>
      <c r="CA203" s="7"/>
      <c r="CB203" s="7"/>
      <c r="CC203" s="11"/>
      <c r="CD203" s="11"/>
      <c r="CE203" s="11"/>
      <c r="CF203" s="11"/>
      <c r="CG203" s="11"/>
      <c r="CH203" s="7"/>
      <c r="CI203" s="7"/>
      <c r="CJ203" s="7"/>
      <c r="CK203" s="7"/>
      <c r="CL203" s="7"/>
      <c r="CM203" s="11"/>
      <c r="CN203" s="11">
        <v>8000</v>
      </c>
      <c r="CO203" s="11">
        <v>3647000</v>
      </c>
      <c r="CP203" s="11">
        <v>7712000</v>
      </c>
      <c r="CQ203" s="11">
        <v>7712000</v>
      </c>
      <c r="CR203" s="11"/>
      <c r="CS203" s="11"/>
      <c r="CT203" s="11"/>
      <c r="CU203" s="11"/>
      <c r="CV203" s="11"/>
      <c r="CW203" s="11"/>
      <c r="CX203" s="11"/>
      <c r="CY203" s="11"/>
      <c r="CZ203" s="11"/>
      <c r="DA203" s="11"/>
      <c r="DB203" s="11"/>
      <c r="DC203" s="11"/>
      <c r="DD203" s="11"/>
      <c r="DE203" s="11"/>
      <c r="DF203" s="11"/>
      <c r="DG203" s="7"/>
      <c r="DH203" s="7"/>
      <c r="DI203" s="7">
        <v>184000</v>
      </c>
      <c r="DJ203" s="7">
        <v>234000</v>
      </c>
      <c r="DK203" s="7">
        <v>234000</v>
      </c>
      <c r="DL203" s="7"/>
      <c r="DM203" s="7">
        <v>2000</v>
      </c>
      <c r="DN203" s="7">
        <v>28446000</v>
      </c>
      <c r="DO203" s="7">
        <v>63548000</v>
      </c>
      <c r="DP203" s="7">
        <v>63548000</v>
      </c>
      <c r="DQ203" s="11"/>
      <c r="DR203" s="11"/>
      <c r="DS203" s="11"/>
      <c r="DT203" s="11"/>
      <c r="DU203" s="11"/>
      <c r="DV203" s="11"/>
      <c r="DW203" s="11"/>
      <c r="DX203" s="11"/>
      <c r="DY203" s="11"/>
      <c r="DZ203" s="11"/>
      <c r="EA203" s="11"/>
      <c r="EB203" s="11">
        <v>2000</v>
      </c>
      <c r="EC203" s="11">
        <v>28630000</v>
      </c>
      <c r="ED203" s="11">
        <v>63782000</v>
      </c>
      <c r="EE203" s="11">
        <v>63782000</v>
      </c>
      <c r="EF203" s="7"/>
      <c r="EG203" s="7"/>
      <c r="EH203" s="7">
        <v>32338000</v>
      </c>
      <c r="EI203" s="7">
        <v>39262000</v>
      </c>
      <c r="EJ203" s="7"/>
      <c r="EK203" s="7"/>
      <c r="EL203" s="7"/>
      <c r="EM203" s="7">
        <v>28697000</v>
      </c>
      <c r="EN203" s="7">
        <v>35196000</v>
      </c>
      <c r="EO203" s="7"/>
      <c r="EP203" s="7"/>
      <c r="EQ203" s="7"/>
      <c r="ER203" s="7"/>
      <c r="ES203" s="7"/>
      <c r="ET203" s="7"/>
      <c r="EU203" s="7"/>
      <c r="EV203" s="7"/>
      <c r="EW203" s="7"/>
      <c r="EX203" s="7"/>
      <c r="EY203" s="7"/>
      <c r="EZ203" s="11"/>
      <c r="FA203" s="11"/>
      <c r="FB203" s="11"/>
      <c r="FC203" s="11"/>
      <c r="FD203" s="11"/>
      <c r="FE203" s="11"/>
      <c r="FF203" s="11"/>
      <c r="FG203" s="11"/>
      <c r="FH203" s="11"/>
      <c r="FI203" s="11"/>
      <c r="FJ203" s="11"/>
      <c r="FK203" s="11"/>
      <c r="FL203" s="11"/>
      <c r="FM203" s="11"/>
      <c r="FN203" s="11"/>
      <c r="FO203" s="7"/>
      <c r="FP203" s="7"/>
      <c r="FQ203" s="7"/>
      <c r="FR203" s="7"/>
      <c r="FS203" s="7"/>
      <c r="FT203" s="7"/>
      <c r="FU203" s="7">
        <v>2000</v>
      </c>
      <c r="FV203" s="7">
        <v>3000</v>
      </c>
      <c r="FW203" s="7"/>
      <c r="FX203" s="7"/>
      <c r="FY203" s="11"/>
      <c r="FZ203" s="11"/>
      <c r="GA203" s="11"/>
      <c r="GB203" s="11">
        <v>1000</v>
      </c>
      <c r="GC203" s="11"/>
      <c r="GD203" s="7"/>
      <c r="GE203" s="7">
        <v>-2000</v>
      </c>
      <c r="GF203" s="7">
        <v>3638000</v>
      </c>
      <c r="GG203" s="7">
        <v>4065000</v>
      </c>
      <c r="GH203" s="7"/>
    </row>
    <row r="204" spans="1:190" ht="26.25" x14ac:dyDescent="0.25">
      <c r="A204" s="4">
        <v>203</v>
      </c>
      <c r="B204" s="5" t="s">
        <v>702</v>
      </c>
      <c r="C204" s="9" t="s">
        <v>703</v>
      </c>
      <c r="D204" s="7">
        <v>14</v>
      </c>
      <c r="E204" s="6" t="s">
        <v>204</v>
      </c>
      <c r="F204" s="11"/>
      <c r="G204" s="11"/>
      <c r="H204" s="11"/>
      <c r="I204" s="11"/>
      <c r="J204" s="11"/>
      <c r="K204" s="11">
        <v>190975</v>
      </c>
      <c r="L204" s="11">
        <v>26512</v>
      </c>
      <c r="M204" s="11"/>
      <c r="N204" s="11">
        <v>238</v>
      </c>
      <c r="O204" s="11"/>
      <c r="P204" s="7"/>
      <c r="Q204" s="7"/>
      <c r="R204" s="7"/>
      <c r="S204" s="7"/>
      <c r="T204" s="7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7">
        <v>3000</v>
      </c>
      <c r="AP204" s="7">
        <v>572000</v>
      </c>
      <c r="AQ204" s="7"/>
      <c r="AR204" s="7"/>
      <c r="AS204" s="7"/>
      <c r="AT204" s="7">
        <v>123293000</v>
      </c>
      <c r="AU204" s="7">
        <v>125411000</v>
      </c>
      <c r="AV204" s="7">
        <v>98648000</v>
      </c>
      <c r="AW204" s="7">
        <v>88179000</v>
      </c>
      <c r="AX204" s="7">
        <v>80125000</v>
      </c>
      <c r="AY204" s="11"/>
      <c r="AZ204" s="11"/>
      <c r="BA204" s="11"/>
      <c r="BB204" s="11"/>
      <c r="BC204" s="11"/>
      <c r="BD204" s="7">
        <v>4114000</v>
      </c>
      <c r="BE204" s="7">
        <v>725000</v>
      </c>
      <c r="BF204" s="7">
        <v>10000</v>
      </c>
      <c r="BG204" s="7">
        <v>220000</v>
      </c>
      <c r="BH204" s="7">
        <v>393000</v>
      </c>
      <c r="BI204" s="11"/>
      <c r="BJ204" s="11"/>
      <c r="BK204" s="11"/>
      <c r="BL204" s="11"/>
      <c r="BM204" s="11"/>
      <c r="BN204" s="11">
        <v>127413000</v>
      </c>
      <c r="BO204" s="11">
        <v>126711000</v>
      </c>
      <c r="BP204" s="11">
        <v>98658000</v>
      </c>
      <c r="BQ204" s="11">
        <v>88399000</v>
      </c>
      <c r="BR204" s="11">
        <v>80518000</v>
      </c>
      <c r="BS204" s="11">
        <v>127413000</v>
      </c>
      <c r="BT204" s="11">
        <v>126711000</v>
      </c>
      <c r="BU204" s="11">
        <v>98658000</v>
      </c>
      <c r="BV204" s="11">
        <v>88399000</v>
      </c>
      <c r="BW204" s="11">
        <v>80518000</v>
      </c>
      <c r="BX204" s="7">
        <v>10000</v>
      </c>
      <c r="BY204" s="7">
        <v>10000</v>
      </c>
      <c r="BZ204" s="7">
        <v>10000</v>
      </c>
      <c r="CA204" s="7">
        <v>10000</v>
      </c>
      <c r="CB204" s="7">
        <v>10000</v>
      </c>
      <c r="CC204" s="11"/>
      <c r="CD204" s="11"/>
      <c r="CE204" s="11"/>
      <c r="CF204" s="11"/>
      <c r="CG204" s="11"/>
      <c r="CH204" s="7">
        <v>-25488000</v>
      </c>
      <c r="CI204" s="7">
        <v>-25929000</v>
      </c>
      <c r="CJ204" s="7">
        <v>-28969000</v>
      </c>
      <c r="CK204" s="7">
        <v>-28969000</v>
      </c>
      <c r="CL204" s="7">
        <v>-31963000</v>
      </c>
      <c r="CM204" s="11">
        <v>-25478000</v>
      </c>
      <c r="CN204" s="11">
        <v>-25919000</v>
      </c>
      <c r="CO204" s="11">
        <v>-28959000</v>
      </c>
      <c r="CP204" s="11">
        <v>-28959000</v>
      </c>
      <c r="CQ204" s="11">
        <v>-31953000</v>
      </c>
      <c r="CR204" s="11"/>
      <c r="CS204" s="11"/>
      <c r="CT204" s="11"/>
      <c r="CU204" s="11"/>
      <c r="CV204" s="11"/>
      <c r="CW204" s="11"/>
      <c r="CX204" s="11"/>
      <c r="CY204" s="11"/>
      <c r="CZ204" s="11"/>
      <c r="DA204" s="11"/>
      <c r="DB204" s="11"/>
      <c r="DC204" s="11"/>
      <c r="DD204" s="11"/>
      <c r="DE204" s="11"/>
      <c r="DF204" s="11"/>
      <c r="DG204" s="7"/>
      <c r="DH204" s="7"/>
      <c r="DI204" s="7"/>
      <c r="DJ204" s="7"/>
      <c r="DK204" s="7"/>
      <c r="DL204" s="7">
        <v>130630000</v>
      </c>
      <c r="DM204" s="7">
        <v>130417000</v>
      </c>
      <c r="DN204" s="7">
        <v>127617000</v>
      </c>
      <c r="DO204" s="7">
        <v>117358000</v>
      </c>
      <c r="DP204" s="7">
        <v>112471000</v>
      </c>
      <c r="DQ204" s="11">
        <v>22261000</v>
      </c>
      <c r="DR204" s="11">
        <v>22213000</v>
      </c>
      <c r="DS204" s="11"/>
      <c r="DT204" s="11"/>
      <c r="DU204" s="11"/>
      <c r="DV204" s="11"/>
      <c r="DW204" s="11"/>
      <c r="DX204" s="11"/>
      <c r="DY204" s="11"/>
      <c r="DZ204" s="11"/>
      <c r="EA204" s="11">
        <v>152890000</v>
      </c>
      <c r="EB204" s="11">
        <v>152630000</v>
      </c>
      <c r="EC204" s="11">
        <v>127617000</v>
      </c>
      <c r="ED204" s="11">
        <v>117358000</v>
      </c>
      <c r="EE204" s="11">
        <v>112471000</v>
      </c>
      <c r="EF204" s="7">
        <v>21533000</v>
      </c>
      <c r="EG204" s="7">
        <v>384000</v>
      </c>
      <c r="EH204" s="7"/>
      <c r="EI204" s="7"/>
      <c r="EJ204" s="7"/>
      <c r="EK204" s="7">
        <v>17112000</v>
      </c>
      <c r="EL204" s="7">
        <v>385000</v>
      </c>
      <c r="EM204" s="7"/>
      <c r="EN204" s="7"/>
      <c r="EO204" s="7"/>
      <c r="EP204" s="7"/>
      <c r="EQ204" s="7"/>
      <c r="ER204" s="7"/>
      <c r="ES204" s="7"/>
      <c r="ET204" s="7"/>
      <c r="EU204" s="7">
        <v>9574000</v>
      </c>
      <c r="EV204" s="7">
        <v>133000</v>
      </c>
      <c r="EW204" s="7"/>
      <c r="EX204" s="7"/>
      <c r="EY204" s="7"/>
      <c r="EZ204" s="11"/>
      <c r="FA204" s="11"/>
      <c r="FB204" s="11"/>
      <c r="FC204" s="11"/>
      <c r="FD204" s="11"/>
      <c r="FE204" s="11"/>
      <c r="FF204" s="11"/>
      <c r="FG204" s="11"/>
      <c r="FH204" s="11"/>
      <c r="FI204" s="11"/>
      <c r="FJ204" s="11"/>
      <c r="FK204" s="11"/>
      <c r="FL204" s="11"/>
      <c r="FM204" s="11"/>
      <c r="FN204" s="11"/>
      <c r="FO204" s="7">
        <v>2452000</v>
      </c>
      <c r="FP204" s="7">
        <v>1000</v>
      </c>
      <c r="FQ204" s="7"/>
      <c r="FR204" s="7"/>
      <c r="FS204" s="7"/>
      <c r="FT204" s="7">
        <v>3771000</v>
      </c>
      <c r="FU204" s="7">
        <v>308000</v>
      </c>
      <c r="FV204" s="7">
        <v>3040401000</v>
      </c>
      <c r="FW204" s="7"/>
      <c r="FX204" s="7">
        <v>2994000</v>
      </c>
      <c r="FY204" s="11"/>
      <c r="FZ204" s="11"/>
      <c r="GA204" s="11"/>
      <c r="GB204" s="11"/>
      <c r="GC204" s="11"/>
      <c r="GD204" s="7">
        <v>-6472000</v>
      </c>
      <c r="GE204" s="7">
        <v>-441000</v>
      </c>
      <c r="GF204" s="7">
        <v>-3040401000</v>
      </c>
      <c r="GG204" s="7"/>
      <c r="GH204" s="7">
        <v>-2994000</v>
      </c>
    </row>
    <row r="205" spans="1:190" ht="26.25" x14ac:dyDescent="0.25">
      <c r="A205" s="4">
        <v>204</v>
      </c>
      <c r="B205" s="5" t="s">
        <v>704</v>
      </c>
      <c r="C205" s="9" t="s">
        <v>705</v>
      </c>
      <c r="D205" s="7">
        <v>17</v>
      </c>
      <c r="E205" s="6" t="s">
        <v>204</v>
      </c>
      <c r="F205" s="11"/>
      <c r="G205" s="11"/>
      <c r="H205" s="11"/>
      <c r="I205" s="11"/>
      <c r="J205" s="11"/>
      <c r="K205" s="11"/>
      <c r="L205" s="11"/>
      <c r="M205" s="11">
        <v>21765</v>
      </c>
      <c r="N205" s="11"/>
      <c r="O205" s="11"/>
      <c r="P205" s="7"/>
      <c r="Q205" s="7"/>
      <c r="R205" s="7"/>
      <c r="S205" s="7"/>
      <c r="T205" s="7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7"/>
      <c r="AP205" s="7"/>
      <c r="AQ205" s="7"/>
      <c r="AR205" s="7"/>
      <c r="AS205" s="7"/>
      <c r="AT205" s="7">
        <v>158606000</v>
      </c>
      <c r="AU205" s="7">
        <v>140746000</v>
      </c>
      <c r="AV205" s="7">
        <v>134494000</v>
      </c>
      <c r="AW205" s="7">
        <v>129797000</v>
      </c>
      <c r="AX205" s="7">
        <v>129097000</v>
      </c>
      <c r="AY205" s="11"/>
      <c r="AZ205" s="11"/>
      <c r="BA205" s="11"/>
      <c r="BB205" s="11"/>
      <c r="BC205" s="11"/>
      <c r="BD205" s="7">
        <v>3045000</v>
      </c>
      <c r="BE205" s="7">
        <v>5598000</v>
      </c>
      <c r="BF205" s="7">
        <v>1280000</v>
      </c>
      <c r="BG205" s="7">
        <v>1175000</v>
      </c>
      <c r="BH205" s="7">
        <v>646000</v>
      </c>
      <c r="BI205" s="11"/>
      <c r="BJ205" s="11"/>
      <c r="BK205" s="11"/>
      <c r="BL205" s="11"/>
      <c r="BM205" s="11"/>
      <c r="BN205" s="11">
        <v>161651000</v>
      </c>
      <c r="BO205" s="11">
        <v>146344000</v>
      </c>
      <c r="BP205" s="11">
        <v>135774000</v>
      </c>
      <c r="BQ205" s="11">
        <v>130972000</v>
      </c>
      <c r="BR205" s="11">
        <v>129743000</v>
      </c>
      <c r="BS205" s="11">
        <v>161651000</v>
      </c>
      <c r="BT205" s="11">
        <v>146344000</v>
      </c>
      <c r="BU205" s="11">
        <v>135774000</v>
      </c>
      <c r="BV205" s="11">
        <v>130972000</v>
      </c>
      <c r="BW205" s="11">
        <v>129743000</v>
      </c>
      <c r="BX205" s="7">
        <v>1010000</v>
      </c>
      <c r="BY205" s="7">
        <v>1010000</v>
      </c>
      <c r="BZ205" s="7">
        <v>1010000</v>
      </c>
      <c r="CA205" s="7">
        <v>1010000</v>
      </c>
      <c r="CB205" s="7">
        <v>1010000</v>
      </c>
      <c r="CC205" s="11"/>
      <c r="CD205" s="11"/>
      <c r="CE205" s="11"/>
      <c r="CF205" s="11"/>
      <c r="CG205" s="11"/>
      <c r="CH205" s="7">
        <v>-60975000</v>
      </c>
      <c r="CI205" s="7">
        <v>-62543000</v>
      </c>
      <c r="CJ205" s="7">
        <v>-64062000</v>
      </c>
      <c r="CK205" s="7">
        <v>-64062000</v>
      </c>
      <c r="CL205" s="7">
        <v>-64062000</v>
      </c>
      <c r="CM205" s="11">
        <v>-59965000</v>
      </c>
      <c r="CN205" s="11">
        <v>-61533000</v>
      </c>
      <c r="CO205" s="11">
        <v>-63052000</v>
      </c>
      <c r="CP205" s="11">
        <v>-63052000</v>
      </c>
      <c r="CQ205" s="11">
        <v>-63052000</v>
      </c>
      <c r="CR205" s="11"/>
      <c r="CS205" s="11"/>
      <c r="CT205" s="11"/>
      <c r="CU205" s="11"/>
      <c r="CV205" s="11"/>
      <c r="CW205" s="11"/>
      <c r="CX205" s="11"/>
      <c r="CY205" s="11"/>
      <c r="CZ205" s="11"/>
      <c r="DA205" s="11"/>
      <c r="DB205" s="11"/>
      <c r="DC205" s="11"/>
      <c r="DD205" s="11"/>
      <c r="DE205" s="11"/>
      <c r="DF205" s="11"/>
      <c r="DG205" s="7"/>
      <c r="DH205" s="7"/>
      <c r="DI205" s="7"/>
      <c r="DJ205" s="7"/>
      <c r="DK205" s="7"/>
      <c r="DL205" s="7">
        <v>221616000</v>
      </c>
      <c r="DM205" s="7">
        <v>207877000</v>
      </c>
      <c r="DN205" s="7">
        <v>198826000</v>
      </c>
      <c r="DO205" s="7">
        <v>194024000</v>
      </c>
      <c r="DP205" s="7">
        <v>192795000</v>
      </c>
      <c r="DQ205" s="11"/>
      <c r="DR205" s="11"/>
      <c r="DS205" s="11"/>
      <c r="DT205" s="11"/>
      <c r="DU205" s="11"/>
      <c r="DV205" s="11"/>
      <c r="DW205" s="11"/>
      <c r="DX205" s="11"/>
      <c r="DY205" s="11"/>
      <c r="DZ205" s="11"/>
      <c r="EA205" s="11">
        <v>221616000</v>
      </c>
      <c r="EB205" s="11">
        <v>207877000</v>
      </c>
      <c r="EC205" s="11">
        <v>198826000</v>
      </c>
      <c r="ED205" s="11">
        <v>194024000</v>
      </c>
      <c r="EE205" s="11">
        <v>192795000</v>
      </c>
      <c r="EF205" s="7"/>
      <c r="EG205" s="7"/>
      <c r="EH205" s="7"/>
      <c r="EI205" s="7"/>
      <c r="EJ205" s="7"/>
      <c r="EK205" s="7"/>
      <c r="EL205" s="7"/>
      <c r="EM205" s="7"/>
      <c r="EN205" s="7"/>
      <c r="EO205" s="7"/>
      <c r="EP205" s="7"/>
      <c r="EQ205" s="7"/>
      <c r="ER205" s="7"/>
      <c r="ES205" s="7"/>
      <c r="ET205" s="7"/>
      <c r="EU205" s="7"/>
      <c r="EV205" s="7"/>
      <c r="EW205" s="7"/>
      <c r="EX205" s="7"/>
      <c r="EY205" s="7"/>
      <c r="EZ205" s="11"/>
      <c r="FA205" s="11"/>
      <c r="FB205" s="11"/>
      <c r="FC205" s="11"/>
      <c r="FD205" s="11"/>
      <c r="FE205" s="11"/>
      <c r="FF205" s="11"/>
      <c r="FG205" s="11"/>
      <c r="FH205" s="11"/>
      <c r="FI205" s="11"/>
      <c r="FJ205" s="11"/>
      <c r="FK205" s="11"/>
      <c r="FL205" s="11"/>
      <c r="FM205" s="11"/>
      <c r="FN205" s="11"/>
      <c r="FO205" s="7"/>
      <c r="FP205" s="7"/>
      <c r="FQ205" s="7"/>
      <c r="FR205" s="7"/>
      <c r="FS205" s="7"/>
      <c r="FT205" s="7">
        <v>1584000</v>
      </c>
      <c r="FU205" s="7">
        <v>1568000</v>
      </c>
      <c r="FV205" s="7">
        <v>1519000</v>
      </c>
      <c r="FW205" s="7"/>
      <c r="FX205" s="7"/>
      <c r="FY205" s="11"/>
      <c r="FZ205" s="11"/>
      <c r="GA205" s="11"/>
      <c r="GB205" s="11"/>
      <c r="GC205" s="11"/>
      <c r="GD205" s="7">
        <v>-1584000</v>
      </c>
      <c r="GE205" s="7">
        <v>-1568000</v>
      </c>
      <c r="GF205" s="7">
        <v>-1519000</v>
      </c>
      <c r="GG205" s="7"/>
      <c r="GH205" s="7"/>
    </row>
    <row r="206" spans="1:190" x14ac:dyDescent="0.25">
      <c r="A206" s="4">
        <v>205</v>
      </c>
      <c r="B206" s="5" t="s">
        <v>706</v>
      </c>
      <c r="C206" s="9" t="s">
        <v>707</v>
      </c>
      <c r="D206" s="7">
        <v>9</v>
      </c>
      <c r="E206" s="6" t="s">
        <v>708</v>
      </c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7"/>
      <c r="Q206" s="7"/>
      <c r="R206" s="7"/>
      <c r="S206" s="7"/>
      <c r="T206" s="7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7"/>
      <c r="AP206" s="7"/>
      <c r="AQ206" s="7"/>
      <c r="AR206" s="7"/>
      <c r="AS206" s="7"/>
      <c r="AT206" s="7"/>
      <c r="AU206" s="7"/>
      <c r="AV206" s="7">
        <v>18718000</v>
      </c>
      <c r="AW206" s="7">
        <v>14170000</v>
      </c>
      <c r="AX206" s="7">
        <v>10733000</v>
      </c>
      <c r="AY206" s="11"/>
      <c r="AZ206" s="11"/>
      <c r="BA206" s="11"/>
      <c r="BB206" s="11"/>
      <c r="BC206" s="11"/>
      <c r="BD206" s="7"/>
      <c r="BE206" s="7"/>
      <c r="BF206" s="7">
        <v>3326000</v>
      </c>
      <c r="BG206" s="7">
        <v>241000</v>
      </c>
      <c r="BH206" s="7">
        <v>225000</v>
      </c>
      <c r="BI206" s="11"/>
      <c r="BJ206" s="11"/>
      <c r="BK206" s="11"/>
      <c r="BL206" s="11"/>
      <c r="BM206" s="11"/>
      <c r="BN206" s="11"/>
      <c r="BO206" s="11"/>
      <c r="BP206" s="11">
        <v>22044000</v>
      </c>
      <c r="BQ206" s="11">
        <v>14411000</v>
      </c>
      <c r="BR206" s="11">
        <v>10958000</v>
      </c>
      <c r="BS206" s="11"/>
      <c r="BT206" s="11"/>
      <c r="BU206" s="11">
        <v>22044000</v>
      </c>
      <c r="BV206" s="11">
        <v>14411000</v>
      </c>
      <c r="BW206" s="11">
        <v>10958000</v>
      </c>
      <c r="BX206" s="7"/>
      <c r="BY206" s="7"/>
      <c r="BZ206" s="7"/>
      <c r="CA206" s="7"/>
      <c r="CB206" s="7"/>
      <c r="CC206" s="11"/>
      <c r="CD206" s="11"/>
      <c r="CE206" s="11"/>
      <c r="CF206" s="11"/>
      <c r="CG206" s="11"/>
      <c r="CH206" s="7"/>
      <c r="CI206" s="7"/>
      <c r="CJ206" s="7"/>
      <c r="CK206" s="7"/>
      <c r="CL206" s="7"/>
      <c r="CM206" s="11"/>
      <c r="CN206" s="11"/>
      <c r="CO206" s="11">
        <v>3214000</v>
      </c>
      <c r="CP206" s="11">
        <v>3214000</v>
      </c>
      <c r="CQ206" s="11">
        <v>-3925000</v>
      </c>
      <c r="CR206" s="11"/>
      <c r="CS206" s="11"/>
      <c r="CT206" s="11"/>
      <c r="CU206" s="11"/>
      <c r="CV206" s="11"/>
      <c r="CW206" s="11"/>
      <c r="CX206" s="11"/>
      <c r="CY206" s="11"/>
      <c r="CZ206" s="11"/>
      <c r="DA206" s="11"/>
      <c r="DB206" s="11"/>
      <c r="DC206" s="11"/>
      <c r="DD206" s="11"/>
      <c r="DE206" s="11"/>
      <c r="DF206" s="11"/>
      <c r="DG206" s="7"/>
      <c r="DH206" s="7"/>
      <c r="DI206" s="7"/>
      <c r="DJ206" s="7"/>
      <c r="DK206" s="7"/>
      <c r="DL206" s="7"/>
      <c r="DM206" s="7"/>
      <c r="DN206" s="7">
        <v>18830000</v>
      </c>
      <c r="DO206" s="7">
        <v>11197000</v>
      </c>
      <c r="DP206" s="7">
        <v>14883000</v>
      </c>
      <c r="DQ206" s="11"/>
      <c r="DR206" s="11"/>
      <c r="DS206" s="11"/>
      <c r="DT206" s="11"/>
      <c r="DU206" s="11"/>
      <c r="DV206" s="11"/>
      <c r="DW206" s="11"/>
      <c r="DX206" s="11"/>
      <c r="DY206" s="11"/>
      <c r="DZ206" s="11"/>
      <c r="EA206" s="11"/>
      <c r="EB206" s="11"/>
      <c r="EC206" s="11">
        <v>18830000</v>
      </c>
      <c r="ED206" s="11">
        <v>11197000</v>
      </c>
      <c r="EE206" s="11">
        <v>14883000</v>
      </c>
      <c r="EF206" s="7"/>
      <c r="EG206" s="7"/>
      <c r="EH206" s="7">
        <v>23571000</v>
      </c>
      <c r="EI206" s="7"/>
      <c r="EJ206" s="7"/>
      <c r="EK206" s="7"/>
      <c r="EL206" s="7"/>
      <c r="EM206" s="7">
        <v>15891000</v>
      </c>
      <c r="EN206" s="7"/>
      <c r="EO206" s="7"/>
      <c r="EP206" s="7"/>
      <c r="EQ206" s="7"/>
      <c r="ER206" s="7"/>
      <c r="ES206" s="7"/>
      <c r="ET206" s="7"/>
      <c r="EU206" s="7"/>
      <c r="EV206" s="7"/>
      <c r="EW206" s="7"/>
      <c r="EX206" s="7"/>
      <c r="EY206" s="7"/>
      <c r="EZ206" s="11"/>
      <c r="FA206" s="11"/>
      <c r="FB206" s="11"/>
      <c r="FC206" s="11"/>
      <c r="FD206" s="11"/>
      <c r="FE206" s="11"/>
      <c r="FF206" s="11"/>
      <c r="FG206" s="11"/>
      <c r="FH206" s="11"/>
      <c r="FI206" s="11"/>
      <c r="FJ206" s="11"/>
      <c r="FK206" s="11"/>
      <c r="FL206" s="11"/>
      <c r="FM206" s="11"/>
      <c r="FN206" s="11"/>
      <c r="FO206" s="7"/>
      <c r="FP206" s="7"/>
      <c r="FQ206" s="7">
        <v>203000</v>
      </c>
      <c r="FR206" s="7"/>
      <c r="FS206" s="7"/>
      <c r="FT206" s="7"/>
      <c r="FU206" s="7"/>
      <c r="FV206" s="7">
        <v>667000</v>
      </c>
      <c r="FW206" s="7"/>
      <c r="FX206" s="7">
        <v>7139000</v>
      </c>
      <c r="FY206" s="11"/>
      <c r="FZ206" s="11"/>
      <c r="GA206" s="11">
        <v>713000</v>
      </c>
      <c r="GB206" s="11"/>
      <c r="GC206" s="11"/>
      <c r="GD206" s="7"/>
      <c r="GE206" s="7"/>
      <c r="GF206" s="7">
        <v>6503000</v>
      </c>
      <c r="GG206" s="7"/>
      <c r="GH206" s="7">
        <v>-7139000</v>
      </c>
    </row>
    <row r="207" spans="1:190" x14ac:dyDescent="0.25">
      <c r="A207" s="4">
        <v>206</v>
      </c>
      <c r="B207" s="5" t="s">
        <v>709</v>
      </c>
      <c r="C207" s="9" t="s">
        <v>710</v>
      </c>
      <c r="D207" s="7">
        <v>22</v>
      </c>
      <c r="E207" s="6" t="s">
        <v>306</v>
      </c>
      <c r="F207" s="11"/>
      <c r="G207" s="11">
        <v>1102978</v>
      </c>
      <c r="H207" s="11"/>
      <c r="I207" s="11"/>
      <c r="J207" s="11">
        <v>6332286</v>
      </c>
      <c r="K207" s="11">
        <v>20599968</v>
      </c>
      <c r="L207" s="11">
        <v>20638361</v>
      </c>
      <c r="M207" s="11">
        <v>13517317</v>
      </c>
      <c r="N207" s="11">
        <v>88768027</v>
      </c>
      <c r="O207" s="11"/>
      <c r="P207" s="7">
        <v>80768000</v>
      </c>
      <c r="Q207" s="7">
        <v>42993000</v>
      </c>
      <c r="R207" s="7">
        <v>20410000</v>
      </c>
      <c r="S207" s="7">
        <v>1663000</v>
      </c>
      <c r="T207" s="7">
        <v>778000</v>
      </c>
      <c r="U207" s="11">
        <v>7499000</v>
      </c>
      <c r="V207" s="11">
        <v>7188000</v>
      </c>
      <c r="W207" s="11">
        <v>6876000</v>
      </c>
      <c r="X207" s="11"/>
      <c r="Y207" s="11"/>
      <c r="Z207" s="11">
        <v>11063000</v>
      </c>
      <c r="AA207" s="11">
        <v>11063000</v>
      </c>
      <c r="AB207" s="11">
        <v>5690000</v>
      </c>
      <c r="AC207" s="11">
        <v>4680000</v>
      </c>
      <c r="AD207" s="11">
        <v>1619000</v>
      </c>
      <c r="AE207" s="11">
        <v>121000</v>
      </c>
      <c r="AF207" s="11"/>
      <c r="AG207" s="11"/>
      <c r="AH207" s="11"/>
      <c r="AI207" s="11"/>
      <c r="AJ207" s="11">
        <v>99924000</v>
      </c>
      <c r="AK207" s="11">
        <v>82130000</v>
      </c>
      <c r="AL207" s="11">
        <v>53862000</v>
      </c>
      <c r="AM207" s="11">
        <v>27229000</v>
      </c>
      <c r="AN207" s="11">
        <v>23283000</v>
      </c>
      <c r="AO207" s="7">
        <v>1054404000</v>
      </c>
      <c r="AP207" s="7">
        <v>964323000</v>
      </c>
      <c r="AQ207" s="7">
        <v>1017474000</v>
      </c>
      <c r="AR207" s="7">
        <v>1017474000</v>
      </c>
      <c r="AS207" s="7"/>
      <c r="AT207" s="7">
        <v>2785228000</v>
      </c>
      <c r="AU207" s="7">
        <v>1743471000</v>
      </c>
      <c r="AV207" s="7">
        <v>1631576000</v>
      </c>
      <c r="AW207" s="7">
        <v>1410386000</v>
      </c>
      <c r="AX207" s="7">
        <v>1216584000</v>
      </c>
      <c r="AY207" s="11">
        <v>17414000</v>
      </c>
      <c r="AZ207" s="11">
        <v>17414000</v>
      </c>
      <c r="BA207" s="11">
        <v>124134000</v>
      </c>
      <c r="BB207" s="11">
        <v>93434000</v>
      </c>
      <c r="BC207" s="11">
        <v>86634000</v>
      </c>
      <c r="BD207" s="7">
        <v>17729000</v>
      </c>
      <c r="BE207" s="7">
        <v>299000</v>
      </c>
      <c r="BF207" s="7">
        <v>24141000</v>
      </c>
      <c r="BG207" s="7">
        <v>347935000</v>
      </c>
      <c r="BH207" s="7">
        <v>252468000</v>
      </c>
      <c r="BI207" s="11">
        <v>8918221000</v>
      </c>
      <c r="BJ207" s="11">
        <v>101434000</v>
      </c>
      <c r="BK207" s="11">
        <v>42000</v>
      </c>
      <c r="BL207" s="11">
        <v>39000</v>
      </c>
      <c r="BM207" s="11">
        <v>39000</v>
      </c>
      <c r="BN207" s="11">
        <v>12793011000</v>
      </c>
      <c r="BO207" s="11">
        <v>2826941000</v>
      </c>
      <c r="BP207" s="11">
        <v>2797367000</v>
      </c>
      <c r="BQ207" s="11">
        <v>2869268000</v>
      </c>
      <c r="BR207" s="11">
        <v>1555725000</v>
      </c>
      <c r="BS207" s="11">
        <v>12892935000</v>
      </c>
      <c r="BT207" s="11">
        <v>2909071000</v>
      </c>
      <c r="BU207" s="11">
        <v>2851229000</v>
      </c>
      <c r="BV207" s="11">
        <v>2896497000</v>
      </c>
      <c r="BW207" s="11">
        <v>1579008000</v>
      </c>
      <c r="BX207" s="7">
        <v>400000</v>
      </c>
      <c r="BY207" s="7">
        <v>400000</v>
      </c>
      <c r="BZ207" s="7">
        <v>400000</v>
      </c>
      <c r="CA207" s="7">
        <v>400000</v>
      </c>
      <c r="CB207" s="7">
        <v>400000</v>
      </c>
      <c r="CC207" s="11"/>
      <c r="CD207" s="11"/>
      <c r="CE207" s="11"/>
      <c r="CF207" s="11"/>
      <c r="CG207" s="11"/>
      <c r="CH207" s="7">
        <v>512226000</v>
      </c>
      <c r="CI207" s="7">
        <v>407413000</v>
      </c>
      <c r="CJ207" s="7">
        <v>-763743000</v>
      </c>
      <c r="CK207" s="7">
        <v>-566690000</v>
      </c>
      <c r="CL207" s="7">
        <v>-1799313000</v>
      </c>
      <c r="CM207" s="11">
        <v>562626000</v>
      </c>
      <c r="CN207" s="11">
        <v>457813000</v>
      </c>
      <c r="CO207" s="11">
        <v>-713343000</v>
      </c>
      <c r="CP207" s="11">
        <v>-516290000</v>
      </c>
      <c r="CQ207" s="11">
        <v>-1748913000</v>
      </c>
      <c r="CR207" s="11"/>
      <c r="CS207" s="11"/>
      <c r="CT207" s="11"/>
      <c r="CU207" s="11"/>
      <c r="CV207" s="11"/>
      <c r="CW207" s="11"/>
      <c r="CX207" s="11"/>
      <c r="CY207" s="11"/>
      <c r="CZ207" s="11"/>
      <c r="DA207" s="11"/>
      <c r="DB207" s="11"/>
      <c r="DC207" s="11"/>
      <c r="DD207" s="11">
        <v>1205956000</v>
      </c>
      <c r="DE207" s="11">
        <v>1205956000</v>
      </c>
      <c r="DF207" s="11">
        <v>1205956000</v>
      </c>
      <c r="DG207" s="7">
        <v>185960000</v>
      </c>
      <c r="DH207" s="7">
        <v>185960000</v>
      </c>
      <c r="DI207" s="7">
        <v>185960000</v>
      </c>
      <c r="DJ207" s="7">
        <v>185960000</v>
      </c>
      <c r="DK207" s="7">
        <v>185960000</v>
      </c>
      <c r="DL207" s="7">
        <v>11890699000</v>
      </c>
      <c r="DM207" s="7">
        <v>2265298000</v>
      </c>
      <c r="DN207" s="7">
        <v>2172656000</v>
      </c>
      <c r="DO207" s="7">
        <v>2020871000</v>
      </c>
      <c r="DP207" s="7">
        <v>1936005000</v>
      </c>
      <c r="DQ207" s="11"/>
      <c r="DR207" s="11"/>
      <c r="DS207" s="11"/>
      <c r="DT207" s="11"/>
      <c r="DU207" s="11"/>
      <c r="DV207" s="11">
        <v>253650000</v>
      </c>
      <c r="DW207" s="11"/>
      <c r="DX207" s="11"/>
      <c r="DY207" s="11"/>
      <c r="DZ207" s="11"/>
      <c r="EA207" s="11">
        <v>12330309000</v>
      </c>
      <c r="EB207" s="11">
        <v>2451258000</v>
      </c>
      <c r="EC207" s="11">
        <v>2358616000</v>
      </c>
      <c r="ED207" s="11">
        <v>2206831000</v>
      </c>
      <c r="EE207" s="11">
        <v>2121965000</v>
      </c>
      <c r="EF207" s="7">
        <v>3678378000</v>
      </c>
      <c r="EG207" s="7">
        <v>1410179000</v>
      </c>
      <c r="EH207" s="7">
        <v>16387000</v>
      </c>
      <c r="EI207" s="7">
        <v>6938000</v>
      </c>
      <c r="EJ207" s="7">
        <v>706000</v>
      </c>
      <c r="EK207" s="7">
        <v>3632067000</v>
      </c>
      <c r="EL207" s="7">
        <v>1426265000</v>
      </c>
      <c r="EM207" s="7">
        <v>17632000</v>
      </c>
      <c r="EN207" s="7">
        <v>6686000</v>
      </c>
      <c r="EO207" s="7">
        <v>12609000</v>
      </c>
      <c r="EP207" s="7">
        <v>300000</v>
      </c>
      <c r="EQ207" s="7">
        <v>205000</v>
      </c>
      <c r="ER207" s="7"/>
      <c r="ES207" s="7"/>
      <c r="ET207" s="7"/>
      <c r="EU207" s="7">
        <v>203090000</v>
      </c>
      <c r="EV207" s="7">
        <v>121495000</v>
      </c>
      <c r="EW207" s="7">
        <v>10499000</v>
      </c>
      <c r="EX207" s="7">
        <v>15712000</v>
      </c>
      <c r="EY207" s="7">
        <v>754000</v>
      </c>
      <c r="EZ207" s="11"/>
      <c r="FA207" s="11"/>
      <c r="FB207" s="11"/>
      <c r="FC207" s="11">
        <v>380000</v>
      </c>
      <c r="FD207" s="11">
        <v>46000</v>
      </c>
      <c r="FE207" s="11">
        <v>257000</v>
      </c>
      <c r="FF207" s="11">
        <v>490000</v>
      </c>
      <c r="FG207" s="11">
        <v>2000</v>
      </c>
      <c r="FH207" s="11">
        <v>198000</v>
      </c>
      <c r="FI207" s="11">
        <v>3305000</v>
      </c>
      <c r="FJ207" s="11">
        <v>20514000</v>
      </c>
      <c r="FK207" s="11">
        <v>10920000</v>
      </c>
      <c r="FL207" s="11"/>
      <c r="FM207" s="11"/>
      <c r="FN207" s="11"/>
      <c r="FO207" s="7">
        <v>227446000</v>
      </c>
      <c r="FP207" s="7">
        <v>93572000</v>
      </c>
      <c r="FQ207" s="7">
        <v>8778000</v>
      </c>
      <c r="FR207" s="7">
        <v>495748000</v>
      </c>
      <c r="FS207" s="7">
        <v>12356000</v>
      </c>
      <c r="FT207" s="7">
        <v>48299000</v>
      </c>
      <c r="FU207" s="7">
        <v>70511000</v>
      </c>
      <c r="FV207" s="7">
        <v>5865000</v>
      </c>
      <c r="FW207" s="7">
        <v>233522000</v>
      </c>
      <c r="FX207" s="7">
        <v>1182522000</v>
      </c>
      <c r="FY207" s="11">
        <v>-1655000</v>
      </c>
      <c r="FZ207" s="11">
        <v>20411000</v>
      </c>
      <c r="GA207" s="11"/>
      <c r="GB207" s="11">
        <v>-50291000</v>
      </c>
      <c r="GC207" s="11"/>
      <c r="GD207" s="7">
        <v>118000</v>
      </c>
      <c r="GE207" s="7">
        <v>-110394000</v>
      </c>
      <c r="GF207" s="7">
        <v>-8829000</v>
      </c>
      <c r="GG207" s="7">
        <v>197053000</v>
      </c>
      <c r="GH207" s="7">
        <v>-1179472000</v>
      </c>
    </row>
    <row r="208" spans="1:190" ht="26.25" x14ac:dyDescent="0.25">
      <c r="A208" s="4">
        <v>207</v>
      </c>
      <c r="B208" s="5" t="s">
        <v>711</v>
      </c>
      <c r="C208" s="9" t="s">
        <v>712</v>
      </c>
      <c r="D208" s="7">
        <v>14</v>
      </c>
      <c r="E208" s="6" t="s">
        <v>325</v>
      </c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7"/>
      <c r="Q208" s="7"/>
      <c r="R208" s="7"/>
      <c r="S208" s="7"/>
      <c r="T208" s="7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7">
        <v>993000</v>
      </c>
      <c r="AP208" s="7"/>
      <c r="AQ208" s="7"/>
      <c r="AR208" s="7"/>
      <c r="AS208" s="7"/>
      <c r="AT208" s="7">
        <v>55857000</v>
      </c>
      <c r="AU208" s="7">
        <v>51701000</v>
      </c>
      <c r="AV208" s="7">
        <v>47893000</v>
      </c>
      <c r="AW208" s="7">
        <v>21396000</v>
      </c>
      <c r="AX208" s="7">
        <v>20358000</v>
      </c>
      <c r="AY208" s="11">
        <v>942000</v>
      </c>
      <c r="AZ208" s="11"/>
      <c r="BA208" s="11"/>
      <c r="BB208" s="11"/>
      <c r="BC208" s="11"/>
      <c r="BD208" s="7">
        <v>3929000</v>
      </c>
      <c r="BE208" s="7"/>
      <c r="BF208" s="7"/>
      <c r="BG208" s="7"/>
      <c r="BH208" s="7"/>
      <c r="BI208" s="11"/>
      <c r="BJ208" s="11"/>
      <c r="BK208" s="11"/>
      <c r="BL208" s="11"/>
      <c r="BM208" s="11"/>
      <c r="BN208" s="11">
        <v>61722000</v>
      </c>
      <c r="BO208" s="11">
        <v>51701000</v>
      </c>
      <c r="BP208" s="11">
        <v>47893000</v>
      </c>
      <c r="BQ208" s="11">
        <v>21396000</v>
      </c>
      <c r="BR208" s="11">
        <v>20358000</v>
      </c>
      <c r="BS208" s="11">
        <v>61722000</v>
      </c>
      <c r="BT208" s="11">
        <v>51701000</v>
      </c>
      <c r="BU208" s="11">
        <v>47893000</v>
      </c>
      <c r="BV208" s="11">
        <v>21396000</v>
      </c>
      <c r="BW208" s="11">
        <v>20358000</v>
      </c>
      <c r="BX208" s="7">
        <v>10000</v>
      </c>
      <c r="BY208" s="7">
        <v>10000</v>
      </c>
      <c r="BZ208" s="7">
        <v>10000</v>
      </c>
      <c r="CA208" s="7">
        <v>10000</v>
      </c>
      <c r="CB208" s="7">
        <v>10000</v>
      </c>
      <c r="CC208" s="11"/>
      <c r="CD208" s="11"/>
      <c r="CE208" s="11"/>
      <c r="CF208" s="11"/>
      <c r="CG208" s="11"/>
      <c r="CH208" s="7">
        <v>-15763000</v>
      </c>
      <c r="CI208" s="7">
        <v>-55021000</v>
      </c>
      <c r="CJ208" s="7">
        <v>-56682000</v>
      </c>
      <c r="CK208" s="7">
        <v>-83179000</v>
      </c>
      <c r="CL208" s="7">
        <v>-83179000</v>
      </c>
      <c r="CM208" s="11">
        <v>-15753000</v>
      </c>
      <c r="CN208" s="11">
        <v>-55011000</v>
      </c>
      <c r="CO208" s="11">
        <v>-56672000</v>
      </c>
      <c r="CP208" s="11">
        <v>-83169000</v>
      </c>
      <c r="CQ208" s="11">
        <v>-83169000</v>
      </c>
      <c r="CR208" s="11"/>
      <c r="CS208" s="11"/>
      <c r="CT208" s="11"/>
      <c r="CU208" s="11"/>
      <c r="CV208" s="11"/>
      <c r="CW208" s="11"/>
      <c r="CX208" s="11"/>
      <c r="CY208" s="11"/>
      <c r="CZ208" s="11"/>
      <c r="DA208" s="11"/>
      <c r="DB208" s="11"/>
      <c r="DC208" s="11"/>
      <c r="DD208" s="11"/>
      <c r="DE208" s="11"/>
      <c r="DF208" s="11"/>
      <c r="DG208" s="7"/>
      <c r="DH208" s="7"/>
      <c r="DI208" s="7"/>
      <c r="DJ208" s="7"/>
      <c r="DK208" s="7"/>
      <c r="DL208" s="7">
        <v>77407000</v>
      </c>
      <c r="DM208" s="7">
        <v>106712000</v>
      </c>
      <c r="DN208" s="7">
        <v>104565000</v>
      </c>
      <c r="DO208" s="7">
        <v>104565000</v>
      </c>
      <c r="DP208" s="7">
        <v>103527000</v>
      </c>
      <c r="DQ208" s="11">
        <v>68000</v>
      </c>
      <c r="DR208" s="11"/>
      <c r="DS208" s="11"/>
      <c r="DT208" s="11"/>
      <c r="DU208" s="11"/>
      <c r="DV208" s="11"/>
      <c r="DW208" s="11"/>
      <c r="DX208" s="11"/>
      <c r="DY208" s="11"/>
      <c r="DZ208" s="11"/>
      <c r="EA208" s="11">
        <v>77475000</v>
      </c>
      <c r="EB208" s="11">
        <v>106712000</v>
      </c>
      <c r="EC208" s="11">
        <v>104565000</v>
      </c>
      <c r="ED208" s="11">
        <v>104565000</v>
      </c>
      <c r="EE208" s="11">
        <v>103527000</v>
      </c>
      <c r="EF208" s="7">
        <v>101000</v>
      </c>
      <c r="EG208" s="7"/>
      <c r="EH208" s="7"/>
      <c r="EI208" s="7"/>
      <c r="EJ208" s="7"/>
      <c r="EK208" s="7">
        <v>2000</v>
      </c>
      <c r="EL208" s="7"/>
      <c r="EM208" s="7"/>
      <c r="EN208" s="7"/>
      <c r="EO208" s="7"/>
      <c r="EP208" s="7"/>
      <c r="EQ208" s="7"/>
      <c r="ER208" s="7"/>
      <c r="ES208" s="7"/>
      <c r="ET208" s="7"/>
      <c r="EU208" s="7">
        <v>3692000</v>
      </c>
      <c r="EV208" s="7">
        <v>39258000</v>
      </c>
      <c r="EW208" s="7"/>
      <c r="EX208" s="7"/>
      <c r="EY208" s="7"/>
      <c r="EZ208" s="11"/>
      <c r="FA208" s="11"/>
      <c r="FB208" s="11"/>
      <c r="FC208" s="11"/>
      <c r="FD208" s="11"/>
      <c r="FE208" s="11"/>
      <c r="FF208" s="11"/>
      <c r="FG208" s="11"/>
      <c r="FH208" s="11"/>
      <c r="FI208" s="11"/>
      <c r="FJ208" s="11"/>
      <c r="FK208" s="11"/>
      <c r="FL208" s="11"/>
      <c r="FM208" s="11"/>
      <c r="FN208" s="11"/>
      <c r="FO208" s="7">
        <v>16000</v>
      </c>
      <c r="FP208" s="7"/>
      <c r="FQ208" s="7"/>
      <c r="FR208" s="7"/>
      <c r="FS208" s="7"/>
      <c r="FT208" s="7">
        <v>22000</v>
      </c>
      <c r="FU208" s="7"/>
      <c r="FV208" s="7">
        <v>1661000</v>
      </c>
      <c r="FW208" s="7">
        <v>26498000</v>
      </c>
      <c r="FX208" s="7"/>
      <c r="FY208" s="11"/>
      <c r="FZ208" s="11"/>
      <c r="GA208" s="11"/>
      <c r="GB208" s="11"/>
      <c r="GC208" s="11"/>
      <c r="GD208" s="7">
        <v>-3599000</v>
      </c>
      <c r="GE208" s="7">
        <v>-39258000</v>
      </c>
      <c r="GF208" s="7">
        <v>-1661000</v>
      </c>
      <c r="GG208" s="7">
        <v>-26498000</v>
      </c>
      <c r="GH208" s="7"/>
    </row>
    <row r="209" spans="1:190" ht="26.25" x14ac:dyDescent="0.25">
      <c r="A209" s="4">
        <v>208</v>
      </c>
      <c r="B209" s="5" t="s">
        <v>713</v>
      </c>
      <c r="C209" s="9" t="s">
        <v>714</v>
      </c>
      <c r="D209" s="7">
        <v>17</v>
      </c>
      <c r="E209" s="6" t="s">
        <v>325</v>
      </c>
      <c r="F209" s="11"/>
      <c r="G209" s="11"/>
      <c r="H209" s="11"/>
      <c r="I209" s="11"/>
      <c r="J209" s="11"/>
      <c r="K209" s="11">
        <v>1806538</v>
      </c>
      <c r="L209" s="11">
        <v>1798577</v>
      </c>
      <c r="M209" s="11">
        <v>1178712</v>
      </c>
      <c r="N209" s="11">
        <v>565014</v>
      </c>
      <c r="O209" s="11">
        <v>371152</v>
      </c>
      <c r="P209" s="7"/>
      <c r="Q209" s="7"/>
      <c r="R209" s="7">
        <v>20000</v>
      </c>
      <c r="S209" s="7"/>
      <c r="T209" s="7"/>
      <c r="U209" s="11"/>
      <c r="V209" s="11"/>
      <c r="W209" s="11"/>
      <c r="X209" s="11"/>
      <c r="Y209" s="11"/>
      <c r="Z209" s="11">
        <v>15000</v>
      </c>
      <c r="AA209" s="11">
        <v>15000</v>
      </c>
      <c r="AB209" s="11">
        <v>15000</v>
      </c>
      <c r="AC209" s="11"/>
      <c r="AD209" s="11"/>
      <c r="AE209" s="11"/>
      <c r="AF209" s="11"/>
      <c r="AG209" s="11"/>
      <c r="AH209" s="11"/>
      <c r="AI209" s="11"/>
      <c r="AJ209" s="11">
        <v>16723000</v>
      </c>
      <c r="AK209" s="11">
        <v>17241000</v>
      </c>
      <c r="AL209" s="11">
        <v>18436000</v>
      </c>
      <c r="AM209" s="11"/>
      <c r="AN209" s="11"/>
      <c r="AO209" s="7">
        <v>13000</v>
      </c>
      <c r="AP209" s="7">
        <v>11000</v>
      </c>
      <c r="AQ209" s="7">
        <v>9000</v>
      </c>
      <c r="AR209" s="7"/>
      <c r="AS209" s="7"/>
      <c r="AT209" s="7">
        <v>200810000</v>
      </c>
      <c r="AU209" s="7">
        <v>279592000</v>
      </c>
      <c r="AV209" s="7">
        <v>273573000</v>
      </c>
      <c r="AW209" s="7"/>
      <c r="AX209" s="7"/>
      <c r="AY209" s="11"/>
      <c r="AZ209" s="11"/>
      <c r="BA209" s="11"/>
      <c r="BB209" s="11"/>
      <c r="BC209" s="11"/>
      <c r="BD209" s="7">
        <v>7249000</v>
      </c>
      <c r="BE209" s="7">
        <v>506000</v>
      </c>
      <c r="BF209" s="7">
        <v>156000</v>
      </c>
      <c r="BG209" s="7"/>
      <c r="BH209" s="7"/>
      <c r="BI209" s="11">
        <v>8000</v>
      </c>
      <c r="BJ209" s="11">
        <v>7000</v>
      </c>
      <c r="BK209" s="11"/>
      <c r="BL209" s="11"/>
      <c r="BM209" s="11"/>
      <c r="BN209" s="11">
        <v>208188000</v>
      </c>
      <c r="BO209" s="11">
        <v>280224000</v>
      </c>
      <c r="BP209" s="11">
        <v>273846000</v>
      </c>
      <c r="BQ209" s="11"/>
      <c r="BR209" s="11"/>
      <c r="BS209" s="11">
        <v>224911000</v>
      </c>
      <c r="BT209" s="11">
        <v>297465000</v>
      </c>
      <c r="BU209" s="11">
        <v>292282000</v>
      </c>
      <c r="BV209" s="11"/>
      <c r="BW209" s="11"/>
      <c r="BX209" s="7">
        <v>10000</v>
      </c>
      <c r="BY209" s="7">
        <v>10000</v>
      </c>
      <c r="BZ209" s="7">
        <v>10000</v>
      </c>
      <c r="CA209" s="7"/>
      <c r="CB209" s="7"/>
      <c r="CC209" s="11"/>
      <c r="CD209" s="11"/>
      <c r="CE209" s="11"/>
      <c r="CF209" s="11"/>
      <c r="CG209" s="11"/>
      <c r="CH209" s="7">
        <v>-2230000</v>
      </c>
      <c r="CI209" s="7">
        <v>-219536000</v>
      </c>
      <c r="CJ209" s="7">
        <v>-224466000</v>
      </c>
      <c r="CK209" s="7"/>
      <c r="CL209" s="7"/>
      <c r="CM209" s="11">
        <v>-2220000</v>
      </c>
      <c r="CN209" s="11">
        <v>-219526000</v>
      </c>
      <c r="CO209" s="11">
        <v>-224456000</v>
      </c>
      <c r="CP209" s="11"/>
      <c r="CQ209" s="11"/>
      <c r="CR209" s="11"/>
      <c r="CS209" s="11"/>
      <c r="CT209" s="11"/>
      <c r="CU209" s="11"/>
      <c r="CV209" s="11"/>
      <c r="CW209" s="11"/>
      <c r="CX209" s="11"/>
      <c r="CY209" s="11"/>
      <c r="CZ209" s="11"/>
      <c r="DA209" s="11"/>
      <c r="DB209" s="11"/>
      <c r="DC209" s="11"/>
      <c r="DD209" s="11">
        <v>4000</v>
      </c>
      <c r="DE209" s="11"/>
      <c r="DF209" s="11"/>
      <c r="DG209" s="7"/>
      <c r="DH209" s="7"/>
      <c r="DI209" s="7"/>
      <c r="DJ209" s="7"/>
      <c r="DK209" s="7"/>
      <c r="DL209" s="7">
        <v>226820000</v>
      </c>
      <c r="DM209" s="7">
        <v>516748000</v>
      </c>
      <c r="DN209" s="7">
        <v>516306000</v>
      </c>
      <c r="DO209" s="7"/>
      <c r="DP209" s="7"/>
      <c r="DQ209" s="11"/>
      <c r="DR209" s="11"/>
      <c r="DS209" s="11"/>
      <c r="DT209" s="11"/>
      <c r="DU209" s="11"/>
      <c r="DV209" s="11"/>
      <c r="DW209" s="11"/>
      <c r="DX209" s="11"/>
      <c r="DY209" s="11"/>
      <c r="DZ209" s="11"/>
      <c r="EA209" s="11">
        <v>227131000</v>
      </c>
      <c r="EB209" s="11">
        <v>516991000</v>
      </c>
      <c r="EC209" s="11">
        <v>516734000</v>
      </c>
      <c r="ED209" s="11"/>
      <c r="EE209" s="11"/>
      <c r="EF209" s="7">
        <v>108190000</v>
      </c>
      <c r="EG209" s="7">
        <v>59010000</v>
      </c>
      <c r="EH209" s="7">
        <v>26298000</v>
      </c>
      <c r="EI209" s="7"/>
      <c r="EJ209" s="7"/>
      <c r="EK209" s="7">
        <v>111821000</v>
      </c>
      <c r="EL209" s="7">
        <v>63240000</v>
      </c>
      <c r="EM209" s="7">
        <v>31809000</v>
      </c>
      <c r="EN209" s="7"/>
      <c r="EO209" s="7"/>
      <c r="EP209" s="7"/>
      <c r="EQ209" s="7"/>
      <c r="ER209" s="7"/>
      <c r="ES209" s="7"/>
      <c r="ET209" s="7"/>
      <c r="EU209" s="7"/>
      <c r="EV209" s="7"/>
      <c r="EW209" s="7"/>
      <c r="EX209" s="7"/>
      <c r="EY209" s="7"/>
      <c r="EZ209" s="11"/>
      <c r="FA209" s="11"/>
      <c r="FB209" s="11"/>
      <c r="FC209" s="11"/>
      <c r="FD209" s="11"/>
      <c r="FE209" s="11">
        <v>223000</v>
      </c>
      <c r="FF209" s="11">
        <v>1000</v>
      </c>
      <c r="FG209" s="11">
        <v>1000</v>
      </c>
      <c r="FH209" s="11"/>
      <c r="FI209" s="11"/>
      <c r="FJ209" s="11"/>
      <c r="FK209" s="11"/>
      <c r="FL209" s="11"/>
      <c r="FM209" s="11"/>
      <c r="FN209" s="11"/>
      <c r="FO209" s="7">
        <v>974000</v>
      </c>
      <c r="FP209" s="7">
        <v>51825000</v>
      </c>
      <c r="FQ209" s="7">
        <v>1034000</v>
      </c>
      <c r="FR209" s="7"/>
      <c r="FS209" s="7"/>
      <c r="FT209" s="7">
        <v>2327000</v>
      </c>
      <c r="FU209" s="7">
        <v>329912000</v>
      </c>
      <c r="FV209" s="7">
        <v>1659000</v>
      </c>
      <c r="FW209" s="7"/>
      <c r="FX209" s="7"/>
      <c r="FY209" s="11">
        <v>803000</v>
      </c>
      <c r="FZ209" s="11">
        <v>518000</v>
      </c>
      <c r="GA209" s="11">
        <v>1189000</v>
      </c>
      <c r="GB209" s="11"/>
      <c r="GC209" s="11"/>
      <c r="GD209" s="7">
        <v>-3958000</v>
      </c>
      <c r="GE209" s="7">
        <v>-217306000</v>
      </c>
      <c r="GF209" s="7">
        <v>-4957000</v>
      </c>
      <c r="GG209" s="7"/>
      <c r="GH209" s="7"/>
    </row>
    <row r="210" spans="1:190" ht="26.25" x14ac:dyDescent="0.25">
      <c r="A210" s="4">
        <v>209</v>
      </c>
      <c r="B210" s="5" t="s">
        <v>715</v>
      </c>
      <c r="C210" s="9" t="s">
        <v>716</v>
      </c>
      <c r="D210" s="7">
        <v>12</v>
      </c>
      <c r="E210" s="6" t="s">
        <v>204</v>
      </c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7"/>
      <c r="Q210" s="7"/>
      <c r="R210" s="7"/>
      <c r="S210" s="7"/>
      <c r="T210" s="7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7"/>
      <c r="AP210" s="7"/>
      <c r="AQ210" s="7"/>
      <c r="AR210" s="7"/>
      <c r="AS210" s="7"/>
      <c r="AT210" s="7">
        <v>33551000</v>
      </c>
      <c r="AU210" s="7">
        <v>28952000</v>
      </c>
      <c r="AV210" s="7">
        <v>26481000</v>
      </c>
      <c r="AW210" s="7">
        <v>24906000</v>
      </c>
      <c r="AX210" s="7">
        <v>23763000</v>
      </c>
      <c r="AY210" s="11"/>
      <c r="AZ210" s="11"/>
      <c r="BA210" s="11"/>
      <c r="BB210" s="11"/>
      <c r="BC210" s="11"/>
      <c r="BD210" s="7">
        <v>563000</v>
      </c>
      <c r="BE210" s="7">
        <v>150000</v>
      </c>
      <c r="BF210" s="7">
        <v>1356000</v>
      </c>
      <c r="BG210" s="7">
        <v>1298000</v>
      </c>
      <c r="BH210" s="7">
        <v>1088000</v>
      </c>
      <c r="BI210" s="11"/>
      <c r="BJ210" s="11"/>
      <c r="BK210" s="11"/>
      <c r="BL210" s="11"/>
      <c r="BM210" s="11"/>
      <c r="BN210" s="11">
        <v>34114000</v>
      </c>
      <c r="BO210" s="11">
        <v>29102000</v>
      </c>
      <c r="BP210" s="11">
        <v>27837000</v>
      </c>
      <c r="BQ210" s="11">
        <v>26204000</v>
      </c>
      <c r="BR210" s="11">
        <v>24851000</v>
      </c>
      <c r="BS210" s="11">
        <v>34114000</v>
      </c>
      <c r="BT210" s="11">
        <v>29102000</v>
      </c>
      <c r="BU210" s="11">
        <v>27837000</v>
      </c>
      <c r="BV210" s="11">
        <v>26204000</v>
      </c>
      <c r="BW210" s="11">
        <v>24851000</v>
      </c>
      <c r="BX210" s="7"/>
      <c r="BY210" s="7"/>
      <c r="BZ210" s="7"/>
      <c r="CA210" s="7"/>
      <c r="CB210" s="7"/>
      <c r="CC210" s="11"/>
      <c r="CD210" s="11"/>
      <c r="CE210" s="11"/>
      <c r="CF210" s="11"/>
      <c r="CG210" s="11"/>
      <c r="CH210" s="7"/>
      <c r="CI210" s="7"/>
      <c r="CJ210" s="7"/>
      <c r="CK210" s="7"/>
      <c r="CL210" s="7"/>
      <c r="CM210" s="11">
        <v>-5528000</v>
      </c>
      <c r="CN210" s="11">
        <v>-6704000</v>
      </c>
      <c r="CO210" s="11">
        <v>-8150000</v>
      </c>
      <c r="CP210" s="11">
        <v>-8981000</v>
      </c>
      <c r="CQ210" s="11">
        <v>-9648000</v>
      </c>
      <c r="CR210" s="11"/>
      <c r="CS210" s="11"/>
      <c r="CT210" s="11"/>
      <c r="CU210" s="11"/>
      <c r="CV210" s="11"/>
      <c r="CW210" s="11"/>
      <c r="CX210" s="11"/>
      <c r="CY210" s="11"/>
      <c r="CZ210" s="11"/>
      <c r="DA210" s="11"/>
      <c r="DB210" s="11"/>
      <c r="DC210" s="11"/>
      <c r="DD210" s="11"/>
      <c r="DE210" s="11"/>
      <c r="DF210" s="11"/>
      <c r="DG210" s="7"/>
      <c r="DH210" s="7"/>
      <c r="DI210" s="7"/>
      <c r="DJ210" s="7"/>
      <c r="DK210" s="7"/>
      <c r="DL210" s="7">
        <v>39642000</v>
      </c>
      <c r="DM210" s="7">
        <v>35806000</v>
      </c>
      <c r="DN210" s="7">
        <v>35987000</v>
      </c>
      <c r="DO210" s="7">
        <v>35185000</v>
      </c>
      <c r="DP210" s="7">
        <v>34499000</v>
      </c>
      <c r="DQ210" s="11"/>
      <c r="DR210" s="11"/>
      <c r="DS210" s="11"/>
      <c r="DT210" s="11"/>
      <c r="DU210" s="11"/>
      <c r="DV210" s="11"/>
      <c r="DW210" s="11"/>
      <c r="DX210" s="11"/>
      <c r="DY210" s="11"/>
      <c r="DZ210" s="11"/>
      <c r="EA210" s="11">
        <v>39642000</v>
      </c>
      <c r="EB210" s="11">
        <v>35806000</v>
      </c>
      <c r="EC210" s="11">
        <v>35987000</v>
      </c>
      <c r="ED210" s="11">
        <v>35185000</v>
      </c>
      <c r="EE210" s="11">
        <v>34499000</v>
      </c>
      <c r="EF210" s="7"/>
      <c r="EG210" s="7"/>
      <c r="EH210" s="7"/>
      <c r="EI210" s="7"/>
      <c r="EJ210" s="7"/>
      <c r="EK210" s="7"/>
      <c r="EL210" s="7"/>
      <c r="EM210" s="7"/>
      <c r="EN210" s="7"/>
      <c r="EO210" s="7"/>
      <c r="EP210" s="7"/>
      <c r="EQ210" s="7"/>
      <c r="ER210" s="7"/>
      <c r="ES210" s="7"/>
      <c r="ET210" s="7"/>
      <c r="EU210" s="7"/>
      <c r="EV210" s="7"/>
      <c r="EW210" s="7"/>
      <c r="EX210" s="7"/>
      <c r="EY210" s="7"/>
      <c r="EZ210" s="11"/>
      <c r="FA210" s="11"/>
      <c r="FB210" s="11"/>
      <c r="FC210" s="11"/>
      <c r="FD210" s="11"/>
      <c r="FE210" s="11"/>
      <c r="FF210" s="11"/>
      <c r="FG210" s="11"/>
      <c r="FH210" s="11"/>
      <c r="FI210" s="11"/>
      <c r="FJ210" s="11"/>
      <c r="FK210" s="11"/>
      <c r="FL210" s="11"/>
      <c r="FM210" s="11"/>
      <c r="FN210" s="11"/>
      <c r="FO210" s="7"/>
      <c r="FP210" s="7"/>
      <c r="FQ210" s="7"/>
      <c r="FR210" s="7"/>
      <c r="FS210" s="7"/>
      <c r="FT210" s="7">
        <v>1770000</v>
      </c>
      <c r="FU210" s="7">
        <v>1176000</v>
      </c>
      <c r="FV210" s="7">
        <v>1265000</v>
      </c>
      <c r="FW210" s="7">
        <v>831000</v>
      </c>
      <c r="FX210" s="7">
        <v>667000</v>
      </c>
      <c r="FY210" s="11">
        <v>52000</v>
      </c>
      <c r="FZ210" s="11"/>
      <c r="GA210" s="11">
        <v>181000</v>
      </c>
      <c r="GB210" s="11"/>
      <c r="GC210" s="11"/>
      <c r="GD210" s="7">
        <v>-1822000</v>
      </c>
      <c r="GE210" s="7">
        <v>-1176000</v>
      </c>
      <c r="GF210" s="7">
        <v>-1446000</v>
      </c>
      <c r="GG210" s="7">
        <v>-831000</v>
      </c>
      <c r="GH210" s="7">
        <v>-667000</v>
      </c>
    </row>
    <row r="211" spans="1:190" ht="26.25" x14ac:dyDescent="0.25">
      <c r="A211" s="4">
        <v>210</v>
      </c>
      <c r="B211" s="5" t="s">
        <v>717</v>
      </c>
      <c r="C211" s="9" t="s">
        <v>718</v>
      </c>
      <c r="D211" s="7">
        <v>17</v>
      </c>
      <c r="E211" s="6" t="s">
        <v>255</v>
      </c>
      <c r="F211" s="11"/>
      <c r="G211" s="11"/>
      <c r="H211" s="11"/>
      <c r="I211" s="11"/>
      <c r="J211" s="11">
        <v>119145</v>
      </c>
      <c r="K211" s="11"/>
      <c r="L211" s="11"/>
      <c r="M211" s="11"/>
      <c r="N211" s="11"/>
      <c r="O211" s="11"/>
      <c r="P211" s="7"/>
      <c r="Q211" s="7"/>
      <c r="R211" s="7"/>
      <c r="S211" s="7"/>
      <c r="T211" s="7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11"/>
      <c r="AZ211" s="11"/>
      <c r="BA211" s="11"/>
      <c r="BB211" s="11"/>
      <c r="BC211" s="11"/>
      <c r="BD211" s="7"/>
      <c r="BE211" s="7"/>
      <c r="BF211" s="7"/>
      <c r="BG211" s="7"/>
      <c r="BH211" s="7"/>
      <c r="BI211" s="11"/>
      <c r="BJ211" s="11"/>
      <c r="BK211" s="11"/>
      <c r="BL211" s="11"/>
      <c r="BM211" s="11"/>
      <c r="BN211" s="11"/>
      <c r="BO211" s="11"/>
      <c r="BP211" s="11"/>
      <c r="BQ211" s="11"/>
      <c r="BR211" s="11"/>
      <c r="BS211" s="11"/>
      <c r="BT211" s="11"/>
      <c r="BU211" s="11"/>
      <c r="BV211" s="11"/>
      <c r="BW211" s="11"/>
      <c r="BX211" s="7"/>
      <c r="BY211" s="7"/>
      <c r="BZ211" s="7"/>
      <c r="CA211" s="7"/>
      <c r="CB211" s="7"/>
      <c r="CC211" s="11"/>
      <c r="CD211" s="11"/>
      <c r="CE211" s="11"/>
      <c r="CF211" s="11"/>
      <c r="CG211" s="11"/>
      <c r="CH211" s="7"/>
      <c r="CI211" s="7"/>
      <c r="CJ211" s="7"/>
      <c r="CK211" s="7"/>
      <c r="CL211" s="7"/>
      <c r="CM211" s="11"/>
      <c r="CN211" s="11"/>
      <c r="CO211" s="11"/>
      <c r="CP211" s="11"/>
      <c r="CQ211" s="11"/>
      <c r="CR211" s="11"/>
      <c r="CS211" s="11"/>
      <c r="CT211" s="11"/>
      <c r="CU211" s="11"/>
      <c r="CV211" s="11"/>
      <c r="CW211" s="11"/>
      <c r="CX211" s="11"/>
      <c r="CY211" s="11"/>
      <c r="CZ211" s="11"/>
      <c r="DA211" s="11"/>
      <c r="DB211" s="11"/>
      <c r="DC211" s="11"/>
      <c r="DD211" s="11"/>
      <c r="DE211" s="11"/>
      <c r="DF211" s="11"/>
      <c r="DG211" s="7"/>
      <c r="DH211" s="7"/>
      <c r="DI211" s="7"/>
      <c r="DJ211" s="7"/>
      <c r="DK211" s="7"/>
      <c r="DL211" s="7"/>
      <c r="DM211" s="7"/>
      <c r="DN211" s="7"/>
      <c r="DO211" s="7"/>
      <c r="DP211" s="7"/>
      <c r="DQ211" s="11"/>
      <c r="DR211" s="11"/>
      <c r="DS211" s="11"/>
      <c r="DT211" s="11"/>
      <c r="DU211" s="11"/>
      <c r="DV211" s="11"/>
      <c r="DW211" s="11"/>
      <c r="DX211" s="11"/>
      <c r="DY211" s="11"/>
      <c r="DZ211" s="11"/>
      <c r="EA211" s="11"/>
      <c r="EB211" s="11"/>
      <c r="EC211" s="11"/>
      <c r="ED211" s="11"/>
      <c r="EE211" s="11"/>
      <c r="EF211" s="7"/>
      <c r="EG211" s="7"/>
      <c r="EH211" s="7"/>
      <c r="EI211" s="7"/>
      <c r="EJ211" s="7"/>
      <c r="EK211" s="7"/>
      <c r="EL211" s="7"/>
      <c r="EM211" s="7"/>
      <c r="EN211" s="7"/>
      <c r="EO211" s="7"/>
      <c r="EP211" s="7"/>
      <c r="EQ211" s="7"/>
      <c r="ER211" s="7"/>
      <c r="ES211" s="7"/>
      <c r="ET211" s="7"/>
      <c r="EU211" s="7"/>
      <c r="EV211" s="7"/>
      <c r="EW211" s="7"/>
      <c r="EX211" s="7"/>
      <c r="EY211" s="7"/>
      <c r="EZ211" s="11"/>
      <c r="FA211" s="11"/>
      <c r="FB211" s="11"/>
      <c r="FC211" s="11"/>
      <c r="FD211" s="11"/>
      <c r="FE211" s="11"/>
      <c r="FF211" s="11"/>
      <c r="FG211" s="11"/>
      <c r="FH211" s="11"/>
      <c r="FI211" s="11"/>
      <c r="FJ211" s="11"/>
      <c r="FK211" s="11"/>
      <c r="FL211" s="11"/>
      <c r="FM211" s="11"/>
      <c r="FN211" s="11"/>
      <c r="FO211" s="7"/>
      <c r="FP211" s="7"/>
      <c r="FQ211" s="7"/>
      <c r="FR211" s="7"/>
      <c r="FS211" s="7"/>
      <c r="FT211" s="7"/>
      <c r="FU211" s="7"/>
      <c r="FV211" s="7"/>
      <c r="FW211" s="7"/>
      <c r="FX211" s="7"/>
      <c r="FY211" s="11"/>
      <c r="FZ211" s="11"/>
      <c r="GA211" s="11"/>
      <c r="GB211" s="11"/>
      <c r="GC211" s="11"/>
      <c r="GD211" s="7"/>
      <c r="GE211" s="7"/>
      <c r="GF211" s="7"/>
      <c r="GG211" s="7"/>
      <c r="GH211" s="7"/>
    </row>
    <row r="212" spans="1:190" ht="26.25" x14ac:dyDescent="0.25">
      <c r="A212" s="4">
        <v>211</v>
      </c>
      <c r="B212" s="5" t="s">
        <v>719</v>
      </c>
      <c r="C212" s="9" t="s">
        <v>720</v>
      </c>
      <c r="D212" s="7">
        <v>12</v>
      </c>
      <c r="E212" s="6" t="s">
        <v>721</v>
      </c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7"/>
      <c r="Q212" s="7"/>
      <c r="R212" s="7"/>
      <c r="S212" s="7"/>
      <c r="T212" s="7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7"/>
      <c r="AP212" s="7"/>
      <c r="AQ212" s="7"/>
      <c r="AR212" s="7"/>
      <c r="AS212" s="7"/>
      <c r="AT212" s="7">
        <v>3679000</v>
      </c>
      <c r="AU212" s="7">
        <v>4504000</v>
      </c>
      <c r="AV212" s="7">
        <v>4254000</v>
      </c>
      <c r="AW212" s="7">
        <v>3207000</v>
      </c>
      <c r="AX212" s="7">
        <v>2934000</v>
      </c>
      <c r="AY212" s="11"/>
      <c r="AZ212" s="11"/>
      <c r="BA212" s="11"/>
      <c r="BB212" s="11"/>
      <c r="BC212" s="11"/>
      <c r="BD212" s="7">
        <v>530000</v>
      </c>
      <c r="BE212" s="7">
        <v>692000</v>
      </c>
      <c r="BF212" s="7">
        <v>538000</v>
      </c>
      <c r="BG212" s="7">
        <v>501000</v>
      </c>
      <c r="BH212" s="7">
        <v>1000</v>
      </c>
      <c r="BI212" s="11"/>
      <c r="BJ212" s="11"/>
      <c r="BK212" s="11"/>
      <c r="BL212" s="11"/>
      <c r="BM212" s="11"/>
      <c r="BN212" s="11">
        <v>4209000</v>
      </c>
      <c r="BO212" s="11">
        <v>5196000</v>
      </c>
      <c r="BP212" s="11">
        <v>4792000</v>
      </c>
      <c r="BQ212" s="11">
        <v>3708000</v>
      </c>
      <c r="BR212" s="11">
        <v>2935000</v>
      </c>
      <c r="BS212" s="11">
        <v>4209000</v>
      </c>
      <c r="BT212" s="11">
        <v>5196000</v>
      </c>
      <c r="BU212" s="11">
        <v>4792000</v>
      </c>
      <c r="BV212" s="11">
        <v>3708000</v>
      </c>
      <c r="BW212" s="11">
        <v>2935000</v>
      </c>
      <c r="BX212" s="7"/>
      <c r="BY212" s="7"/>
      <c r="BZ212" s="7"/>
      <c r="CA212" s="7"/>
      <c r="CB212" s="7"/>
      <c r="CC212" s="11"/>
      <c r="CD212" s="11"/>
      <c r="CE212" s="11"/>
      <c r="CF212" s="11"/>
      <c r="CG212" s="11"/>
      <c r="CH212" s="7"/>
      <c r="CI212" s="7"/>
      <c r="CJ212" s="7"/>
      <c r="CK212" s="7"/>
      <c r="CL212" s="7"/>
      <c r="CM212" s="11">
        <v>2064000</v>
      </c>
      <c r="CN212" s="11">
        <v>5151000</v>
      </c>
      <c r="CO212" s="11">
        <v>4731000</v>
      </c>
      <c r="CP212" s="11">
        <v>3649000</v>
      </c>
      <c r="CQ212" s="11">
        <v>2877000</v>
      </c>
      <c r="CR212" s="11"/>
      <c r="CS212" s="11"/>
      <c r="CT212" s="11"/>
      <c r="CU212" s="11"/>
      <c r="CV212" s="11"/>
      <c r="CW212" s="11"/>
      <c r="CX212" s="11"/>
      <c r="CY212" s="11"/>
      <c r="CZ212" s="11"/>
      <c r="DA212" s="11"/>
      <c r="DB212" s="11"/>
      <c r="DC212" s="11"/>
      <c r="DD212" s="11"/>
      <c r="DE212" s="11"/>
      <c r="DF212" s="11"/>
      <c r="DG212" s="7">
        <v>2145000</v>
      </c>
      <c r="DH212" s="7"/>
      <c r="DI212" s="7"/>
      <c r="DJ212" s="7"/>
      <c r="DK212" s="7"/>
      <c r="DL212" s="7"/>
      <c r="DM212" s="7">
        <v>45000</v>
      </c>
      <c r="DN212" s="7">
        <v>62000</v>
      </c>
      <c r="DO212" s="7">
        <v>58000</v>
      </c>
      <c r="DP212" s="7">
        <v>58000</v>
      </c>
      <c r="DQ212" s="11"/>
      <c r="DR212" s="11"/>
      <c r="DS212" s="11"/>
      <c r="DT212" s="11"/>
      <c r="DU212" s="11"/>
      <c r="DV212" s="11"/>
      <c r="DW212" s="11"/>
      <c r="DX212" s="11"/>
      <c r="DY212" s="11"/>
      <c r="DZ212" s="11"/>
      <c r="EA212" s="11">
        <v>2145000</v>
      </c>
      <c r="EB212" s="11">
        <v>45000</v>
      </c>
      <c r="EC212" s="11">
        <v>62000</v>
      </c>
      <c r="ED212" s="11">
        <v>58000</v>
      </c>
      <c r="EE212" s="11">
        <v>58000</v>
      </c>
      <c r="EF212" s="7">
        <v>10962000</v>
      </c>
      <c r="EG212" s="7">
        <v>14691000</v>
      </c>
      <c r="EH212" s="7">
        <v>1920000</v>
      </c>
      <c r="EI212" s="7">
        <v>1612000</v>
      </c>
      <c r="EJ212" s="7"/>
      <c r="EK212" s="7">
        <v>9598000</v>
      </c>
      <c r="EL212" s="7">
        <v>10237000</v>
      </c>
      <c r="EM212" s="7">
        <v>1974000</v>
      </c>
      <c r="EN212" s="7">
        <v>2505000</v>
      </c>
      <c r="EO212" s="7">
        <v>279000</v>
      </c>
      <c r="EP212" s="7"/>
      <c r="EQ212" s="7"/>
      <c r="ER212" s="7"/>
      <c r="ES212" s="7"/>
      <c r="ET212" s="7"/>
      <c r="EU212" s="7"/>
      <c r="EV212" s="7"/>
      <c r="EW212" s="7"/>
      <c r="EX212" s="7"/>
      <c r="EY212" s="7"/>
      <c r="EZ212" s="11"/>
      <c r="FA212" s="11"/>
      <c r="FB212" s="11"/>
      <c r="FC212" s="11"/>
      <c r="FD212" s="11"/>
      <c r="FE212" s="11"/>
      <c r="FF212" s="11"/>
      <c r="FG212" s="11"/>
      <c r="FH212" s="11"/>
      <c r="FI212" s="11"/>
      <c r="FJ212" s="11"/>
      <c r="FK212" s="11">
        <v>504000</v>
      </c>
      <c r="FL212" s="11"/>
      <c r="FM212" s="11"/>
      <c r="FN212" s="11"/>
      <c r="FO212" s="7">
        <v>27000</v>
      </c>
      <c r="FP212" s="7">
        <v>6000</v>
      </c>
      <c r="FQ212" s="7">
        <v>7000</v>
      </c>
      <c r="FR212" s="7">
        <v>11000</v>
      </c>
      <c r="FS212" s="7"/>
      <c r="FT212" s="7">
        <v>258000</v>
      </c>
      <c r="FU212" s="7">
        <v>130000</v>
      </c>
      <c r="FV212" s="7">
        <v>270000</v>
      </c>
      <c r="FW212" s="7">
        <v>56000</v>
      </c>
      <c r="FX212" s="7">
        <v>9000</v>
      </c>
      <c r="FY212" s="11"/>
      <c r="FZ212" s="11"/>
      <c r="GA212" s="11">
        <v>103000</v>
      </c>
      <c r="GB212" s="11">
        <v>126000</v>
      </c>
      <c r="GC212" s="11">
        <v>507000</v>
      </c>
      <c r="GD212" s="7">
        <v>1133000</v>
      </c>
      <c r="GE212" s="7">
        <v>3826000</v>
      </c>
      <c r="GF212" s="7">
        <v>-420000</v>
      </c>
      <c r="GG212" s="7">
        <v>-1064000</v>
      </c>
      <c r="GH212" s="7">
        <v>-795000</v>
      </c>
    </row>
    <row r="213" spans="1:190" ht="26.25" x14ac:dyDescent="0.25">
      <c r="A213" s="4">
        <v>212</v>
      </c>
      <c r="B213" s="5" t="s">
        <v>722</v>
      </c>
      <c r="C213" s="9" t="s">
        <v>723</v>
      </c>
      <c r="D213" s="7">
        <v>12</v>
      </c>
      <c r="E213" s="6" t="s">
        <v>325</v>
      </c>
      <c r="F213" s="11"/>
      <c r="G213" s="11"/>
      <c r="H213" s="11"/>
      <c r="I213" s="11"/>
      <c r="J213" s="11"/>
      <c r="K213" s="11">
        <v>6854976</v>
      </c>
      <c r="L213" s="11">
        <v>4798557</v>
      </c>
      <c r="M213" s="11">
        <v>2387049</v>
      </c>
      <c r="N213" s="11">
        <v>1998914</v>
      </c>
      <c r="O213" s="11">
        <v>1500612</v>
      </c>
      <c r="P213" s="7">
        <v>52000</v>
      </c>
      <c r="Q213" s="7"/>
      <c r="R213" s="7"/>
      <c r="S213" s="7"/>
      <c r="T213" s="7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>
        <v>338000</v>
      </c>
      <c r="AK213" s="11">
        <v>2591000</v>
      </c>
      <c r="AL213" s="11">
        <v>5293000</v>
      </c>
      <c r="AM213" s="11">
        <v>6257000</v>
      </c>
      <c r="AN213" s="11">
        <v>8211000</v>
      </c>
      <c r="AO213" s="7">
        <v>102000</v>
      </c>
      <c r="AP213" s="7">
        <v>13000</v>
      </c>
      <c r="AQ213" s="7">
        <v>6000</v>
      </c>
      <c r="AR213" s="7">
        <v>3000</v>
      </c>
      <c r="AS213" s="7">
        <v>1000</v>
      </c>
      <c r="AT213" s="7">
        <v>220906000</v>
      </c>
      <c r="AU213" s="7">
        <v>191267000</v>
      </c>
      <c r="AV213" s="7">
        <v>135934000</v>
      </c>
      <c r="AW213" s="7">
        <v>129999000</v>
      </c>
      <c r="AX213" s="7">
        <v>114467000</v>
      </c>
      <c r="AY213" s="11"/>
      <c r="AZ213" s="11"/>
      <c r="BA213" s="11"/>
      <c r="BB213" s="11"/>
      <c r="BC213" s="11"/>
      <c r="BD213" s="7">
        <v>554000</v>
      </c>
      <c r="BE213" s="7">
        <v>34000</v>
      </c>
      <c r="BF213" s="7">
        <v>13000</v>
      </c>
      <c r="BG213" s="7">
        <v>433000</v>
      </c>
      <c r="BH213" s="7">
        <v>9187000</v>
      </c>
      <c r="BI213" s="11">
        <v>6765000</v>
      </c>
      <c r="BJ213" s="11">
        <v>26986000</v>
      </c>
      <c r="BK213" s="11">
        <v>27598000</v>
      </c>
      <c r="BL213" s="11">
        <v>15640000</v>
      </c>
      <c r="BM213" s="11">
        <v>13970000</v>
      </c>
      <c r="BN213" s="11">
        <v>228327000</v>
      </c>
      <c r="BO213" s="11">
        <v>218300000</v>
      </c>
      <c r="BP213" s="11">
        <v>163551000</v>
      </c>
      <c r="BQ213" s="11">
        <v>146075000</v>
      </c>
      <c r="BR213" s="11">
        <v>137625000</v>
      </c>
      <c r="BS213" s="11">
        <v>228665000</v>
      </c>
      <c r="BT213" s="11">
        <v>220891000</v>
      </c>
      <c r="BU213" s="11">
        <v>168844000</v>
      </c>
      <c r="BV213" s="11">
        <v>152332000</v>
      </c>
      <c r="BW213" s="11">
        <v>145836000</v>
      </c>
      <c r="BX213" s="7">
        <v>10000</v>
      </c>
      <c r="BY213" s="7">
        <v>10000</v>
      </c>
      <c r="BZ213" s="7">
        <v>10000</v>
      </c>
      <c r="CA213" s="7">
        <v>10000</v>
      </c>
      <c r="CB213" s="7">
        <v>10000</v>
      </c>
      <c r="CC213" s="11"/>
      <c r="CD213" s="11"/>
      <c r="CE213" s="11"/>
      <c r="CF213" s="11"/>
      <c r="CG213" s="11"/>
      <c r="CH213" s="7">
        <v>-41025000</v>
      </c>
      <c r="CI213" s="7">
        <v>-52930000</v>
      </c>
      <c r="CJ213" s="7">
        <v>-66434000</v>
      </c>
      <c r="CK213" s="7">
        <v>-69898000</v>
      </c>
      <c r="CL213" s="7">
        <v>-88375000</v>
      </c>
      <c r="CM213" s="11">
        <v>-41015000</v>
      </c>
      <c r="CN213" s="11">
        <v>-52920000</v>
      </c>
      <c r="CO213" s="11">
        <v>-66424000</v>
      </c>
      <c r="CP213" s="11">
        <v>-69888000</v>
      </c>
      <c r="CQ213" s="11">
        <v>-88365000</v>
      </c>
      <c r="CR213" s="11">
        <v>36141000</v>
      </c>
      <c r="CS213" s="11">
        <v>36594000</v>
      </c>
      <c r="CT213" s="11">
        <v>32365000</v>
      </c>
      <c r="CU213" s="11">
        <v>21180000</v>
      </c>
      <c r="CV213" s="11">
        <v>21713000</v>
      </c>
      <c r="CW213" s="11"/>
      <c r="CX213" s="11"/>
      <c r="CY213" s="11"/>
      <c r="CZ213" s="11"/>
      <c r="DA213" s="11"/>
      <c r="DB213" s="11">
        <v>36141000</v>
      </c>
      <c r="DC213" s="11">
        <v>36594000</v>
      </c>
      <c r="DD213" s="11">
        <v>32365000</v>
      </c>
      <c r="DE213" s="11">
        <v>21180000</v>
      </c>
      <c r="DF213" s="11">
        <v>21713000</v>
      </c>
      <c r="DG213" s="7">
        <v>1002000</v>
      </c>
      <c r="DH213" s="7"/>
      <c r="DI213" s="7">
        <v>5232000</v>
      </c>
      <c r="DJ213" s="7">
        <v>12386000</v>
      </c>
      <c r="DK213" s="7">
        <v>12809000</v>
      </c>
      <c r="DL213" s="7">
        <v>232114000</v>
      </c>
      <c r="DM213" s="7">
        <v>236844000</v>
      </c>
      <c r="DN213" s="7">
        <v>197479000</v>
      </c>
      <c r="DO213" s="7">
        <v>188506000</v>
      </c>
      <c r="DP213" s="7">
        <v>196375000</v>
      </c>
      <c r="DQ213" s="11"/>
      <c r="DR213" s="11"/>
      <c r="DS213" s="11"/>
      <c r="DT213" s="11"/>
      <c r="DU213" s="11"/>
      <c r="DV213" s="11">
        <v>423000</v>
      </c>
      <c r="DW213" s="11">
        <v>373000</v>
      </c>
      <c r="DX213" s="11">
        <v>192000</v>
      </c>
      <c r="DY213" s="11">
        <v>148000</v>
      </c>
      <c r="DZ213" s="11">
        <v>3304000</v>
      </c>
      <c r="EA213" s="11">
        <v>233539000</v>
      </c>
      <c r="EB213" s="11">
        <v>237217000</v>
      </c>
      <c r="EC213" s="11">
        <v>202903000</v>
      </c>
      <c r="ED213" s="11">
        <v>201040000</v>
      </c>
      <c r="EE213" s="11">
        <v>212488000</v>
      </c>
      <c r="EF213" s="7">
        <v>562247000</v>
      </c>
      <c r="EG213" s="7">
        <v>295436000</v>
      </c>
      <c r="EH213" s="7">
        <v>142275000</v>
      </c>
      <c r="EI213" s="7">
        <v>102835000</v>
      </c>
      <c r="EJ213" s="7">
        <v>22189000</v>
      </c>
      <c r="EK213" s="7">
        <v>529895000</v>
      </c>
      <c r="EL213" s="7">
        <v>283286000</v>
      </c>
      <c r="EM213" s="7">
        <v>130887000</v>
      </c>
      <c r="EN213" s="7">
        <v>96286000</v>
      </c>
      <c r="EO213" s="7">
        <v>17022000</v>
      </c>
      <c r="EP213" s="7"/>
      <c r="EQ213" s="7"/>
      <c r="ER213" s="7"/>
      <c r="ES213" s="7"/>
      <c r="ET213" s="7"/>
      <c r="EU213" s="7">
        <v>29640000</v>
      </c>
      <c r="EV213" s="7">
        <v>21231000</v>
      </c>
      <c r="EW213" s="7">
        <v>14387000</v>
      </c>
      <c r="EX213" s="7">
        <v>11241000</v>
      </c>
      <c r="EY213" s="7">
        <v>4392000</v>
      </c>
      <c r="EZ213" s="11"/>
      <c r="FA213" s="11"/>
      <c r="FB213" s="11"/>
      <c r="FC213" s="11"/>
      <c r="FD213" s="11"/>
      <c r="FE213" s="11"/>
      <c r="FF213" s="11"/>
      <c r="FG213" s="11"/>
      <c r="FH213" s="11"/>
      <c r="FI213" s="11"/>
      <c r="FJ213" s="11">
        <v>3458000</v>
      </c>
      <c r="FK213" s="11">
        <v>3154000</v>
      </c>
      <c r="FL213" s="11">
        <v>3003000</v>
      </c>
      <c r="FM213" s="11">
        <v>2368000</v>
      </c>
      <c r="FN213" s="11">
        <v>956000</v>
      </c>
      <c r="FO213" s="7">
        <v>17495000</v>
      </c>
      <c r="FP213" s="7">
        <v>26951000</v>
      </c>
      <c r="FQ213" s="7">
        <v>75355000</v>
      </c>
      <c r="FR213" s="7">
        <v>49107000</v>
      </c>
      <c r="FS213" s="7">
        <v>14147000</v>
      </c>
      <c r="FT213" s="7">
        <v>21096000</v>
      </c>
      <c r="FU213" s="7">
        <v>28912000</v>
      </c>
      <c r="FV213" s="7">
        <v>85555000</v>
      </c>
      <c r="FW213" s="7">
        <v>46475000</v>
      </c>
      <c r="FX213" s="7">
        <v>34397000</v>
      </c>
      <c r="FY213" s="11">
        <v>286000</v>
      </c>
      <c r="FZ213" s="11">
        <v>2305000</v>
      </c>
      <c r="GA213" s="11">
        <v>2702000</v>
      </c>
      <c r="GB213" s="11">
        <v>964000</v>
      </c>
      <c r="GC213" s="11">
        <v>1954000</v>
      </c>
      <c r="GD213" s="7">
        <v>-4072000</v>
      </c>
      <c r="GE213" s="7">
        <v>-11905000</v>
      </c>
      <c r="GF213" s="7">
        <v>-13504000</v>
      </c>
      <c r="GG213" s="7">
        <v>-3464000</v>
      </c>
      <c r="GH213" s="7">
        <v>-18477000</v>
      </c>
    </row>
    <row r="214" spans="1:190" ht="26.25" x14ac:dyDescent="0.25">
      <c r="A214" s="4">
        <v>213</v>
      </c>
      <c r="B214" s="5" t="s">
        <v>724</v>
      </c>
      <c r="C214" s="9" t="s">
        <v>725</v>
      </c>
      <c r="D214" s="7">
        <v>22</v>
      </c>
      <c r="E214" s="6" t="s">
        <v>726</v>
      </c>
      <c r="F214" s="11"/>
      <c r="G214" s="11"/>
      <c r="H214" s="11"/>
      <c r="I214" s="11">
        <v>1948686</v>
      </c>
      <c r="J214" s="11"/>
      <c r="K214" s="11">
        <v>36617045</v>
      </c>
      <c r="L214" s="11">
        <v>15743221</v>
      </c>
      <c r="M214" s="11">
        <v>11145064</v>
      </c>
      <c r="N214" s="11">
        <v>18287832</v>
      </c>
      <c r="O214" s="11">
        <v>1852590</v>
      </c>
      <c r="P214" s="7">
        <v>64890000</v>
      </c>
      <c r="Q214" s="7">
        <v>28545000</v>
      </c>
      <c r="R214" s="7">
        <v>23551000</v>
      </c>
      <c r="S214" s="7">
        <v>19124000</v>
      </c>
      <c r="T214" s="7">
        <v>28449000</v>
      </c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>
        <v>85379000</v>
      </c>
      <c r="AK214" s="11">
        <v>55419000</v>
      </c>
      <c r="AL214" s="11">
        <v>61283000</v>
      </c>
      <c r="AM214" s="11">
        <v>57980000</v>
      </c>
      <c r="AN214" s="11">
        <v>28449000</v>
      </c>
      <c r="AO214" s="7">
        <v>334711000</v>
      </c>
      <c r="AP214" s="7">
        <v>112751000</v>
      </c>
      <c r="AQ214" s="7">
        <v>51346000</v>
      </c>
      <c r="AR214" s="7">
        <v>19040000</v>
      </c>
      <c r="AS214" s="7"/>
      <c r="AT214" s="7">
        <v>806850000</v>
      </c>
      <c r="AU214" s="7">
        <v>254557000</v>
      </c>
      <c r="AV214" s="7">
        <v>191591000</v>
      </c>
      <c r="AW214" s="7">
        <v>171995000</v>
      </c>
      <c r="AX214" s="7">
        <v>82573000</v>
      </c>
      <c r="AY214" s="11">
        <v>31000000</v>
      </c>
      <c r="AZ214" s="11"/>
      <c r="BA214" s="11"/>
      <c r="BB214" s="11"/>
      <c r="BC214" s="11"/>
      <c r="BD214" s="7">
        <v>90604000</v>
      </c>
      <c r="BE214" s="7">
        <v>43660000</v>
      </c>
      <c r="BF214" s="7">
        <v>261000</v>
      </c>
      <c r="BG214" s="7">
        <v>78000</v>
      </c>
      <c r="BH214" s="7">
        <v>4230000</v>
      </c>
      <c r="BI214" s="11"/>
      <c r="BJ214" s="11"/>
      <c r="BK214" s="11">
        <v>362000</v>
      </c>
      <c r="BL214" s="11">
        <v>11000</v>
      </c>
      <c r="BM214" s="11"/>
      <c r="BN214" s="11">
        <v>1263167000</v>
      </c>
      <c r="BO214" s="11">
        <v>412498000</v>
      </c>
      <c r="BP214" s="11">
        <v>243607000</v>
      </c>
      <c r="BQ214" s="11">
        <v>191123000</v>
      </c>
      <c r="BR214" s="11">
        <v>86803000</v>
      </c>
      <c r="BS214" s="11">
        <v>1348546000</v>
      </c>
      <c r="BT214" s="11">
        <v>467917000</v>
      </c>
      <c r="BU214" s="11">
        <v>304890000</v>
      </c>
      <c r="BV214" s="11">
        <v>249102000</v>
      </c>
      <c r="BW214" s="11">
        <v>115252000</v>
      </c>
      <c r="BX214" s="7">
        <v>10000</v>
      </c>
      <c r="BY214" s="7">
        <v>10000</v>
      </c>
      <c r="BZ214" s="7">
        <v>10000</v>
      </c>
      <c r="CA214" s="7">
        <v>10000</v>
      </c>
      <c r="CB214" s="7">
        <v>10000</v>
      </c>
      <c r="CC214" s="11"/>
      <c r="CD214" s="11"/>
      <c r="CE214" s="11"/>
      <c r="CF214" s="11"/>
      <c r="CG214" s="11"/>
      <c r="CH214" s="7">
        <v>1026000</v>
      </c>
      <c r="CI214" s="7">
        <v>-30077000</v>
      </c>
      <c r="CJ214" s="7">
        <v>-87459000</v>
      </c>
      <c r="CK214" s="7">
        <v>-86176000</v>
      </c>
      <c r="CL214" s="7">
        <v>-742411000</v>
      </c>
      <c r="CM214" s="11">
        <v>1035000</v>
      </c>
      <c r="CN214" s="11">
        <v>-30068000</v>
      </c>
      <c r="CO214" s="11">
        <v>-87449000</v>
      </c>
      <c r="CP214" s="11">
        <v>-86166000</v>
      </c>
      <c r="CQ214" s="11">
        <v>-742401000</v>
      </c>
      <c r="CR214" s="11"/>
      <c r="CS214" s="11"/>
      <c r="CT214" s="11"/>
      <c r="CU214" s="11"/>
      <c r="CV214" s="11"/>
      <c r="CW214" s="11"/>
      <c r="CX214" s="11"/>
      <c r="CY214" s="11"/>
      <c r="CZ214" s="11"/>
      <c r="DA214" s="11"/>
      <c r="DB214" s="11">
        <v>2027000</v>
      </c>
      <c r="DC214" s="11">
        <v>1716000</v>
      </c>
      <c r="DD214" s="11">
        <v>1318000</v>
      </c>
      <c r="DE214" s="11">
        <v>860000</v>
      </c>
      <c r="DF214" s="11"/>
      <c r="DG214" s="7"/>
      <c r="DH214" s="7"/>
      <c r="DI214" s="7"/>
      <c r="DJ214" s="7"/>
      <c r="DK214" s="7"/>
      <c r="DL214" s="7">
        <v>1345484000</v>
      </c>
      <c r="DM214" s="7">
        <v>496269000</v>
      </c>
      <c r="DN214" s="7">
        <v>391021000</v>
      </c>
      <c r="DO214" s="7">
        <v>334409000</v>
      </c>
      <c r="DP214" s="7">
        <v>857653000</v>
      </c>
      <c r="DQ214" s="11"/>
      <c r="DR214" s="11"/>
      <c r="DS214" s="11"/>
      <c r="DT214" s="11"/>
      <c r="DU214" s="11"/>
      <c r="DV214" s="11"/>
      <c r="DW214" s="11"/>
      <c r="DX214" s="11"/>
      <c r="DY214" s="11"/>
      <c r="DZ214" s="11"/>
      <c r="EA214" s="11">
        <v>1345484000</v>
      </c>
      <c r="EB214" s="11">
        <v>496269000</v>
      </c>
      <c r="EC214" s="11">
        <v>391021000</v>
      </c>
      <c r="ED214" s="11">
        <v>334409000</v>
      </c>
      <c r="EE214" s="11">
        <v>857653000</v>
      </c>
      <c r="EF214" s="7">
        <v>3435826000</v>
      </c>
      <c r="EG214" s="7">
        <v>1563840000</v>
      </c>
      <c r="EH214" s="7">
        <v>350807000</v>
      </c>
      <c r="EI214" s="7">
        <v>141565000</v>
      </c>
      <c r="EJ214" s="7"/>
      <c r="EK214" s="7">
        <v>3548818000</v>
      </c>
      <c r="EL214" s="7">
        <v>1474520000</v>
      </c>
      <c r="EM214" s="7">
        <v>338033000</v>
      </c>
      <c r="EN214" s="7">
        <v>104203000</v>
      </c>
      <c r="EO214" s="7"/>
      <c r="EP214" s="7"/>
      <c r="EQ214" s="7"/>
      <c r="ER214" s="7"/>
      <c r="ES214" s="7"/>
      <c r="ET214" s="7"/>
      <c r="EU214" s="7"/>
      <c r="EV214" s="7">
        <v>160641000</v>
      </c>
      <c r="EW214" s="7">
        <v>79023000</v>
      </c>
      <c r="EX214" s="7">
        <v>30972000</v>
      </c>
      <c r="EY214" s="7"/>
      <c r="EZ214" s="11"/>
      <c r="FA214" s="11"/>
      <c r="FB214" s="11"/>
      <c r="FC214" s="11"/>
      <c r="FD214" s="11"/>
      <c r="FE214" s="11">
        <v>12429000</v>
      </c>
      <c r="FF214" s="11">
        <v>226000</v>
      </c>
      <c r="FG214" s="11"/>
      <c r="FH214" s="11"/>
      <c r="FI214" s="11"/>
      <c r="FJ214" s="11"/>
      <c r="FK214" s="11"/>
      <c r="FL214" s="11"/>
      <c r="FM214" s="11"/>
      <c r="FN214" s="11"/>
      <c r="FO214" s="7">
        <v>293456000</v>
      </c>
      <c r="FP214" s="7">
        <v>348538000</v>
      </c>
      <c r="FQ214" s="7">
        <v>97867000</v>
      </c>
      <c r="FR214" s="7">
        <v>43792000</v>
      </c>
      <c r="FS214" s="7"/>
      <c r="FT214" s="7">
        <v>300058000</v>
      </c>
      <c r="FU214" s="7">
        <v>315243000</v>
      </c>
      <c r="FV214" s="7">
        <v>101085000</v>
      </c>
      <c r="FW214" s="7">
        <v>48533000</v>
      </c>
      <c r="FX214" s="7"/>
      <c r="FY214" s="11">
        <v>20525000</v>
      </c>
      <c r="FZ214" s="11">
        <v>6697000</v>
      </c>
      <c r="GA214" s="11">
        <v>11255000</v>
      </c>
      <c r="GB214" s="11">
        <v>-353000</v>
      </c>
      <c r="GC214" s="11"/>
      <c r="GD214" s="7">
        <v>-86833000</v>
      </c>
      <c r="GE214" s="7">
        <v>-31103000</v>
      </c>
      <c r="GF214" s="7">
        <v>-58212000</v>
      </c>
      <c r="GG214" s="7">
        <v>1283000</v>
      </c>
      <c r="GH214" s="7"/>
    </row>
    <row r="215" spans="1:190" ht="26.25" x14ac:dyDescent="0.25">
      <c r="A215" s="4">
        <v>214</v>
      </c>
      <c r="B215" s="5" t="s">
        <v>727</v>
      </c>
      <c r="C215" s="9" t="s">
        <v>728</v>
      </c>
      <c r="D215" s="7">
        <v>19</v>
      </c>
      <c r="E215" s="6" t="s">
        <v>325</v>
      </c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7"/>
      <c r="Q215" s="7"/>
      <c r="R215" s="7"/>
      <c r="S215" s="7"/>
      <c r="T215" s="7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11"/>
      <c r="AZ215" s="11"/>
      <c r="BA215" s="11"/>
      <c r="BB215" s="11"/>
      <c r="BC215" s="11"/>
      <c r="BD215" s="7"/>
      <c r="BE215" s="7"/>
      <c r="BF215" s="7"/>
      <c r="BG215" s="7"/>
      <c r="BH215" s="7"/>
      <c r="BI215" s="11"/>
      <c r="BJ215" s="11"/>
      <c r="BK215" s="11"/>
      <c r="BL215" s="11"/>
      <c r="BM215" s="11"/>
      <c r="BN215" s="11"/>
      <c r="BO215" s="11"/>
      <c r="BP215" s="11"/>
      <c r="BQ215" s="11"/>
      <c r="BR215" s="11"/>
      <c r="BS215" s="11"/>
      <c r="BT215" s="11"/>
      <c r="BU215" s="11"/>
      <c r="BV215" s="11"/>
      <c r="BW215" s="11"/>
      <c r="BX215" s="7"/>
      <c r="BY215" s="7"/>
      <c r="BZ215" s="7"/>
      <c r="CA215" s="7"/>
      <c r="CB215" s="7"/>
      <c r="CC215" s="11"/>
      <c r="CD215" s="11"/>
      <c r="CE215" s="11"/>
      <c r="CF215" s="11"/>
      <c r="CG215" s="11"/>
      <c r="CH215" s="7"/>
      <c r="CI215" s="7"/>
      <c r="CJ215" s="7"/>
      <c r="CK215" s="7"/>
      <c r="CL215" s="7"/>
      <c r="CM215" s="11">
        <v>-308469000</v>
      </c>
      <c r="CN215" s="11">
        <v>-311472000</v>
      </c>
      <c r="CO215" s="11">
        <v>-314638000</v>
      </c>
      <c r="CP215" s="11">
        <v>-316401000</v>
      </c>
      <c r="CQ215" s="11">
        <v>-317564000</v>
      </c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7"/>
      <c r="DH215" s="7"/>
      <c r="DI215" s="7"/>
      <c r="DJ215" s="7"/>
      <c r="DK215" s="7"/>
      <c r="DL215" s="7">
        <v>308469000</v>
      </c>
      <c r="DM215" s="7">
        <v>311472000</v>
      </c>
      <c r="DN215" s="7">
        <v>314638000</v>
      </c>
      <c r="DO215" s="7">
        <v>316401000</v>
      </c>
      <c r="DP215" s="7">
        <v>317564000</v>
      </c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>
        <v>308469000</v>
      </c>
      <c r="EB215" s="11">
        <v>311472000</v>
      </c>
      <c r="EC215" s="11">
        <v>314638000</v>
      </c>
      <c r="ED215" s="11">
        <v>316401000</v>
      </c>
      <c r="EE215" s="11">
        <v>317564000</v>
      </c>
      <c r="EF215" s="7"/>
      <c r="EG215" s="7"/>
      <c r="EH215" s="7"/>
      <c r="EI215" s="7"/>
      <c r="EJ215" s="7"/>
      <c r="EK215" s="7">
        <v>2591000</v>
      </c>
      <c r="EL215" s="7">
        <v>2489000</v>
      </c>
      <c r="EM215" s="7">
        <v>2714000</v>
      </c>
      <c r="EN215" s="7">
        <v>1260000</v>
      </c>
      <c r="EO215" s="7">
        <v>740000</v>
      </c>
      <c r="EP215" s="7"/>
      <c r="EQ215" s="7"/>
      <c r="ER215" s="7"/>
      <c r="ES215" s="7"/>
      <c r="ET215" s="7"/>
      <c r="EU215" s="7"/>
      <c r="EV215" s="7"/>
      <c r="EW215" s="7"/>
      <c r="EX215" s="7"/>
      <c r="EY215" s="7"/>
      <c r="EZ215" s="11"/>
      <c r="FA215" s="11"/>
      <c r="FB215" s="11"/>
      <c r="FC215" s="11"/>
      <c r="FD215" s="11"/>
      <c r="FE215" s="11"/>
      <c r="FF215" s="11"/>
      <c r="FG215" s="11"/>
      <c r="FH215" s="11"/>
      <c r="FI215" s="11"/>
      <c r="FJ215" s="11"/>
      <c r="FK215" s="11"/>
      <c r="FL215" s="11"/>
      <c r="FM215" s="11"/>
      <c r="FN215" s="11"/>
      <c r="FO215" s="7"/>
      <c r="FP215" s="7"/>
      <c r="FQ215" s="7"/>
      <c r="FR215" s="7"/>
      <c r="FS215" s="7"/>
      <c r="FT215" s="7">
        <v>418000</v>
      </c>
      <c r="FU215" s="7">
        <v>514000</v>
      </c>
      <c r="FV215" s="7">
        <v>452000</v>
      </c>
      <c r="FW215" s="7">
        <v>503000</v>
      </c>
      <c r="FX215" s="7">
        <v>423000</v>
      </c>
      <c r="FY215" s="11"/>
      <c r="FZ215" s="11"/>
      <c r="GA215" s="11"/>
      <c r="GB215" s="11"/>
      <c r="GC215" s="11"/>
      <c r="GD215" s="7">
        <v>-3009000</v>
      </c>
      <c r="GE215" s="7">
        <v>-3003000</v>
      </c>
      <c r="GF215" s="7">
        <v>-3166000</v>
      </c>
      <c r="GG215" s="7">
        <v>-1763000</v>
      </c>
      <c r="GH215" s="7">
        <v>-1163000</v>
      </c>
    </row>
    <row r="216" spans="1:190" ht="26.25" x14ac:dyDescent="0.25">
      <c r="A216" s="4">
        <v>215</v>
      </c>
      <c r="B216" s="5" t="s">
        <v>729</v>
      </c>
      <c r="C216" s="9" t="s">
        <v>730</v>
      </c>
      <c r="D216" s="7">
        <v>17</v>
      </c>
      <c r="E216" s="6" t="s">
        <v>578</v>
      </c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7"/>
      <c r="Q216" s="7"/>
      <c r="R216" s="7"/>
      <c r="S216" s="7"/>
      <c r="T216" s="7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7"/>
      <c r="AP216" s="7"/>
      <c r="AQ216" s="7"/>
      <c r="AR216" s="7"/>
      <c r="AS216" s="7"/>
      <c r="AT216" s="7">
        <v>4261000</v>
      </c>
      <c r="AU216" s="7">
        <v>4261000</v>
      </c>
      <c r="AV216" s="7">
        <v>4261000</v>
      </c>
      <c r="AW216" s="7"/>
      <c r="AX216" s="7"/>
      <c r="AY216" s="11"/>
      <c r="AZ216" s="11"/>
      <c r="BA216" s="11"/>
      <c r="BB216" s="11"/>
      <c r="BC216" s="11"/>
      <c r="BD216" s="7"/>
      <c r="BE216" s="7"/>
      <c r="BF216" s="7"/>
      <c r="BG216" s="7"/>
      <c r="BH216" s="7"/>
      <c r="BI216" s="11"/>
      <c r="BJ216" s="11"/>
      <c r="BK216" s="11"/>
      <c r="BL216" s="11"/>
      <c r="BM216" s="11"/>
      <c r="BN216" s="11">
        <v>4261000</v>
      </c>
      <c r="BO216" s="11">
        <v>4261000</v>
      </c>
      <c r="BP216" s="11">
        <v>4261000</v>
      </c>
      <c r="BQ216" s="11"/>
      <c r="BR216" s="11"/>
      <c r="BS216" s="11">
        <v>4261000</v>
      </c>
      <c r="BT216" s="11">
        <v>4261000</v>
      </c>
      <c r="BU216" s="11">
        <v>4261000</v>
      </c>
      <c r="BV216" s="11"/>
      <c r="BW216" s="11"/>
      <c r="BX216" s="7">
        <v>500000</v>
      </c>
      <c r="BY216" s="7">
        <v>500000</v>
      </c>
      <c r="BZ216" s="7">
        <v>500000</v>
      </c>
      <c r="CA216" s="7">
        <v>500000</v>
      </c>
      <c r="CB216" s="7">
        <v>500000</v>
      </c>
      <c r="CC216" s="11"/>
      <c r="CD216" s="11"/>
      <c r="CE216" s="11"/>
      <c r="CF216" s="11"/>
      <c r="CG216" s="11"/>
      <c r="CH216" s="7">
        <v>-527776000</v>
      </c>
      <c r="CI216" s="7">
        <v>-527776000</v>
      </c>
      <c r="CJ216" s="7">
        <v>-527776000</v>
      </c>
      <c r="CK216" s="7">
        <v>-532037000</v>
      </c>
      <c r="CL216" s="7">
        <v>-532037000</v>
      </c>
      <c r="CM216" s="11">
        <v>-527276000</v>
      </c>
      <c r="CN216" s="11">
        <v>-527276000</v>
      </c>
      <c r="CO216" s="11">
        <v>-527276000</v>
      </c>
      <c r="CP216" s="11">
        <v>-531537000</v>
      </c>
      <c r="CQ216" s="11">
        <v>-531537000</v>
      </c>
      <c r="CR216" s="11">
        <v>184914000</v>
      </c>
      <c r="CS216" s="11">
        <v>184914000</v>
      </c>
      <c r="CT216" s="11">
        <v>184914000</v>
      </c>
      <c r="CU216" s="11">
        <v>184914000</v>
      </c>
      <c r="CV216" s="11">
        <v>184914000</v>
      </c>
      <c r="CW216" s="11"/>
      <c r="CX216" s="11"/>
      <c r="CY216" s="11"/>
      <c r="CZ216" s="11"/>
      <c r="DA216" s="11"/>
      <c r="DB216" s="11">
        <v>184914000</v>
      </c>
      <c r="DC216" s="11">
        <v>184914000</v>
      </c>
      <c r="DD216" s="11">
        <v>184914000</v>
      </c>
      <c r="DE216" s="11">
        <v>184914000</v>
      </c>
      <c r="DF216" s="11">
        <v>184914000</v>
      </c>
      <c r="DG216" s="7">
        <v>196761000</v>
      </c>
      <c r="DH216" s="7">
        <v>196761000</v>
      </c>
      <c r="DI216" s="7">
        <v>196761000</v>
      </c>
      <c r="DJ216" s="7">
        <v>196761000</v>
      </c>
      <c r="DK216" s="7">
        <v>196761000</v>
      </c>
      <c r="DL216" s="7">
        <v>149862000</v>
      </c>
      <c r="DM216" s="7">
        <v>149862000</v>
      </c>
      <c r="DN216" s="7">
        <v>149862000</v>
      </c>
      <c r="DO216" s="7">
        <v>149862000</v>
      </c>
      <c r="DP216" s="7">
        <v>149862000</v>
      </c>
      <c r="DQ216" s="11"/>
      <c r="DR216" s="11"/>
      <c r="DS216" s="11"/>
      <c r="DT216" s="11"/>
      <c r="DU216" s="11"/>
      <c r="DV216" s="11"/>
      <c r="DW216" s="11"/>
      <c r="DX216" s="11"/>
      <c r="DY216" s="11"/>
      <c r="DZ216" s="11"/>
      <c r="EA216" s="11">
        <v>346623000</v>
      </c>
      <c r="EB216" s="11">
        <v>346623000</v>
      </c>
      <c r="EC216" s="11">
        <v>346623000</v>
      </c>
      <c r="ED216" s="11">
        <v>346623000</v>
      </c>
      <c r="EE216" s="11">
        <v>346623000</v>
      </c>
      <c r="EF216" s="7">
        <v>69000</v>
      </c>
      <c r="EG216" s="7"/>
      <c r="EH216" s="7"/>
      <c r="EI216" s="7"/>
      <c r="EJ216" s="7"/>
      <c r="EK216" s="7"/>
      <c r="EL216" s="7"/>
      <c r="EM216" s="7"/>
      <c r="EN216" s="7"/>
      <c r="EO216" s="7"/>
      <c r="EP216" s="7"/>
      <c r="EQ216" s="7"/>
      <c r="ER216" s="7"/>
      <c r="ES216" s="7"/>
      <c r="ET216" s="7"/>
      <c r="EU216" s="7"/>
      <c r="EV216" s="7"/>
      <c r="EW216" s="7"/>
      <c r="EX216" s="7"/>
      <c r="EY216" s="7"/>
      <c r="EZ216" s="11"/>
      <c r="FA216" s="11"/>
      <c r="FB216" s="11"/>
      <c r="FC216" s="11"/>
      <c r="FD216" s="11"/>
      <c r="FE216" s="11"/>
      <c r="FF216" s="11"/>
      <c r="FG216" s="11"/>
      <c r="FH216" s="11"/>
      <c r="FI216" s="11"/>
      <c r="FJ216" s="11"/>
      <c r="FK216" s="11"/>
      <c r="FL216" s="11"/>
      <c r="FM216" s="11"/>
      <c r="FN216" s="11"/>
      <c r="FO216" s="7"/>
      <c r="FP216" s="7"/>
      <c r="FQ216" s="7"/>
      <c r="FR216" s="7">
        <v>500000</v>
      </c>
      <c r="FS216" s="7">
        <v>1523000</v>
      </c>
      <c r="FT216" s="7">
        <v>69000</v>
      </c>
      <c r="FU216" s="7"/>
      <c r="FV216" s="7"/>
      <c r="FW216" s="7">
        <v>4761000</v>
      </c>
      <c r="FX216" s="7">
        <v>1523000</v>
      </c>
      <c r="FY216" s="11"/>
      <c r="FZ216" s="11"/>
      <c r="GA216" s="11"/>
      <c r="GB216" s="11"/>
      <c r="GC216" s="11"/>
      <c r="GD216" s="7"/>
      <c r="GE216" s="7"/>
      <c r="GF216" s="7"/>
      <c r="GG216" s="7">
        <v>-4261000</v>
      </c>
      <c r="GH216" s="7"/>
    </row>
    <row r="217" spans="1:190" x14ac:dyDescent="0.25">
      <c r="A217" s="4">
        <v>216</v>
      </c>
      <c r="B217" s="5" t="s">
        <v>731</v>
      </c>
      <c r="C217" s="9" t="s">
        <v>732</v>
      </c>
      <c r="D217" s="7">
        <v>21</v>
      </c>
      <c r="E217" s="6" t="s">
        <v>733</v>
      </c>
      <c r="F217" s="11">
        <v>199027</v>
      </c>
      <c r="G217" s="11"/>
      <c r="H217" s="11"/>
      <c r="I217" s="11"/>
      <c r="J217" s="11"/>
      <c r="K217" s="11">
        <v>57141417</v>
      </c>
      <c r="L217" s="11">
        <v>52313540</v>
      </c>
      <c r="M217" s="11">
        <v>19417229</v>
      </c>
      <c r="N217" s="11"/>
      <c r="O217" s="11"/>
      <c r="P217" s="7">
        <v>9246000</v>
      </c>
      <c r="Q217" s="7">
        <v>36965000</v>
      </c>
      <c r="R217" s="7">
        <v>29695000</v>
      </c>
      <c r="S217" s="7">
        <v>6380000</v>
      </c>
      <c r="T217" s="7">
        <v>1647000</v>
      </c>
      <c r="U217" s="11"/>
      <c r="V217" s="11"/>
      <c r="W217" s="11"/>
      <c r="X217" s="11"/>
      <c r="Y217" s="11"/>
      <c r="Z217" s="11">
        <v>100000</v>
      </c>
      <c r="AA217" s="11">
        <v>100000</v>
      </c>
      <c r="AB217" s="11">
        <v>100000</v>
      </c>
      <c r="AC217" s="11">
        <v>100000</v>
      </c>
      <c r="AD217" s="11">
        <v>147000</v>
      </c>
      <c r="AE217" s="11"/>
      <c r="AF217" s="11"/>
      <c r="AG217" s="11"/>
      <c r="AH217" s="11"/>
      <c r="AI217" s="11"/>
      <c r="AJ217" s="11">
        <v>9346000</v>
      </c>
      <c r="AK217" s="11">
        <v>37065000</v>
      </c>
      <c r="AL217" s="11">
        <v>29795000</v>
      </c>
      <c r="AM217" s="11">
        <v>6480000</v>
      </c>
      <c r="AN217" s="11">
        <v>1794000</v>
      </c>
      <c r="AO217" s="7">
        <v>40570000</v>
      </c>
      <c r="AP217" s="7">
        <v>12874000</v>
      </c>
      <c r="AQ217" s="7">
        <v>4533000</v>
      </c>
      <c r="AR217" s="7">
        <v>2193000</v>
      </c>
      <c r="AS217" s="7"/>
      <c r="AT217" s="7">
        <v>376156000</v>
      </c>
      <c r="AU217" s="7">
        <v>152092000</v>
      </c>
      <c r="AV217" s="7">
        <v>76896000</v>
      </c>
      <c r="AW217" s="7">
        <v>73786000</v>
      </c>
      <c r="AX217" s="7">
        <v>9456000</v>
      </c>
      <c r="AY217" s="11">
        <v>33000000</v>
      </c>
      <c r="AZ217" s="11">
        <v>582000</v>
      </c>
      <c r="BA217" s="11">
        <v>582000</v>
      </c>
      <c r="BB217" s="11"/>
      <c r="BC217" s="11"/>
      <c r="BD217" s="7">
        <v>497000</v>
      </c>
      <c r="BE217" s="7">
        <v>11086000</v>
      </c>
      <c r="BF217" s="7">
        <v>1000000</v>
      </c>
      <c r="BG217" s="7">
        <v>19921000</v>
      </c>
      <c r="BH217" s="7">
        <v>33922000</v>
      </c>
      <c r="BI217" s="11">
        <v>16315000</v>
      </c>
      <c r="BJ217" s="11">
        <v>1863000</v>
      </c>
      <c r="BK217" s="11">
        <v>320000</v>
      </c>
      <c r="BL217" s="11"/>
      <c r="BM217" s="11"/>
      <c r="BN217" s="11">
        <v>466539000</v>
      </c>
      <c r="BO217" s="11">
        <v>178620000</v>
      </c>
      <c r="BP217" s="11">
        <v>83331000</v>
      </c>
      <c r="BQ217" s="11">
        <v>95900000</v>
      </c>
      <c r="BR217" s="11">
        <v>43378000</v>
      </c>
      <c r="BS217" s="11">
        <v>475885000</v>
      </c>
      <c r="BT217" s="11">
        <v>215686000</v>
      </c>
      <c r="BU217" s="11">
        <v>113126000</v>
      </c>
      <c r="BV217" s="11">
        <v>102380000</v>
      </c>
      <c r="BW217" s="11">
        <v>45172000</v>
      </c>
      <c r="BX217" s="7">
        <v>100000</v>
      </c>
      <c r="BY217" s="7">
        <v>100000</v>
      </c>
      <c r="BZ217" s="7">
        <v>100000</v>
      </c>
      <c r="CA217" s="7"/>
      <c r="CB217" s="7"/>
      <c r="CC217" s="11"/>
      <c r="CD217" s="11"/>
      <c r="CE217" s="11"/>
      <c r="CF217" s="11"/>
      <c r="CG217" s="11"/>
      <c r="CH217" s="7">
        <v>26123000</v>
      </c>
      <c r="CI217" s="7">
        <v>-294063000</v>
      </c>
      <c r="CJ217" s="7">
        <v>-395966000</v>
      </c>
      <c r="CK217" s="7"/>
      <c r="CL217" s="7"/>
      <c r="CM217" s="11">
        <v>26223000</v>
      </c>
      <c r="CN217" s="11">
        <v>-293963000</v>
      </c>
      <c r="CO217" s="11">
        <v>-395866000</v>
      </c>
      <c r="CP217" s="11">
        <v>-386810000</v>
      </c>
      <c r="CQ217" s="11">
        <v>-475627000</v>
      </c>
      <c r="CR217" s="11">
        <v>290922000</v>
      </c>
      <c r="CS217" s="11">
        <v>257916000</v>
      </c>
      <c r="CT217" s="11">
        <v>257916000</v>
      </c>
      <c r="CU217" s="11">
        <v>257916000</v>
      </c>
      <c r="CV217" s="11"/>
      <c r="CW217" s="11"/>
      <c r="CX217" s="11"/>
      <c r="CY217" s="11"/>
      <c r="CZ217" s="11"/>
      <c r="DA217" s="11">
        <v>87000</v>
      </c>
      <c r="DB217" s="11">
        <v>290922000</v>
      </c>
      <c r="DC217" s="11">
        <v>257916000</v>
      </c>
      <c r="DD217" s="11">
        <v>257916000</v>
      </c>
      <c r="DE217" s="11">
        <v>257916000</v>
      </c>
      <c r="DF217" s="11">
        <v>87000</v>
      </c>
      <c r="DG217" s="7">
        <v>472000</v>
      </c>
      <c r="DH217" s="7">
        <v>18951000</v>
      </c>
      <c r="DI217" s="7">
        <v>18951000</v>
      </c>
      <c r="DJ217" s="7">
        <v>18951000</v>
      </c>
      <c r="DK217" s="7">
        <v>270971000</v>
      </c>
      <c r="DL217" s="7">
        <v>158268000</v>
      </c>
      <c r="DM217" s="7">
        <v>232783000</v>
      </c>
      <c r="DN217" s="7">
        <v>232125000</v>
      </c>
      <c r="DO217" s="7">
        <v>212323000</v>
      </c>
      <c r="DP217" s="7">
        <v>249741000</v>
      </c>
      <c r="DQ217" s="11"/>
      <c r="DR217" s="11"/>
      <c r="DS217" s="11"/>
      <c r="DT217" s="11"/>
      <c r="DU217" s="11"/>
      <c r="DV217" s="11"/>
      <c r="DW217" s="11"/>
      <c r="DX217" s="11"/>
      <c r="DY217" s="11"/>
      <c r="DZ217" s="11"/>
      <c r="EA217" s="11">
        <v>158740000</v>
      </c>
      <c r="EB217" s="11">
        <v>251733000</v>
      </c>
      <c r="EC217" s="11">
        <v>251076000</v>
      </c>
      <c r="ED217" s="11">
        <v>231274000</v>
      </c>
      <c r="EE217" s="11">
        <v>520712000</v>
      </c>
      <c r="EF217" s="7">
        <v>699616000</v>
      </c>
      <c r="EG217" s="7">
        <v>358333000</v>
      </c>
      <c r="EH217" s="7">
        <v>103289000</v>
      </c>
      <c r="EI217" s="7">
        <v>2540000</v>
      </c>
      <c r="EJ217" s="7">
        <v>1674000</v>
      </c>
      <c r="EK217" s="7">
        <v>566887000</v>
      </c>
      <c r="EL217" s="7">
        <v>340317000</v>
      </c>
      <c r="EM217" s="7">
        <v>143262000</v>
      </c>
      <c r="EN217" s="7">
        <v>21455000</v>
      </c>
      <c r="EO217" s="7">
        <v>9370000</v>
      </c>
      <c r="EP217" s="7"/>
      <c r="EQ217" s="7"/>
      <c r="ER217" s="7"/>
      <c r="ES217" s="7"/>
      <c r="ET217" s="7"/>
      <c r="EU217" s="7">
        <v>86936000</v>
      </c>
      <c r="EV217" s="7">
        <v>74103000</v>
      </c>
      <c r="EW217" s="7">
        <v>51332000</v>
      </c>
      <c r="EX217" s="7"/>
      <c r="EY217" s="7"/>
      <c r="EZ217" s="11"/>
      <c r="FA217" s="11"/>
      <c r="FB217" s="11"/>
      <c r="FC217" s="11"/>
      <c r="FD217" s="11"/>
      <c r="FE217" s="11"/>
      <c r="FF217" s="11"/>
      <c r="FG217" s="11"/>
      <c r="FH217" s="11"/>
      <c r="FI217" s="11"/>
      <c r="FJ217" s="11">
        <v>32658000</v>
      </c>
      <c r="FK217" s="11">
        <v>23203000</v>
      </c>
      <c r="FL217" s="11">
        <v>4901000</v>
      </c>
      <c r="FM217" s="11"/>
      <c r="FN217" s="11"/>
      <c r="FO217" s="7">
        <v>10113000</v>
      </c>
      <c r="FP217" s="7">
        <v>15417000</v>
      </c>
      <c r="FQ217" s="7">
        <v>959000</v>
      </c>
      <c r="FR217" s="7">
        <v>37944000</v>
      </c>
      <c r="FS217" s="7">
        <v>24429000</v>
      </c>
      <c r="FT217" s="7">
        <v>17868000</v>
      </c>
      <c r="FU217" s="7">
        <v>256313000</v>
      </c>
      <c r="FV217" s="7">
        <v>5134000</v>
      </c>
      <c r="FW217" s="7">
        <v>9330000</v>
      </c>
      <c r="FX217" s="7">
        <v>31000</v>
      </c>
      <c r="FY217" s="11"/>
      <c r="FZ217" s="11"/>
      <c r="GA217" s="11"/>
      <c r="GB217" s="11">
        <v>643000</v>
      </c>
      <c r="GC217" s="11">
        <v>4514000</v>
      </c>
      <c r="GD217" s="7">
        <v>5265000</v>
      </c>
      <c r="GE217" s="7">
        <v>-320186000</v>
      </c>
      <c r="GF217" s="7">
        <v>-101903000</v>
      </c>
      <c r="GG217" s="7">
        <v>9056000</v>
      </c>
      <c r="GH217" s="7">
        <v>12188000</v>
      </c>
    </row>
    <row r="218" spans="1:190" x14ac:dyDescent="0.25">
      <c r="A218" s="4">
        <v>217</v>
      </c>
      <c r="B218" s="5" t="s">
        <v>734</v>
      </c>
      <c r="C218" s="9" t="s">
        <v>735</v>
      </c>
      <c r="D218" s="7">
        <v>14</v>
      </c>
      <c r="E218" s="6" t="s">
        <v>514</v>
      </c>
      <c r="F218" s="11">
        <v>13557</v>
      </c>
      <c r="G218" s="11">
        <v>69141</v>
      </c>
      <c r="H218" s="11"/>
      <c r="I218" s="11">
        <v>181983</v>
      </c>
      <c r="J218" s="11">
        <v>4268</v>
      </c>
      <c r="K218" s="11">
        <v>1158301</v>
      </c>
      <c r="L218" s="11">
        <v>3467925</v>
      </c>
      <c r="M218" s="11">
        <v>1408000</v>
      </c>
      <c r="N218" s="11">
        <v>12050112</v>
      </c>
      <c r="O218" s="11">
        <v>83820</v>
      </c>
      <c r="P218" s="7">
        <v>3867000</v>
      </c>
      <c r="Q218" s="7"/>
      <c r="R218" s="7"/>
      <c r="S218" s="7"/>
      <c r="T218" s="7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>
        <v>10087000</v>
      </c>
      <c r="AK218" s="11">
        <v>611000</v>
      </c>
      <c r="AL218" s="11">
        <v>457000</v>
      </c>
      <c r="AM218" s="11">
        <v>404000</v>
      </c>
      <c r="AN218" s="11">
        <v>581000</v>
      </c>
      <c r="AO218" s="7">
        <v>46672000</v>
      </c>
      <c r="AP218" s="7">
        <v>8791000</v>
      </c>
      <c r="AQ218" s="7">
        <v>5465000</v>
      </c>
      <c r="AR218" s="7">
        <v>1414000</v>
      </c>
      <c r="AS218" s="7">
        <v>724000</v>
      </c>
      <c r="AT218" s="7">
        <v>189846000</v>
      </c>
      <c r="AU218" s="7">
        <v>245004000</v>
      </c>
      <c r="AV218" s="7">
        <v>175186000</v>
      </c>
      <c r="AW218" s="7">
        <v>206298000</v>
      </c>
      <c r="AX218" s="7">
        <v>208501000</v>
      </c>
      <c r="AY218" s="11">
        <v>4669000</v>
      </c>
      <c r="AZ218" s="11"/>
      <c r="BA218" s="11"/>
      <c r="BB218" s="11"/>
      <c r="BC218" s="11"/>
      <c r="BD218" s="7">
        <v>35000</v>
      </c>
      <c r="BE218" s="7">
        <v>14000</v>
      </c>
      <c r="BF218" s="7">
        <v>14000</v>
      </c>
      <c r="BG218" s="7">
        <v>14000</v>
      </c>
      <c r="BH218" s="7">
        <v>39000</v>
      </c>
      <c r="BI218" s="11">
        <v>11000</v>
      </c>
      <c r="BJ218" s="11">
        <v>17000</v>
      </c>
      <c r="BK218" s="11"/>
      <c r="BL218" s="11">
        <v>82000</v>
      </c>
      <c r="BM218" s="11"/>
      <c r="BN218" s="11">
        <v>247183000</v>
      </c>
      <c r="BO218" s="11">
        <v>253826000</v>
      </c>
      <c r="BP218" s="11">
        <v>180664000</v>
      </c>
      <c r="BQ218" s="11">
        <v>207807000</v>
      </c>
      <c r="BR218" s="11">
        <v>209264000</v>
      </c>
      <c r="BS218" s="11">
        <v>257270000</v>
      </c>
      <c r="BT218" s="11">
        <v>254436000</v>
      </c>
      <c r="BU218" s="11">
        <v>181121000</v>
      </c>
      <c r="BV218" s="11">
        <v>208211000</v>
      </c>
      <c r="BW218" s="11">
        <v>209845000</v>
      </c>
      <c r="BX218" s="7">
        <v>10000000</v>
      </c>
      <c r="BY218" s="7">
        <v>10000000</v>
      </c>
      <c r="BZ218" s="7">
        <v>10000000</v>
      </c>
      <c r="CA218" s="7">
        <v>10000000</v>
      </c>
      <c r="CB218" s="7">
        <v>10000000</v>
      </c>
      <c r="CC218" s="11"/>
      <c r="CD218" s="11"/>
      <c r="CE218" s="11"/>
      <c r="CF218" s="11"/>
      <c r="CG218" s="11"/>
      <c r="CH218" s="7">
        <v>9264000</v>
      </c>
      <c r="CI218" s="7">
        <v>4172000</v>
      </c>
      <c r="CJ218" s="7">
        <v>5043000</v>
      </c>
      <c r="CK218" s="7">
        <v>6255000</v>
      </c>
      <c r="CL218" s="7">
        <v>5306000</v>
      </c>
      <c r="CM218" s="11">
        <v>19264000</v>
      </c>
      <c r="CN218" s="11">
        <v>14172000</v>
      </c>
      <c r="CO218" s="11">
        <v>15043000</v>
      </c>
      <c r="CP218" s="11">
        <v>16255000</v>
      </c>
      <c r="CQ218" s="11">
        <v>15306000</v>
      </c>
      <c r="CR218" s="11">
        <v>28878000</v>
      </c>
      <c r="CS218" s="11"/>
      <c r="CT218" s="11"/>
      <c r="CU218" s="11"/>
      <c r="CV218" s="11">
        <v>800000</v>
      </c>
      <c r="CW218" s="11"/>
      <c r="CX218" s="11"/>
      <c r="CY218" s="11"/>
      <c r="CZ218" s="11"/>
      <c r="DA218" s="11"/>
      <c r="DB218" s="11">
        <v>43581000</v>
      </c>
      <c r="DC218" s="11">
        <v>5721000</v>
      </c>
      <c r="DD218" s="11">
        <v>5721000</v>
      </c>
      <c r="DE218" s="11">
        <v>5721000</v>
      </c>
      <c r="DF218" s="11">
        <v>7282000</v>
      </c>
      <c r="DG218" s="7">
        <v>13537000</v>
      </c>
      <c r="DH218" s="7"/>
      <c r="DI218" s="7"/>
      <c r="DJ218" s="7">
        <v>220000</v>
      </c>
      <c r="DK218" s="7">
        <v>46000</v>
      </c>
      <c r="DL218" s="7">
        <v>180165000</v>
      </c>
      <c r="DM218" s="7">
        <v>234543000</v>
      </c>
      <c r="DN218" s="7">
        <v>160357000</v>
      </c>
      <c r="DO218" s="7">
        <v>186014000</v>
      </c>
      <c r="DP218" s="7">
        <v>187211000</v>
      </c>
      <c r="DQ218" s="11"/>
      <c r="DR218" s="11"/>
      <c r="DS218" s="11"/>
      <c r="DT218" s="11"/>
      <c r="DU218" s="11"/>
      <c r="DV218" s="11"/>
      <c r="DW218" s="11"/>
      <c r="DX218" s="11"/>
      <c r="DY218" s="11"/>
      <c r="DZ218" s="11"/>
      <c r="EA218" s="11">
        <v>194425000</v>
      </c>
      <c r="EB218" s="11">
        <v>234543000</v>
      </c>
      <c r="EC218" s="11">
        <v>160357000</v>
      </c>
      <c r="ED218" s="11">
        <v>186234000</v>
      </c>
      <c r="EE218" s="11">
        <v>187257000</v>
      </c>
      <c r="EF218" s="7">
        <v>87137000</v>
      </c>
      <c r="EG218" s="7">
        <v>147986000</v>
      </c>
      <c r="EH218" s="7">
        <v>30547000</v>
      </c>
      <c r="EI218" s="7">
        <v>3738000</v>
      </c>
      <c r="EJ218" s="7">
        <v>738000</v>
      </c>
      <c r="EK218" s="7">
        <v>32874000</v>
      </c>
      <c r="EL218" s="7">
        <v>174832000</v>
      </c>
      <c r="EM218" s="7">
        <v>13563000</v>
      </c>
      <c r="EN218" s="7"/>
      <c r="EO218" s="7"/>
      <c r="EP218" s="7">
        <v>6898000</v>
      </c>
      <c r="EQ218" s="7">
        <v>6757000</v>
      </c>
      <c r="ER218" s="7">
        <v>963000</v>
      </c>
      <c r="ES218" s="7">
        <v>378000</v>
      </c>
      <c r="ET218" s="7">
        <v>180000</v>
      </c>
      <c r="EU218" s="7">
        <v>40267000</v>
      </c>
      <c r="EV218" s="7">
        <v>7540000</v>
      </c>
      <c r="EW218" s="7">
        <v>5786000</v>
      </c>
      <c r="EX218" s="7">
        <v>1804000</v>
      </c>
      <c r="EY218" s="7">
        <v>1734000</v>
      </c>
      <c r="EZ218" s="11"/>
      <c r="FA218" s="11"/>
      <c r="FB218" s="11"/>
      <c r="FC218" s="11"/>
      <c r="FD218" s="11"/>
      <c r="FE218" s="11">
        <v>193000</v>
      </c>
      <c r="FF218" s="11">
        <v>426000</v>
      </c>
      <c r="FG218" s="11"/>
      <c r="FH218" s="11"/>
      <c r="FI218" s="11"/>
      <c r="FJ218" s="11">
        <v>4936000</v>
      </c>
      <c r="FK218" s="11">
        <v>814000</v>
      </c>
      <c r="FL218" s="11"/>
      <c r="FM218" s="11"/>
      <c r="FN218" s="11">
        <v>46000</v>
      </c>
      <c r="FO218" s="7">
        <v>8808000</v>
      </c>
      <c r="FP218" s="7">
        <v>163505000</v>
      </c>
      <c r="FQ218" s="7">
        <v>192302000</v>
      </c>
      <c r="FR218" s="7"/>
      <c r="FS218" s="7">
        <v>2888000</v>
      </c>
      <c r="FT218" s="7">
        <v>11081000</v>
      </c>
      <c r="FU218" s="7">
        <v>152853000</v>
      </c>
      <c r="FV218" s="7">
        <v>201426000</v>
      </c>
      <c r="FW218" s="7">
        <v>1134000</v>
      </c>
      <c r="FX218" s="7">
        <v>2032000</v>
      </c>
      <c r="FY218" s="11">
        <v>-6037000</v>
      </c>
      <c r="FZ218" s="11">
        <v>3369000</v>
      </c>
      <c r="GA218" s="11">
        <v>-239000</v>
      </c>
      <c r="GB218" s="11">
        <v>-84000</v>
      </c>
      <c r="GC218" s="11">
        <v>-584000</v>
      </c>
      <c r="GD218" s="7">
        <v>-5955000</v>
      </c>
      <c r="GE218" s="7">
        <v>-27510000</v>
      </c>
      <c r="GF218" s="7">
        <v>872000</v>
      </c>
      <c r="GG218" s="7">
        <v>338000</v>
      </c>
      <c r="GH218" s="7">
        <v>-950000</v>
      </c>
    </row>
    <row r="219" spans="1:190" ht="26.25" x14ac:dyDescent="0.25">
      <c r="A219" s="4">
        <v>218</v>
      </c>
      <c r="B219" s="5" t="s">
        <v>736</v>
      </c>
      <c r="C219" s="9" t="s">
        <v>737</v>
      </c>
      <c r="D219" s="7">
        <v>17</v>
      </c>
      <c r="E219" s="6" t="s">
        <v>375</v>
      </c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7">
        <v>85108000</v>
      </c>
      <c r="Q219" s="7">
        <v>81850000</v>
      </c>
      <c r="R219" s="7">
        <v>74144000</v>
      </c>
      <c r="S219" s="7">
        <v>94984000</v>
      </c>
      <c r="T219" s="7">
        <v>73871000</v>
      </c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>
        <v>85108000</v>
      </c>
      <c r="AK219" s="11">
        <v>81850000</v>
      </c>
      <c r="AL219" s="11">
        <v>74144000</v>
      </c>
      <c r="AM219" s="11">
        <v>94984000</v>
      </c>
      <c r="AN219" s="11">
        <v>73871000</v>
      </c>
      <c r="AO219" s="7">
        <v>13000</v>
      </c>
      <c r="AP219" s="7">
        <v>66000</v>
      </c>
      <c r="AQ219" s="7">
        <v>28000</v>
      </c>
      <c r="AR219" s="7">
        <v>28000</v>
      </c>
      <c r="AS219" s="7">
        <v>120000</v>
      </c>
      <c r="AT219" s="7">
        <v>17051000</v>
      </c>
      <c r="AU219" s="7">
        <v>13342000</v>
      </c>
      <c r="AV219" s="7">
        <v>23104000</v>
      </c>
      <c r="AW219" s="7">
        <v>28649000</v>
      </c>
      <c r="AX219" s="7">
        <v>31101000</v>
      </c>
      <c r="AY219" s="11">
        <v>1825000</v>
      </c>
      <c r="AZ219" s="11"/>
      <c r="BA219" s="11">
        <v>2911000</v>
      </c>
      <c r="BB219" s="11">
        <v>17922000</v>
      </c>
      <c r="BC219" s="11">
        <v>17007000</v>
      </c>
      <c r="BD219" s="7">
        <v>60000</v>
      </c>
      <c r="BE219" s="7">
        <v>36000</v>
      </c>
      <c r="BF219" s="7">
        <v>2000</v>
      </c>
      <c r="BG219" s="7">
        <v>58000</v>
      </c>
      <c r="BH219" s="7">
        <v>24000</v>
      </c>
      <c r="BI219" s="11"/>
      <c r="BJ219" s="11"/>
      <c r="BK219" s="11"/>
      <c r="BL219" s="11"/>
      <c r="BM219" s="11"/>
      <c r="BN219" s="11">
        <v>18949000</v>
      </c>
      <c r="BO219" s="11">
        <v>13444000</v>
      </c>
      <c r="BP219" s="11">
        <v>26044000</v>
      </c>
      <c r="BQ219" s="11">
        <v>46657000</v>
      </c>
      <c r="BR219" s="11">
        <v>48252000</v>
      </c>
      <c r="BS219" s="11">
        <v>104056000</v>
      </c>
      <c r="BT219" s="11">
        <v>95294000</v>
      </c>
      <c r="BU219" s="11">
        <v>100189000</v>
      </c>
      <c r="BV219" s="11">
        <v>141641000</v>
      </c>
      <c r="BW219" s="11">
        <v>122123000</v>
      </c>
      <c r="BX219" s="7">
        <v>1000000</v>
      </c>
      <c r="BY219" s="7">
        <v>1000000</v>
      </c>
      <c r="BZ219" s="7">
        <v>1000000</v>
      </c>
      <c r="CA219" s="7">
        <v>1000000</v>
      </c>
      <c r="CB219" s="7">
        <v>1000000</v>
      </c>
      <c r="CC219" s="11"/>
      <c r="CD219" s="11"/>
      <c r="CE219" s="11"/>
      <c r="CF219" s="11"/>
      <c r="CG219" s="11"/>
      <c r="CH219" s="7">
        <v>60122000</v>
      </c>
      <c r="CI219" s="7">
        <v>64105000</v>
      </c>
      <c r="CJ219" s="7">
        <v>74105000</v>
      </c>
      <c r="CK219" s="7">
        <v>70593000</v>
      </c>
      <c r="CL219" s="7">
        <v>68846000</v>
      </c>
      <c r="CM219" s="11">
        <v>61122000</v>
      </c>
      <c r="CN219" s="11">
        <v>65105000</v>
      </c>
      <c r="CO219" s="11">
        <v>75105000</v>
      </c>
      <c r="CP219" s="11">
        <v>71593000</v>
      </c>
      <c r="CQ219" s="11">
        <v>69846000</v>
      </c>
      <c r="CR219" s="11">
        <v>12149000</v>
      </c>
      <c r="CS219" s="11">
        <v>8399000</v>
      </c>
      <c r="CT219" s="11">
        <v>11559000</v>
      </c>
      <c r="CU219" s="11">
        <v>29963000</v>
      </c>
      <c r="CV219" s="11">
        <v>29862000</v>
      </c>
      <c r="CW219" s="11"/>
      <c r="CX219" s="11"/>
      <c r="CY219" s="11"/>
      <c r="CZ219" s="11">
        <v>13569000</v>
      </c>
      <c r="DA219" s="11"/>
      <c r="DB219" s="11">
        <v>12149000</v>
      </c>
      <c r="DC219" s="11">
        <v>8399000</v>
      </c>
      <c r="DD219" s="11">
        <v>11559000</v>
      </c>
      <c r="DE219" s="11">
        <v>43531000</v>
      </c>
      <c r="DF219" s="11">
        <v>29862000</v>
      </c>
      <c r="DG219" s="7">
        <v>3383000</v>
      </c>
      <c r="DH219" s="7">
        <v>3786000</v>
      </c>
      <c r="DI219" s="7">
        <v>1650000</v>
      </c>
      <c r="DJ219" s="7">
        <v>130000</v>
      </c>
      <c r="DK219" s="7">
        <v>617000</v>
      </c>
      <c r="DL219" s="7">
        <v>27403000</v>
      </c>
      <c r="DM219" s="7">
        <v>18004000</v>
      </c>
      <c r="DN219" s="7">
        <v>11875000</v>
      </c>
      <c r="DO219" s="7">
        <v>26386000</v>
      </c>
      <c r="DP219" s="7">
        <v>21799000</v>
      </c>
      <c r="DQ219" s="11"/>
      <c r="DR219" s="11"/>
      <c r="DS219" s="11"/>
      <c r="DT219" s="11"/>
      <c r="DU219" s="11"/>
      <c r="DV219" s="11"/>
      <c r="DW219" s="11"/>
      <c r="DX219" s="11"/>
      <c r="DY219" s="11"/>
      <c r="DZ219" s="11"/>
      <c r="EA219" s="11">
        <v>30786000</v>
      </c>
      <c r="EB219" s="11">
        <v>21790000</v>
      </c>
      <c r="EC219" s="11">
        <v>13525000</v>
      </c>
      <c r="ED219" s="11">
        <v>26516000</v>
      </c>
      <c r="EE219" s="11">
        <v>22416000</v>
      </c>
      <c r="EF219" s="7">
        <v>13355000</v>
      </c>
      <c r="EG219" s="7">
        <v>13400000</v>
      </c>
      <c r="EH219" s="7">
        <v>23411000</v>
      </c>
      <c r="EI219" s="7">
        <v>42191000</v>
      </c>
      <c r="EJ219" s="7">
        <v>18982000</v>
      </c>
      <c r="EK219" s="7"/>
      <c r="EL219" s="7"/>
      <c r="EM219" s="7">
        <v>58000</v>
      </c>
      <c r="EN219" s="7">
        <v>4836000</v>
      </c>
      <c r="EO219" s="7">
        <v>17000</v>
      </c>
      <c r="EP219" s="7"/>
      <c r="EQ219" s="7"/>
      <c r="ER219" s="7"/>
      <c r="ES219" s="7"/>
      <c r="ET219" s="7">
        <v>60000</v>
      </c>
      <c r="EU219" s="7">
        <v>7760000</v>
      </c>
      <c r="EV219" s="7">
        <v>8970000</v>
      </c>
      <c r="EW219" s="7">
        <v>12046000</v>
      </c>
      <c r="EX219" s="7">
        <v>16668000</v>
      </c>
      <c r="EY219" s="7">
        <v>20852000</v>
      </c>
      <c r="EZ219" s="11"/>
      <c r="FA219" s="11"/>
      <c r="FB219" s="11"/>
      <c r="FC219" s="11"/>
      <c r="FD219" s="11"/>
      <c r="FE219" s="11">
        <v>2626000</v>
      </c>
      <c r="FF219" s="11">
        <v>1000</v>
      </c>
      <c r="FG219" s="11">
        <v>24000</v>
      </c>
      <c r="FH219" s="11">
        <v>281000</v>
      </c>
      <c r="FI219" s="11">
        <v>373000</v>
      </c>
      <c r="FJ219" s="11">
        <v>1097000</v>
      </c>
      <c r="FK219" s="11">
        <v>1289000</v>
      </c>
      <c r="FL219" s="11">
        <v>959000</v>
      </c>
      <c r="FM219" s="11">
        <v>8633000</v>
      </c>
      <c r="FN219" s="11">
        <v>4483000</v>
      </c>
      <c r="FO219" s="7">
        <v>22998000</v>
      </c>
      <c r="FP219" s="7">
        <v>9052000</v>
      </c>
      <c r="FQ219" s="7">
        <v>8300000</v>
      </c>
      <c r="FR219" s="7">
        <v>11108000</v>
      </c>
      <c r="FS219" s="7">
        <v>9330000</v>
      </c>
      <c r="FT219" s="7">
        <v>25059000</v>
      </c>
      <c r="FU219" s="7">
        <v>7018000</v>
      </c>
      <c r="FV219" s="7">
        <v>7319000</v>
      </c>
      <c r="FW219" s="7">
        <v>13468000</v>
      </c>
      <c r="FX219" s="7">
        <v>4056000</v>
      </c>
      <c r="FY219" s="11">
        <v>-2044000</v>
      </c>
      <c r="FZ219" s="11">
        <v>-1193000</v>
      </c>
      <c r="GA219" s="11">
        <v>-1353000</v>
      </c>
      <c r="GB219" s="11">
        <v>-3120000</v>
      </c>
      <c r="GC219" s="11">
        <v>-840000</v>
      </c>
      <c r="GD219" s="7">
        <v>3019000</v>
      </c>
      <c r="GE219" s="7">
        <v>3983000</v>
      </c>
      <c r="GF219" s="7">
        <v>10000000</v>
      </c>
      <c r="GG219" s="7">
        <v>6855000</v>
      </c>
      <c r="GH219" s="7">
        <v>-1589000</v>
      </c>
    </row>
    <row r="220" spans="1:190" x14ac:dyDescent="0.25">
      <c r="A220" s="4">
        <v>219</v>
      </c>
      <c r="B220" s="5" t="s">
        <v>738</v>
      </c>
      <c r="C220" s="9" t="s">
        <v>739</v>
      </c>
      <c r="D220" s="7">
        <v>23</v>
      </c>
      <c r="E220" s="6" t="s">
        <v>740</v>
      </c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7"/>
      <c r="Q220" s="7"/>
      <c r="R220" s="7"/>
      <c r="S220" s="7"/>
      <c r="T220" s="7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11"/>
      <c r="AZ220" s="11"/>
      <c r="BA220" s="11"/>
      <c r="BB220" s="11"/>
      <c r="BC220" s="11"/>
      <c r="BD220" s="7"/>
      <c r="BE220" s="7"/>
      <c r="BF220" s="7"/>
      <c r="BG220" s="7"/>
      <c r="BH220" s="7"/>
      <c r="BI220" s="11"/>
      <c r="BJ220" s="11"/>
      <c r="BK220" s="11"/>
      <c r="BL220" s="11"/>
      <c r="BM220" s="11"/>
      <c r="BN220" s="11"/>
      <c r="BO220" s="11"/>
      <c r="BP220" s="11"/>
      <c r="BQ220" s="11"/>
      <c r="BR220" s="11"/>
      <c r="BS220" s="11"/>
      <c r="BT220" s="11"/>
      <c r="BU220" s="11"/>
      <c r="BV220" s="11"/>
      <c r="BW220" s="11"/>
      <c r="BX220" s="7"/>
      <c r="BY220" s="7"/>
      <c r="BZ220" s="7"/>
      <c r="CA220" s="7"/>
      <c r="CB220" s="7"/>
      <c r="CC220" s="11"/>
      <c r="CD220" s="11"/>
      <c r="CE220" s="11"/>
      <c r="CF220" s="11"/>
      <c r="CG220" s="11"/>
      <c r="CH220" s="7"/>
      <c r="CI220" s="7"/>
      <c r="CJ220" s="7"/>
      <c r="CK220" s="7"/>
      <c r="CL220" s="7"/>
      <c r="CM220" s="11"/>
      <c r="CN220" s="11"/>
      <c r="CO220" s="11"/>
      <c r="CP220" s="11"/>
      <c r="CQ220" s="11"/>
      <c r="CR220" s="11"/>
      <c r="CS220" s="11"/>
      <c r="CT220" s="11"/>
      <c r="CU220" s="11"/>
      <c r="CV220" s="11"/>
      <c r="CW220" s="11"/>
      <c r="CX220" s="11"/>
      <c r="CY220" s="11"/>
      <c r="CZ220" s="11"/>
      <c r="DA220" s="11"/>
      <c r="DB220" s="11"/>
      <c r="DC220" s="11"/>
      <c r="DD220" s="11"/>
      <c r="DE220" s="11"/>
      <c r="DF220" s="11"/>
      <c r="DG220" s="7"/>
      <c r="DH220" s="7"/>
      <c r="DI220" s="7"/>
      <c r="DJ220" s="7"/>
      <c r="DK220" s="7"/>
      <c r="DL220" s="7"/>
      <c r="DM220" s="7"/>
      <c r="DN220" s="7"/>
      <c r="DO220" s="7"/>
      <c r="DP220" s="7"/>
      <c r="DQ220" s="11"/>
      <c r="DR220" s="11"/>
      <c r="DS220" s="11"/>
      <c r="DT220" s="11"/>
      <c r="DU220" s="11"/>
      <c r="DV220" s="11"/>
      <c r="DW220" s="11"/>
      <c r="DX220" s="11"/>
      <c r="DY220" s="11"/>
      <c r="DZ220" s="11"/>
      <c r="EA220" s="11"/>
      <c r="EB220" s="11"/>
      <c r="EC220" s="11"/>
      <c r="ED220" s="11"/>
      <c r="EE220" s="11"/>
      <c r="EF220" s="7"/>
      <c r="EG220" s="7"/>
      <c r="EH220" s="7"/>
      <c r="EI220" s="7"/>
      <c r="EJ220" s="7"/>
      <c r="EK220" s="7"/>
      <c r="EL220" s="7"/>
      <c r="EM220" s="7"/>
      <c r="EN220" s="7"/>
      <c r="EO220" s="7"/>
      <c r="EP220" s="7"/>
      <c r="EQ220" s="7"/>
      <c r="ER220" s="7"/>
      <c r="ES220" s="7"/>
      <c r="ET220" s="7"/>
      <c r="EU220" s="7"/>
      <c r="EV220" s="7"/>
      <c r="EW220" s="7"/>
      <c r="EX220" s="7"/>
      <c r="EY220" s="7"/>
      <c r="EZ220" s="11"/>
      <c r="FA220" s="11"/>
      <c r="FB220" s="11"/>
      <c r="FC220" s="11"/>
      <c r="FD220" s="11"/>
      <c r="FE220" s="11"/>
      <c r="FF220" s="11"/>
      <c r="FG220" s="11"/>
      <c r="FH220" s="11"/>
      <c r="FI220" s="11"/>
      <c r="FJ220" s="11"/>
      <c r="FK220" s="11"/>
      <c r="FL220" s="11"/>
      <c r="FM220" s="11"/>
      <c r="FN220" s="11"/>
      <c r="FO220" s="7"/>
      <c r="FP220" s="7"/>
      <c r="FQ220" s="7"/>
      <c r="FR220" s="7"/>
      <c r="FS220" s="7"/>
      <c r="FT220" s="7"/>
      <c r="FU220" s="7"/>
      <c r="FV220" s="7"/>
      <c r="FW220" s="7"/>
      <c r="FX220" s="7"/>
      <c r="FY220" s="11"/>
      <c r="FZ220" s="11"/>
      <c r="GA220" s="11"/>
      <c r="GB220" s="11"/>
      <c r="GC220" s="11"/>
      <c r="GD220" s="7"/>
      <c r="GE220" s="7"/>
      <c r="GF220" s="7"/>
      <c r="GG220" s="7"/>
      <c r="GH220" s="7"/>
    </row>
    <row r="221" spans="1:190" x14ac:dyDescent="0.25">
      <c r="A221" s="4">
        <v>220</v>
      </c>
      <c r="B221" s="5" t="s">
        <v>741</v>
      </c>
      <c r="C221" s="9" t="s">
        <v>742</v>
      </c>
      <c r="D221" s="7">
        <v>22</v>
      </c>
      <c r="E221" s="6" t="s">
        <v>190</v>
      </c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7"/>
      <c r="Q221" s="7"/>
      <c r="R221" s="7"/>
      <c r="S221" s="7"/>
      <c r="T221" s="7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7"/>
      <c r="AP221" s="7"/>
      <c r="AQ221" s="7">
        <v>3565000</v>
      </c>
      <c r="AR221" s="7">
        <v>2568000</v>
      </c>
      <c r="AS221" s="7">
        <v>10000</v>
      </c>
      <c r="AT221" s="7"/>
      <c r="AU221" s="7">
        <v>2900000</v>
      </c>
      <c r="AV221" s="7">
        <v>3295000</v>
      </c>
      <c r="AW221" s="7">
        <v>2873000</v>
      </c>
      <c r="AX221" s="7"/>
      <c r="AY221" s="11"/>
      <c r="AZ221" s="11"/>
      <c r="BA221" s="11"/>
      <c r="BB221" s="11"/>
      <c r="BC221" s="11"/>
      <c r="BD221" s="7">
        <v>10000</v>
      </c>
      <c r="BE221" s="7">
        <v>5140000</v>
      </c>
      <c r="BF221" s="7">
        <v>258000</v>
      </c>
      <c r="BG221" s="7">
        <v>1229000</v>
      </c>
      <c r="BH221" s="7"/>
      <c r="BI221" s="11"/>
      <c r="BJ221" s="11"/>
      <c r="BK221" s="11"/>
      <c r="BL221" s="11"/>
      <c r="BM221" s="11"/>
      <c r="BN221" s="11">
        <v>10000</v>
      </c>
      <c r="BO221" s="11">
        <v>8040000</v>
      </c>
      <c r="BP221" s="11">
        <v>7118000</v>
      </c>
      <c r="BQ221" s="11">
        <v>6670000</v>
      </c>
      <c r="BR221" s="11">
        <v>10000</v>
      </c>
      <c r="BS221" s="11">
        <v>10000</v>
      </c>
      <c r="BT221" s="11">
        <v>8040000</v>
      </c>
      <c r="BU221" s="11">
        <v>7118000</v>
      </c>
      <c r="BV221" s="11">
        <v>6670000</v>
      </c>
      <c r="BW221" s="11">
        <v>10000</v>
      </c>
      <c r="BX221" s="7"/>
      <c r="BY221" s="7"/>
      <c r="BZ221" s="7"/>
      <c r="CA221" s="7"/>
      <c r="CB221" s="7"/>
      <c r="CC221" s="11"/>
      <c r="CD221" s="11"/>
      <c r="CE221" s="11"/>
      <c r="CF221" s="11"/>
      <c r="CG221" s="11"/>
      <c r="CH221" s="7"/>
      <c r="CI221" s="7"/>
      <c r="CJ221" s="7"/>
      <c r="CK221" s="7"/>
      <c r="CL221" s="7"/>
      <c r="CM221" s="11">
        <v>10000</v>
      </c>
      <c r="CN221" s="11">
        <v>1448000</v>
      </c>
      <c r="CO221" s="11">
        <v>2631000</v>
      </c>
      <c r="CP221" s="11">
        <v>2068000</v>
      </c>
      <c r="CQ221" s="11">
        <v>10000</v>
      </c>
      <c r="CR221" s="11"/>
      <c r="CS221" s="11">
        <v>6592000</v>
      </c>
      <c r="CT221" s="11">
        <v>4487000</v>
      </c>
      <c r="CU221" s="11">
        <v>4602000</v>
      </c>
      <c r="CV221" s="11"/>
      <c r="CW221" s="11"/>
      <c r="CX221" s="11"/>
      <c r="CY221" s="11"/>
      <c r="CZ221" s="11"/>
      <c r="DA221" s="11"/>
      <c r="DB221" s="11"/>
      <c r="DC221" s="11">
        <v>6592000</v>
      </c>
      <c r="DD221" s="11">
        <v>4487000</v>
      </c>
      <c r="DE221" s="11">
        <v>4602000</v>
      </c>
      <c r="DF221" s="11"/>
      <c r="DG221" s="7"/>
      <c r="DH221" s="7"/>
      <c r="DI221" s="7"/>
      <c r="DJ221" s="7"/>
      <c r="DK221" s="7"/>
      <c r="DL221" s="7"/>
      <c r="DM221" s="7"/>
      <c r="DN221" s="7"/>
      <c r="DO221" s="7"/>
      <c r="DP221" s="7"/>
      <c r="DQ221" s="11"/>
      <c r="DR221" s="11"/>
      <c r="DS221" s="11"/>
      <c r="DT221" s="11"/>
      <c r="DU221" s="11"/>
      <c r="DV221" s="11"/>
      <c r="DW221" s="11"/>
      <c r="DX221" s="11"/>
      <c r="DY221" s="11"/>
      <c r="DZ221" s="11"/>
      <c r="EA221" s="11"/>
      <c r="EB221" s="11"/>
      <c r="EC221" s="11"/>
      <c r="ED221" s="11"/>
      <c r="EE221" s="11"/>
      <c r="EF221" s="7">
        <v>19702000</v>
      </c>
      <c r="EG221" s="7">
        <v>26606000</v>
      </c>
      <c r="EH221" s="7">
        <v>38147000</v>
      </c>
      <c r="EI221" s="7">
        <v>36278000</v>
      </c>
      <c r="EJ221" s="7">
        <v>23678000</v>
      </c>
      <c r="EK221" s="7">
        <v>18376000</v>
      </c>
      <c r="EL221" s="7">
        <v>24809000</v>
      </c>
      <c r="EM221" s="7">
        <v>34870000</v>
      </c>
      <c r="EN221" s="7">
        <v>33857000</v>
      </c>
      <c r="EO221" s="7">
        <v>21982000</v>
      </c>
      <c r="EP221" s="7"/>
      <c r="EQ221" s="7"/>
      <c r="ER221" s="7"/>
      <c r="ES221" s="7"/>
      <c r="ET221" s="7"/>
      <c r="EU221" s="7"/>
      <c r="EV221" s="7"/>
      <c r="EW221" s="7"/>
      <c r="EX221" s="7"/>
      <c r="EY221" s="7"/>
      <c r="EZ221" s="11"/>
      <c r="FA221" s="11"/>
      <c r="FB221" s="11"/>
      <c r="FC221" s="11"/>
      <c r="FD221" s="11"/>
      <c r="FE221" s="11"/>
      <c r="FF221" s="11"/>
      <c r="FG221" s="11"/>
      <c r="FH221" s="11"/>
      <c r="FI221" s="11"/>
      <c r="FJ221" s="11"/>
      <c r="FK221" s="11"/>
      <c r="FL221" s="11"/>
      <c r="FM221" s="11"/>
      <c r="FN221" s="11"/>
      <c r="FO221" s="7"/>
      <c r="FP221" s="7"/>
      <c r="FQ221" s="7"/>
      <c r="FR221" s="7"/>
      <c r="FS221" s="7"/>
      <c r="FT221" s="7"/>
      <c r="FU221" s="7"/>
      <c r="FV221" s="7"/>
      <c r="FW221" s="7"/>
      <c r="FX221" s="7"/>
      <c r="FY221" s="11"/>
      <c r="FZ221" s="11">
        <v>359000</v>
      </c>
      <c r="GA221" s="11">
        <v>656000</v>
      </c>
      <c r="GB221" s="11">
        <v>363000</v>
      </c>
      <c r="GC221" s="11">
        <v>237000</v>
      </c>
      <c r="GD221" s="7">
        <v>1326000</v>
      </c>
      <c r="GE221" s="7">
        <v>1438000</v>
      </c>
      <c r="GF221" s="7">
        <v>2621000</v>
      </c>
      <c r="GG221" s="7">
        <v>2058000</v>
      </c>
      <c r="GH221" s="7">
        <v>1459000</v>
      </c>
    </row>
    <row r="222" spans="1:190" x14ac:dyDescent="0.25">
      <c r="A222" s="4">
        <v>221</v>
      </c>
      <c r="B222" s="5" t="s">
        <v>743</v>
      </c>
      <c r="C222" s="9" t="s">
        <v>744</v>
      </c>
      <c r="D222" s="7">
        <v>23</v>
      </c>
      <c r="E222" s="6" t="s">
        <v>683</v>
      </c>
      <c r="F222" s="11"/>
      <c r="G222" s="11"/>
      <c r="H222" s="11"/>
      <c r="I222" s="11">
        <v>7562</v>
      </c>
      <c r="J222" s="11"/>
      <c r="K222" s="11">
        <v>490807</v>
      </c>
      <c r="L222" s="11"/>
      <c r="M222" s="11"/>
      <c r="N222" s="11">
        <v>22883</v>
      </c>
      <c r="O222" s="11">
        <v>10108</v>
      </c>
      <c r="P222" s="7"/>
      <c r="Q222" s="7"/>
      <c r="R222" s="7"/>
      <c r="S222" s="7"/>
      <c r="T222" s="7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7"/>
      <c r="AP222" s="7"/>
      <c r="AQ222" s="7"/>
      <c r="AR222" s="7"/>
      <c r="AS222" s="7"/>
      <c r="AT222" s="7">
        <v>160753000</v>
      </c>
      <c r="AU222" s="7">
        <v>84729000</v>
      </c>
      <c r="AV222" s="7">
        <v>54723000</v>
      </c>
      <c r="AW222" s="7">
        <v>45031000</v>
      </c>
      <c r="AX222" s="7">
        <v>45031000</v>
      </c>
      <c r="AY222" s="11">
        <v>48600000</v>
      </c>
      <c r="AZ222" s="11"/>
      <c r="BA222" s="11"/>
      <c r="BB222" s="11"/>
      <c r="BC222" s="11"/>
      <c r="BD222" s="7">
        <v>7031000</v>
      </c>
      <c r="BE222" s="7">
        <v>12200000</v>
      </c>
      <c r="BF222" s="7"/>
      <c r="BG222" s="7"/>
      <c r="BH222" s="7"/>
      <c r="BI222" s="11"/>
      <c r="BJ222" s="11"/>
      <c r="BK222" s="11"/>
      <c r="BL222" s="11"/>
      <c r="BM222" s="11"/>
      <c r="BN222" s="11">
        <v>216385000</v>
      </c>
      <c r="BO222" s="11">
        <v>96929000</v>
      </c>
      <c r="BP222" s="11">
        <v>54723000</v>
      </c>
      <c r="BQ222" s="11">
        <v>45031000</v>
      </c>
      <c r="BR222" s="11">
        <v>45031000</v>
      </c>
      <c r="BS222" s="11">
        <v>216385000</v>
      </c>
      <c r="BT222" s="11">
        <v>96929000</v>
      </c>
      <c r="BU222" s="11">
        <v>54723000</v>
      </c>
      <c r="BV222" s="11">
        <v>45031000</v>
      </c>
      <c r="BW222" s="11">
        <v>45031000</v>
      </c>
      <c r="BX222" s="7">
        <v>103932000</v>
      </c>
      <c r="BY222" s="7">
        <v>103932000</v>
      </c>
      <c r="BZ222" s="7">
        <v>103932000</v>
      </c>
      <c r="CA222" s="7">
        <v>103932000</v>
      </c>
      <c r="CB222" s="7">
        <v>103932000</v>
      </c>
      <c r="CC222" s="11"/>
      <c r="CD222" s="11"/>
      <c r="CE222" s="11"/>
      <c r="CF222" s="11"/>
      <c r="CG222" s="11"/>
      <c r="CH222" s="7">
        <v>-24240000</v>
      </c>
      <c r="CI222" s="7">
        <v>-147003000</v>
      </c>
      <c r="CJ222" s="7">
        <v>-185329000</v>
      </c>
      <c r="CK222" s="7">
        <v>-195217000</v>
      </c>
      <c r="CL222" s="7">
        <v>-195329000</v>
      </c>
      <c r="CM222" s="11">
        <v>44597000</v>
      </c>
      <c r="CN222" s="11">
        <v>-78165000</v>
      </c>
      <c r="CO222" s="11">
        <v>-116491000</v>
      </c>
      <c r="CP222" s="11">
        <v>-126379000</v>
      </c>
      <c r="CQ222" s="11">
        <v>-126491000</v>
      </c>
      <c r="CR222" s="11">
        <v>30761000</v>
      </c>
      <c r="CS222" s="11">
        <v>30761000</v>
      </c>
      <c r="CT222" s="11">
        <v>30761000</v>
      </c>
      <c r="CU222" s="11">
        <v>30761000</v>
      </c>
      <c r="CV222" s="11">
        <v>30761000</v>
      </c>
      <c r="CW222" s="11"/>
      <c r="CX222" s="11"/>
      <c r="CY222" s="11"/>
      <c r="CZ222" s="11"/>
      <c r="DA222" s="11"/>
      <c r="DB222" s="11">
        <v>30761000</v>
      </c>
      <c r="DC222" s="11">
        <v>30761000</v>
      </c>
      <c r="DD222" s="11">
        <v>30761000</v>
      </c>
      <c r="DE222" s="11">
        <v>30761000</v>
      </c>
      <c r="DF222" s="11">
        <v>30761000</v>
      </c>
      <c r="DG222" s="7">
        <v>41056000</v>
      </c>
      <c r="DH222" s="7">
        <v>41056000</v>
      </c>
      <c r="DI222" s="7">
        <v>41056000</v>
      </c>
      <c r="DJ222" s="7">
        <v>41056000</v>
      </c>
      <c r="DK222" s="7">
        <v>41056000</v>
      </c>
      <c r="DL222" s="7">
        <v>99971000</v>
      </c>
      <c r="DM222" s="7">
        <v>103277000</v>
      </c>
      <c r="DN222" s="7">
        <v>99397000</v>
      </c>
      <c r="DO222" s="7">
        <v>99593000</v>
      </c>
      <c r="DP222" s="7">
        <v>99705000</v>
      </c>
      <c r="DQ222" s="11"/>
      <c r="DR222" s="11"/>
      <c r="DS222" s="11"/>
      <c r="DT222" s="11"/>
      <c r="DU222" s="11"/>
      <c r="DV222" s="11"/>
      <c r="DW222" s="11"/>
      <c r="DX222" s="11"/>
      <c r="DY222" s="11"/>
      <c r="DZ222" s="11"/>
      <c r="EA222" s="11">
        <v>141027000</v>
      </c>
      <c r="EB222" s="11">
        <v>144334000</v>
      </c>
      <c r="EC222" s="11">
        <v>140454000</v>
      </c>
      <c r="ED222" s="11">
        <v>140649000</v>
      </c>
      <c r="EE222" s="11">
        <v>140761000</v>
      </c>
      <c r="EF222" s="7">
        <v>6766000</v>
      </c>
      <c r="EG222" s="7"/>
      <c r="EH222" s="7"/>
      <c r="EI222" s="7"/>
      <c r="EJ222" s="7"/>
      <c r="EK222" s="7"/>
      <c r="EL222" s="7"/>
      <c r="EM222" s="7"/>
      <c r="EN222" s="7"/>
      <c r="EO222" s="7"/>
      <c r="EP222" s="7"/>
      <c r="EQ222" s="7"/>
      <c r="ER222" s="7"/>
      <c r="ES222" s="7"/>
      <c r="ET222" s="7"/>
      <c r="EU222" s="7">
        <v>5217000</v>
      </c>
      <c r="EV222" s="7">
        <v>1843000</v>
      </c>
      <c r="EW222" s="7">
        <v>1567000</v>
      </c>
      <c r="EX222" s="7">
        <v>1565000</v>
      </c>
      <c r="EY222" s="7">
        <v>1568000</v>
      </c>
      <c r="EZ222" s="11"/>
      <c r="FA222" s="11"/>
      <c r="FB222" s="11"/>
      <c r="FC222" s="11"/>
      <c r="FD222" s="11"/>
      <c r="FE222" s="11"/>
      <c r="FF222" s="11"/>
      <c r="FG222" s="11"/>
      <c r="FH222" s="11"/>
      <c r="FI222" s="11"/>
      <c r="FJ222" s="11"/>
      <c r="FK222" s="11"/>
      <c r="FL222" s="11"/>
      <c r="FM222" s="11"/>
      <c r="FN222" s="11"/>
      <c r="FO222" s="7">
        <v>86153000</v>
      </c>
      <c r="FP222" s="7">
        <v>4330000</v>
      </c>
      <c r="FQ222" s="7">
        <v>2496000</v>
      </c>
      <c r="FR222" s="7">
        <v>1084000</v>
      </c>
      <c r="FS222" s="7"/>
      <c r="FT222" s="7">
        <v>67883000</v>
      </c>
      <c r="FU222" s="7">
        <v>106795000</v>
      </c>
      <c r="FV222" s="7">
        <v>1257000</v>
      </c>
      <c r="FW222" s="7">
        <v>1243000</v>
      </c>
      <c r="FX222" s="7">
        <v>1210000</v>
      </c>
      <c r="FY222" s="11"/>
      <c r="FZ222" s="11"/>
      <c r="GA222" s="11"/>
      <c r="GB222" s="11"/>
      <c r="GC222" s="11"/>
      <c r="GD222" s="7">
        <v>19819000</v>
      </c>
      <c r="GE222" s="7">
        <v>-114830000</v>
      </c>
      <c r="GF222" s="7">
        <v>-328000</v>
      </c>
      <c r="GG222" s="7">
        <v>-1724000</v>
      </c>
      <c r="GH222" s="7">
        <v>-2778000</v>
      </c>
    </row>
    <row r="223" spans="1:190" x14ac:dyDescent="0.25">
      <c r="A223" s="4">
        <v>222</v>
      </c>
      <c r="B223" s="5" t="s">
        <v>745</v>
      </c>
      <c r="C223" s="9" t="s">
        <v>746</v>
      </c>
      <c r="D223" s="7">
        <v>34</v>
      </c>
      <c r="E223" s="6" t="s">
        <v>198</v>
      </c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7"/>
      <c r="Q223" s="7"/>
      <c r="R223" s="7"/>
      <c r="S223" s="7"/>
      <c r="T223" s="7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11"/>
      <c r="AZ223" s="11"/>
      <c r="BA223" s="11"/>
      <c r="BB223" s="11"/>
      <c r="BC223" s="11"/>
      <c r="BD223" s="7"/>
      <c r="BE223" s="7"/>
      <c r="BF223" s="7"/>
      <c r="BG223" s="7"/>
      <c r="BH223" s="7"/>
      <c r="BI223" s="11"/>
      <c r="BJ223" s="11"/>
      <c r="BK223" s="11"/>
      <c r="BL223" s="11"/>
      <c r="BM223" s="11"/>
      <c r="BN223" s="11"/>
      <c r="BO223" s="11"/>
      <c r="BP223" s="11"/>
      <c r="BQ223" s="11"/>
      <c r="BR223" s="11"/>
      <c r="BS223" s="11"/>
      <c r="BT223" s="11"/>
      <c r="BU223" s="11"/>
      <c r="BV223" s="11"/>
      <c r="BW223" s="11"/>
      <c r="BX223" s="7"/>
      <c r="BY223" s="7"/>
      <c r="BZ223" s="7"/>
      <c r="CA223" s="7"/>
      <c r="CB223" s="7"/>
      <c r="CC223" s="11"/>
      <c r="CD223" s="11"/>
      <c r="CE223" s="11"/>
      <c r="CF223" s="11"/>
      <c r="CG223" s="11"/>
      <c r="CH223" s="7"/>
      <c r="CI223" s="7"/>
      <c r="CJ223" s="7"/>
      <c r="CK223" s="7"/>
      <c r="CL223" s="7"/>
      <c r="CM223" s="11"/>
      <c r="CN223" s="11"/>
      <c r="CO223" s="11"/>
      <c r="CP223" s="11"/>
      <c r="CQ223" s="11"/>
      <c r="CR223" s="11"/>
      <c r="CS223" s="11"/>
      <c r="CT223" s="11"/>
      <c r="CU223" s="11"/>
      <c r="CV223" s="11"/>
      <c r="CW223" s="11"/>
      <c r="CX223" s="11"/>
      <c r="CY223" s="11"/>
      <c r="CZ223" s="11"/>
      <c r="DA223" s="11"/>
      <c r="DB223" s="11"/>
      <c r="DC223" s="11"/>
      <c r="DD223" s="11"/>
      <c r="DE223" s="11"/>
      <c r="DF223" s="11"/>
      <c r="DG223" s="7"/>
      <c r="DH223" s="7"/>
      <c r="DI223" s="7"/>
      <c r="DJ223" s="7"/>
      <c r="DK223" s="7"/>
      <c r="DL223" s="7"/>
      <c r="DM223" s="7"/>
      <c r="DN223" s="7"/>
      <c r="DO223" s="7"/>
      <c r="DP223" s="7"/>
      <c r="DQ223" s="11"/>
      <c r="DR223" s="11"/>
      <c r="DS223" s="11"/>
      <c r="DT223" s="11"/>
      <c r="DU223" s="11"/>
      <c r="DV223" s="11"/>
      <c r="DW223" s="11"/>
      <c r="DX223" s="11"/>
      <c r="DY223" s="11"/>
      <c r="DZ223" s="11"/>
      <c r="EA223" s="11"/>
      <c r="EB223" s="11"/>
      <c r="EC223" s="11"/>
      <c r="ED223" s="11"/>
      <c r="EE223" s="11"/>
      <c r="EF223" s="7"/>
      <c r="EG223" s="7"/>
      <c r="EH223" s="7"/>
      <c r="EI223" s="7"/>
      <c r="EJ223" s="7"/>
      <c r="EK223" s="7"/>
      <c r="EL223" s="7"/>
      <c r="EM223" s="7"/>
      <c r="EN223" s="7"/>
      <c r="EO223" s="7"/>
      <c r="EP223" s="7"/>
      <c r="EQ223" s="7"/>
      <c r="ER223" s="7"/>
      <c r="ES223" s="7"/>
      <c r="ET223" s="7"/>
      <c r="EU223" s="7"/>
      <c r="EV223" s="7"/>
      <c r="EW223" s="7"/>
      <c r="EX223" s="7"/>
      <c r="EY223" s="7"/>
      <c r="EZ223" s="11"/>
      <c r="FA223" s="11"/>
      <c r="FB223" s="11"/>
      <c r="FC223" s="11"/>
      <c r="FD223" s="11"/>
      <c r="FE223" s="11"/>
      <c r="FF223" s="11"/>
      <c r="FG223" s="11"/>
      <c r="FH223" s="11"/>
      <c r="FI223" s="11"/>
      <c r="FJ223" s="11"/>
      <c r="FK223" s="11"/>
      <c r="FL223" s="11"/>
      <c r="FM223" s="11"/>
      <c r="FN223" s="11"/>
      <c r="FO223" s="7"/>
      <c r="FP223" s="7"/>
      <c r="FQ223" s="7"/>
      <c r="FR223" s="7"/>
      <c r="FS223" s="7"/>
      <c r="FT223" s="7"/>
      <c r="FU223" s="7"/>
      <c r="FV223" s="7"/>
      <c r="FW223" s="7"/>
      <c r="FX223" s="7"/>
      <c r="FY223" s="11"/>
      <c r="FZ223" s="11"/>
      <c r="GA223" s="11"/>
      <c r="GB223" s="11"/>
      <c r="GC223" s="11"/>
      <c r="GD223" s="7"/>
      <c r="GE223" s="7"/>
      <c r="GF223" s="7"/>
      <c r="GG223" s="7"/>
      <c r="GH223" s="7"/>
    </row>
    <row r="224" spans="1:190" x14ac:dyDescent="0.25">
      <c r="A224" s="4">
        <v>223</v>
      </c>
      <c r="B224" s="5" t="s">
        <v>747</v>
      </c>
      <c r="C224" s="9" t="s">
        <v>748</v>
      </c>
      <c r="D224" s="7">
        <v>33</v>
      </c>
      <c r="E224" s="6" t="s">
        <v>363</v>
      </c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7"/>
      <c r="Q224" s="7"/>
      <c r="R224" s="7"/>
      <c r="S224" s="7"/>
      <c r="T224" s="7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>
        <v>253000</v>
      </c>
      <c r="AF224" s="11"/>
      <c r="AG224" s="11"/>
      <c r="AH224" s="11"/>
      <c r="AI224" s="11"/>
      <c r="AJ224" s="11">
        <v>253000</v>
      </c>
      <c r="AK224" s="11"/>
      <c r="AL224" s="11"/>
      <c r="AM224" s="11"/>
      <c r="AN224" s="11"/>
      <c r="AO224" s="7"/>
      <c r="AP224" s="7"/>
      <c r="AQ224" s="7"/>
      <c r="AR224" s="7"/>
      <c r="AS224" s="7"/>
      <c r="AT224" s="7">
        <v>103968000</v>
      </c>
      <c r="AU224" s="7">
        <v>103968000</v>
      </c>
      <c r="AV224" s="7">
        <v>103968000</v>
      </c>
      <c r="AW224" s="7"/>
      <c r="AX224" s="7"/>
      <c r="AY224" s="11"/>
      <c r="AZ224" s="11"/>
      <c r="BA224" s="11"/>
      <c r="BB224" s="11"/>
      <c r="BC224" s="11"/>
      <c r="BD224" s="7">
        <v>304000</v>
      </c>
      <c r="BE224" s="7"/>
      <c r="BF224" s="7"/>
      <c r="BG224" s="7"/>
      <c r="BH224" s="7"/>
      <c r="BI224" s="11">
        <v>2039000</v>
      </c>
      <c r="BJ224" s="11">
        <v>2039000</v>
      </c>
      <c r="BK224" s="11"/>
      <c r="BL224" s="11"/>
      <c r="BM224" s="11"/>
      <c r="BN224" s="11">
        <v>106311000</v>
      </c>
      <c r="BO224" s="11">
        <v>106007000</v>
      </c>
      <c r="BP224" s="11">
        <v>103968000</v>
      </c>
      <c r="BQ224" s="11"/>
      <c r="BR224" s="11"/>
      <c r="BS224" s="11">
        <v>106564000</v>
      </c>
      <c r="BT224" s="11">
        <v>106007000</v>
      </c>
      <c r="BU224" s="11">
        <v>103968000</v>
      </c>
      <c r="BV224" s="11"/>
      <c r="BW224" s="11"/>
      <c r="BX224" s="7">
        <v>37459000</v>
      </c>
      <c r="BY224" s="7">
        <v>37459000</v>
      </c>
      <c r="BZ224" s="7"/>
      <c r="CA224" s="7"/>
      <c r="CB224" s="7"/>
      <c r="CC224" s="11"/>
      <c r="CD224" s="11"/>
      <c r="CE224" s="11"/>
      <c r="CF224" s="11"/>
      <c r="CG224" s="11"/>
      <c r="CH224" s="7">
        <v>-257912000</v>
      </c>
      <c r="CI224" s="7">
        <v>-258469000</v>
      </c>
      <c r="CJ224" s="7"/>
      <c r="CK224" s="7"/>
      <c r="CL224" s="7"/>
      <c r="CM224" s="11">
        <v>-217371000</v>
      </c>
      <c r="CN224" s="11">
        <v>-217928000</v>
      </c>
      <c r="CO224" s="11">
        <v>-244705000</v>
      </c>
      <c r="CP224" s="11"/>
      <c r="CQ224" s="11"/>
      <c r="CR224" s="11"/>
      <c r="CS224" s="11"/>
      <c r="CT224" s="11"/>
      <c r="CU224" s="11"/>
      <c r="CV224" s="11"/>
      <c r="CW224" s="11"/>
      <c r="CX224" s="11"/>
      <c r="CY224" s="11"/>
      <c r="CZ224" s="11"/>
      <c r="DA224" s="11"/>
      <c r="DB224" s="11"/>
      <c r="DC224" s="11"/>
      <c r="DD224" s="11"/>
      <c r="DE224" s="11"/>
      <c r="DF224" s="11"/>
      <c r="DG224" s="7">
        <v>16000</v>
      </c>
      <c r="DH224" s="7">
        <v>16000</v>
      </c>
      <c r="DI224" s="7"/>
      <c r="DJ224" s="7"/>
      <c r="DK224" s="7"/>
      <c r="DL224" s="7">
        <v>323919000</v>
      </c>
      <c r="DM224" s="7">
        <v>323919000</v>
      </c>
      <c r="DN224" s="7">
        <v>348673000</v>
      </c>
      <c r="DO224" s="7"/>
      <c r="DP224" s="7"/>
      <c r="DQ224" s="11"/>
      <c r="DR224" s="11"/>
      <c r="DS224" s="11"/>
      <c r="DT224" s="11"/>
      <c r="DU224" s="11"/>
      <c r="DV224" s="11"/>
      <c r="DW224" s="11"/>
      <c r="DX224" s="11"/>
      <c r="DY224" s="11"/>
      <c r="DZ224" s="11"/>
      <c r="EA224" s="11">
        <v>323935000</v>
      </c>
      <c r="EB224" s="11">
        <v>323935000</v>
      </c>
      <c r="EC224" s="11">
        <v>348673000</v>
      </c>
      <c r="ED224" s="11"/>
      <c r="EE224" s="11"/>
      <c r="EF224" s="7">
        <v>525000</v>
      </c>
      <c r="EG224" s="7"/>
      <c r="EH224" s="7"/>
      <c r="EI224" s="7"/>
      <c r="EJ224" s="7"/>
      <c r="EK224" s="7"/>
      <c r="EL224" s="7"/>
      <c r="EM224" s="7"/>
      <c r="EN224" s="7"/>
      <c r="EO224" s="7"/>
      <c r="EP224" s="7"/>
      <c r="EQ224" s="7"/>
      <c r="ER224" s="7"/>
      <c r="ES224" s="7"/>
      <c r="ET224" s="7"/>
      <c r="EU224" s="7">
        <v>7353000</v>
      </c>
      <c r="EV224" s="7"/>
      <c r="EW224" s="7"/>
      <c r="EX224" s="7"/>
      <c r="EY224" s="7"/>
      <c r="EZ224" s="11"/>
      <c r="FA224" s="11"/>
      <c r="FB224" s="11"/>
      <c r="FC224" s="11"/>
      <c r="FD224" s="11"/>
      <c r="FE224" s="11"/>
      <c r="FF224" s="11"/>
      <c r="FG224" s="11"/>
      <c r="FH224" s="11"/>
      <c r="FI224" s="11"/>
      <c r="FJ224" s="11"/>
      <c r="FK224" s="11"/>
      <c r="FL224" s="11"/>
      <c r="FM224" s="11"/>
      <c r="FN224" s="11"/>
      <c r="FO224" s="7">
        <v>1021000</v>
      </c>
      <c r="FP224" s="7"/>
      <c r="FQ224" s="7"/>
      <c r="FR224" s="7"/>
      <c r="FS224" s="7"/>
      <c r="FT224" s="7">
        <v>50337000</v>
      </c>
      <c r="FU224" s="7"/>
      <c r="FV224" s="7"/>
      <c r="FW224" s="7"/>
      <c r="FX224" s="7"/>
      <c r="FY224" s="11"/>
      <c r="FZ224" s="11"/>
      <c r="GA224" s="11"/>
      <c r="GB224" s="11"/>
      <c r="GC224" s="11"/>
      <c r="GD224" s="7">
        <v>-57564000</v>
      </c>
      <c r="GE224" s="7"/>
      <c r="GF224" s="7"/>
      <c r="GG224" s="7"/>
      <c r="GH224" s="7"/>
    </row>
    <row r="225" spans="1:190" x14ac:dyDescent="0.25">
      <c r="A225" s="4">
        <v>224</v>
      </c>
      <c r="B225" s="5" t="s">
        <v>749</v>
      </c>
      <c r="C225" s="9" t="s">
        <v>750</v>
      </c>
      <c r="D225" s="7">
        <v>12</v>
      </c>
      <c r="E225" s="6" t="s">
        <v>190</v>
      </c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7"/>
      <c r="Q225" s="7"/>
      <c r="R225" s="7"/>
      <c r="S225" s="7"/>
      <c r="T225" s="7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7"/>
      <c r="AP225" s="7"/>
      <c r="AQ225" s="7"/>
      <c r="AR225" s="7"/>
      <c r="AS225" s="7"/>
      <c r="AT225" s="7"/>
      <c r="AU225" s="7"/>
      <c r="AV225" s="7"/>
      <c r="AW225" s="7">
        <v>11088000</v>
      </c>
      <c r="AX225" s="7">
        <v>11088000</v>
      </c>
      <c r="AY225" s="11"/>
      <c r="AZ225" s="11"/>
      <c r="BA225" s="11"/>
      <c r="BB225" s="11"/>
      <c r="BC225" s="11"/>
      <c r="BD225" s="7"/>
      <c r="BE225" s="7"/>
      <c r="BF225" s="7"/>
      <c r="BG225" s="7"/>
      <c r="BH225" s="7"/>
      <c r="BI225" s="11"/>
      <c r="BJ225" s="11"/>
      <c r="BK225" s="11"/>
      <c r="BL225" s="11"/>
      <c r="BM225" s="11"/>
      <c r="BN225" s="11"/>
      <c r="BO225" s="11"/>
      <c r="BP225" s="11"/>
      <c r="BQ225" s="11">
        <v>11088000</v>
      </c>
      <c r="BR225" s="11">
        <v>11088000</v>
      </c>
      <c r="BS225" s="11"/>
      <c r="BT225" s="11"/>
      <c r="BU225" s="11"/>
      <c r="BV225" s="11">
        <v>11088000</v>
      </c>
      <c r="BW225" s="11">
        <v>11088000</v>
      </c>
      <c r="BX225" s="7"/>
      <c r="BY225" s="7"/>
      <c r="BZ225" s="7"/>
      <c r="CA225" s="7">
        <v>20000</v>
      </c>
      <c r="CB225" s="7">
        <v>20000</v>
      </c>
      <c r="CC225" s="11"/>
      <c r="CD225" s="11"/>
      <c r="CE225" s="11"/>
      <c r="CF225" s="11"/>
      <c r="CG225" s="11"/>
      <c r="CH225" s="7"/>
      <c r="CI225" s="7"/>
      <c r="CJ225" s="7"/>
      <c r="CK225" s="7">
        <v>-147546000</v>
      </c>
      <c r="CL225" s="7">
        <v>-147859000</v>
      </c>
      <c r="CM225" s="11"/>
      <c r="CN225" s="11"/>
      <c r="CO225" s="11"/>
      <c r="CP225" s="11">
        <v>-147526000</v>
      </c>
      <c r="CQ225" s="11">
        <v>-147839000</v>
      </c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7"/>
      <c r="DH225" s="7"/>
      <c r="DI225" s="7"/>
      <c r="DJ225" s="7"/>
      <c r="DK225" s="7"/>
      <c r="DL225" s="7"/>
      <c r="DM225" s="7"/>
      <c r="DN225" s="7"/>
      <c r="DO225" s="7">
        <v>158614000</v>
      </c>
      <c r="DP225" s="7">
        <v>158927000</v>
      </c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>
        <v>158614000</v>
      </c>
      <c r="EE225" s="11">
        <v>158927000</v>
      </c>
      <c r="EF225" s="7"/>
      <c r="EG225" s="7"/>
      <c r="EH225" s="7"/>
      <c r="EI225" s="7"/>
      <c r="EJ225" s="7"/>
      <c r="EK225" s="7"/>
      <c r="EL225" s="7"/>
      <c r="EM225" s="7"/>
      <c r="EN225" s="7"/>
      <c r="EO225" s="7"/>
      <c r="EP225" s="7"/>
      <c r="EQ225" s="7"/>
      <c r="ER225" s="7"/>
      <c r="ES225" s="7"/>
      <c r="ET225" s="7"/>
      <c r="EU225" s="7"/>
      <c r="EV225" s="7"/>
      <c r="EW225" s="7"/>
      <c r="EX225" s="7"/>
      <c r="EY225" s="7"/>
      <c r="EZ225" s="11"/>
      <c r="FA225" s="11"/>
      <c r="FB225" s="11"/>
      <c r="FC225" s="11"/>
      <c r="FD225" s="11"/>
      <c r="FE225" s="11"/>
      <c r="FF225" s="11"/>
      <c r="FG225" s="11"/>
      <c r="FH225" s="11"/>
      <c r="FI225" s="11"/>
      <c r="FJ225" s="11"/>
      <c r="FK225" s="11"/>
      <c r="FL225" s="11"/>
      <c r="FM225" s="11"/>
      <c r="FN225" s="11"/>
      <c r="FO225" s="7"/>
      <c r="FP225" s="7"/>
      <c r="FQ225" s="7"/>
      <c r="FR225" s="7"/>
      <c r="FS225" s="7"/>
      <c r="FT225" s="7"/>
      <c r="FU225" s="7"/>
      <c r="FV225" s="7"/>
      <c r="FW225" s="7">
        <v>365000</v>
      </c>
      <c r="FX225" s="7">
        <v>313000</v>
      </c>
      <c r="FY225" s="11"/>
      <c r="FZ225" s="11"/>
      <c r="GA225" s="11"/>
      <c r="GB225" s="11"/>
      <c r="GC225" s="11"/>
      <c r="GD225" s="7"/>
      <c r="GE225" s="7"/>
      <c r="GF225" s="7"/>
      <c r="GG225" s="7">
        <v>-365000</v>
      </c>
      <c r="GH225" s="7">
        <v>-313000</v>
      </c>
    </row>
    <row r="226" spans="1:190" x14ac:dyDescent="0.25">
      <c r="A226" s="4">
        <v>225</v>
      </c>
      <c r="B226" s="5" t="s">
        <v>751</v>
      </c>
      <c r="C226" s="9" t="s">
        <v>752</v>
      </c>
      <c r="D226" s="7">
        <v>9</v>
      </c>
      <c r="E226" s="6" t="s">
        <v>628</v>
      </c>
      <c r="F226" s="11">
        <v>11472</v>
      </c>
      <c r="G226" s="11">
        <v>8705</v>
      </c>
      <c r="H226" s="11">
        <v>11472</v>
      </c>
      <c r="I226" s="11"/>
      <c r="J226" s="11"/>
      <c r="K226" s="11">
        <v>1603299</v>
      </c>
      <c r="L226" s="11">
        <v>589969</v>
      </c>
      <c r="M226" s="11">
        <v>62446</v>
      </c>
      <c r="N226" s="11"/>
      <c r="O226" s="11"/>
      <c r="P226" s="7">
        <v>11583000</v>
      </c>
      <c r="Q226" s="7">
        <v>11521000</v>
      </c>
      <c r="R226" s="7"/>
      <c r="S226" s="7"/>
      <c r="T226" s="7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>
        <v>11583000</v>
      </c>
      <c r="AK226" s="11">
        <v>11521000</v>
      </c>
      <c r="AL226" s="11"/>
      <c r="AM226" s="11"/>
      <c r="AN226" s="11"/>
      <c r="AO226" s="7">
        <v>2763000</v>
      </c>
      <c r="AP226" s="7">
        <v>2952000</v>
      </c>
      <c r="AQ226" s="7"/>
      <c r="AR226" s="7"/>
      <c r="AS226" s="7"/>
      <c r="AT226" s="7">
        <v>15405000</v>
      </c>
      <c r="AU226" s="7">
        <v>12237000</v>
      </c>
      <c r="AV226" s="7"/>
      <c r="AW226" s="7"/>
      <c r="AX226" s="7"/>
      <c r="AY226" s="11">
        <v>720000</v>
      </c>
      <c r="AZ226" s="11">
        <v>215000</v>
      </c>
      <c r="BA226" s="11"/>
      <c r="BB226" s="11"/>
      <c r="BC226" s="11"/>
      <c r="BD226" s="7"/>
      <c r="BE226" s="7">
        <v>82000</v>
      </c>
      <c r="BF226" s="7"/>
      <c r="BG226" s="7"/>
      <c r="BH226" s="7"/>
      <c r="BI226" s="11">
        <v>608000</v>
      </c>
      <c r="BJ226" s="11">
        <v>319000</v>
      </c>
      <c r="BK226" s="11"/>
      <c r="BL226" s="11"/>
      <c r="BM226" s="11"/>
      <c r="BN226" s="11">
        <v>19521000</v>
      </c>
      <c r="BO226" s="11">
        <v>15805000</v>
      </c>
      <c r="BP226" s="11"/>
      <c r="BQ226" s="11"/>
      <c r="BR226" s="11"/>
      <c r="BS226" s="11">
        <v>31104000</v>
      </c>
      <c r="BT226" s="11">
        <v>27326000</v>
      </c>
      <c r="BU226" s="11"/>
      <c r="BV226" s="11"/>
      <c r="BW226" s="11"/>
      <c r="BX226" s="7">
        <v>10000</v>
      </c>
      <c r="BY226" s="7">
        <v>10000</v>
      </c>
      <c r="BZ226" s="7"/>
      <c r="CA226" s="7"/>
      <c r="CB226" s="7"/>
      <c r="CC226" s="11"/>
      <c r="CD226" s="11"/>
      <c r="CE226" s="11"/>
      <c r="CF226" s="11"/>
      <c r="CG226" s="11"/>
      <c r="CH226" s="7">
        <v>3315000</v>
      </c>
      <c r="CI226" s="7">
        <v>1843000</v>
      </c>
      <c r="CJ226" s="7"/>
      <c r="CK226" s="7"/>
      <c r="CL226" s="7"/>
      <c r="CM226" s="11">
        <v>3325000</v>
      </c>
      <c r="CN226" s="11">
        <v>1853000</v>
      </c>
      <c r="CO226" s="11"/>
      <c r="CP226" s="11"/>
      <c r="CQ226" s="11"/>
      <c r="CR226" s="11"/>
      <c r="CS226" s="11"/>
      <c r="CT226" s="11"/>
      <c r="CU226" s="11"/>
      <c r="CV226" s="11"/>
      <c r="CW226" s="11">
        <v>2650000</v>
      </c>
      <c r="CX226" s="11">
        <v>3079000</v>
      </c>
      <c r="CY226" s="11"/>
      <c r="CZ226" s="11"/>
      <c r="DA226" s="11"/>
      <c r="DB226" s="11">
        <v>2650000</v>
      </c>
      <c r="DC226" s="11">
        <v>3079000</v>
      </c>
      <c r="DD226" s="11"/>
      <c r="DE226" s="11"/>
      <c r="DF226" s="11"/>
      <c r="DG226" s="7">
        <v>6725000</v>
      </c>
      <c r="DH226" s="7">
        <v>4066000</v>
      </c>
      <c r="DI226" s="7"/>
      <c r="DJ226" s="7"/>
      <c r="DK226" s="7"/>
      <c r="DL226" s="7">
        <v>18404000</v>
      </c>
      <c r="DM226" s="7">
        <v>18328000</v>
      </c>
      <c r="DN226" s="7"/>
      <c r="DO226" s="7"/>
      <c r="DP226" s="7"/>
      <c r="DQ226" s="11"/>
      <c r="DR226" s="11"/>
      <c r="DS226" s="11"/>
      <c r="DT226" s="11"/>
      <c r="DU226" s="11"/>
      <c r="DV226" s="11"/>
      <c r="DW226" s="11"/>
      <c r="DX226" s="11"/>
      <c r="DY226" s="11"/>
      <c r="DZ226" s="11"/>
      <c r="EA226" s="11">
        <v>25129000</v>
      </c>
      <c r="EB226" s="11">
        <v>22394000</v>
      </c>
      <c r="EC226" s="11"/>
      <c r="ED226" s="11"/>
      <c r="EE226" s="11"/>
      <c r="EF226" s="7">
        <v>30429000</v>
      </c>
      <c r="EG226" s="7">
        <v>6094000</v>
      </c>
      <c r="EH226" s="7"/>
      <c r="EI226" s="7"/>
      <c r="EJ226" s="7"/>
      <c r="EK226" s="7">
        <v>16138000</v>
      </c>
      <c r="EL226" s="7">
        <v>5660000</v>
      </c>
      <c r="EM226" s="7"/>
      <c r="EN226" s="7"/>
      <c r="EO226" s="7"/>
      <c r="EP226" s="7"/>
      <c r="EQ226" s="7"/>
      <c r="ER226" s="7"/>
      <c r="ES226" s="7"/>
      <c r="ET226" s="7"/>
      <c r="EU226" s="7">
        <v>13476000</v>
      </c>
      <c r="EV226" s="7">
        <v>4856000</v>
      </c>
      <c r="EW226" s="7"/>
      <c r="EX226" s="7"/>
      <c r="EY226" s="7"/>
      <c r="EZ226" s="11"/>
      <c r="FA226" s="11"/>
      <c r="FB226" s="11"/>
      <c r="FC226" s="11"/>
      <c r="FD226" s="11"/>
      <c r="FE226" s="11"/>
      <c r="FF226" s="11"/>
      <c r="FG226" s="11"/>
      <c r="FH226" s="11"/>
      <c r="FI226" s="11"/>
      <c r="FJ226" s="11">
        <v>15000</v>
      </c>
      <c r="FK226" s="11"/>
      <c r="FL226" s="11"/>
      <c r="FM226" s="11"/>
      <c r="FN226" s="11"/>
      <c r="FO226" s="7">
        <v>802000</v>
      </c>
      <c r="FP226" s="7">
        <v>5789000</v>
      </c>
      <c r="FQ226" s="7"/>
      <c r="FR226" s="7"/>
      <c r="FS226" s="7"/>
      <c r="FT226" s="7">
        <v>1359000</v>
      </c>
      <c r="FU226" s="7">
        <v>1355000</v>
      </c>
      <c r="FV226" s="7"/>
      <c r="FW226" s="7"/>
      <c r="FX226" s="7"/>
      <c r="FY226" s="11">
        <v>-65000</v>
      </c>
      <c r="FZ226" s="11">
        <v>-6000</v>
      </c>
      <c r="GA226" s="11"/>
      <c r="GB226" s="11"/>
      <c r="GC226" s="11"/>
      <c r="GD226" s="7">
        <v>161000</v>
      </c>
      <c r="GE226" s="7">
        <v>6000</v>
      </c>
      <c r="GF226" s="7"/>
      <c r="GG226" s="7"/>
      <c r="GH226" s="7"/>
    </row>
    <row r="227" spans="1:190" ht="26.25" x14ac:dyDescent="0.25">
      <c r="A227" s="4">
        <v>226</v>
      </c>
      <c r="B227" s="5" t="s">
        <v>753</v>
      </c>
      <c r="C227" s="9" t="s">
        <v>754</v>
      </c>
      <c r="D227" s="7">
        <v>16</v>
      </c>
      <c r="E227" s="6" t="s">
        <v>755</v>
      </c>
      <c r="F227" s="11">
        <v>33252</v>
      </c>
      <c r="G227" s="11">
        <v>10609</v>
      </c>
      <c r="H227" s="11"/>
      <c r="I227" s="11"/>
      <c r="J227" s="11"/>
      <c r="K227" s="11">
        <v>3361309</v>
      </c>
      <c r="L227" s="11">
        <v>4518</v>
      </c>
      <c r="M227" s="11"/>
      <c r="N227" s="11"/>
      <c r="O227" s="11"/>
      <c r="P227" s="7"/>
      <c r="Q227" s="7"/>
      <c r="R227" s="7"/>
      <c r="S227" s="7"/>
      <c r="T227" s="7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11"/>
      <c r="AZ227" s="11"/>
      <c r="BA227" s="11"/>
      <c r="BB227" s="11"/>
      <c r="BC227" s="11"/>
      <c r="BD227" s="7"/>
      <c r="BE227" s="7"/>
      <c r="BF227" s="7"/>
      <c r="BG227" s="7"/>
      <c r="BH227" s="7"/>
      <c r="BI227" s="11"/>
      <c r="BJ227" s="11"/>
      <c r="BK227" s="11"/>
      <c r="BL227" s="11"/>
      <c r="BM227" s="11"/>
      <c r="BN227" s="11"/>
      <c r="BO227" s="11"/>
      <c r="BP227" s="11"/>
      <c r="BQ227" s="11"/>
      <c r="BR227" s="11"/>
      <c r="BS227" s="11"/>
      <c r="BT227" s="11"/>
      <c r="BU227" s="11"/>
      <c r="BV227" s="11"/>
      <c r="BW227" s="11"/>
      <c r="BX227" s="7"/>
      <c r="BY227" s="7"/>
      <c r="BZ227" s="7"/>
      <c r="CA227" s="7"/>
      <c r="CB227" s="7"/>
      <c r="CC227" s="11"/>
      <c r="CD227" s="11"/>
      <c r="CE227" s="11"/>
      <c r="CF227" s="11"/>
      <c r="CG227" s="11"/>
      <c r="CH227" s="7"/>
      <c r="CI227" s="7"/>
      <c r="CJ227" s="7"/>
      <c r="CK227" s="7"/>
      <c r="CL227" s="7"/>
      <c r="CM227" s="11"/>
      <c r="CN227" s="11"/>
      <c r="CO227" s="11"/>
      <c r="CP227" s="11"/>
      <c r="CQ227" s="11"/>
      <c r="CR227" s="11"/>
      <c r="CS227" s="11"/>
      <c r="CT227" s="11"/>
      <c r="CU227" s="11"/>
      <c r="CV227" s="11"/>
      <c r="CW227" s="11"/>
      <c r="CX227" s="11"/>
      <c r="CY227" s="11"/>
      <c r="CZ227" s="11"/>
      <c r="DA227" s="11"/>
      <c r="DB227" s="11"/>
      <c r="DC227" s="11"/>
      <c r="DD227" s="11"/>
      <c r="DE227" s="11"/>
      <c r="DF227" s="11"/>
      <c r="DG227" s="7"/>
      <c r="DH227" s="7"/>
      <c r="DI227" s="7"/>
      <c r="DJ227" s="7"/>
      <c r="DK227" s="7"/>
      <c r="DL227" s="7"/>
      <c r="DM227" s="7"/>
      <c r="DN227" s="7"/>
      <c r="DO227" s="7"/>
      <c r="DP227" s="7"/>
      <c r="DQ227" s="11"/>
      <c r="DR227" s="11"/>
      <c r="DS227" s="11"/>
      <c r="DT227" s="11"/>
      <c r="DU227" s="11"/>
      <c r="DV227" s="11"/>
      <c r="DW227" s="11"/>
      <c r="DX227" s="11"/>
      <c r="DY227" s="11"/>
      <c r="DZ227" s="11"/>
      <c r="EA227" s="11"/>
      <c r="EB227" s="11"/>
      <c r="EC227" s="11"/>
      <c r="ED227" s="11"/>
      <c r="EE227" s="11"/>
      <c r="EF227" s="7"/>
      <c r="EG227" s="7"/>
      <c r="EH227" s="7"/>
      <c r="EI227" s="7"/>
      <c r="EJ227" s="7"/>
      <c r="EK227" s="7"/>
      <c r="EL227" s="7"/>
      <c r="EM227" s="7"/>
      <c r="EN227" s="7"/>
      <c r="EO227" s="7"/>
      <c r="EP227" s="7"/>
      <c r="EQ227" s="7"/>
      <c r="ER227" s="7"/>
      <c r="ES227" s="7"/>
      <c r="ET227" s="7"/>
      <c r="EU227" s="7"/>
      <c r="EV227" s="7"/>
      <c r="EW227" s="7"/>
      <c r="EX227" s="7"/>
      <c r="EY227" s="7"/>
      <c r="EZ227" s="11"/>
      <c r="FA227" s="11"/>
      <c r="FB227" s="11"/>
      <c r="FC227" s="11"/>
      <c r="FD227" s="11"/>
      <c r="FE227" s="11"/>
      <c r="FF227" s="11"/>
      <c r="FG227" s="11"/>
      <c r="FH227" s="11"/>
      <c r="FI227" s="11"/>
      <c r="FJ227" s="11"/>
      <c r="FK227" s="11"/>
      <c r="FL227" s="11"/>
      <c r="FM227" s="11"/>
      <c r="FN227" s="11"/>
      <c r="FO227" s="7"/>
      <c r="FP227" s="7"/>
      <c r="FQ227" s="7"/>
      <c r="FR227" s="7"/>
      <c r="FS227" s="7"/>
      <c r="FT227" s="7"/>
      <c r="FU227" s="7"/>
      <c r="FV227" s="7"/>
      <c r="FW227" s="7"/>
      <c r="FX227" s="7"/>
      <c r="FY227" s="11"/>
      <c r="FZ227" s="11"/>
      <c r="GA227" s="11"/>
      <c r="GB227" s="11"/>
      <c r="GC227" s="11"/>
      <c r="GD227" s="7"/>
      <c r="GE227" s="7"/>
      <c r="GF227" s="7"/>
      <c r="GG227" s="7"/>
      <c r="GH227" s="7"/>
    </row>
    <row r="228" spans="1:190" ht="26.25" x14ac:dyDescent="0.25">
      <c r="A228" s="4">
        <v>227</v>
      </c>
      <c r="B228" s="5" t="s">
        <v>756</v>
      </c>
      <c r="C228" s="9" t="s">
        <v>757</v>
      </c>
      <c r="D228" s="7">
        <v>23</v>
      </c>
      <c r="E228" s="6" t="s">
        <v>758</v>
      </c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7"/>
      <c r="Q228" s="7"/>
      <c r="R228" s="7"/>
      <c r="S228" s="7"/>
      <c r="T228" s="7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11"/>
      <c r="AZ228" s="11"/>
      <c r="BA228" s="11"/>
      <c r="BB228" s="11"/>
      <c r="BC228" s="11"/>
      <c r="BD228" s="7"/>
      <c r="BE228" s="7"/>
      <c r="BF228" s="7"/>
      <c r="BG228" s="7"/>
      <c r="BH228" s="7"/>
      <c r="BI228" s="11"/>
      <c r="BJ228" s="11"/>
      <c r="BK228" s="11"/>
      <c r="BL228" s="11"/>
      <c r="BM228" s="11"/>
      <c r="BN228" s="11"/>
      <c r="BO228" s="11"/>
      <c r="BP228" s="11"/>
      <c r="BQ228" s="11"/>
      <c r="BR228" s="11"/>
      <c r="BS228" s="11"/>
      <c r="BT228" s="11"/>
      <c r="BU228" s="11"/>
      <c r="BV228" s="11"/>
      <c r="BW228" s="11"/>
      <c r="BX228" s="7"/>
      <c r="BY228" s="7"/>
      <c r="BZ228" s="7"/>
      <c r="CA228" s="7"/>
      <c r="CB228" s="7"/>
      <c r="CC228" s="11"/>
      <c r="CD228" s="11"/>
      <c r="CE228" s="11"/>
      <c r="CF228" s="11"/>
      <c r="CG228" s="11"/>
      <c r="CH228" s="7"/>
      <c r="CI228" s="7"/>
      <c r="CJ228" s="7"/>
      <c r="CK228" s="7"/>
      <c r="CL228" s="7"/>
      <c r="CM228" s="11"/>
      <c r="CN228" s="11"/>
      <c r="CO228" s="11"/>
      <c r="CP228" s="11"/>
      <c r="CQ228" s="11"/>
      <c r="CR228" s="11"/>
      <c r="CS228" s="11"/>
      <c r="CT228" s="11"/>
      <c r="CU228" s="11"/>
      <c r="CV228" s="11"/>
      <c r="CW228" s="11"/>
      <c r="CX228" s="11"/>
      <c r="CY228" s="11"/>
      <c r="CZ228" s="11"/>
      <c r="DA228" s="11"/>
      <c r="DB228" s="11"/>
      <c r="DC228" s="11"/>
      <c r="DD228" s="11"/>
      <c r="DE228" s="11"/>
      <c r="DF228" s="11"/>
      <c r="DG228" s="7"/>
      <c r="DH228" s="7"/>
      <c r="DI228" s="7"/>
      <c r="DJ228" s="7"/>
      <c r="DK228" s="7"/>
      <c r="DL228" s="7"/>
      <c r="DM228" s="7"/>
      <c r="DN228" s="7"/>
      <c r="DO228" s="7"/>
      <c r="DP228" s="7"/>
      <c r="DQ228" s="11"/>
      <c r="DR228" s="11"/>
      <c r="DS228" s="11"/>
      <c r="DT228" s="11"/>
      <c r="DU228" s="11"/>
      <c r="DV228" s="11"/>
      <c r="DW228" s="11"/>
      <c r="DX228" s="11"/>
      <c r="DY228" s="11"/>
      <c r="DZ228" s="11"/>
      <c r="EA228" s="11"/>
      <c r="EB228" s="11"/>
      <c r="EC228" s="11"/>
      <c r="ED228" s="11"/>
      <c r="EE228" s="11"/>
      <c r="EF228" s="7"/>
      <c r="EG228" s="7"/>
      <c r="EH228" s="7"/>
      <c r="EI228" s="7"/>
      <c r="EJ228" s="7"/>
      <c r="EK228" s="7"/>
      <c r="EL228" s="7"/>
      <c r="EM228" s="7"/>
      <c r="EN228" s="7"/>
      <c r="EO228" s="7"/>
      <c r="EP228" s="7"/>
      <c r="EQ228" s="7"/>
      <c r="ER228" s="7"/>
      <c r="ES228" s="7"/>
      <c r="ET228" s="7"/>
      <c r="EU228" s="7"/>
      <c r="EV228" s="7"/>
      <c r="EW228" s="7"/>
      <c r="EX228" s="7"/>
      <c r="EY228" s="7"/>
      <c r="EZ228" s="11"/>
      <c r="FA228" s="11"/>
      <c r="FB228" s="11"/>
      <c r="FC228" s="11"/>
      <c r="FD228" s="11"/>
      <c r="FE228" s="11"/>
      <c r="FF228" s="11"/>
      <c r="FG228" s="11"/>
      <c r="FH228" s="11"/>
      <c r="FI228" s="11"/>
      <c r="FJ228" s="11"/>
      <c r="FK228" s="11"/>
      <c r="FL228" s="11"/>
      <c r="FM228" s="11"/>
      <c r="FN228" s="11"/>
      <c r="FO228" s="7"/>
      <c r="FP228" s="7"/>
      <c r="FQ228" s="7"/>
      <c r="FR228" s="7"/>
      <c r="FS228" s="7"/>
      <c r="FT228" s="7"/>
      <c r="FU228" s="7"/>
      <c r="FV228" s="7"/>
      <c r="FW228" s="7"/>
      <c r="FX228" s="7"/>
      <c r="FY228" s="11"/>
      <c r="FZ228" s="11"/>
      <c r="GA228" s="11"/>
      <c r="GB228" s="11"/>
      <c r="GC228" s="11"/>
      <c r="GD228" s="7"/>
      <c r="GE228" s="7"/>
      <c r="GF228" s="7"/>
      <c r="GG228" s="7"/>
      <c r="GH228" s="7"/>
    </row>
    <row r="229" spans="1:190" ht="26.25" x14ac:dyDescent="0.25">
      <c r="A229" s="4">
        <v>228</v>
      </c>
      <c r="B229" s="5" t="s">
        <v>759</v>
      </c>
      <c r="C229" s="9" t="s">
        <v>760</v>
      </c>
      <c r="D229" s="7">
        <v>11</v>
      </c>
      <c r="E229" s="6" t="s">
        <v>555</v>
      </c>
      <c r="F229" s="11"/>
      <c r="G229" s="11"/>
      <c r="H229" s="11">
        <v>2667189</v>
      </c>
      <c r="I229" s="11"/>
      <c r="J229" s="11">
        <v>3018296</v>
      </c>
      <c r="K229" s="11"/>
      <c r="L229" s="11">
        <v>72716</v>
      </c>
      <c r="M229" s="11">
        <v>8890517</v>
      </c>
      <c r="N229" s="11">
        <v>132664</v>
      </c>
      <c r="O229" s="11">
        <v>2090611</v>
      </c>
      <c r="P229" s="7">
        <v>2569000</v>
      </c>
      <c r="Q229" s="7">
        <v>20092000</v>
      </c>
      <c r="R229" s="7">
        <v>81416000</v>
      </c>
      <c r="S229" s="7">
        <v>122222000</v>
      </c>
      <c r="T229" s="7">
        <v>117775000</v>
      </c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>
        <v>2569000</v>
      </c>
      <c r="AK229" s="11">
        <v>20092000</v>
      </c>
      <c r="AL229" s="11">
        <v>81416000</v>
      </c>
      <c r="AM229" s="11">
        <v>122222000</v>
      </c>
      <c r="AN229" s="11">
        <v>117775000</v>
      </c>
      <c r="AO229" s="7">
        <v>2205000</v>
      </c>
      <c r="AP229" s="7">
        <v>2446000</v>
      </c>
      <c r="AQ229" s="7">
        <v>1865000</v>
      </c>
      <c r="AR229" s="7">
        <v>1865000</v>
      </c>
      <c r="AS229" s="7">
        <v>484000</v>
      </c>
      <c r="AT229" s="7">
        <v>4850000</v>
      </c>
      <c r="AU229" s="7">
        <v>20953000</v>
      </c>
      <c r="AV229" s="7">
        <v>9544000</v>
      </c>
      <c r="AW229" s="7">
        <v>3894000</v>
      </c>
      <c r="AX229" s="7">
        <v>27349000</v>
      </c>
      <c r="AY229" s="11">
        <v>42320000</v>
      </c>
      <c r="AZ229" s="11">
        <v>42320000</v>
      </c>
      <c r="BA229" s="11">
        <v>42230000</v>
      </c>
      <c r="BB229" s="11">
        <v>42230000</v>
      </c>
      <c r="BC229" s="11"/>
      <c r="BD229" s="7"/>
      <c r="BE229" s="7"/>
      <c r="BF229" s="7">
        <v>38000</v>
      </c>
      <c r="BG229" s="7">
        <v>99000</v>
      </c>
      <c r="BH229" s="7">
        <v>6170000</v>
      </c>
      <c r="BI229" s="11"/>
      <c r="BJ229" s="11"/>
      <c r="BK229" s="11"/>
      <c r="BL229" s="11"/>
      <c r="BM229" s="11"/>
      <c r="BN229" s="11">
        <v>49375000</v>
      </c>
      <c r="BO229" s="11">
        <v>65719000</v>
      </c>
      <c r="BP229" s="11">
        <v>53677000</v>
      </c>
      <c r="BQ229" s="11">
        <v>48088000</v>
      </c>
      <c r="BR229" s="11">
        <v>34003000</v>
      </c>
      <c r="BS229" s="11">
        <v>51944000</v>
      </c>
      <c r="BT229" s="11">
        <v>85811000</v>
      </c>
      <c r="BU229" s="11">
        <v>135093000</v>
      </c>
      <c r="BV229" s="11">
        <v>170310000</v>
      </c>
      <c r="BW229" s="11">
        <v>151778000</v>
      </c>
      <c r="BX229" s="7">
        <v>25000</v>
      </c>
      <c r="BY229" s="7">
        <v>25000</v>
      </c>
      <c r="BZ229" s="7">
        <v>25000</v>
      </c>
      <c r="CA229" s="7">
        <v>25000</v>
      </c>
      <c r="CB229" s="7">
        <v>25000</v>
      </c>
      <c r="CC229" s="11"/>
      <c r="CD229" s="11"/>
      <c r="CE229" s="11"/>
      <c r="CF229" s="11"/>
      <c r="CG229" s="11"/>
      <c r="CH229" s="7">
        <v>-14972000</v>
      </c>
      <c r="CI229" s="7">
        <v>-1153000</v>
      </c>
      <c r="CJ229" s="7">
        <v>-823000</v>
      </c>
      <c r="CK229" s="7">
        <v>-13535000</v>
      </c>
      <c r="CL229" s="7">
        <v>-13535000</v>
      </c>
      <c r="CM229" s="11">
        <v>-14947000</v>
      </c>
      <c r="CN229" s="11">
        <v>-1128000</v>
      </c>
      <c r="CO229" s="11">
        <v>-798000</v>
      </c>
      <c r="CP229" s="11">
        <v>-13510000</v>
      </c>
      <c r="CQ229" s="11">
        <v>-13510000</v>
      </c>
      <c r="CR229" s="11">
        <v>5648000</v>
      </c>
      <c r="CS229" s="11">
        <v>5648000</v>
      </c>
      <c r="CT229" s="11">
        <v>8342000</v>
      </c>
      <c r="CU229" s="11">
        <v>7532000</v>
      </c>
      <c r="CV229" s="11">
        <v>20078000</v>
      </c>
      <c r="CW229" s="11"/>
      <c r="CX229" s="11"/>
      <c r="CY229" s="11"/>
      <c r="CZ229" s="11"/>
      <c r="DA229" s="11"/>
      <c r="DB229" s="11">
        <v>5648000</v>
      </c>
      <c r="DC229" s="11">
        <v>5648000</v>
      </c>
      <c r="DD229" s="11">
        <v>8342000</v>
      </c>
      <c r="DE229" s="11">
        <v>7532000</v>
      </c>
      <c r="DF229" s="11">
        <v>20078000</v>
      </c>
      <c r="DG229" s="7"/>
      <c r="DH229" s="7"/>
      <c r="DI229" s="7"/>
      <c r="DJ229" s="7"/>
      <c r="DK229" s="7"/>
      <c r="DL229" s="7">
        <v>61243000</v>
      </c>
      <c r="DM229" s="7">
        <v>81291000</v>
      </c>
      <c r="DN229" s="7">
        <v>127549000</v>
      </c>
      <c r="DO229" s="7">
        <v>176288000</v>
      </c>
      <c r="DP229" s="7">
        <v>145210000</v>
      </c>
      <c r="DQ229" s="11"/>
      <c r="DR229" s="11"/>
      <c r="DS229" s="11"/>
      <c r="DT229" s="11"/>
      <c r="DU229" s="11"/>
      <c r="DV229" s="11"/>
      <c r="DW229" s="11"/>
      <c r="DX229" s="11"/>
      <c r="DY229" s="11"/>
      <c r="DZ229" s="11"/>
      <c r="EA229" s="11">
        <v>61243000</v>
      </c>
      <c r="EB229" s="11">
        <v>81291000</v>
      </c>
      <c r="EC229" s="11">
        <v>127549000</v>
      </c>
      <c r="ED229" s="11">
        <v>176288000</v>
      </c>
      <c r="EE229" s="11">
        <v>145210000</v>
      </c>
      <c r="EF229" s="7">
        <v>16143000</v>
      </c>
      <c r="EG229" s="7">
        <v>94852000</v>
      </c>
      <c r="EH229" s="7">
        <v>81051000</v>
      </c>
      <c r="EI229" s="7">
        <v>34724000</v>
      </c>
      <c r="EJ229" s="7">
        <v>80325000</v>
      </c>
      <c r="EK229" s="7">
        <v>25859000</v>
      </c>
      <c r="EL229" s="7">
        <v>97347000</v>
      </c>
      <c r="EM229" s="7">
        <v>81849000</v>
      </c>
      <c r="EN229" s="7">
        <v>48259000</v>
      </c>
      <c r="EO229" s="7">
        <v>81673000</v>
      </c>
      <c r="EP229" s="7"/>
      <c r="EQ229" s="7"/>
      <c r="ER229" s="7"/>
      <c r="ES229" s="7"/>
      <c r="ET229" s="7"/>
      <c r="EU229" s="7">
        <v>5125000</v>
      </c>
      <c r="EV229" s="7"/>
      <c r="EW229" s="7"/>
      <c r="EX229" s="7"/>
      <c r="EY229" s="7"/>
      <c r="EZ229" s="11"/>
      <c r="FA229" s="11"/>
      <c r="FB229" s="11"/>
      <c r="FC229" s="11"/>
      <c r="FD229" s="11"/>
      <c r="FE229" s="11"/>
      <c r="FF229" s="11"/>
      <c r="FG229" s="11"/>
      <c r="FH229" s="11"/>
      <c r="FI229" s="11"/>
      <c r="FJ229" s="11"/>
      <c r="FK229" s="11"/>
      <c r="FL229" s="11"/>
      <c r="FM229" s="11"/>
      <c r="FN229" s="11"/>
      <c r="FO229" s="7">
        <v>9000</v>
      </c>
      <c r="FP229" s="7">
        <v>1902000</v>
      </c>
      <c r="FQ229" s="7"/>
      <c r="FR229" s="7"/>
      <c r="FS229" s="7">
        <v>42230000</v>
      </c>
      <c r="FT229" s="7">
        <v>140000</v>
      </c>
      <c r="FU229" s="7">
        <v>560000</v>
      </c>
      <c r="FV229" s="7"/>
      <c r="FW229" s="7"/>
      <c r="FX229" s="7">
        <v>40882000</v>
      </c>
      <c r="FY229" s="11"/>
      <c r="FZ229" s="11"/>
      <c r="GA229" s="11"/>
      <c r="GB229" s="11"/>
      <c r="GC229" s="11"/>
      <c r="GD229" s="7">
        <v>-14972000</v>
      </c>
      <c r="GE229" s="7">
        <v>-1153000</v>
      </c>
      <c r="GF229" s="7">
        <v>-798000</v>
      </c>
      <c r="GG229" s="7">
        <v>-13535000</v>
      </c>
      <c r="GH229" s="7"/>
    </row>
    <row r="230" spans="1:190" x14ac:dyDescent="0.25">
      <c r="A230" s="4">
        <v>229</v>
      </c>
      <c r="B230" s="5" t="s">
        <v>761</v>
      </c>
      <c r="C230" s="9" t="s">
        <v>762</v>
      </c>
      <c r="D230" s="7">
        <v>9</v>
      </c>
      <c r="E230" s="6" t="s">
        <v>763</v>
      </c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7"/>
      <c r="Q230" s="7">
        <v>1365000</v>
      </c>
      <c r="R230" s="7">
        <v>5364000</v>
      </c>
      <c r="S230" s="7"/>
      <c r="T230" s="7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>
        <v>1365000</v>
      </c>
      <c r="AL230" s="11">
        <v>5364000</v>
      </c>
      <c r="AM230" s="11"/>
      <c r="AN230" s="11"/>
      <c r="AO230" s="7"/>
      <c r="AP230" s="7"/>
      <c r="AQ230" s="7"/>
      <c r="AR230" s="7"/>
      <c r="AS230" s="7"/>
      <c r="AT230" s="7">
        <v>1833000</v>
      </c>
      <c r="AU230" s="7">
        <v>4591000</v>
      </c>
      <c r="AV230" s="7">
        <v>7746000</v>
      </c>
      <c r="AW230" s="7">
        <v>2807000</v>
      </c>
      <c r="AX230" s="7"/>
      <c r="AY230" s="11"/>
      <c r="AZ230" s="11"/>
      <c r="BA230" s="11"/>
      <c r="BB230" s="11"/>
      <c r="BC230" s="11"/>
      <c r="BD230" s="7">
        <v>476000</v>
      </c>
      <c r="BE230" s="7">
        <v>1033000</v>
      </c>
      <c r="BF230" s="7">
        <v>66000</v>
      </c>
      <c r="BG230" s="7"/>
      <c r="BH230" s="7"/>
      <c r="BI230" s="11"/>
      <c r="BJ230" s="11">
        <v>3000</v>
      </c>
      <c r="BK230" s="11">
        <v>5000</v>
      </c>
      <c r="BL230" s="11"/>
      <c r="BM230" s="11"/>
      <c r="BN230" s="11">
        <v>2309000</v>
      </c>
      <c r="BO230" s="11">
        <v>5627000</v>
      </c>
      <c r="BP230" s="11">
        <v>7817000</v>
      </c>
      <c r="BQ230" s="11">
        <v>2807000</v>
      </c>
      <c r="BR230" s="11"/>
      <c r="BS230" s="11">
        <v>2309000</v>
      </c>
      <c r="BT230" s="11">
        <v>6992000</v>
      </c>
      <c r="BU230" s="11">
        <v>13181000</v>
      </c>
      <c r="BV230" s="11">
        <v>2807000</v>
      </c>
      <c r="BW230" s="11"/>
      <c r="BX230" s="7">
        <v>100000</v>
      </c>
      <c r="BY230" s="7">
        <v>250000</v>
      </c>
      <c r="BZ230" s="7">
        <v>250000</v>
      </c>
      <c r="CA230" s="7">
        <v>250000</v>
      </c>
      <c r="CB230" s="7"/>
      <c r="CC230" s="11"/>
      <c r="CD230" s="11"/>
      <c r="CE230" s="11"/>
      <c r="CF230" s="11"/>
      <c r="CG230" s="11"/>
      <c r="CH230" s="7">
        <v>1666000</v>
      </c>
      <c r="CI230" s="7">
        <v>4682000</v>
      </c>
      <c r="CJ230" s="7">
        <v>8929000</v>
      </c>
      <c r="CK230" s="7">
        <v>275000</v>
      </c>
      <c r="CL230" s="7"/>
      <c r="CM230" s="11">
        <v>1766000</v>
      </c>
      <c r="CN230" s="11">
        <v>4932000</v>
      </c>
      <c r="CO230" s="11">
        <v>9179000</v>
      </c>
      <c r="CP230" s="11">
        <v>525000</v>
      </c>
      <c r="CQ230" s="11"/>
      <c r="CR230" s="11"/>
      <c r="CS230" s="11"/>
      <c r="CT230" s="11">
        <v>1185000</v>
      </c>
      <c r="CU230" s="11"/>
      <c r="CV230" s="11"/>
      <c r="CW230" s="11"/>
      <c r="CX230" s="11"/>
      <c r="CY230" s="11">
        <v>1347000</v>
      </c>
      <c r="CZ230" s="11"/>
      <c r="DA230" s="11"/>
      <c r="DB230" s="11"/>
      <c r="DC230" s="11"/>
      <c r="DD230" s="11">
        <v>2532000</v>
      </c>
      <c r="DE230" s="11"/>
      <c r="DF230" s="11"/>
      <c r="DG230" s="7"/>
      <c r="DH230" s="7">
        <v>12000</v>
      </c>
      <c r="DI230" s="7"/>
      <c r="DJ230" s="7"/>
      <c r="DK230" s="7"/>
      <c r="DL230" s="7">
        <v>543000</v>
      </c>
      <c r="DM230" s="7">
        <v>683000</v>
      </c>
      <c r="DN230" s="7">
        <v>1470000</v>
      </c>
      <c r="DO230" s="7">
        <v>2282000</v>
      </c>
      <c r="DP230" s="7"/>
      <c r="DQ230" s="11"/>
      <c r="DR230" s="11">
        <v>1365000</v>
      </c>
      <c r="DS230" s="11"/>
      <c r="DT230" s="11"/>
      <c r="DU230" s="11"/>
      <c r="DV230" s="11"/>
      <c r="DW230" s="11"/>
      <c r="DX230" s="11"/>
      <c r="DY230" s="11"/>
      <c r="DZ230" s="11"/>
      <c r="EA230" s="11">
        <v>543000</v>
      </c>
      <c r="EB230" s="11">
        <v>2060000</v>
      </c>
      <c r="EC230" s="11">
        <v>1470000</v>
      </c>
      <c r="ED230" s="11">
        <v>2282000</v>
      </c>
      <c r="EE230" s="11"/>
      <c r="EF230" s="7">
        <v>11614000</v>
      </c>
      <c r="EG230" s="7">
        <v>31532000</v>
      </c>
      <c r="EH230" s="7">
        <v>71060000</v>
      </c>
      <c r="EI230" s="7">
        <v>94610000</v>
      </c>
      <c r="EJ230" s="7"/>
      <c r="EK230" s="7"/>
      <c r="EL230" s="7">
        <v>19861000</v>
      </c>
      <c r="EM230" s="7">
        <v>37439000</v>
      </c>
      <c r="EN230" s="7">
        <v>50012000</v>
      </c>
      <c r="EO230" s="7"/>
      <c r="EP230" s="7"/>
      <c r="EQ230" s="7"/>
      <c r="ER230" s="7"/>
      <c r="ES230" s="7"/>
      <c r="ET230" s="7"/>
      <c r="EU230" s="7">
        <v>11096000</v>
      </c>
      <c r="EV230" s="7"/>
      <c r="EW230" s="7"/>
      <c r="EX230" s="7"/>
      <c r="EY230" s="7"/>
      <c r="EZ230" s="11"/>
      <c r="FA230" s="11"/>
      <c r="FB230" s="11"/>
      <c r="FC230" s="11"/>
      <c r="FD230" s="11"/>
      <c r="FE230" s="11"/>
      <c r="FF230" s="11"/>
      <c r="FG230" s="11"/>
      <c r="FH230" s="11"/>
      <c r="FI230" s="11"/>
      <c r="FJ230" s="11"/>
      <c r="FK230" s="11"/>
      <c r="FL230" s="11"/>
      <c r="FM230" s="11"/>
      <c r="FN230" s="11"/>
      <c r="FO230" s="7"/>
      <c r="FP230" s="7"/>
      <c r="FQ230" s="7">
        <v>4000</v>
      </c>
      <c r="FR230" s="7">
        <v>19000</v>
      </c>
      <c r="FS230" s="7"/>
      <c r="FT230" s="7">
        <v>41000</v>
      </c>
      <c r="FU230" s="7">
        <v>279000</v>
      </c>
      <c r="FV230" s="7">
        <v>1948000</v>
      </c>
      <c r="FW230" s="7">
        <v>40066000</v>
      </c>
      <c r="FX230" s="7"/>
      <c r="FY230" s="11">
        <v>-664000</v>
      </c>
      <c r="FZ230" s="11">
        <v>-1432000</v>
      </c>
      <c r="GA230" s="11">
        <v>-4273000</v>
      </c>
      <c r="GB230" s="11">
        <v>-4277000</v>
      </c>
      <c r="GC230" s="11"/>
      <c r="GD230" s="7">
        <v>-187000</v>
      </c>
      <c r="GE230" s="7">
        <v>9959000</v>
      </c>
      <c r="GF230" s="7">
        <v>27402000</v>
      </c>
      <c r="GG230" s="7">
        <v>274000</v>
      </c>
      <c r="GH230" s="7"/>
    </row>
    <row r="231" spans="1:190" ht="26.25" x14ac:dyDescent="0.25">
      <c r="A231" s="4">
        <v>230</v>
      </c>
      <c r="B231" s="5" t="s">
        <v>764</v>
      </c>
      <c r="C231" s="9" t="s">
        <v>765</v>
      </c>
      <c r="D231" s="7">
        <v>23</v>
      </c>
      <c r="E231" s="6" t="s">
        <v>766</v>
      </c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7">
        <v>78000</v>
      </c>
      <c r="Q231" s="7">
        <v>234000</v>
      </c>
      <c r="R231" s="7"/>
      <c r="S231" s="7"/>
      <c r="T231" s="7"/>
      <c r="U231" s="11"/>
      <c r="V231" s="11"/>
      <c r="W231" s="11"/>
      <c r="X231" s="11"/>
      <c r="Y231" s="11"/>
      <c r="Z231" s="11"/>
      <c r="AA231" s="11"/>
      <c r="AB231" s="11"/>
      <c r="AC231" s="11">
        <v>4412000</v>
      </c>
      <c r="AD231" s="11">
        <v>8625000</v>
      </c>
      <c r="AE231" s="11"/>
      <c r="AF231" s="11"/>
      <c r="AG231" s="11"/>
      <c r="AH231" s="11"/>
      <c r="AI231" s="11"/>
      <c r="AJ231" s="11">
        <v>78000</v>
      </c>
      <c r="AK231" s="11">
        <v>234000</v>
      </c>
      <c r="AL231" s="11"/>
      <c r="AM231" s="11">
        <v>4412000</v>
      </c>
      <c r="AN231" s="11">
        <v>8625000</v>
      </c>
      <c r="AO231" s="7"/>
      <c r="AP231" s="7"/>
      <c r="AQ231" s="7"/>
      <c r="AR231" s="7">
        <v>35000</v>
      </c>
      <c r="AS231" s="7">
        <v>57000</v>
      </c>
      <c r="AT231" s="7">
        <v>2578000</v>
      </c>
      <c r="AU231" s="7">
        <v>4056000</v>
      </c>
      <c r="AV231" s="7">
        <v>5285000</v>
      </c>
      <c r="AW231" s="7">
        <v>17383000</v>
      </c>
      <c r="AX231" s="7">
        <v>15154000</v>
      </c>
      <c r="AY231" s="11"/>
      <c r="AZ231" s="11"/>
      <c r="BA231" s="11"/>
      <c r="BB231" s="11"/>
      <c r="BC231" s="11"/>
      <c r="BD231" s="7">
        <v>150000</v>
      </c>
      <c r="BE231" s="7">
        <v>223000</v>
      </c>
      <c r="BF231" s="7">
        <v>150000</v>
      </c>
      <c r="BG231" s="7">
        <v>345000</v>
      </c>
      <c r="BH231" s="7">
        <v>599000</v>
      </c>
      <c r="BI231" s="11"/>
      <c r="BJ231" s="11"/>
      <c r="BK231" s="11"/>
      <c r="BL231" s="11"/>
      <c r="BM231" s="11"/>
      <c r="BN231" s="11">
        <v>2728000</v>
      </c>
      <c r="BO231" s="11">
        <v>4279000</v>
      </c>
      <c r="BP231" s="11">
        <v>5435000</v>
      </c>
      <c r="BQ231" s="11">
        <v>17763000</v>
      </c>
      <c r="BR231" s="11">
        <v>15810000</v>
      </c>
      <c r="BS231" s="11">
        <v>2806000</v>
      </c>
      <c r="BT231" s="11">
        <v>4513000</v>
      </c>
      <c r="BU231" s="11">
        <v>5435000</v>
      </c>
      <c r="BV231" s="11">
        <v>22175000</v>
      </c>
      <c r="BW231" s="11">
        <v>24435000</v>
      </c>
      <c r="BX231" s="7"/>
      <c r="BY231" s="7"/>
      <c r="BZ231" s="7"/>
      <c r="CA231" s="7"/>
      <c r="CB231" s="7"/>
      <c r="CC231" s="11"/>
      <c r="CD231" s="11"/>
      <c r="CE231" s="11"/>
      <c r="CF231" s="11"/>
      <c r="CG231" s="11"/>
      <c r="CH231" s="7"/>
      <c r="CI231" s="7"/>
      <c r="CJ231" s="7"/>
      <c r="CK231" s="7"/>
      <c r="CL231" s="7"/>
      <c r="CM231" s="11">
        <v>2602000</v>
      </c>
      <c r="CN231" s="11">
        <v>4281000</v>
      </c>
      <c r="CO231" s="11">
        <v>5060000</v>
      </c>
      <c r="CP231" s="11">
        <v>3216000</v>
      </c>
      <c r="CQ231" s="11"/>
      <c r="CR231" s="11"/>
      <c r="CS231" s="11"/>
      <c r="CT231" s="11"/>
      <c r="CU231" s="11">
        <v>16088000</v>
      </c>
      <c r="CV231" s="11">
        <v>22565000</v>
      </c>
      <c r="CW231" s="11"/>
      <c r="CX231" s="11"/>
      <c r="CY231" s="11"/>
      <c r="CZ231" s="11"/>
      <c r="DA231" s="11"/>
      <c r="DB231" s="11"/>
      <c r="DC231" s="11"/>
      <c r="DD231" s="11"/>
      <c r="DE231" s="11">
        <v>16088000</v>
      </c>
      <c r="DF231" s="11">
        <v>22565000</v>
      </c>
      <c r="DG231" s="7"/>
      <c r="DH231" s="7"/>
      <c r="DI231" s="7"/>
      <c r="DJ231" s="7"/>
      <c r="DK231" s="7"/>
      <c r="DL231" s="7">
        <v>204000</v>
      </c>
      <c r="DM231" s="7">
        <v>232000</v>
      </c>
      <c r="DN231" s="7">
        <v>375000</v>
      </c>
      <c r="DO231" s="7">
        <v>2871000</v>
      </c>
      <c r="DP231" s="7">
        <v>1870000</v>
      </c>
      <c r="DQ231" s="11"/>
      <c r="DR231" s="11"/>
      <c r="DS231" s="11"/>
      <c r="DT231" s="11"/>
      <c r="DU231" s="11"/>
      <c r="DV231" s="11"/>
      <c r="DW231" s="11"/>
      <c r="DX231" s="11"/>
      <c r="DY231" s="11"/>
      <c r="DZ231" s="11"/>
      <c r="EA231" s="11">
        <v>204000</v>
      </c>
      <c r="EB231" s="11">
        <v>232000</v>
      </c>
      <c r="EC231" s="11">
        <v>375000</v>
      </c>
      <c r="ED231" s="11">
        <v>2871000</v>
      </c>
      <c r="EE231" s="11">
        <v>1870000</v>
      </c>
      <c r="EF231" s="7">
        <v>5371000</v>
      </c>
      <c r="EG231" s="7">
        <v>6510000</v>
      </c>
      <c r="EH231" s="7">
        <v>7103000</v>
      </c>
      <c r="EI231" s="7">
        <v>5567000</v>
      </c>
      <c r="EJ231" s="7">
        <v>289000</v>
      </c>
      <c r="EK231" s="7">
        <v>2944000</v>
      </c>
      <c r="EL231" s="7">
        <v>2063000</v>
      </c>
      <c r="EM231" s="7">
        <v>3395000</v>
      </c>
      <c r="EN231" s="7">
        <v>11888000</v>
      </c>
      <c r="EO231" s="7"/>
      <c r="EP231" s="7"/>
      <c r="EQ231" s="7"/>
      <c r="ER231" s="7"/>
      <c r="ES231" s="7"/>
      <c r="ET231" s="7"/>
      <c r="EU231" s="7"/>
      <c r="EV231" s="7"/>
      <c r="EW231" s="7"/>
      <c r="EX231" s="7"/>
      <c r="EY231" s="7"/>
      <c r="EZ231" s="11"/>
      <c r="FA231" s="11"/>
      <c r="FB231" s="11"/>
      <c r="FC231" s="11"/>
      <c r="FD231" s="11"/>
      <c r="FE231" s="11"/>
      <c r="FF231" s="11"/>
      <c r="FG231" s="11"/>
      <c r="FH231" s="11"/>
      <c r="FI231" s="11"/>
      <c r="FJ231" s="11"/>
      <c r="FK231" s="11"/>
      <c r="FL231" s="11"/>
      <c r="FM231" s="11">
        <v>110000</v>
      </c>
      <c r="FN231" s="11">
        <v>22565000</v>
      </c>
      <c r="FO231" s="7"/>
      <c r="FP231" s="7"/>
      <c r="FQ231" s="7"/>
      <c r="FR231" s="7">
        <v>304000</v>
      </c>
      <c r="FS231" s="7"/>
      <c r="FT231" s="7">
        <v>41000</v>
      </c>
      <c r="FU231" s="7">
        <v>81000</v>
      </c>
      <c r="FV231" s="7">
        <v>1003000</v>
      </c>
      <c r="FW231" s="7">
        <v>490000</v>
      </c>
      <c r="FX231" s="7"/>
      <c r="FY231" s="11">
        <v>157000</v>
      </c>
      <c r="FZ231" s="11">
        <v>195000</v>
      </c>
      <c r="GA231" s="11">
        <v>218000</v>
      </c>
      <c r="GB231" s="11">
        <v>167000</v>
      </c>
      <c r="GC231" s="11">
        <v>178000</v>
      </c>
      <c r="GD231" s="7">
        <v>2229000</v>
      </c>
      <c r="GE231" s="7">
        <v>4171000</v>
      </c>
      <c r="GF231" s="7">
        <v>2487000</v>
      </c>
      <c r="GG231" s="7">
        <v>-6784000</v>
      </c>
      <c r="GH231" s="7">
        <v>-22454000</v>
      </c>
    </row>
    <row r="232" spans="1:190" ht="26.25" x14ac:dyDescent="0.25">
      <c r="A232" s="4">
        <v>231</v>
      </c>
      <c r="B232" s="5" t="s">
        <v>767</v>
      </c>
      <c r="C232" s="9" t="s">
        <v>768</v>
      </c>
      <c r="D232" s="7">
        <v>32</v>
      </c>
      <c r="E232" s="6" t="s">
        <v>195</v>
      </c>
      <c r="F232" s="11">
        <v>3390</v>
      </c>
      <c r="G232" s="11">
        <v>2262</v>
      </c>
      <c r="H232" s="11">
        <v>2407</v>
      </c>
      <c r="I232" s="11"/>
      <c r="J232" s="11"/>
      <c r="K232" s="11">
        <v>750799</v>
      </c>
      <c r="L232" s="11">
        <v>115360</v>
      </c>
      <c r="M232" s="11">
        <v>859291</v>
      </c>
      <c r="N232" s="11">
        <v>8855</v>
      </c>
      <c r="O232" s="11"/>
      <c r="P232" s="7">
        <v>204008000</v>
      </c>
      <c r="Q232" s="7"/>
      <c r="R232" s="7"/>
      <c r="S232" s="7"/>
      <c r="T232" s="7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>
        <v>204008000</v>
      </c>
      <c r="AK232" s="11"/>
      <c r="AL232" s="11"/>
      <c r="AM232" s="11"/>
      <c r="AN232" s="11"/>
      <c r="AO232" s="7">
        <v>39471000</v>
      </c>
      <c r="AP232" s="7"/>
      <c r="AQ232" s="7"/>
      <c r="AR232" s="7"/>
      <c r="AS232" s="7"/>
      <c r="AT232" s="7">
        <v>4544000</v>
      </c>
      <c r="AU232" s="7"/>
      <c r="AV232" s="7"/>
      <c r="AW232" s="7"/>
      <c r="AX232" s="7"/>
      <c r="AY232" s="11"/>
      <c r="AZ232" s="11"/>
      <c r="BA232" s="11"/>
      <c r="BB232" s="11"/>
      <c r="BC232" s="11"/>
      <c r="BD232" s="7">
        <v>203000</v>
      </c>
      <c r="BE232" s="7"/>
      <c r="BF232" s="7"/>
      <c r="BG232" s="7"/>
      <c r="BH232" s="7"/>
      <c r="BI232" s="11">
        <v>4000</v>
      </c>
      <c r="BJ232" s="11"/>
      <c r="BK232" s="11"/>
      <c r="BL232" s="11"/>
      <c r="BM232" s="11"/>
      <c r="BN232" s="11">
        <v>44716000</v>
      </c>
      <c r="BO232" s="11"/>
      <c r="BP232" s="11"/>
      <c r="BQ232" s="11"/>
      <c r="BR232" s="11"/>
      <c r="BS232" s="11">
        <v>248724000</v>
      </c>
      <c r="BT232" s="11"/>
      <c r="BU232" s="11"/>
      <c r="BV232" s="11"/>
      <c r="BW232" s="11"/>
      <c r="BX232" s="7">
        <v>198464000</v>
      </c>
      <c r="BY232" s="7"/>
      <c r="BZ232" s="7"/>
      <c r="CA232" s="7"/>
      <c r="CB232" s="7"/>
      <c r="CC232" s="11"/>
      <c r="CD232" s="11"/>
      <c r="CE232" s="11"/>
      <c r="CF232" s="11"/>
      <c r="CG232" s="11"/>
      <c r="CH232" s="7">
        <v>8487000</v>
      </c>
      <c r="CI232" s="7"/>
      <c r="CJ232" s="7"/>
      <c r="CK232" s="7"/>
      <c r="CL232" s="7"/>
      <c r="CM232" s="11">
        <v>206951000</v>
      </c>
      <c r="CN232" s="11"/>
      <c r="CO232" s="11"/>
      <c r="CP232" s="11"/>
      <c r="CQ232" s="11"/>
      <c r="CR232" s="11">
        <v>9544000</v>
      </c>
      <c r="CS232" s="11"/>
      <c r="CT232" s="11"/>
      <c r="CU232" s="11"/>
      <c r="CV232" s="11"/>
      <c r="CW232" s="11"/>
      <c r="CX232" s="11"/>
      <c r="CY232" s="11"/>
      <c r="CZ232" s="11"/>
      <c r="DA232" s="11"/>
      <c r="DB232" s="11">
        <v>9544000</v>
      </c>
      <c r="DC232" s="11"/>
      <c r="DD232" s="11"/>
      <c r="DE232" s="11"/>
      <c r="DF232" s="11"/>
      <c r="DG232" s="7">
        <v>13901000</v>
      </c>
      <c r="DH232" s="7"/>
      <c r="DI232" s="7"/>
      <c r="DJ232" s="7"/>
      <c r="DK232" s="7"/>
      <c r="DL232" s="7">
        <v>18328000</v>
      </c>
      <c r="DM232" s="7"/>
      <c r="DN232" s="7"/>
      <c r="DO232" s="7"/>
      <c r="DP232" s="7"/>
      <c r="DQ232" s="11"/>
      <c r="DR232" s="11"/>
      <c r="DS232" s="11"/>
      <c r="DT232" s="11"/>
      <c r="DU232" s="11"/>
      <c r="DV232" s="11"/>
      <c r="DW232" s="11"/>
      <c r="DX232" s="11"/>
      <c r="DY232" s="11"/>
      <c r="DZ232" s="11"/>
      <c r="EA232" s="11">
        <v>32229000</v>
      </c>
      <c r="EB232" s="11"/>
      <c r="EC232" s="11"/>
      <c r="ED232" s="11"/>
      <c r="EE232" s="11"/>
      <c r="EF232" s="7">
        <v>38285000</v>
      </c>
      <c r="EG232" s="7"/>
      <c r="EH232" s="7">
        <v>12630000</v>
      </c>
      <c r="EI232" s="7">
        <v>10856000</v>
      </c>
      <c r="EJ232" s="7"/>
      <c r="EK232" s="7">
        <v>44257000</v>
      </c>
      <c r="EL232" s="7"/>
      <c r="EM232" s="7">
        <v>13388000</v>
      </c>
      <c r="EN232" s="7">
        <v>8930000</v>
      </c>
      <c r="EO232" s="7"/>
      <c r="EP232" s="7"/>
      <c r="EQ232" s="7"/>
      <c r="ER232" s="7"/>
      <c r="ES232" s="7"/>
      <c r="ET232" s="7"/>
      <c r="EU232" s="7"/>
      <c r="EV232" s="7"/>
      <c r="EW232" s="7">
        <v>599000</v>
      </c>
      <c r="EX232" s="7">
        <v>1914000</v>
      </c>
      <c r="EY232" s="7"/>
      <c r="EZ232" s="11"/>
      <c r="FA232" s="11"/>
      <c r="FB232" s="11"/>
      <c r="FC232" s="11"/>
      <c r="FD232" s="11"/>
      <c r="FE232" s="11"/>
      <c r="FF232" s="11"/>
      <c r="FG232" s="11"/>
      <c r="FH232" s="11"/>
      <c r="FI232" s="11"/>
      <c r="FJ232" s="11">
        <v>1559000</v>
      </c>
      <c r="FK232" s="11"/>
      <c r="FL232" s="11"/>
      <c r="FM232" s="11"/>
      <c r="FN232" s="11"/>
      <c r="FO232" s="7">
        <v>7113000</v>
      </c>
      <c r="FP232" s="7"/>
      <c r="FQ232" s="7">
        <v>1402000</v>
      </c>
      <c r="FR232" s="7"/>
      <c r="FS232" s="7"/>
      <c r="FT232" s="7">
        <v>1034000</v>
      </c>
      <c r="FU232" s="7"/>
      <c r="FV232" s="7">
        <v>45000</v>
      </c>
      <c r="FW232" s="7">
        <v>12000</v>
      </c>
      <c r="FX232" s="7"/>
      <c r="FY232" s="11"/>
      <c r="FZ232" s="11"/>
      <c r="GA232" s="11"/>
      <c r="GB232" s="11"/>
      <c r="GC232" s="11"/>
      <c r="GD232" s="7">
        <v>-1452000</v>
      </c>
      <c r="GE232" s="7"/>
      <c r="GF232" s="7"/>
      <c r="GG232" s="7"/>
      <c r="GH232" s="7"/>
    </row>
    <row r="233" spans="1:190" x14ac:dyDescent="0.25">
      <c r="A233" s="4">
        <v>232</v>
      </c>
      <c r="B233" s="5" t="s">
        <v>769</v>
      </c>
      <c r="C233" s="9" t="s">
        <v>770</v>
      </c>
      <c r="D233" s="7">
        <v>8</v>
      </c>
      <c r="E233" s="6" t="s">
        <v>771</v>
      </c>
      <c r="F233" s="11">
        <v>98261</v>
      </c>
      <c r="G233" s="11">
        <v>139602</v>
      </c>
      <c r="H233" s="11">
        <v>186544</v>
      </c>
      <c r="I233" s="11"/>
      <c r="J233" s="11"/>
      <c r="K233" s="11">
        <v>1451844</v>
      </c>
      <c r="L233" s="11">
        <v>707498</v>
      </c>
      <c r="M233" s="11">
        <v>1114546</v>
      </c>
      <c r="N233" s="11">
        <v>11931</v>
      </c>
      <c r="O233" s="11">
        <v>82906</v>
      </c>
      <c r="P233" s="7">
        <v>16663000</v>
      </c>
      <c r="Q233" s="7">
        <v>16663000</v>
      </c>
      <c r="R233" s="7">
        <v>11038000</v>
      </c>
      <c r="S233" s="7">
        <v>11038000</v>
      </c>
      <c r="T233" s="7">
        <v>4364000</v>
      </c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>
        <v>16663000</v>
      </c>
      <c r="AK233" s="11">
        <v>16663000</v>
      </c>
      <c r="AL233" s="11">
        <v>11038000</v>
      </c>
      <c r="AM233" s="11">
        <v>11038000</v>
      </c>
      <c r="AN233" s="11">
        <v>4364000</v>
      </c>
      <c r="AO233" s="7">
        <v>7752000</v>
      </c>
      <c r="AP233" s="7">
        <v>4546000</v>
      </c>
      <c r="AQ233" s="7">
        <v>4546000</v>
      </c>
      <c r="AR233" s="7">
        <v>4546000</v>
      </c>
      <c r="AS233" s="7"/>
      <c r="AT233" s="7"/>
      <c r="AU233" s="7"/>
      <c r="AV233" s="7">
        <v>8000000</v>
      </c>
      <c r="AW233" s="7">
        <v>7702000</v>
      </c>
      <c r="AX233" s="7"/>
      <c r="AY233" s="11"/>
      <c r="AZ233" s="11"/>
      <c r="BA233" s="11"/>
      <c r="BB233" s="11"/>
      <c r="BC233" s="11"/>
      <c r="BD233" s="7">
        <v>278000</v>
      </c>
      <c r="BE233" s="7">
        <v>589000</v>
      </c>
      <c r="BF233" s="7">
        <v>1513000</v>
      </c>
      <c r="BG233" s="7">
        <v>1971000</v>
      </c>
      <c r="BH233" s="7">
        <v>962000</v>
      </c>
      <c r="BI233" s="11">
        <v>581000</v>
      </c>
      <c r="BJ233" s="11"/>
      <c r="BK233" s="11"/>
      <c r="BL233" s="11"/>
      <c r="BM233" s="11"/>
      <c r="BN233" s="11">
        <v>8611000</v>
      </c>
      <c r="BO233" s="11">
        <v>5135000</v>
      </c>
      <c r="BP233" s="11">
        <v>14059000</v>
      </c>
      <c r="BQ233" s="11">
        <v>14219000</v>
      </c>
      <c r="BR233" s="11">
        <v>962000</v>
      </c>
      <c r="BS233" s="11">
        <v>25274000</v>
      </c>
      <c r="BT233" s="11">
        <v>21798000</v>
      </c>
      <c r="BU233" s="11">
        <v>25097000</v>
      </c>
      <c r="BV233" s="11">
        <v>25257000</v>
      </c>
      <c r="BW233" s="11">
        <v>5326000</v>
      </c>
      <c r="BX233" s="7">
        <v>10000</v>
      </c>
      <c r="BY233" s="7">
        <v>10000</v>
      </c>
      <c r="BZ233" s="7">
        <v>10000</v>
      </c>
      <c r="CA233" s="7">
        <v>20000</v>
      </c>
      <c r="CB233" s="7">
        <v>20000</v>
      </c>
      <c r="CC233" s="11"/>
      <c r="CD233" s="11"/>
      <c r="CE233" s="11"/>
      <c r="CF233" s="11"/>
      <c r="CG233" s="11"/>
      <c r="CH233" s="7">
        <v>695000</v>
      </c>
      <c r="CI233" s="7"/>
      <c r="CJ233" s="7">
        <v>939000</v>
      </c>
      <c r="CK233" s="7">
        <v>939000</v>
      </c>
      <c r="CL233" s="7">
        <v>-18992000</v>
      </c>
      <c r="CM233" s="11">
        <v>705000</v>
      </c>
      <c r="CN233" s="11">
        <v>10000</v>
      </c>
      <c r="CO233" s="11">
        <v>949000</v>
      </c>
      <c r="CP233" s="11">
        <v>959000</v>
      </c>
      <c r="CQ233" s="11">
        <v>-18972000</v>
      </c>
      <c r="CR233" s="11"/>
      <c r="CS233" s="11"/>
      <c r="CT233" s="11"/>
      <c r="CU233" s="11"/>
      <c r="CV233" s="11"/>
      <c r="CW233" s="11"/>
      <c r="CX233" s="11"/>
      <c r="CY233" s="11"/>
      <c r="CZ233" s="11"/>
      <c r="DA233" s="11"/>
      <c r="DB233" s="11"/>
      <c r="DC233" s="11"/>
      <c r="DD233" s="11"/>
      <c r="DE233" s="11"/>
      <c r="DF233" s="11"/>
      <c r="DG233" s="7"/>
      <c r="DH233" s="7"/>
      <c r="DI233" s="7"/>
      <c r="DJ233" s="7"/>
      <c r="DK233" s="7"/>
      <c r="DL233" s="7">
        <v>9615000</v>
      </c>
      <c r="DM233" s="7">
        <v>16747000</v>
      </c>
      <c r="DN233" s="7">
        <v>19107000</v>
      </c>
      <c r="DO233" s="7">
        <v>19257000</v>
      </c>
      <c r="DP233" s="7">
        <v>19257000</v>
      </c>
      <c r="DQ233" s="11">
        <v>10000</v>
      </c>
      <c r="DR233" s="11"/>
      <c r="DS233" s="11"/>
      <c r="DT233" s="11"/>
      <c r="DU233" s="11"/>
      <c r="DV233" s="11">
        <v>14944000</v>
      </c>
      <c r="DW233" s="11">
        <v>5041000</v>
      </c>
      <c r="DX233" s="11">
        <v>5041000</v>
      </c>
      <c r="DY233" s="11">
        <v>5041000</v>
      </c>
      <c r="DZ233" s="11">
        <v>5041000</v>
      </c>
      <c r="EA233" s="11">
        <v>24569000</v>
      </c>
      <c r="EB233" s="11">
        <v>21788000</v>
      </c>
      <c r="EC233" s="11">
        <v>24148000</v>
      </c>
      <c r="ED233" s="11">
        <v>24298000</v>
      </c>
      <c r="EE233" s="11">
        <v>24298000</v>
      </c>
      <c r="EF233" s="7">
        <v>69621000</v>
      </c>
      <c r="EG233" s="7">
        <v>79151000</v>
      </c>
      <c r="EH233" s="7">
        <v>30202000</v>
      </c>
      <c r="EI233" s="7"/>
      <c r="EJ233" s="7"/>
      <c r="EK233" s="7">
        <v>68911000</v>
      </c>
      <c r="EL233" s="7">
        <v>78957000</v>
      </c>
      <c r="EM233" s="7">
        <v>28998000</v>
      </c>
      <c r="EN233" s="7"/>
      <c r="EO233" s="7"/>
      <c r="EP233" s="7">
        <v>15000</v>
      </c>
      <c r="EQ233" s="7"/>
      <c r="ER233" s="7"/>
      <c r="ES233" s="7"/>
      <c r="ET233" s="7"/>
      <c r="EU233" s="7"/>
      <c r="EV233" s="7"/>
      <c r="EW233" s="7"/>
      <c r="EX233" s="7"/>
      <c r="EY233" s="7"/>
      <c r="EZ233" s="11"/>
      <c r="FA233" s="11"/>
      <c r="FB233" s="11"/>
      <c r="FC233" s="11"/>
      <c r="FD233" s="11"/>
      <c r="FE233" s="11"/>
      <c r="FF233" s="11"/>
      <c r="FG233" s="11"/>
      <c r="FH233" s="11"/>
      <c r="FI233" s="11"/>
      <c r="FJ233" s="11"/>
      <c r="FK233" s="11"/>
      <c r="FL233" s="11"/>
      <c r="FM233" s="11"/>
      <c r="FN233" s="11"/>
      <c r="FO233" s="7"/>
      <c r="FP233" s="7"/>
      <c r="FQ233" s="7"/>
      <c r="FR233" s="7"/>
      <c r="FS233" s="7"/>
      <c r="FT233" s="7"/>
      <c r="FU233" s="7"/>
      <c r="FV233" s="7">
        <v>30000</v>
      </c>
      <c r="FW233" s="7"/>
      <c r="FX233" s="7"/>
      <c r="FY233" s="11">
        <v>139000</v>
      </c>
      <c r="FZ233" s="11">
        <v>39000</v>
      </c>
      <c r="GA233" s="11">
        <v>-235000</v>
      </c>
      <c r="GB233" s="11"/>
      <c r="GC233" s="11"/>
      <c r="GD233" s="7">
        <v>834000</v>
      </c>
      <c r="GE233" s="7">
        <v>233000</v>
      </c>
      <c r="GF233" s="7">
        <v>939000</v>
      </c>
      <c r="GG233" s="7"/>
      <c r="GH233" s="7"/>
    </row>
    <row r="234" spans="1:190" x14ac:dyDescent="0.25">
      <c r="A234" s="4">
        <v>233</v>
      </c>
      <c r="B234" s="5" t="s">
        <v>772</v>
      </c>
      <c r="C234" s="9" t="s">
        <v>773</v>
      </c>
      <c r="D234" s="7">
        <v>12</v>
      </c>
      <c r="E234" s="6" t="s">
        <v>190</v>
      </c>
      <c r="F234" s="11">
        <v>1053348</v>
      </c>
      <c r="G234" s="11">
        <v>265518</v>
      </c>
      <c r="H234" s="11">
        <v>3700</v>
      </c>
      <c r="I234" s="11"/>
      <c r="J234" s="11"/>
      <c r="K234" s="11">
        <v>4877328</v>
      </c>
      <c r="L234" s="11">
        <v>2867104</v>
      </c>
      <c r="M234" s="11">
        <v>1921942</v>
      </c>
      <c r="N234" s="11"/>
      <c r="O234" s="11"/>
      <c r="P234" s="7">
        <v>6989000</v>
      </c>
      <c r="Q234" s="7">
        <v>4316000</v>
      </c>
      <c r="R234" s="7">
        <v>914000</v>
      </c>
      <c r="S234" s="7">
        <v>914000</v>
      </c>
      <c r="T234" s="7">
        <v>148000</v>
      </c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>
        <v>7083000</v>
      </c>
      <c r="AK234" s="11">
        <v>6484000</v>
      </c>
      <c r="AL234" s="11">
        <v>3007000</v>
      </c>
      <c r="AM234" s="11">
        <v>3007000</v>
      </c>
      <c r="AN234" s="11">
        <v>148000</v>
      </c>
      <c r="AO234" s="7">
        <v>17131000</v>
      </c>
      <c r="AP234" s="7">
        <v>21848000</v>
      </c>
      <c r="AQ234" s="7">
        <v>32292000</v>
      </c>
      <c r="AR234" s="7">
        <v>32292000</v>
      </c>
      <c r="AS234" s="7"/>
      <c r="AT234" s="7">
        <v>19595000</v>
      </c>
      <c r="AU234" s="7">
        <v>4732000</v>
      </c>
      <c r="AV234" s="7">
        <v>2960000</v>
      </c>
      <c r="AW234" s="7">
        <v>2960000</v>
      </c>
      <c r="AX234" s="7">
        <v>50000</v>
      </c>
      <c r="AY234" s="11">
        <v>739000</v>
      </c>
      <c r="AZ234" s="11"/>
      <c r="BA234" s="11"/>
      <c r="BB234" s="11"/>
      <c r="BC234" s="11"/>
      <c r="BD234" s="7">
        <v>537000</v>
      </c>
      <c r="BE234" s="7">
        <v>20000</v>
      </c>
      <c r="BF234" s="7">
        <v>38000</v>
      </c>
      <c r="BG234" s="7">
        <v>38000</v>
      </c>
      <c r="BH234" s="7"/>
      <c r="BI234" s="11">
        <v>716000</v>
      </c>
      <c r="BJ234" s="11">
        <v>478000</v>
      </c>
      <c r="BK234" s="11"/>
      <c r="BL234" s="11"/>
      <c r="BM234" s="11"/>
      <c r="BN234" s="11">
        <v>38718000</v>
      </c>
      <c r="BO234" s="11">
        <v>27078000</v>
      </c>
      <c r="BP234" s="11">
        <v>35290000</v>
      </c>
      <c r="BQ234" s="11">
        <v>35290000</v>
      </c>
      <c r="BR234" s="11">
        <v>50000</v>
      </c>
      <c r="BS234" s="11">
        <v>45801000</v>
      </c>
      <c r="BT234" s="11">
        <v>33562000</v>
      </c>
      <c r="BU234" s="11">
        <v>38297000</v>
      </c>
      <c r="BV234" s="11">
        <v>38297000</v>
      </c>
      <c r="BW234" s="11">
        <v>198000</v>
      </c>
      <c r="BX234" s="7">
        <v>10000</v>
      </c>
      <c r="BY234" s="7">
        <v>10000</v>
      </c>
      <c r="BZ234" s="7">
        <v>10000</v>
      </c>
      <c r="CA234" s="7">
        <v>10000</v>
      </c>
      <c r="CB234" s="7">
        <v>10000</v>
      </c>
      <c r="CC234" s="11"/>
      <c r="CD234" s="11"/>
      <c r="CE234" s="11"/>
      <c r="CF234" s="11"/>
      <c r="CG234" s="11"/>
      <c r="CH234" s="7">
        <v>6869000</v>
      </c>
      <c r="CI234" s="7">
        <v>-1171000</v>
      </c>
      <c r="CJ234" s="7">
        <v>-1981000</v>
      </c>
      <c r="CK234" s="7">
        <v>-1981000</v>
      </c>
      <c r="CL234" s="7">
        <v>-17315000</v>
      </c>
      <c r="CM234" s="11">
        <v>6879000</v>
      </c>
      <c r="CN234" s="11">
        <v>-1161000</v>
      </c>
      <c r="CO234" s="11">
        <v>-1971000</v>
      </c>
      <c r="CP234" s="11">
        <v>-1971000</v>
      </c>
      <c r="CQ234" s="11">
        <v>-17305000</v>
      </c>
      <c r="CR234" s="11"/>
      <c r="CS234" s="11"/>
      <c r="CT234" s="11"/>
      <c r="CU234" s="11"/>
      <c r="CV234" s="11"/>
      <c r="CW234" s="11">
        <v>4294000</v>
      </c>
      <c r="CX234" s="11">
        <v>2868000</v>
      </c>
      <c r="CY234" s="11"/>
      <c r="CZ234" s="11"/>
      <c r="DA234" s="11"/>
      <c r="DB234" s="11">
        <v>4430000</v>
      </c>
      <c r="DC234" s="11">
        <v>3140000</v>
      </c>
      <c r="DD234" s="11">
        <v>111000</v>
      </c>
      <c r="DE234" s="11">
        <v>111000</v>
      </c>
      <c r="DF234" s="11"/>
      <c r="DG234" s="7">
        <v>3675000</v>
      </c>
      <c r="DH234" s="7">
        <v>2195000</v>
      </c>
      <c r="DI234" s="7">
        <v>1886000</v>
      </c>
      <c r="DJ234" s="7">
        <v>1886000</v>
      </c>
      <c r="DK234" s="7"/>
      <c r="DL234" s="7">
        <v>30817000</v>
      </c>
      <c r="DM234" s="7">
        <v>29388000</v>
      </c>
      <c r="DN234" s="7">
        <v>38271000</v>
      </c>
      <c r="DO234" s="7">
        <v>38271000</v>
      </c>
      <c r="DP234" s="7">
        <v>17503000</v>
      </c>
      <c r="DQ234" s="11"/>
      <c r="DR234" s="11"/>
      <c r="DS234" s="11"/>
      <c r="DT234" s="11"/>
      <c r="DU234" s="11"/>
      <c r="DV234" s="11"/>
      <c r="DW234" s="11"/>
      <c r="DX234" s="11"/>
      <c r="DY234" s="11"/>
      <c r="DZ234" s="11"/>
      <c r="EA234" s="11">
        <v>34492000</v>
      </c>
      <c r="EB234" s="11">
        <v>31583000</v>
      </c>
      <c r="EC234" s="11">
        <v>40157000</v>
      </c>
      <c r="ED234" s="11">
        <v>40157000</v>
      </c>
      <c r="EE234" s="11">
        <v>17503000</v>
      </c>
      <c r="EF234" s="7">
        <v>80722000</v>
      </c>
      <c r="EG234" s="7">
        <v>33995000</v>
      </c>
      <c r="EH234" s="7">
        <v>25334000</v>
      </c>
      <c r="EI234" s="7"/>
      <c r="EJ234" s="7"/>
      <c r="EK234" s="7">
        <v>75038000</v>
      </c>
      <c r="EL234" s="7">
        <v>25719000</v>
      </c>
      <c r="EM234" s="7">
        <v>13125000</v>
      </c>
      <c r="EN234" s="7"/>
      <c r="EO234" s="7"/>
      <c r="EP234" s="7"/>
      <c r="EQ234" s="7"/>
      <c r="ER234" s="7"/>
      <c r="ES234" s="7"/>
      <c r="ET234" s="7"/>
      <c r="EU234" s="7"/>
      <c r="EV234" s="7">
        <v>16897000</v>
      </c>
      <c r="EW234" s="7">
        <v>13171000</v>
      </c>
      <c r="EX234" s="7"/>
      <c r="EY234" s="7"/>
      <c r="EZ234" s="11"/>
      <c r="FA234" s="11"/>
      <c r="FB234" s="11"/>
      <c r="FC234" s="11"/>
      <c r="FD234" s="11"/>
      <c r="FE234" s="11"/>
      <c r="FF234" s="11"/>
      <c r="FG234" s="11"/>
      <c r="FH234" s="11"/>
      <c r="FI234" s="11"/>
      <c r="FJ234" s="11"/>
      <c r="FK234" s="11"/>
      <c r="FL234" s="11"/>
      <c r="FM234" s="11"/>
      <c r="FN234" s="11"/>
      <c r="FO234" s="7">
        <v>2750000</v>
      </c>
      <c r="FP234" s="7">
        <v>3113000</v>
      </c>
      <c r="FQ234" s="7">
        <v>2865000</v>
      </c>
      <c r="FR234" s="7"/>
      <c r="FS234" s="7">
        <v>88000</v>
      </c>
      <c r="FT234" s="7">
        <v>3618000</v>
      </c>
      <c r="FU234" s="7">
        <v>4308000</v>
      </c>
      <c r="FV234" s="7">
        <v>2641000</v>
      </c>
      <c r="FW234" s="7"/>
      <c r="FX234" s="7">
        <v>95000</v>
      </c>
      <c r="FY234" s="11">
        <v>-969000</v>
      </c>
      <c r="FZ234" s="11">
        <v>1938000</v>
      </c>
      <c r="GA234" s="11">
        <v>86000</v>
      </c>
      <c r="GB234" s="11"/>
      <c r="GC234" s="11"/>
      <c r="GD234" s="7">
        <v>3553000</v>
      </c>
      <c r="GE234" s="7">
        <v>-8043000</v>
      </c>
      <c r="GF234" s="7">
        <v>-810000</v>
      </c>
      <c r="GG234" s="7"/>
      <c r="GH234" s="7">
        <v>-7000</v>
      </c>
    </row>
    <row r="235" spans="1:190" x14ac:dyDescent="0.25">
      <c r="A235" s="4">
        <v>234</v>
      </c>
      <c r="B235" s="5" t="s">
        <v>774</v>
      </c>
      <c r="C235" s="9" t="s">
        <v>775</v>
      </c>
      <c r="D235" s="7">
        <v>18</v>
      </c>
      <c r="E235" s="6" t="s">
        <v>776</v>
      </c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7"/>
      <c r="Q235" s="7"/>
      <c r="R235" s="7"/>
      <c r="S235" s="7"/>
      <c r="T235" s="7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11"/>
      <c r="AZ235" s="11"/>
      <c r="BA235" s="11"/>
      <c r="BB235" s="11"/>
      <c r="BC235" s="11"/>
      <c r="BD235" s="7"/>
      <c r="BE235" s="7"/>
      <c r="BF235" s="7"/>
      <c r="BG235" s="7"/>
      <c r="BH235" s="7"/>
      <c r="BI235" s="11"/>
      <c r="BJ235" s="11"/>
      <c r="BK235" s="11"/>
      <c r="BL235" s="11"/>
      <c r="BM235" s="11"/>
      <c r="BN235" s="11"/>
      <c r="BO235" s="11"/>
      <c r="BP235" s="11"/>
      <c r="BQ235" s="11"/>
      <c r="BR235" s="11"/>
      <c r="BS235" s="11"/>
      <c r="BT235" s="11"/>
      <c r="BU235" s="11"/>
      <c r="BV235" s="11"/>
      <c r="BW235" s="11"/>
      <c r="BX235" s="7"/>
      <c r="BY235" s="7"/>
      <c r="BZ235" s="7"/>
      <c r="CA235" s="7"/>
      <c r="CB235" s="7"/>
      <c r="CC235" s="11"/>
      <c r="CD235" s="11"/>
      <c r="CE235" s="11"/>
      <c r="CF235" s="11"/>
      <c r="CG235" s="11"/>
      <c r="CH235" s="7"/>
      <c r="CI235" s="7"/>
      <c r="CJ235" s="7"/>
      <c r="CK235" s="7"/>
      <c r="CL235" s="7"/>
      <c r="CM235" s="11"/>
      <c r="CN235" s="11"/>
      <c r="CO235" s="11"/>
      <c r="CP235" s="11"/>
      <c r="CQ235" s="11"/>
      <c r="CR235" s="11"/>
      <c r="CS235" s="11"/>
      <c r="CT235" s="11"/>
      <c r="CU235" s="11"/>
      <c r="CV235" s="11"/>
      <c r="CW235" s="11"/>
      <c r="CX235" s="11"/>
      <c r="CY235" s="11"/>
      <c r="CZ235" s="11"/>
      <c r="DA235" s="11"/>
      <c r="DB235" s="11"/>
      <c r="DC235" s="11"/>
      <c r="DD235" s="11"/>
      <c r="DE235" s="11"/>
      <c r="DF235" s="11"/>
      <c r="DG235" s="7"/>
      <c r="DH235" s="7"/>
      <c r="DI235" s="7"/>
      <c r="DJ235" s="7"/>
      <c r="DK235" s="7"/>
      <c r="DL235" s="7"/>
      <c r="DM235" s="7"/>
      <c r="DN235" s="7"/>
      <c r="DO235" s="7"/>
      <c r="DP235" s="7"/>
      <c r="DQ235" s="11"/>
      <c r="DR235" s="11"/>
      <c r="DS235" s="11"/>
      <c r="DT235" s="11"/>
      <c r="DU235" s="11"/>
      <c r="DV235" s="11"/>
      <c r="DW235" s="11"/>
      <c r="DX235" s="11"/>
      <c r="DY235" s="11"/>
      <c r="DZ235" s="11"/>
      <c r="EA235" s="11"/>
      <c r="EB235" s="11"/>
      <c r="EC235" s="11"/>
      <c r="ED235" s="11"/>
      <c r="EE235" s="11"/>
      <c r="EF235" s="7"/>
      <c r="EG235" s="7"/>
      <c r="EH235" s="7"/>
      <c r="EI235" s="7"/>
      <c r="EJ235" s="7"/>
      <c r="EK235" s="7"/>
      <c r="EL235" s="7"/>
      <c r="EM235" s="7"/>
      <c r="EN235" s="7"/>
      <c r="EO235" s="7"/>
      <c r="EP235" s="7"/>
      <c r="EQ235" s="7"/>
      <c r="ER235" s="7"/>
      <c r="ES235" s="7"/>
      <c r="ET235" s="7"/>
      <c r="EU235" s="7"/>
      <c r="EV235" s="7"/>
      <c r="EW235" s="7"/>
      <c r="EX235" s="7"/>
      <c r="EY235" s="7"/>
      <c r="EZ235" s="11"/>
      <c r="FA235" s="11"/>
      <c r="FB235" s="11"/>
      <c r="FC235" s="11"/>
      <c r="FD235" s="11"/>
      <c r="FE235" s="11"/>
      <c r="FF235" s="11"/>
      <c r="FG235" s="11"/>
      <c r="FH235" s="11"/>
      <c r="FI235" s="11"/>
      <c r="FJ235" s="11"/>
      <c r="FK235" s="11"/>
      <c r="FL235" s="11"/>
      <c r="FM235" s="11"/>
      <c r="FN235" s="11"/>
      <c r="FO235" s="7"/>
      <c r="FP235" s="7"/>
      <c r="FQ235" s="7"/>
      <c r="FR235" s="7"/>
      <c r="FS235" s="7"/>
      <c r="FT235" s="7"/>
      <c r="FU235" s="7"/>
      <c r="FV235" s="7"/>
      <c r="FW235" s="7"/>
      <c r="FX235" s="7"/>
      <c r="FY235" s="11"/>
      <c r="FZ235" s="11"/>
      <c r="GA235" s="11"/>
      <c r="GB235" s="11"/>
      <c r="GC235" s="11"/>
      <c r="GD235" s="7"/>
      <c r="GE235" s="7"/>
      <c r="GF235" s="7"/>
      <c r="GG235" s="7"/>
      <c r="GH235" s="7"/>
    </row>
    <row r="236" spans="1:190" x14ac:dyDescent="0.25">
      <c r="A236" s="4">
        <v>235</v>
      </c>
      <c r="B236" s="5" t="s">
        <v>777</v>
      </c>
      <c r="C236" s="9" t="s">
        <v>778</v>
      </c>
      <c r="D236" s="7">
        <v>33</v>
      </c>
      <c r="E236" s="6" t="s">
        <v>198</v>
      </c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7"/>
      <c r="Q236" s="7"/>
      <c r="R236" s="7"/>
      <c r="S236" s="7"/>
      <c r="T236" s="7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11"/>
      <c r="AZ236" s="11"/>
      <c r="BA236" s="11"/>
      <c r="BB236" s="11"/>
      <c r="BC236" s="11"/>
      <c r="BD236" s="7"/>
      <c r="BE236" s="7"/>
      <c r="BF236" s="7"/>
      <c r="BG236" s="7"/>
      <c r="BH236" s="7"/>
      <c r="BI236" s="11"/>
      <c r="BJ236" s="11"/>
      <c r="BK236" s="11"/>
      <c r="BL236" s="11"/>
      <c r="BM236" s="11"/>
      <c r="BN236" s="11"/>
      <c r="BO236" s="11"/>
      <c r="BP236" s="11"/>
      <c r="BQ236" s="11"/>
      <c r="BR236" s="11"/>
      <c r="BS236" s="11"/>
      <c r="BT236" s="11"/>
      <c r="BU236" s="11"/>
      <c r="BV236" s="11"/>
      <c r="BW236" s="11"/>
      <c r="BX236" s="7"/>
      <c r="BY236" s="7"/>
      <c r="BZ236" s="7"/>
      <c r="CA236" s="7"/>
      <c r="CB236" s="7"/>
      <c r="CC236" s="11"/>
      <c r="CD236" s="11"/>
      <c r="CE236" s="11"/>
      <c r="CF236" s="11"/>
      <c r="CG236" s="11"/>
      <c r="CH236" s="7"/>
      <c r="CI236" s="7"/>
      <c r="CJ236" s="7"/>
      <c r="CK236" s="7"/>
      <c r="CL236" s="7"/>
      <c r="CM236" s="11"/>
      <c r="CN236" s="11"/>
      <c r="CO236" s="11"/>
      <c r="CP236" s="11"/>
      <c r="CQ236" s="11"/>
      <c r="CR236" s="11"/>
      <c r="CS236" s="11"/>
      <c r="CT236" s="11"/>
      <c r="CU236" s="11"/>
      <c r="CV236" s="11"/>
      <c r="CW236" s="11"/>
      <c r="CX236" s="11"/>
      <c r="CY236" s="11"/>
      <c r="CZ236" s="11"/>
      <c r="DA236" s="11"/>
      <c r="DB236" s="11"/>
      <c r="DC236" s="11"/>
      <c r="DD236" s="11"/>
      <c r="DE236" s="11"/>
      <c r="DF236" s="11"/>
      <c r="DG236" s="7"/>
      <c r="DH236" s="7"/>
      <c r="DI236" s="7"/>
      <c r="DJ236" s="7"/>
      <c r="DK236" s="7"/>
      <c r="DL236" s="7"/>
      <c r="DM236" s="7"/>
      <c r="DN236" s="7"/>
      <c r="DO236" s="7"/>
      <c r="DP236" s="7"/>
      <c r="DQ236" s="11"/>
      <c r="DR236" s="11"/>
      <c r="DS236" s="11"/>
      <c r="DT236" s="11"/>
      <c r="DU236" s="11"/>
      <c r="DV236" s="11"/>
      <c r="DW236" s="11"/>
      <c r="DX236" s="11"/>
      <c r="DY236" s="11"/>
      <c r="DZ236" s="11"/>
      <c r="EA236" s="11"/>
      <c r="EB236" s="11"/>
      <c r="EC236" s="11"/>
      <c r="ED236" s="11"/>
      <c r="EE236" s="11"/>
      <c r="EF236" s="7"/>
      <c r="EG236" s="7"/>
      <c r="EH236" s="7"/>
      <c r="EI236" s="7"/>
      <c r="EJ236" s="7"/>
      <c r="EK236" s="7"/>
      <c r="EL236" s="7"/>
      <c r="EM236" s="7"/>
      <c r="EN236" s="7"/>
      <c r="EO236" s="7"/>
      <c r="EP236" s="7"/>
      <c r="EQ236" s="7"/>
      <c r="ER236" s="7"/>
      <c r="ES236" s="7"/>
      <c r="ET236" s="7"/>
      <c r="EU236" s="7"/>
      <c r="EV236" s="7"/>
      <c r="EW236" s="7"/>
      <c r="EX236" s="7"/>
      <c r="EY236" s="7"/>
      <c r="EZ236" s="11"/>
      <c r="FA236" s="11"/>
      <c r="FB236" s="11"/>
      <c r="FC236" s="11"/>
      <c r="FD236" s="11"/>
      <c r="FE236" s="11"/>
      <c r="FF236" s="11"/>
      <c r="FG236" s="11"/>
      <c r="FH236" s="11"/>
      <c r="FI236" s="11"/>
      <c r="FJ236" s="11"/>
      <c r="FK236" s="11"/>
      <c r="FL236" s="11"/>
      <c r="FM236" s="11"/>
      <c r="FN236" s="11"/>
      <c r="FO236" s="7"/>
      <c r="FP236" s="7"/>
      <c r="FQ236" s="7"/>
      <c r="FR236" s="7"/>
      <c r="FS236" s="7"/>
      <c r="FT236" s="7"/>
      <c r="FU236" s="7"/>
      <c r="FV236" s="7"/>
      <c r="FW236" s="7"/>
      <c r="FX236" s="7"/>
      <c r="FY236" s="11"/>
      <c r="FZ236" s="11"/>
      <c r="GA236" s="11"/>
      <c r="GB236" s="11"/>
      <c r="GC236" s="11"/>
      <c r="GD236" s="7"/>
      <c r="GE236" s="7"/>
      <c r="GF236" s="7"/>
      <c r="GG236" s="7"/>
      <c r="GH236" s="7"/>
    </row>
    <row r="237" spans="1:190" x14ac:dyDescent="0.25">
      <c r="A237" s="4">
        <v>236</v>
      </c>
      <c r="B237" s="5" t="s">
        <v>779</v>
      </c>
      <c r="C237" s="9" t="s">
        <v>780</v>
      </c>
      <c r="D237" s="7">
        <v>17</v>
      </c>
      <c r="E237" s="6" t="s">
        <v>190</v>
      </c>
      <c r="F237" s="11">
        <v>43642</v>
      </c>
      <c r="G237" s="11">
        <v>3808</v>
      </c>
      <c r="H237" s="11"/>
      <c r="I237" s="11"/>
      <c r="J237" s="11"/>
      <c r="K237" s="11">
        <v>675090</v>
      </c>
      <c r="L237" s="11">
        <v>112544</v>
      </c>
      <c r="M237" s="11"/>
      <c r="N237" s="11"/>
      <c r="O237" s="11"/>
      <c r="P237" s="7"/>
      <c r="Q237" s="7"/>
      <c r="R237" s="7"/>
      <c r="S237" s="7"/>
      <c r="T237" s="7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7">
        <v>5685000</v>
      </c>
      <c r="AP237" s="7"/>
      <c r="AQ237" s="7"/>
      <c r="AR237" s="7"/>
      <c r="AS237" s="7"/>
      <c r="AT237" s="7">
        <v>17710000</v>
      </c>
      <c r="AU237" s="7"/>
      <c r="AV237" s="7"/>
      <c r="AW237" s="7"/>
      <c r="AX237" s="7"/>
      <c r="AY237" s="11"/>
      <c r="AZ237" s="11"/>
      <c r="BA237" s="11"/>
      <c r="BB237" s="11"/>
      <c r="BC237" s="11"/>
      <c r="BD237" s="7">
        <v>128000</v>
      </c>
      <c r="BE237" s="7"/>
      <c r="BF237" s="7"/>
      <c r="BG237" s="7"/>
      <c r="BH237" s="7"/>
      <c r="BI237" s="11">
        <v>22000</v>
      </c>
      <c r="BJ237" s="11"/>
      <c r="BK237" s="11"/>
      <c r="BL237" s="11"/>
      <c r="BM237" s="11"/>
      <c r="BN237" s="11">
        <v>23660000</v>
      </c>
      <c r="BO237" s="11"/>
      <c r="BP237" s="11"/>
      <c r="BQ237" s="11"/>
      <c r="BR237" s="11"/>
      <c r="BS237" s="11">
        <v>23660000</v>
      </c>
      <c r="BT237" s="11"/>
      <c r="BU237" s="11"/>
      <c r="BV237" s="11"/>
      <c r="BW237" s="11"/>
      <c r="BX237" s="7">
        <v>10000</v>
      </c>
      <c r="BY237" s="7"/>
      <c r="BZ237" s="7"/>
      <c r="CA237" s="7"/>
      <c r="CB237" s="7"/>
      <c r="CC237" s="11"/>
      <c r="CD237" s="11"/>
      <c r="CE237" s="11"/>
      <c r="CF237" s="11"/>
      <c r="CG237" s="11"/>
      <c r="CH237" s="7">
        <v>1954000</v>
      </c>
      <c r="CI237" s="7"/>
      <c r="CJ237" s="7"/>
      <c r="CK237" s="7"/>
      <c r="CL237" s="7"/>
      <c r="CM237" s="11">
        <v>1964000</v>
      </c>
      <c r="CN237" s="11"/>
      <c r="CO237" s="11"/>
      <c r="CP237" s="11"/>
      <c r="CQ237" s="11"/>
      <c r="CR237" s="11">
        <v>241000</v>
      </c>
      <c r="CS237" s="11"/>
      <c r="CT237" s="11"/>
      <c r="CU237" s="11"/>
      <c r="CV237" s="11"/>
      <c r="CW237" s="11"/>
      <c r="CX237" s="11"/>
      <c r="CY237" s="11"/>
      <c r="CZ237" s="11"/>
      <c r="DA237" s="11"/>
      <c r="DB237" s="11">
        <v>241000</v>
      </c>
      <c r="DC237" s="11"/>
      <c r="DD237" s="11"/>
      <c r="DE237" s="11"/>
      <c r="DF237" s="11"/>
      <c r="DG237" s="7">
        <v>748000</v>
      </c>
      <c r="DH237" s="7"/>
      <c r="DI237" s="7"/>
      <c r="DJ237" s="7"/>
      <c r="DK237" s="7"/>
      <c r="DL237" s="7">
        <v>20707000</v>
      </c>
      <c r="DM237" s="7"/>
      <c r="DN237" s="7"/>
      <c r="DO237" s="7"/>
      <c r="DP237" s="7"/>
      <c r="DQ237" s="11"/>
      <c r="DR237" s="11"/>
      <c r="DS237" s="11"/>
      <c r="DT237" s="11"/>
      <c r="DU237" s="11"/>
      <c r="DV237" s="11"/>
      <c r="DW237" s="11"/>
      <c r="DX237" s="11"/>
      <c r="DY237" s="11"/>
      <c r="DZ237" s="11"/>
      <c r="EA237" s="11">
        <v>21455000</v>
      </c>
      <c r="EB237" s="11"/>
      <c r="EC237" s="11"/>
      <c r="ED237" s="11"/>
      <c r="EE237" s="11"/>
      <c r="EF237" s="7">
        <v>8498000</v>
      </c>
      <c r="EG237" s="7"/>
      <c r="EH237" s="7"/>
      <c r="EI237" s="7"/>
      <c r="EJ237" s="7"/>
      <c r="EK237" s="7">
        <v>8219000</v>
      </c>
      <c r="EL237" s="7"/>
      <c r="EM237" s="7"/>
      <c r="EN237" s="7"/>
      <c r="EO237" s="7"/>
      <c r="EP237" s="7"/>
      <c r="EQ237" s="7"/>
      <c r="ER237" s="7"/>
      <c r="ES237" s="7"/>
      <c r="ET237" s="7"/>
      <c r="EU237" s="7"/>
      <c r="EV237" s="7"/>
      <c r="EW237" s="7"/>
      <c r="EX237" s="7"/>
      <c r="EY237" s="7"/>
      <c r="EZ237" s="11"/>
      <c r="FA237" s="11"/>
      <c r="FB237" s="11"/>
      <c r="FC237" s="11"/>
      <c r="FD237" s="11"/>
      <c r="FE237" s="11"/>
      <c r="FF237" s="11"/>
      <c r="FG237" s="11"/>
      <c r="FH237" s="11"/>
      <c r="FI237" s="11"/>
      <c r="FJ237" s="11">
        <v>84000</v>
      </c>
      <c r="FK237" s="11"/>
      <c r="FL237" s="11"/>
      <c r="FM237" s="11"/>
      <c r="FN237" s="11"/>
      <c r="FO237" s="7">
        <v>1599000</v>
      </c>
      <c r="FP237" s="7"/>
      <c r="FQ237" s="7"/>
      <c r="FR237" s="7"/>
      <c r="FS237" s="7"/>
      <c r="FT237" s="7">
        <v>1408000</v>
      </c>
      <c r="FU237" s="7"/>
      <c r="FV237" s="7"/>
      <c r="FW237" s="7"/>
      <c r="FX237" s="7"/>
      <c r="FY237" s="11">
        <v>-36000</v>
      </c>
      <c r="FZ237" s="11"/>
      <c r="GA237" s="11"/>
      <c r="GB237" s="11"/>
      <c r="GC237" s="11"/>
      <c r="GD237" s="7">
        <v>348000</v>
      </c>
      <c r="GE237" s="7"/>
      <c r="GF237" s="7"/>
      <c r="GG237" s="7"/>
      <c r="GH237" s="7"/>
    </row>
    <row r="238" spans="1:190" x14ac:dyDescent="0.25">
      <c r="A238" s="4">
        <v>237</v>
      </c>
      <c r="B238" s="5" t="s">
        <v>781</v>
      </c>
      <c r="C238" s="9" t="s">
        <v>782</v>
      </c>
      <c r="D238" s="7">
        <v>15</v>
      </c>
      <c r="E238" s="6" t="s">
        <v>190</v>
      </c>
      <c r="F238" s="11">
        <v>199953</v>
      </c>
      <c r="G238" s="11">
        <v>470900</v>
      </c>
      <c r="H238" s="11">
        <v>23100</v>
      </c>
      <c r="I238" s="11">
        <v>9202</v>
      </c>
      <c r="J238" s="11"/>
      <c r="K238" s="11">
        <v>2410123</v>
      </c>
      <c r="L238" s="11">
        <v>863208</v>
      </c>
      <c r="M238" s="11">
        <v>43980</v>
      </c>
      <c r="N238" s="11">
        <v>58848</v>
      </c>
      <c r="O238" s="11"/>
      <c r="P238" s="7">
        <v>4186000</v>
      </c>
      <c r="Q238" s="7">
        <v>3841000</v>
      </c>
      <c r="R238" s="7">
        <v>3496000</v>
      </c>
      <c r="S238" s="7"/>
      <c r="T238" s="7">
        <v>2806000</v>
      </c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>
        <v>4186000</v>
      </c>
      <c r="AK238" s="11">
        <v>3841000</v>
      </c>
      <c r="AL238" s="11">
        <v>3496000</v>
      </c>
      <c r="AM238" s="11"/>
      <c r="AN238" s="11">
        <v>2806000</v>
      </c>
      <c r="AO238" s="7">
        <v>17495000</v>
      </c>
      <c r="AP238" s="7">
        <v>13555000</v>
      </c>
      <c r="AQ238" s="7"/>
      <c r="AR238" s="7"/>
      <c r="AS238" s="7"/>
      <c r="AT238" s="7">
        <v>76541000</v>
      </c>
      <c r="AU238" s="7">
        <v>67482000</v>
      </c>
      <c r="AV238" s="7">
        <v>79115000</v>
      </c>
      <c r="AW238" s="7"/>
      <c r="AX238" s="7">
        <v>51219000</v>
      </c>
      <c r="AY238" s="11"/>
      <c r="AZ238" s="11"/>
      <c r="BA238" s="11"/>
      <c r="BB238" s="11"/>
      <c r="BC238" s="11"/>
      <c r="BD238" s="7">
        <v>140000</v>
      </c>
      <c r="BE238" s="7">
        <v>568000</v>
      </c>
      <c r="BF238" s="7">
        <v>8000</v>
      </c>
      <c r="BG238" s="7"/>
      <c r="BH238" s="7"/>
      <c r="BI238" s="11"/>
      <c r="BJ238" s="11"/>
      <c r="BK238" s="11"/>
      <c r="BL238" s="11"/>
      <c r="BM238" s="11"/>
      <c r="BN238" s="11">
        <v>94176000</v>
      </c>
      <c r="BO238" s="11">
        <v>81605000</v>
      </c>
      <c r="BP238" s="11">
        <v>79123000</v>
      </c>
      <c r="BQ238" s="11"/>
      <c r="BR238" s="11">
        <v>51219000</v>
      </c>
      <c r="BS238" s="11">
        <v>98362000</v>
      </c>
      <c r="BT238" s="11">
        <v>85446000</v>
      </c>
      <c r="BU238" s="11">
        <v>82618000</v>
      </c>
      <c r="BV238" s="11"/>
      <c r="BW238" s="11">
        <v>54025000</v>
      </c>
      <c r="BX238" s="7"/>
      <c r="BY238" s="7"/>
      <c r="BZ238" s="7"/>
      <c r="CA238" s="7"/>
      <c r="CB238" s="7"/>
      <c r="CC238" s="11"/>
      <c r="CD238" s="11"/>
      <c r="CE238" s="11"/>
      <c r="CF238" s="11"/>
      <c r="CG238" s="11"/>
      <c r="CH238" s="7"/>
      <c r="CI238" s="7"/>
      <c r="CJ238" s="7"/>
      <c r="CK238" s="7"/>
      <c r="CL238" s="7"/>
      <c r="CM238" s="11">
        <v>6120000</v>
      </c>
      <c r="CN238" s="11">
        <v>6475000</v>
      </c>
      <c r="CO238" s="11">
        <v>6632000</v>
      </c>
      <c r="CP238" s="11"/>
      <c r="CQ238" s="11">
        <v>-3583000</v>
      </c>
      <c r="CR238" s="11"/>
      <c r="CS238" s="11"/>
      <c r="CT238" s="11"/>
      <c r="CU238" s="11"/>
      <c r="CV238" s="11"/>
      <c r="CW238" s="11">
        <v>3304000</v>
      </c>
      <c r="CX238" s="11">
        <v>3304000</v>
      </c>
      <c r="CY238" s="11">
        <v>3304000</v>
      </c>
      <c r="CZ238" s="11"/>
      <c r="DA238" s="11"/>
      <c r="DB238" s="11">
        <v>3304000</v>
      </c>
      <c r="DC238" s="11">
        <v>3304000</v>
      </c>
      <c r="DD238" s="11">
        <v>3304000</v>
      </c>
      <c r="DE238" s="11"/>
      <c r="DF238" s="11"/>
      <c r="DG238" s="7">
        <v>683000</v>
      </c>
      <c r="DH238" s="7">
        <v>3175000</v>
      </c>
      <c r="DI238" s="7">
        <v>3192000</v>
      </c>
      <c r="DJ238" s="7"/>
      <c r="DK238" s="7">
        <v>2487000</v>
      </c>
      <c r="DL238" s="7">
        <v>88254000</v>
      </c>
      <c r="DM238" s="7">
        <v>72491000</v>
      </c>
      <c r="DN238" s="7">
        <v>69490000</v>
      </c>
      <c r="DO238" s="7"/>
      <c r="DP238" s="7">
        <v>55121000</v>
      </c>
      <c r="DQ238" s="11"/>
      <c r="DR238" s="11"/>
      <c r="DS238" s="11"/>
      <c r="DT238" s="11"/>
      <c r="DU238" s="11"/>
      <c r="DV238" s="11"/>
      <c r="DW238" s="11"/>
      <c r="DX238" s="11"/>
      <c r="DY238" s="11"/>
      <c r="DZ238" s="11"/>
      <c r="EA238" s="11">
        <v>88937000</v>
      </c>
      <c r="EB238" s="11">
        <v>75666000</v>
      </c>
      <c r="EC238" s="11">
        <v>72682000</v>
      </c>
      <c r="ED238" s="11"/>
      <c r="EE238" s="11">
        <v>57608000</v>
      </c>
      <c r="EF238" s="7">
        <v>204466000</v>
      </c>
      <c r="EG238" s="7">
        <v>7476000</v>
      </c>
      <c r="EH238" s="7">
        <v>3447000</v>
      </c>
      <c r="EI238" s="7"/>
      <c r="EJ238" s="7">
        <v>405000</v>
      </c>
      <c r="EK238" s="7">
        <v>200876000</v>
      </c>
      <c r="EL238" s="7">
        <v>4184000</v>
      </c>
      <c r="EM238" s="7">
        <v>5606000</v>
      </c>
      <c r="EN238" s="7"/>
      <c r="EO238" s="7">
        <v>738000</v>
      </c>
      <c r="EP238" s="7"/>
      <c r="EQ238" s="7"/>
      <c r="ER238" s="7"/>
      <c r="ES238" s="7"/>
      <c r="ET238" s="7"/>
      <c r="EU238" s="7"/>
      <c r="EV238" s="7"/>
      <c r="EW238" s="7"/>
      <c r="EX238" s="7"/>
      <c r="EY238" s="7"/>
      <c r="EZ238" s="11"/>
      <c r="FA238" s="11"/>
      <c r="FB238" s="11"/>
      <c r="FC238" s="11"/>
      <c r="FD238" s="11"/>
      <c r="FE238" s="11"/>
      <c r="FF238" s="11"/>
      <c r="FG238" s="11"/>
      <c r="FH238" s="11"/>
      <c r="FI238" s="11"/>
      <c r="FJ238" s="11">
        <v>149000</v>
      </c>
      <c r="FK238" s="11"/>
      <c r="FL238" s="11"/>
      <c r="FM238" s="11"/>
      <c r="FN238" s="11"/>
      <c r="FO238" s="7">
        <v>3748000</v>
      </c>
      <c r="FP238" s="7">
        <v>1360000</v>
      </c>
      <c r="FQ238" s="7">
        <v>3634000</v>
      </c>
      <c r="FR238" s="7"/>
      <c r="FS238" s="7"/>
      <c r="FT238" s="7">
        <v>4427000</v>
      </c>
      <c r="FU238" s="7">
        <v>4137000</v>
      </c>
      <c r="FV238" s="7">
        <v>1160000</v>
      </c>
      <c r="FW238" s="7"/>
      <c r="FX238" s="7">
        <v>8384000</v>
      </c>
      <c r="FY238" s="11">
        <v>282000</v>
      </c>
      <c r="FZ238" s="11">
        <v>160000</v>
      </c>
      <c r="GA238" s="11">
        <v>200000</v>
      </c>
      <c r="GB238" s="11"/>
      <c r="GC238" s="11"/>
      <c r="GD238" s="7">
        <v>2480000</v>
      </c>
      <c r="GE238" s="7">
        <v>355000</v>
      </c>
      <c r="GF238" s="7">
        <v>115000</v>
      </c>
      <c r="GG238" s="7"/>
      <c r="GH238" s="7">
        <v>-8717000</v>
      </c>
    </row>
    <row r="239" spans="1:190" ht="26.25" x14ac:dyDescent="0.25">
      <c r="A239" s="4">
        <v>238</v>
      </c>
      <c r="B239" s="5" t="s">
        <v>783</v>
      </c>
      <c r="C239" s="9" t="s">
        <v>784</v>
      </c>
      <c r="D239" s="7">
        <v>20</v>
      </c>
      <c r="E239" s="6" t="s">
        <v>785</v>
      </c>
      <c r="F239" s="11"/>
      <c r="G239" s="11"/>
      <c r="H239" s="11"/>
      <c r="I239" s="11">
        <v>8725</v>
      </c>
      <c r="J239" s="11">
        <v>2232</v>
      </c>
      <c r="K239" s="11">
        <v>1407320</v>
      </c>
      <c r="L239" s="11">
        <v>11339</v>
      </c>
      <c r="M239" s="11">
        <v>29474</v>
      </c>
      <c r="N239" s="11"/>
      <c r="O239" s="11"/>
      <c r="P239" s="7">
        <v>6011000</v>
      </c>
      <c r="Q239" s="7">
        <v>6011000</v>
      </c>
      <c r="R239" s="7">
        <v>6011000</v>
      </c>
      <c r="S239" s="7">
        <v>6011000</v>
      </c>
      <c r="T239" s="7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>
        <v>535012000</v>
      </c>
      <c r="AK239" s="11">
        <v>6011000</v>
      </c>
      <c r="AL239" s="11">
        <v>6011000</v>
      </c>
      <c r="AM239" s="11">
        <v>6011000</v>
      </c>
      <c r="AN239" s="11"/>
      <c r="AO239" s="7">
        <v>287540000</v>
      </c>
      <c r="AP239" s="7">
        <v>19181000</v>
      </c>
      <c r="AQ239" s="7">
        <v>1928000</v>
      </c>
      <c r="AR239" s="7">
        <v>1928000</v>
      </c>
      <c r="AS239" s="7">
        <v>1928000</v>
      </c>
      <c r="AT239" s="7">
        <v>528496000</v>
      </c>
      <c r="AU239" s="7">
        <v>378372000</v>
      </c>
      <c r="AV239" s="7">
        <v>405434000</v>
      </c>
      <c r="AW239" s="7">
        <v>685748000</v>
      </c>
      <c r="AX239" s="7">
        <v>457927000</v>
      </c>
      <c r="AY239" s="11">
        <v>25274000</v>
      </c>
      <c r="AZ239" s="11">
        <v>25274000</v>
      </c>
      <c r="BA239" s="11"/>
      <c r="BB239" s="11"/>
      <c r="BC239" s="11"/>
      <c r="BD239" s="7">
        <v>4830000</v>
      </c>
      <c r="BE239" s="7">
        <v>1899000</v>
      </c>
      <c r="BF239" s="7">
        <v>17387000</v>
      </c>
      <c r="BG239" s="7">
        <v>15219000</v>
      </c>
      <c r="BH239" s="7">
        <v>41031000</v>
      </c>
      <c r="BI239" s="11">
        <v>9598000</v>
      </c>
      <c r="BJ239" s="11"/>
      <c r="BK239" s="11"/>
      <c r="BL239" s="11"/>
      <c r="BM239" s="11"/>
      <c r="BN239" s="11">
        <v>856153000</v>
      </c>
      <c r="BO239" s="11">
        <v>424726000</v>
      </c>
      <c r="BP239" s="11">
        <v>424749000</v>
      </c>
      <c r="BQ239" s="11">
        <v>702895000</v>
      </c>
      <c r="BR239" s="11">
        <v>500886000</v>
      </c>
      <c r="BS239" s="11">
        <v>1391165000</v>
      </c>
      <c r="BT239" s="11">
        <v>430737000</v>
      </c>
      <c r="BU239" s="11">
        <v>430760000</v>
      </c>
      <c r="BV239" s="11">
        <v>708906000</v>
      </c>
      <c r="BW239" s="11">
        <v>500886000</v>
      </c>
      <c r="BX239" s="7">
        <v>10000000</v>
      </c>
      <c r="BY239" s="7">
        <v>10000000</v>
      </c>
      <c r="BZ239" s="7">
        <v>10000000</v>
      </c>
      <c r="CA239" s="7">
        <v>10000000</v>
      </c>
      <c r="CB239" s="7">
        <v>10000000</v>
      </c>
      <c r="CC239" s="11"/>
      <c r="CD239" s="11"/>
      <c r="CE239" s="11"/>
      <c r="CF239" s="11"/>
      <c r="CG239" s="11"/>
      <c r="CH239" s="7">
        <v>-2115172000</v>
      </c>
      <c r="CI239" s="7">
        <v>-2828121000</v>
      </c>
      <c r="CJ239" s="7">
        <v>-2844245000</v>
      </c>
      <c r="CK239" s="7">
        <v>-4972477000</v>
      </c>
      <c r="CL239" s="7">
        <v>-5164664000</v>
      </c>
      <c r="CM239" s="11">
        <v>-2104672000</v>
      </c>
      <c r="CN239" s="11">
        <v>-2817621000</v>
      </c>
      <c r="CO239" s="11">
        <v>-2833745000</v>
      </c>
      <c r="CP239" s="11">
        <v>-4961977000</v>
      </c>
      <c r="CQ239" s="11">
        <v>-5154164000</v>
      </c>
      <c r="CR239" s="11"/>
      <c r="CS239" s="11"/>
      <c r="CT239" s="11"/>
      <c r="CU239" s="11"/>
      <c r="CV239" s="11"/>
      <c r="CW239" s="11"/>
      <c r="CX239" s="11"/>
      <c r="CY239" s="11"/>
      <c r="CZ239" s="11"/>
      <c r="DA239" s="11"/>
      <c r="DB239" s="11">
        <v>654000</v>
      </c>
      <c r="DC239" s="11"/>
      <c r="DD239" s="11"/>
      <c r="DE239" s="11"/>
      <c r="DF239" s="11"/>
      <c r="DG239" s="7">
        <v>3165144000</v>
      </c>
      <c r="DH239" s="7">
        <v>3165144000</v>
      </c>
      <c r="DI239" s="7">
        <v>3165144000</v>
      </c>
      <c r="DJ239" s="7">
        <v>3165144000</v>
      </c>
      <c r="DK239" s="7">
        <v>3165144000</v>
      </c>
      <c r="DL239" s="7">
        <v>329571000</v>
      </c>
      <c r="DM239" s="7">
        <v>83214000</v>
      </c>
      <c r="DN239" s="7">
        <v>99361000</v>
      </c>
      <c r="DO239" s="7">
        <v>2505739000</v>
      </c>
      <c r="DP239" s="7">
        <v>2489906000</v>
      </c>
      <c r="DQ239" s="11"/>
      <c r="DR239" s="11"/>
      <c r="DS239" s="11"/>
      <c r="DT239" s="11"/>
      <c r="DU239" s="11"/>
      <c r="DV239" s="11"/>
      <c r="DW239" s="11"/>
      <c r="DX239" s="11"/>
      <c r="DY239" s="11"/>
      <c r="DZ239" s="11"/>
      <c r="EA239" s="11">
        <v>3495183000</v>
      </c>
      <c r="EB239" s="11">
        <v>3248358000</v>
      </c>
      <c r="EC239" s="11">
        <v>3264505000</v>
      </c>
      <c r="ED239" s="11">
        <v>5670883000</v>
      </c>
      <c r="EE239" s="11">
        <v>5655050000</v>
      </c>
      <c r="EF239" s="7">
        <v>467052000</v>
      </c>
      <c r="EG239" s="7"/>
      <c r="EH239" s="7"/>
      <c r="EI239" s="7"/>
      <c r="EJ239" s="7"/>
      <c r="EK239" s="7">
        <v>544775000</v>
      </c>
      <c r="EL239" s="7">
        <v>710908000</v>
      </c>
      <c r="EM239" s="7"/>
      <c r="EN239" s="7"/>
      <c r="EO239" s="7"/>
      <c r="EP239" s="7">
        <v>7264000</v>
      </c>
      <c r="EQ239" s="7">
        <v>3241000</v>
      </c>
      <c r="ER239" s="7">
        <v>15284000</v>
      </c>
      <c r="ES239" s="7"/>
      <c r="ET239" s="7"/>
      <c r="EU239" s="7">
        <v>125095000</v>
      </c>
      <c r="EV239" s="7">
        <v>17178000</v>
      </c>
      <c r="EW239" s="7"/>
      <c r="EX239" s="7"/>
      <c r="EY239" s="7"/>
      <c r="EZ239" s="11"/>
      <c r="FA239" s="11"/>
      <c r="FB239" s="11"/>
      <c r="FC239" s="11"/>
      <c r="FD239" s="11"/>
      <c r="FE239" s="11">
        <v>1391000</v>
      </c>
      <c r="FF239" s="11"/>
      <c r="FG239" s="11">
        <v>2340000</v>
      </c>
      <c r="FH239" s="11"/>
      <c r="FI239" s="11"/>
      <c r="FJ239" s="11"/>
      <c r="FK239" s="11"/>
      <c r="FL239" s="11"/>
      <c r="FM239" s="11"/>
      <c r="FN239" s="11"/>
      <c r="FO239" s="7">
        <v>64590000</v>
      </c>
      <c r="FP239" s="7">
        <v>9844000</v>
      </c>
      <c r="FQ239" s="7"/>
      <c r="FR239" s="7">
        <v>12628000</v>
      </c>
      <c r="FS239" s="7">
        <v>35634000</v>
      </c>
      <c r="FT239" s="7">
        <v>437053000</v>
      </c>
      <c r="FU239" s="7">
        <v>25423000</v>
      </c>
      <c r="FV239" s="7">
        <v>3170000</v>
      </c>
      <c r="FW239" s="7">
        <v>12617000</v>
      </c>
      <c r="FX239" s="7">
        <v>227821000</v>
      </c>
      <c r="FY239" s="11">
        <v>109433000</v>
      </c>
      <c r="FZ239" s="11">
        <v>2261000</v>
      </c>
      <c r="GA239" s="11">
        <v>-10000</v>
      </c>
      <c r="GB239" s="11">
        <v>-2000</v>
      </c>
      <c r="GC239" s="11"/>
      <c r="GD239" s="7">
        <v>-473982000</v>
      </c>
      <c r="GE239" s="7">
        <v>-717425000</v>
      </c>
      <c r="GF239" s="7">
        <v>-16124000</v>
      </c>
      <c r="GG239" s="7">
        <v>9000</v>
      </c>
      <c r="GH239" s="7">
        <v>-192187000</v>
      </c>
    </row>
    <row r="240" spans="1:190" x14ac:dyDescent="0.25">
      <c r="A240" s="4">
        <v>239</v>
      </c>
      <c r="B240" s="5" t="s">
        <v>786</v>
      </c>
      <c r="C240" s="9" t="s">
        <v>787</v>
      </c>
      <c r="D240" s="7">
        <v>13</v>
      </c>
      <c r="E240" s="6" t="s">
        <v>788</v>
      </c>
      <c r="F240" s="11">
        <v>452799</v>
      </c>
      <c r="G240" s="11">
        <v>1888958</v>
      </c>
      <c r="H240" s="11"/>
      <c r="I240" s="11"/>
      <c r="J240" s="11"/>
      <c r="K240" s="11">
        <v>9205019</v>
      </c>
      <c r="L240" s="11">
        <v>9249562</v>
      </c>
      <c r="M240" s="11">
        <v>4308751</v>
      </c>
      <c r="N240" s="11"/>
      <c r="O240" s="11"/>
      <c r="P240" s="7">
        <v>2695000</v>
      </c>
      <c r="Q240" s="7">
        <v>6217000</v>
      </c>
      <c r="R240" s="7"/>
      <c r="S240" s="7"/>
      <c r="T240" s="7"/>
      <c r="U240" s="11"/>
      <c r="V240" s="11"/>
      <c r="W240" s="11"/>
      <c r="X240" s="11"/>
      <c r="Y240" s="11"/>
      <c r="Z240" s="11"/>
      <c r="AA240" s="11">
        <v>277000</v>
      </c>
      <c r="AB240" s="11"/>
      <c r="AC240" s="11"/>
      <c r="AD240" s="11"/>
      <c r="AE240" s="11"/>
      <c r="AF240" s="11"/>
      <c r="AG240" s="11"/>
      <c r="AH240" s="11"/>
      <c r="AI240" s="11"/>
      <c r="AJ240" s="11">
        <v>2695000</v>
      </c>
      <c r="AK240" s="11">
        <v>6494000</v>
      </c>
      <c r="AL240" s="11"/>
      <c r="AM240" s="11"/>
      <c r="AN240" s="11"/>
      <c r="AO240" s="7">
        <v>44714000</v>
      </c>
      <c r="AP240" s="7">
        <v>45381000</v>
      </c>
      <c r="AQ240" s="7"/>
      <c r="AR240" s="7"/>
      <c r="AS240" s="7"/>
      <c r="AT240" s="7">
        <v>61801000</v>
      </c>
      <c r="AU240" s="7">
        <v>72481000</v>
      </c>
      <c r="AV240" s="7"/>
      <c r="AW240" s="7"/>
      <c r="AX240" s="7"/>
      <c r="AY240" s="11"/>
      <c r="AZ240" s="11"/>
      <c r="BA240" s="11"/>
      <c r="BB240" s="11"/>
      <c r="BC240" s="11"/>
      <c r="BD240" s="7">
        <v>797000</v>
      </c>
      <c r="BE240" s="7">
        <v>1015000</v>
      </c>
      <c r="BF240" s="7"/>
      <c r="BG240" s="7"/>
      <c r="BH240" s="7"/>
      <c r="BI240" s="11"/>
      <c r="BJ240" s="11"/>
      <c r="BK240" s="11"/>
      <c r="BL240" s="11"/>
      <c r="BM240" s="11"/>
      <c r="BN240" s="11">
        <v>107312000</v>
      </c>
      <c r="BO240" s="11">
        <v>118877000</v>
      </c>
      <c r="BP240" s="11"/>
      <c r="BQ240" s="11"/>
      <c r="BR240" s="11"/>
      <c r="BS240" s="11">
        <v>110007000</v>
      </c>
      <c r="BT240" s="11">
        <v>125371000</v>
      </c>
      <c r="BU240" s="11"/>
      <c r="BV240" s="11"/>
      <c r="BW240" s="11"/>
      <c r="BX240" s="7"/>
      <c r="BY240" s="7"/>
      <c r="BZ240" s="7"/>
      <c r="CA240" s="7"/>
      <c r="CB240" s="7"/>
      <c r="CC240" s="11"/>
      <c r="CD240" s="11"/>
      <c r="CE240" s="11"/>
      <c r="CF240" s="11"/>
      <c r="CG240" s="11"/>
      <c r="CH240" s="7"/>
      <c r="CI240" s="7"/>
      <c r="CJ240" s="7"/>
      <c r="CK240" s="7"/>
      <c r="CL240" s="7"/>
      <c r="CM240" s="11">
        <v>7025000</v>
      </c>
      <c r="CN240" s="11">
        <v>7498000</v>
      </c>
      <c r="CO240" s="11"/>
      <c r="CP240" s="11"/>
      <c r="CQ240" s="11"/>
      <c r="CR240" s="11">
        <v>9994000</v>
      </c>
      <c r="CS240" s="11">
        <v>5527000</v>
      </c>
      <c r="CT240" s="11"/>
      <c r="CU240" s="11"/>
      <c r="CV240" s="11"/>
      <c r="CW240" s="11">
        <v>1844000</v>
      </c>
      <c r="CX240" s="11">
        <v>4438000</v>
      </c>
      <c r="CY240" s="11"/>
      <c r="CZ240" s="11"/>
      <c r="DA240" s="11"/>
      <c r="DB240" s="11">
        <v>11838000</v>
      </c>
      <c r="DC240" s="11">
        <v>9965000</v>
      </c>
      <c r="DD240" s="11"/>
      <c r="DE240" s="11"/>
      <c r="DF240" s="11"/>
      <c r="DG240" s="7">
        <v>14963000</v>
      </c>
      <c r="DH240" s="7">
        <v>9269000</v>
      </c>
      <c r="DI240" s="7"/>
      <c r="DJ240" s="7"/>
      <c r="DK240" s="7"/>
      <c r="DL240" s="7">
        <v>76181000</v>
      </c>
      <c r="DM240" s="7">
        <v>98639000</v>
      </c>
      <c r="DN240" s="7"/>
      <c r="DO240" s="7"/>
      <c r="DP240" s="7"/>
      <c r="DQ240" s="11"/>
      <c r="DR240" s="11"/>
      <c r="DS240" s="11"/>
      <c r="DT240" s="11"/>
      <c r="DU240" s="11"/>
      <c r="DV240" s="11"/>
      <c r="DW240" s="11"/>
      <c r="DX240" s="11"/>
      <c r="DY240" s="11"/>
      <c r="DZ240" s="11"/>
      <c r="EA240" s="11">
        <v>91144000</v>
      </c>
      <c r="EB240" s="11">
        <v>107908000</v>
      </c>
      <c r="EC240" s="11"/>
      <c r="ED240" s="11"/>
      <c r="EE240" s="11"/>
      <c r="EF240" s="7">
        <v>269813000</v>
      </c>
      <c r="EG240" s="7">
        <v>402296000</v>
      </c>
      <c r="EH240" s="7"/>
      <c r="EI240" s="7"/>
      <c r="EJ240" s="7"/>
      <c r="EK240" s="7">
        <v>279093000</v>
      </c>
      <c r="EL240" s="7">
        <v>396093000</v>
      </c>
      <c r="EM240" s="7"/>
      <c r="EN240" s="7"/>
      <c r="EO240" s="7"/>
      <c r="EP240" s="7"/>
      <c r="EQ240" s="7"/>
      <c r="ER240" s="7"/>
      <c r="ES240" s="7"/>
      <c r="ET240" s="7"/>
      <c r="EU240" s="7"/>
      <c r="EV240" s="7"/>
      <c r="EW240" s="7"/>
      <c r="EX240" s="7"/>
      <c r="EY240" s="7"/>
      <c r="EZ240" s="11"/>
      <c r="FA240" s="11"/>
      <c r="FB240" s="11"/>
      <c r="FC240" s="11"/>
      <c r="FD240" s="11"/>
      <c r="FE240" s="11"/>
      <c r="FF240" s="11"/>
      <c r="FG240" s="11"/>
      <c r="FH240" s="11"/>
      <c r="FI240" s="11"/>
      <c r="FJ240" s="11">
        <v>2508000</v>
      </c>
      <c r="FK240" s="11">
        <v>2557000</v>
      </c>
      <c r="FL240" s="11"/>
      <c r="FM240" s="11"/>
      <c r="FN240" s="11"/>
      <c r="FO240" s="7">
        <v>21684000</v>
      </c>
      <c r="FP240" s="7">
        <v>17098000</v>
      </c>
      <c r="FQ240" s="7"/>
      <c r="FR240" s="7"/>
      <c r="FS240" s="7"/>
      <c r="FT240" s="7">
        <v>9171000</v>
      </c>
      <c r="FU240" s="7">
        <v>19211000</v>
      </c>
      <c r="FV240" s="7"/>
      <c r="FW240" s="7"/>
      <c r="FX240" s="7"/>
      <c r="FY240" s="11">
        <v>390000</v>
      </c>
      <c r="FZ240" s="11">
        <v>1039000</v>
      </c>
      <c r="GA240" s="11"/>
      <c r="GB240" s="11"/>
      <c r="GC240" s="11"/>
      <c r="GD240" s="7">
        <v>335000</v>
      </c>
      <c r="GE240" s="7">
        <v>494000</v>
      </c>
      <c r="GF240" s="7"/>
      <c r="GG240" s="7"/>
      <c r="GH240" s="7"/>
    </row>
    <row r="241" spans="1:190" x14ac:dyDescent="0.25">
      <c r="A241" s="4">
        <v>240</v>
      </c>
      <c r="B241" s="5" t="s">
        <v>789</v>
      </c>
      <c r="C241" s="9" t="s">
        <v>790</v>
      </c>
      <c r="D241" s="7">
        <v>20</v>
      </c>
      <c r="E241" s="6" t="s">
        <v>514</v>
      </c>
      <c r="F241" s="11">
        <v>41312</v>
      </c>
      <c r="G241" s="11">
        <v>148123</v>
      </c>
      <c r="H241" s="11">
        <v>4351</v>
      </c>
      <c r="I241" s="11"/>
      <c r="J241" s="11"/>
      <c r="K241" s="11">
        <v>79915</v>
      </c>
      <c r="L241" s="11">
        <v>378475</v>
      </c>
      <c r="M241" s="11">
        <v>1442372</v>
      </c>
      <c r="N241" s="11"/>
      <c r="O241" s="11"/>
      <c r="P241" s="7"/>
      <c r="Q241" s="7">
        <v>3405000</v>
      </c>
      <c r="R241" s="7"/>
      <c r="S241" s="7"/>
      <c r="T241" s="7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>
        <v>3405000</v>
      </c>
      <c r="AL241" s="11"/>
      <c r="AM241" s="11"/>
      <c r="AN241" s="11"/>
      <c r="AO241" s="7">
        <v>2314000</v>
      </c>
      <c r="AP241" s="7">
        <v>8228000</v>
      </c>
      <c r="AQ241" s="7"/>
      <c r="AR241" s="7"/>
      <c r="AS241" s="7"/>
      <c r="AT241" s="7">
        <v>342000</v>
      </c>
      <c r="AU241" s="7">
        <v>3196000</v>
      </c>
      <c r="AV241" s="7"/>
      <c r="AW241" s="7"/>
      <c r="AX241" s="7"/>
      <c r="AY241" s="11"/>
      <c r="AZ241" s="11"/>
      <c r="BA241" s="11"/>
      <c r="BB241" s="11"/>
      <c r="BC241" s="11"/>
      <c r="BD241" s="7">
        <v>165000</v>
      </c>
      <c r="BE241" s="7">
        <v>109000</v>
      </c>
      <c r="BF241" s="7"/>
      <c r="BG241" s="7"/>
      <c r="BH241" s="7"/>
      <c r="BI241" s="11"/>
      <c r="BJ241" s="11">
        <v>143000</v>
      </c>
      <c r="BK241" s="11"/>
      <c r="BL241" s="11"/>
      <c r="BM241" s="11"/>
      <c r="BN241" s="11">
        <v>2891000</v>
      </c>
      <c r="BO241" s="11">
        <v>11676000</v>
      </c>
      <c r="BP241" s="11"/>
      <c r="BQ241" s="11"/>
      <c r="BR241" s="11"/>
      <c r="BS241" s="11">
        <v>2891000</v>
      </c>
      <c r="BT241" s="11">
        <v>15081000</v>
      </c>
      <c r="BU241" s="11"/>
      <c r="BV241" s="11"/>
      <c r="BW241" s="11"/>
      <c r="BX241" s="7">
        <v>15000</v>
      </c>
      <c r="BY241" s="7">
        <v>15000</v>
      </c>
      <c r="BZ241" s="7"/>
      <c r="CA241" s="7"/>
      <c r="CB241" s="7"/>
      <c r="CC241" s="11"/>
      <c r="CD241" s="11"/>
      <c r="CE241" s="11"/>
      <c r="CF241" s="11"/>
      <c r="CG241" s="11"/>
      <c r="CH241" s="7">
        <v>299000</v>
      </c>
      <c r="CI241" s="7">
        <v>595000</v>
      </c>
      <c r="CJ241" s="7"/>
      <c r="CK241" s="7"/>
      <c r="CL241" s="7"/>
      <c r="CM241" s="11">
        <v>314000</v>
      </c>
      <c r="CN241" s="11">
        <v>610000</v>
      </c>
      <c r="CO241" s="11"/>
      <c r="CP241" s="11"/>
      <c r="CQ241" s="11"/>
      <c r="CR241" s="11"/>
      <c r="CS241" s="11"/>
      <c r="CT241" s="11"/>
      <c r="CU241" s="11"/>
      <c r="CV241" s="11"/>
      <c r="CW241" s="11"/>
      <c r="CX241" s="11"/>
      <c r="CY241" s="11"/>
      <c r="CZ241" s="11"/>
      <c r="DA241" s="11"/>
      <c r="DB241" s="11"/>
      <c r="DC241" s="11"/>
      <c r="DD241" s="11"/>
      <c r="DE241" s="11"/>
      <c r="DF241" s="11"/>
      <c r="DG241" s="7"/>
      <c r="DH241" s="7"/>
      <c r="DI241" s="7"/>
      <c r="DJ241" s="7"/>
      <c r="DK241" s="7"/>
      <c r="DL241" s="7">
        <v>2577000</v>
      </c>
      <c r="DM241" s="7">
        <v>14471000</v>
      </c>
      <c r="DN241" s="7"/>
      <c r="DO241" s="7"/>
      <c r="DP241" s="7"/>
      <c r="DQ241" s="11"/>
      <c r="DR241" s="11"/>
      <c r="DS241" s="11"/>
      <c r="DT241" s="11"/>
      <c r="DU241" s="11"/>
      <c r="DV241" s="11"/>
      <c r="DW241" s="11"/>
      <c r="DX241" s="11"/>
      <c r="DY241" s="11"/>
      <c r="DZ241" s="11"/>
      <c r="EA241" s="11">
        <v>2577000</v>
      </c>
      <c r="EB241" s="11">
        <v>14471000</v>
      </c>
      <c r="EC241" s="11"/>
      <c r="ED241" s="11"/>
      <c r="EE241" s="11"/>
      <c r="EF241" s="7">
        <v>5034000</v>
      </c>
      <c r="EG241" s="7">
        <v>102643000</v>
      </c>
      <c r="EH241" s="7"/>
      <c r="EI241" s="7"/>
      <c r="EJ241" s="7"/>
      <c r="EK241" s="7">
        <v>4433000</v>
      </c>
      <c r="EL241" s="7">
        <v>89844000</v>
      </c>
      <c r="EM241" s="7"/>
      <c r="EN241" s="7"/>
      <c r="EO241" s="7"/>
      <c r="EP241" s="7"/>
      <c r="EQ241" s="7">
        <v>12154000</v>
      </c>
      <c r="ER241" s="7"/>
      <c r="ES241" s="7"/>
      <c r="ET241" s="7"/>
      <c r="EU241" s="7">
        <v>400000</v>
      </c>
      <c r="EV241" s="7"/>
      <c r="EW241" s="7"/>
      <c r="EX241" s="7"/>
      <c r="EY241" s="7"/>
      <c r="EZ241" s="11"/>
      <c r="FA241" s="11"/>
      <c r="FB241" s="11"/>
      <c r="FC241" s="11"/>
      <c r="FD241" s="11"/>
      <c r="FE241" s="11"/>
      <c r="FF241" s="11"/>
      <c r="FG241" s="11"/>
      <c r="FH241" s="11"/>
      <c r="FI241" s="11"/>
      <c r="FJ241" s="11"/>
      <c r="FK241" s="11"/>
      <c r="FL241" s="11"/>
      <c r="FM241" s="11"/>
      <c r="FN241" s="11"/>
      <c r="FO241" s="7"/>
      <c r="FP241" s="7"/>
      <c r="FQ241" s="7"/>
      <c r="FR241" s="7"/>
      <c r="FS241" s="7"/>
      <c r="FT241" s="7">
        <v>33000</v>
      </c>
      <c r="FU241" s="7">
        <v>52000</v>
      </c>
      <c r="FV241" s="7"/>
      <c r="FW241" s="7"/>
      <c r="FX241" s="7"/>
      <c r="FY241" s="11">
        <v>-34000</v>
      </c>
      <c r="FZ241" s="11">
        <v>-119000</v>
      </c>
      <c r="GA241" s="11"/>
      <c r="GB241" s="11"/>
      <c r="GC241" s="11"/>
      <c r="GD241" s="7">
        <v>134000</v>
      </c>
      <c r="GE241" s="7">
        <v>474000</v>
      </c>
      <c r="GF241" s="7"/>
      <c r="GG241" s="7"/>
      <c r="GH241" s="7"/>
    </row>
    <row r="242" spans="1:190" ht="26.25" x14ac:dyDescent="0.25">
      <c r="A242" s="4">
        <v>241</v>
      </c>
      <c r="B242" s="5" t="s">
        <v>791</v>
      </c>
      <c r="C242" s="9" t="s">
        <v>792</v>
      </c>
      <c r="D242" s="7">
        <v>16</v>
      </c>
      <c r="E242" s="6" t="s">
        <v>535</v>
      </c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7"/>
      <c r="Q242" s="7"/>
      <c r="R242" s="7"/>
      <c r="S242" s="7"/>
      <c r="T242" s="7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11"/>
      <c r="AZ242" s="11"/>
      <c r="BA242" s="11"/>
      <c r="BB242" s="11"/>
      <c r="BC242" s="11"/>
      <c r="BD242" s="7"/>
      <c r="BE242" s="7"/>
      <c r="BF242" s="7"/>
      <c r="BG242" s="7"/>
      <c r="BH242" s="7"/>
      <c r="BI242" s="11"/>
      <c r="BJ242" s="11"/>
      <c r="BK242" s="11"/>
      <c r="BL242" s="11"/>
      <c r="BM242" s="11"/>
      <c r="BN242" s="11"/>
      <c r="BO242" s="11"/>
      <c r="BP242" s="11"/>
      <c r="BQ242" s="11"/>
      <c r="BR242" s="11"/>
      <c r="BS242" s="11"/>
      <c r="BT242" s="11"/>
      <c r="BU242" s="11"/>
      <c r="BV242" s="11"/>
      <c r="BW242" s="11"/>
      <c r="BX242" s="7"/>
      <c r="BY242" s="7"/>
      <c r="BZ242" s="7"/>
      <c r="CA242" s="7"/>
      <c r="CB242" s="7"/>
      <c r="CC242" s="11"/>
      <c r="CD242" s="11"/>
      <c r="CE242" s="11"/>
      <c r="CF242" s="11"/>
      <c r="CG242" s="11"/>
      <c r="CH242" s="7"/>
      <c r="CI242" s="7"/>
      <c r="CJ242" s="7"/>
      <c r="CK242" s="7"/>
      <c r="CL242" s="7"/>
      <c r="CM242" s="11"/>
      <c r="CN242" s="11"/>
      <c r="CO242" s="11"/>
      <c r="CP242" s="11"/>
      <c r="CQ242" s="11"/>
      <c r="CR242" s="11"/>
      <c r="CS242" s="11"/>
      <c r="CT242" s="11"/>
      <c r="CU242" s="11"/>
      <c r="CV242" s="11"/>
      <c r="CW242" s="11"/>
      <c r="CX242" s="11"/>
      <c r="CY242" s="11"/>
      <c r="CZ242" s="11"/>
      <c r="DA242" s="11"/>
      <c r="DB242" s="11"/>
      <c r="DC242" s="11"/>
      <c r="DD242" s="11"/>
      <c r="DE242" s="11"/>
      <c r="DF242" s="11"/>
      <c r="DG242" s="7"/>
      <c r="DH242" s="7"/>
      <c r="DI242" s="7"/>
      <c r="DJ242" s="7"/>
      <c r="DK242" s="7"/>
      <c r="DL242" s="7"/>
      <c r="DM242" s="7"/>
      <c r="DN242" s="7"/>
      <c r="DO242" s="7"/>
      <c r="DP242" s="7"/>
      <c r="DQ242" s="11"/>
      <c r="DR242" s="11"/>
      <c r="DS242" s="11"/>
      <c r="DT242" s="11"/>
      <c r="DU242" s="11"/>
      <c r="DV242" s="11"/>
      <c r="DW242" s="11"/>
      <c r="DX242" s="11"/>
      <c r="DY242" s="11"/>
      <c r="DZ242" s="11"/>
      <c r="EA242" s="11"/>
      <c r="EB242" s="11"/>
      <c r="EC242" s="11"/>
      <c r="ED242" s="11"/>
      <c r="EE242" s="11"/>
      <c r="EF242" s="7"/>
      <c r="EG242" s="7"/>
      <c r="EH242" s="7"/>
      <c r="EI242" s="7"/>
      <c r="EJ242" s="7"/>
      <c r="EK242" s="7"/>
      <c r="EL242" s="7"/>
      <c r="EM242" s="7"/>
      <c r="EN242" s="7"/>
      <c r="EO242" s="7"/>
      <c r="EP242" s="7"/>
      <c r="EQ242" s="7"/>
      <c r="ER242" s="7"/>
      <c r="ES242" s="7"/>
      <c r="ET242" s="7"/>
      <c r="EU242" s="7"/>
      <c r="EV242" s="7"/>
      <c r="EW242" s="7"/>
      <c r="EX242" s="7"/>
      <c r="EY242" s="7"/>
      <c r="EZ242" s="11"/>
      <c r="FA242" s="11"/>
      <c r="FB242" s="11"/>
      <c r="FC242" s="11"/>
      <c r="FD242" s="11"/>
      <c r="FE242" s="11"/>
      <c r="FF242" s="11"/>
      <c r="FG242" s="11"/>
      <c r="FH242" s="11"/>
      <c r="FI242" s="11"/>
      <c r="FJ242" s="11"/>
      <c r="FK242" s="11"/>
      <c r="FL242" s="11"/>
      <c r="FM242" s="11"/>
      <c r="FN242" s="11"/>
      <c r="FO242" s="7"/>
      <c r="FP242" s="7"/>
      <c r="FQ242" s="7"/>
      <c r="FR242" s="7"/>
      <c r="FS242" s="7"/>
      <c r="FT242" s="7"/>
      <c r="FU242" s="7"/>
      <c r="FV242" s="7"/>
      <c r="FW242" s="7"/>
      <c r="FX242" s="7"/>
      <c r="FY242" s="11"/>
      <c r="FZ242" s="11"/>
      <c r="GA242" s="11"/>
      <c r="GB242" s="11"/>
      <c r="GC242" s="11"/>
      <c r="GD242" s="7"/>
      <c r="GE242" s="7"/>
      <c r="GF242" s="7"/>
      <c r="GG242" s="7"/>
      <c r="GH242" s="7"/>
    </row>
    <row r="243" spans="1:190" x14ac:dyDescent="0.25">
      <c r="A243" s="4">
        <v>242</v>
      </c>
      <c r="B243" s="5" t="s">
        <v>793</v>
      </c>
      <c r="C243" s="9" t="s">
        <v>794</v>
      </c>
      <c r="D243" s="7">
        <v>10</v>
      </c>
      <c r="E243" s="6" t="s">
        <v>363</v>
      </c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7">
        <v>41000</v>
      </c>
      <c r="Q243" s="7"/>
      <c r="R243" s="7"/>
      <c r="S243" s="7"/>
      <c r="T243" s="7"/>
      <c r="U243" s="11"/>
      <c r="V243" s="11"/>
      <c r="W243" s="11"/>
      <c r="X243" s="11"/>
      <c r="Y243" s="11"/>
      <c r="Z243" s="11"/>
      <c r="AA243" s="11">
        <v>2000</v>
      </c>
      <c r="AB243" s="11"/>
      <c r="AC243" s="11"/>
      <c r="AD243" s="11"/>
      <c r="AE243" s="11"/>
      <c r="AF243" s="11"/>
      <c r="AG243" s="11"/>
      <c r="AH243" s="11"/>
      <c r="AI243" s="11"/>
      <c r="AJ243" s="11">
        <v>45000</v>
      </c>
      <c r="AK243" s="11">
        <v>2000</v>
      </c>
      <c r="AL243" s="11"/>
      <c r="AM243" s="11"/>
      <c r="AN243" s="11"/>
      <c r="AO243" s="7">
        <v>14000</v>
      </c>
      <c r="AP243" s="7">
        <v>8000</v>
      </c>
      <c r="AQ243" s="7"/>
      <c r="AR243" s="7"/>
      <c r="AS243" s="7"/>
      <c r="AT243" s="7">
        <v>1000000</v>
      </c>
      <c r="AU243" s="7">
        <v>2104000</v>
      </c>
      <c r="AV243" s="7"/>
      <c r="AW243" s="7"/>
      <c r="AX243" s="7"/>
      <c r="AY243" s="11">
        <v>2040000</v>
      </c>
      <c r="AZ243" s="11"/>
      <c r="BA243" s="11"/>
      <c r="BB243" s="11"/>
      <c r="BC243" s="11"/>
      <c r="BD243" s="7">
        <v>207000</v>
      </c>
      <c r="BE243" s="7"/>
      <c r="BF243" s="7"/>
      <c r="BG243" s="7"/>
      <c r="BH243" s="7"/>
      <c r="BI243" s="11"/>
      <c r="BJ243" s="11"/>
      <c r="BK243" s="11"/>
      <c r="BL243" s="11"/>
      <c r="BM243" s="11"/>
      <c r="BN243" s="11">
        <v>3261000</v>
      </c>
      <c r="BO243" s="11">
        <v>2112000</v>
      </c>
      <c r="BP243" s="11"/>
      <c r="BQ243" s="11"/>
      <c r="BR243" s="11"/>
      <c r="BS243" s="11">
        <v>3305000</v>
      </c>
      <c r="BT243" s="11">
        <v>2114000</v>
      </c>
      <c r="BU243" s="11"/>
      <c r="BV243" s="11"/>
      <c r="BW243" s="11"/>
      <c r="BX243" s="7">
        <v>10000</v>
      </c>
      <c r="BY243" s="7"/>
      <c r="BZ243" s="7"/>
      <c r="CA243" s="7"/>
      <c r="CB243" s="7"/>
      <c r="CC243" s="11"/>
      <c r="CD243" s="11"/>
      <c r="CE243" s="11"/>
      <c r="CF243" s="11"/>
      <c r="CG243" s="11"/>
      <c r="CH243" s="7">
        <v>2824000</v>
      </c>
      <c r="CI243" s="7"/>
      <c r="CJ243" s="7"/>
      <c r="CK243" s="7"/>
      <c r="CL243" s="7"/>
      <c r="CM243" s="11">
        <v>2834000</v>
      </c>
      <c r="CN243" s="11">
        <v>-2809000</v>
      </c>
      <c r="CO243" s="11"/>
      <c r="CP243" s="11"/>
      <c r="CQ243" s="11"/>
      <c r="CR243" s="11"/>
      <c r="CS243" s="11"/>
      <c r="CT243" s="11"/>
      <c r="CU243" s="11"/>
      <c r="CV243" s="11"/>
      <c r="CW243" s="11"/>
      <c r="CX243" s="11"/>
      <c r="CY243" s="11"/>
      <c r="CZ243" s="11"/>
      <c r="DA243" s="11"/>
      <c r="DB243" s="11"/>
      <c r="DC243" s="11"/>
      <c r="DD243" s="11"/>
      <c r="DE243" s="11"/>
      <c r="DF243" s="11"/>
      <c r="DG243" s="7"/>
      <c r="DH243" s="7"/>
      <c r="DI243" s="7"/>
      <c r="DJ243" s="7"/>
      <c r="DK243" s="7"/>
      <c r="DL243" s="7">
        <v>471000</v>
      </c>
      <c r="DM243" s="7">
        <v>4923000</v>
      </c>
      <c r="DN243" s="7"/>
      <c r="DO243" s="7"/>
      <c r="DP243" s="7"/>
      <c r="DQ243" s="11"/>
      <c r="DR243" s="11"/>
      <c r="DS243" s="11"/>
      <c r="DT243" s="11"/>
      <c r="DU243" s="11"/>
      <c r="DV243" s="11"/>
      <c r="DW243" s="11"/>
      <c r="DX243" s="11"/>
      <c r="DY243" s="11"/>
      <c r="DZ243" s="11"/>
      <c r="EA243" s="11">
        <v>471000</v>
      </c>
      <c r="EB243" s="11">
        <v>4923000</v>
      </c>
      <c r="EC243" s="11"/>
      <c r="ED243" s="11"/>
      <c r="EE243" s="11"/>
      <c r="EF243" s="7">
        <v>7456000</v>
      </c>
      <c r="EG243" s="7">
        <v>6240000</v>
      </c>
      <c r="EH243" s="7"/>
      <c r="EI243" s="7"/>
      <c r="EJ243" s="7"/>
      <c r="EK243" s="7">
        <v>301000</v>
      </c>
      <c r="EL243" s="7">
        <v>5505000</v>
      </c>
      <c r="EM243" s="7"/>
      <c r="EN243" s="7"/>
      <c r="EO243" s="7"/>
      <c r="EP243" s="7"/>
      <c r="EQ243" s="7"/>
      <c r="ER243" s="7"/>
      <c r="ES243" s="7"/>
      <c r="ET243" s="7"/>
      <c r="EU243" s="7">
        <v>4878000</v>
      </c>
      <c r="EV243" s="7"/>
      <c r="EW243" s="7"/>
      <c r="EX243" s="7"/>
      <c r="EY243" s="7"/>
      <c r="EZ243" s="11"/>
      <c r="FA243" s="11"/>
      <c r="FB243" s="11"/>
      <c r="FC243" s="11"/>
      <c r="FD243" s="11"/>
      <c r="FE243" s="11">
        <v>75000</v>
      </c>
      <c r="FF243" s="11"/>
      <c r="FG243" s="11"/>
      <c r="FH243" s="11"/>
      <c r="FI243" s="11"/>
      <c r="FJ243" s="11"/>
      <c r="FK243" s="11"/>
      <c r="FL243" s="11"/>
      <c r="FM243" s="11"/>
      <c r="FN243" s="11"/>
      <c r="FO243" s="7">
        <v>698000</v>
      </c>
      <c r="FP243" s="7">
        <v>4180000</v>
      </c>
      <c r="FQ243" s="7"/>
      <c r="FR243" s="7"/>
      <c r="FS243" s="7"/>
      <c r="FT243" s="7">
        <v>4210000</v>
      </c>
      <c r="FU243" s="7">
        <v>7956000</v>
      </c>
      <c r="FV243" s="7"/>
      <c r="FW243" s="7"/>
      <c r="FX243" s="7"/>
      <c r="FY243" s="11">
        <v>-116000</v>
      </c>
      <c r="FZ243" s="11">
        <v>254000</v>
      </c>
      <c r="GA243" s="11"/>
      <c r="GB243" s="11"/>
      <c r="GC243" s="11"/>
      <c r="GD243" s="7">
        <v>-1277000</v>
      </c>
      <c r="GE243" s="7">
        <v>-3295000</v>
      </c>
      <c r="GF243" s="7"/>
      <c r="GG243" s="7"/>
      <c r="GH243" s="7"/>
    </row>
    <row r="244" spans="1:190" ht="26.25" x14ac:dyDescent="0.25">
      <c r="A244" s="4">
        <v>243</v>
      </c>
      <c r="B244" s="5" t="s">
        <v>795</v>
      </c>
      <c r="C244" s="9" t="s">
        <v>796</v>
      </c>
      <c r="D244" s="7">
        <v>10</v>
      </c>
      <c r="E244" s="6" t="s">
        <v>633</v>
      </c>
      <c r="F244" s="11"/>
      <c r="G244" s="11"/>
      <c r="H244" s="11"/>
      <c r="I244" s="11"/>
      <c r="J244" s="11"/>
      <c r="K244" s="11">
        <v>450411</v>
      </c>
      <c r="L244" s="11"/>
      <c r="M244" s="11">
        <v>576273</v>
      </c>
      <c r="N244" s="11">
        <v>440887</v>
      </c>
      <c r="O244" s="11">
        <v>55562</v>
      </c>
      <c r="P244" s="7">
        <v>9686000</v>
      </c>
      <c r="Q244" s="7">
        <v>7751000</v>
      </c>
      <c r="R244" s="7">
        <v>8190000</v>
      </c>
      <c r="S244" s="7"/>
      <c r="T244" s="7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>
        <v>9686000</v>
      </c>
      <c r="AK244" s="11">
        <v>7751000</v>
      </c>
      <c r="AL244" s="11">
        <v>8190000</v>
      </c>
      <c r="AM244" s="11"/>
      <c r="AN244" s="11"/>
      <c r="AO244" s="7">
        <v>212000</v>
      </c>
      <c r="AP244" s="7">
        <v>21000</v>
      </c>
      <c r="AQ244" s="7">
        <v>57000</v>
      </c>
      <c r="AR244" s="7">
        <v>127000</v>
      </c>
      <c r="AS244" s="7"/>
      <c r="AT244" s="7">
        <v>29619000</v>
      </c>
      <c r="AU244" s="7">
        <v>39966000</v>
      </c>
      <c r="AV244" s="7">
        <v>34538000</v>
      </c>
      <c r="AW244" s="7">
        <v>38924000</v>
      </c>
      <c r="AX244" s="7">
        <v>17999000</v>
      </c>
      <c r="AY244" s="11"/>
      <c r="AZ244" s="11"/>
      <c r="BA244" s="11"/>
      <c r="BB244" s="11"/>
      <c r="BC244" s="11"/>
      <c r="BD244" s="7">
        <v>480000</v>
      </c>
      <c r="BE244" s="7">
        <v>532000</v>
      </c>
      <c r="BF244" s="7">
        <v>358000</v>
      </c>
      <c r="BG244" s="7">
        <v>1219000</v>
      </c>
      <c r="BH244" s="7">
        <v>543000</v>
      </c>
      <c r="BI244" s="11"/>
      <c r="BJ244" s="11"/>
      <c r="BK244" s="11"/>
      <c r="BL244" s="11"/>
      <c r="BM244" s="11"/>
      <c r="BN244" s="11">
        <v>30311000</v>
      </c>
      <c r="BO244" s="11">
        <v>40525000</v>
      </c>
      <c r="BP244" s="11">
        <v>34953000</v>
      </c>
      <c r="BQ244" s="11">
        <v>40270000</v>
      </c>
      <c r="BR244" s="11">
        <v>18542000</v>
      </c>
      <c r="BS244" s="11">
        <v>39997000</v>
      </c>
      <c r="BT244" s="11">
        <v>48276000</v>
      </c>
      <c r="BU244" s="11">
        <v>43143000</v>
      </c>
      <c r="BV244" s="11">
        <v>40270000</v>
      </c>
      <c r="BW244" s="11">
        <v>18542000</v>
      </c>
      <c r="BX244" s="7"/>
      <c r="BY244" s="7">
        <v>10000</v>
      </c>
      <c r="BZ244" s="7">
        <v>10000</v>
      </c>
      <c r="CA244" s="7">
        <v>10000</v>
      </c>
      <c r="CB244" s="7">
        <v>10000</v>
      </c>
      <c r="CC244" s="11"/>
      <c r="CD244" s="11"/>
      <c r="CE244" s="11"/>
      <c r="CF244" s="11"/>
      <c r="CG244" s="11"/>
      <c r="CH244" s="7"/>
      <c r="CI244" s="7">
        <v>-33851000</v>
      </c>
      <c r="CJ244" s="7">
        <v>-32430000</v>
      </c>
      <c r="CK244" s="7">
        <v>-33833000</v>
      </c>
      <c r="CL244" s="7">
        <v>-34669000</v>
      </c>
      <c r="CM244" s="11">
        <v>-12784000</v>
      </c>
      <c r="CN244" s="11">
        <v>-33841000</v>
      </c>
      <c r="CO244" s="11">
        <v>-32420000</v>
      </c>
      <c r="CP244" s="11">
        <v>-33823000</v>
      </c>
      <c r="CQ244" s="11">
        <v>-34659000</v>
      </c>
      <c r="CR244" s="11"/>
      <c r="CS244" s="11"/>
      <c r="CT244" s="11"/>
      <c r="CU244" s="11"/>
      <c r="CV244" s="11"/>
      <c r="CW244" s="11"/>
      <c r="CX244" s="11"/>
      <c r="CY244" s="11">
        <v>19000</v>
      </c>
      <c r="CZ244" s="11"/>
      <c r="DA244" s="11"/>
      <c r="DB244" s="11"/>
      <c r="DC244" s="11"/>
      <c r="DD244" s="11">
        <v>19000</v>
      </c>
      <c r="DE244" s="11">
        <v>19046000</v>
      </c>
      <c r="DF244" s="11"/>
      <c r="DG244" s="7"/>
      <c r="DH244" s="7"/>
      <c r="DI244" s="7"/>
      <c r="DJ244" s="7"/>
      <c r="DK244" s="7"/>
      <c r="DL244" s="7">
        <v>41334000</v>
      </c>
      <c r="DM244" s="7">
        <v>58209000</v>
      </c>
      <c r="DN244" s="7">
        <v>51636000</v>
      </c>
      <c r="DO244" s="7">
        <v>55047000</v>
      </c>
      <c r="DP244" s="7">
        <v>53201000</v>
      </c>
      <c r="DQ244" s="11"/>
      <c r="DR244" s="11"/>
      <c r="DS244" s="11">
        <v>23908000</v>
      </c>
      <c r="DT244" s="11"/>
      <c r="DU244" s="11"/>
      <c r="DV244" s="11">
        <v>11447000</v>
      </c>
      <c r="DW244" s="11">
        <v>23908000</v>
      </c>
      <c r="DX244" s="11"/>
      <c r="DY244" s="11"/>
      <c r="DZ244" s="11"/>
      <c r="EA244" s="11">
        <v>52781000</v>
      </c>
      <c r="EB244" s="11">
        <v>82117000</v>
      </c>
      <c r="EC244" s="11">
        <v>75544000</v>
      </c>
      <c r="ED244" s="11">
        <v>55047000</v>
      </c>
      <c r="EE244" s="11">
        <v>53201000</v>
      </c>
      <c r="EF244" s="7">
        <v>13932000</v>
      </c>
      <c r="EG244" s="7">
        <v>12163000</v>
      </c>
      <c r="EH244" s="7">
        <v>11995000</v>
      </c>
      <c r="EI244" s="7">
        <v>10249000</v>
      </c>
      <c r="EJ244" s="7"/>
      <c r="EK244" s="7">
        <v>21014000</v>
      </c>
      <c r="EL244" s="7">
        <v>555000</v>
      </c>
      <c r="EM244" s="7">
        <v>637000</v>
      </c>
      <c r="EN244" s="7">
        <v>230000</v>
      </c>
      <c r="EO244" s="7"/>
      <c r="EP244" s="7"/>
      <c r="EQ244" s="7"/>
      <c r="ER244" s="7"/>
      <c r="ES244" s="7"/>
      <c r="ET244" s="7"/>
      <c r="EU244" s="7"/>
      <c r="EV244" s="7">
        <v>18849000</v>
      </c>
      <c r="EW244" s="7">
        <v>21535000</v>
      </c>
      <c r="EX244" s="7">
        <v>8822000</v>
      </c>
      <c r="EY244" s="7">
        <v>1513000</v>
      </c>
      <c r="EZ244" s="11"/>
      <c r="FA244" s="11"/>
      <c r="FB244" s="11"/>
      <c r="FC244" s="11"/>
      <c r="FD244" s="11"/>
      <c r="FE244" s="11"/>
      <c r="FF244" s="11"/>
      <c r="FG244" s="11"/>
      <c r="FH244" s="11"/>
      <c r="FI244" s="11"/>
      <c r="FJ244" s="11"/>
      <c r="FK244" s="11"/>
      <c r="FL244" s="11"/>
      <c r="FM244" s="11"/>
      <c r="FN244" s="11"/>
      <c r="FO244" s="7"/>
      <c r="FP244" s="7">
        <v>1000</v>
      </c>
      <c r="FQ244" s="7"/>
      <c r="FR244" s="7"/>
      <c r="FS244" s="7"/>
      <c r="FT244" s="7">
        <v>8057000</v>
      </c>
      <c r="FU244" s="7">
        <v>57000</v>
      </c>
      <c r="FV244" s="7">
        <v>1581000</v>
      </c>
      <c r="FW244" s="7">
        <v>2916000</v>
      </c>
      <c r="FX244" s="7">
        <v>8906000</v>
      </c>
      <c r="FY244" s="11"/>
      <c r="FZ244" s="11"/>
      <c r="GA244" s="11"/>
      <c r="GB244" s="11"/>
      <c r="GC244" s="11"/>
      <c r="GD244" s="7">
        <v>-15139000</v>
      </c>
      <c r="GE244" s="7">
        <v>-7297000</v>
      </c>
      <c r="GF244" s="7">
        <v>-11758000</v>
      </c>
      <c r="GG244" s="7">
        <v>-1719000</v>
      </c>
      <c r="GH244" s="7">
        <v>-10419000</v>
      </c>
    </row>
    <row r="245" spans="1:190" ht="26.25" x14ac:dyDescent="0.25">
      <c r="A245" s="4">
        <v>244</v>
      </c>
      <c r="B245" s="5" t="s">
        <v>797</v>
      </c>
      <c r="C245" s="9" t="s">
        <v>798</v>
      </c>
      <c r="D245" s="7">
        <v>19</v>
      </c>
      <c r="E245" s="6" t="s">
        <v>312</v>
      </c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7">
        <v>96000</v>
      </c>
      <c r="Q245" s="7">
        <v>96000</v>
      </c>
      <c r="R245" s="7"/>
      <c r="S245" s="7"/>
      <c r="T245" s="7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>
        <v>96000</v>
      </c>
      <c r="AK245" s="11">
        <v>96000</v>
      </c>
      <c r="AL245" s="11"/>
      <c r="AM245" s="11"/>
      <c r="AN245" s="11"/>
      <c r="AO245" s="7">
        <v>19673000</v>
      </c>
      <c r="AP245" s="7">
        <v>19673000</v>
      </c>
      <c r="AQ245" s="7"/>
      <c r="AR245" s="7"/>
      <c r="AS245" s="7"/>
      <c r="AT245" s="7">
        <v>12776000</v>
      </c>
      <c r="AU245" s="7">
        <v>12596000</v>
      </c>
      <c r="AV245" s="7"/>
      <c r="AW245" s="7"/>
      <c r="AX245" s="7"/>
      <c r="AY245" s="11"/>
      <c r="AZ245" s="11"/>
      <c r="BA245" s="11"/>
      <c r="BB245" s="11"/>
      <c r="BC245" s="11"/>
      <c r="BD245" s="7"/>
      <c r="BE245" s="7">
        <v>2225000</v>
      </c>
      <c r="BF245" s="7"/>
      <c r="BG245" s="7"/>
      <c r="BH245" s="7"/>
      <c r="BI245" s="11"/>
      <c r="BJ245" s="11"/>
      <c r="BK245" s="11"/>
      <c r="BL245" s="11"/>
      <c r="BM245" s="11"/>
      <c r="BN245" s="11">
        <v>32449000</v>
      </c>
      <c r="BO245" s="11">
        <v>34494000</v>
      </c>
      <c r="BP245" s="11"/>
      <c r="BQ245" s="11"/>
      <c r="BR245" s="11"/>
      <c r="BS245" s="11">
        <v>32545000</v>
      </c>
      <c r="BT245" s="11">
        <v>34590000</v>
      </c>
      <c r="BU245" s="11"/>
      <c r="BV245" s="11"/>
      <c r="BW245" s="11"/>
      <c r="BX245" s="7">
        <v>10000</v>
      </c>
      <c r="BY245" s="7">
        <v>10000</v>
      </c>
      <c r="BZ245" s="7"/>
      <c r="CA245" s="7"/>
      <c r="CB245" s="7"/>
      <c r="CC245" s="11"/>
      <c r="CD245" s="11"/>
      <c r="CE245" s="11"/>
      <c r="CF245" s="11"/>
      <c r="CG245" s="11"/>
      <c r="CH245" s="7">
        <v>-3264000</v>
      </c>
      <c r="CI245" s="7">
        <v>-4963000</v>
      </c>
      <c r="CJ245" s="7"/>
      <c r="CK245" s="7"/>
      <c r="CL245" s="7"/>
      <c r="CM245" s="11">
        <v>-3254000</v>
      </c>
      <c r="CN245" s="11">
        <v>-4953000</v>
      </c>
      <c r="CO245" s="11"/>
      <c r="CP245" s="11"/>
      <c r="CQ245" s="11"/>
      <c r="CR245" s="11"/>
      <c r="CS245" s="11"/>
      <c r="CT245" s="11"/>
      <c r="CU245" s="11"/>
      <c r="CV245" s="11"/>
      <c r="CW245" s="11"/>
      <c r="CX245" s="11"/>
      <c r="CY245" s="11"/>
      <c r="CZ245" s="11"/>
      <c r="DA245" s="11"/>
      <c r="DB245" s="11"/>
      <c r="DC245" s="11"/>
      <c r="DD245" s="11"/>
      <c r="DE245" s="11"/>
      <c r="DF245" s="11"/>
      <c r="DG245" s="7"/>
      <c r="DH245" s="7"/>
      <c r="DI245" s="7"/>
      <c r="DJ245" s="7"/>
      <c r="DK245" s="7"/>
      <c r="DL245" s="7">
        <v>35799000</v>
      </c>
      <c r="DM245" s="7">
        <v>39543000</v>
      </c>
      <c r="DN245" s="7"/>
      <c r="DO245" s="7"/>
      <c r="DP245" s="7"/>
      <c r="DQ245" s="11"/>
      <c r="DR245" s="11"/>
      <c r="DS245" s="11"/>
      <c r="DT245" s="11"/>
      <c r="DU245" s="11"/>
      <c r="DV245" s="11"/>
      <c r="DW245" s="11"/>
      <c r="DX245" s="11"/>
      <c r="DY245" s="11"/>
      <c r="DZ245" s="11"/>
      <c r="EA245" s="11">
        <v>35799000</v>
      </c>
      <c r="EB245" s="11">
        <v>39543000</v>
      </c>
      <c r="EC245" s="11"/>
      <c r="ED245" s="11"/>
      <c r="EE245" s="11"/>
      <c r="EF245" s="7"/>
      <c r="EG245" s="7">
        <v>133000</v>
      </c>
      <c r="EH245" s="7"/>
      <c r="EI245" s="7"/>
      <c r="EJ245" s="7"/>
      <c r="EK245" s="7"/>
      <c r="EL245" s="7"/>
      <c r="EM245" s="7"/>
      <c r="EN245" s="7"/>
      <c r="EO245" s="7"/>
      <c r="EP245" s="7"/>
      <c r="EQ245" s="7"/>
      <c r="ER245" s="7"/>
      <c r="ES245" s="7"/>
      <c r="ET245" s="7"/>
      <c r="EU245" s="7"/>
      <c r="EV245" s="7"/>
      <c r="EW245" s="7"/>
      <c r="EX245" s="7"/>
      <c r="EY245" s="7"/>
      <c r="EZ245" s="11"/>
      <c r="FA245" s="11"/>
      <c r="FB245" s="11"/>
      <c r="FC245" s="11"/>
      <c r="FD245" s="11"/>
      <c r="FE245" s="11"/>
      <c r="FF245" s="11"/>
      <c r="FG245" s="11"/>
      <c r="FH245" s="11"/>
      <c r="FI245" s="11"/>
      <c r="FJ245" s="11"/>
      <c r="FK245" s="11"/>
      <c r="FL245" s="11"/>
      <c r="FM245" s="11"/>
      <c r="FN245" s="11"/>
      <c r="FO245" s="7"/>
      <c r="FP245" s="7"/>
      <c r="FQ245" s="7"/>
      <c r="FR245" s="7"/>
      <c r="FS245" s="7"/>
      <c r="FT245" s="7">
        <v>355000</v>
      </c>
      <c r="FU245" s="7">
        <v>1699000</v>
      </c>
      <c r="FV245" s="7"/>
      <c r="FW245" s="7"/>
      <c r="FX245" s="7"/>
      <c r="FY245" s="11"/>
      <c r="FZ245" s="11"/>
      <c r="GA245" s="11"/>
      <c r="GB245" s="11"/>
      <c r="GC245" s="11"/>
      <c r="GD245" s="7">
        <v>-355000</v>
      </c>
      <c r="GE245" s="7">
        <v>-1566000</v>
      </c>
      <c r="GF245" s="7"/>
      <c r="GG245" s="7"/>
      <c r="GH245" s="7"/>
    </row>
    <row r="246" spans="1:190" ht="26.25" x14ac:dyDescent="0.25">
      <c r="A246" s="4">
        <v>245</v>
      </c>
      <c r="B246" s="5" t="s">
        <v>799</v>
      </c>
      <c r="C246" s="9" t="s">
        <v>800</v>
      </c>
      <c r="D246" s="7">
        <v>16</v>
      </c>
      <c r="E246" s="6" t="s">
        <v>255</v>
      </c>
      <c r="F246" s="11">
        <v>103170</v>
      </c>
      <c r="G246" s="11">
        <v>10037</v>
      </c>
      <c r="H246" s="11">
        <v>978</v>
      </c>
      <c r="I246" s="11"/>
      <c r="J246" s="11"/>
      <c r="K246" s="11">
        <v>1061429</v>
      </c>
      <c r="L246" s="11">
        <v>2099687</v>
      </c>
      <c r="M246" s="11">
        <v>1135787</v>
      </c>
      <c r="N246" s="11">
        <v>2228670</v>
      </c>
      <c r="O246" s="11"/>
      <c r="P246" s="7">
        <v>746000</v>
      </c>
      <c r="Q246" s="7">
        <v>317000</v>
      </c>
      <c r="R246" s="7">
        <v>17000</v>
      </c>
      <c r="S246" s="7"/>
      <c r="T246" s="7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>
        <v>746000</v>
      </c>
      <c r="AK246" s="11">
        <v>317000</v>
      </c>
      <c r="AL246" s="11">
        <v>17000</v>
      </c>
      <c r="AM246" s="11"/>
      <c r="AN246" s="11"/>
      <c r="AO246" s="7">
        <v>29737000</v>
      </c>
      <c r="AP246" s="7">
        <v>29260000</v>
      </c>
      <c r="AQ246" s="7">
        <v>20737000</v>
      </c>
      <c r="AR246" s="7"/>
      <c r="AS246" s="7"/>
      <c r="AT246" s="7">
        <v>13876000</v>
      </c>
      <c r="AU246" s="7">
        <v>1393000</v>
      </c>
      <c r="AV246" s="7">
        <v>989000</v>
      </c>
      <c r="AW246" s="7"/>
      <c r="AX246" s="7"/>
      <c r="AY246" s="11"/>
      <c r="AZ246" s="11"/>
      <c r="BA246" s="11"/>
      <c r="BB246" s="11"/>
      <c r="BC246" s="11"/>
      <c r="BD246" s="7">
        <v>1000</v>
      </c>
      <c r="BE246" s="7"/>
      <c r="BF246" s="7">
        <v>2000</v>
      </c>
      <c r="BG246" s="7"/>
      <c r="BH246" s="7"/>
      <c r="BI246" s="11"/>
      <c r="BJ246" s="11"/>
      <c r="BK246" s="11"/>
      <c r="BL246" s="11"/>
      <c r="BM246" s="11"/>
      <c r="BN246" s="11">
        <v>43614000</v>
      </c>
      <c r="BO246" s="11">
        <v>30653000</v>
      </c>
      <c r="BP246" s="11">
        <v>21728000</v>
      </c>
      <c r="BQ246" s="11"/>
      <c r="BR246" s="11"/>
      <c r="BS246" s="11">
        <v>44360000</v>
      </c>
      <c r="BT246" s="11">
        <v>30970000</v>
      </c>
      <c r="BU246" s="11">
        <v>21745000</v>
      </c>
      <c r="BV246" s="11"/>
      <c r="BW246" s="11"/>
      <c r="BX246" s="7"/>
      <c r="BY246" s="7"/>
      <c r="BZ246" s="7"/>
      <c r="CA246" s="7"/>
      <c r="CB246" s="7"/>
      <c r="CC246" s="11"/>
      <c r="CD246" s="11"/>
      <c r="CE246" s="11"/>
      <c r="CF246" s="11"/>
      <c r="CG246" s="11"/>
      <c r="CH246" s="7"/>
      <c r="CI246" s="7"/>
      <c r="CJ246" s="7"/>
      <c r="CK246" s="7"/>
      <c r="CL246" s="7"/>
      <c r="CM246" s="11">
        <v>5480000</v>
      </c>
      <c r="CN246" s="11">
        <v>1240000</v>
      </c>
      <c r="CO246" s="11">
        <v>-19380000</v>
      </c>
      <c r="CP246" s="11"/>
      <c r="CQ246" s="11"/>
      <c r="CR246" s="11">
        <v>5663000</v>
      </c>
      <c r="CS246" s="11">
        <v>5663000</v>
      </c>
      <c r="CT246" s="11">
        <v>5663000</v>
      </c>
      <c r="CU246" s="11"/>
      <c r="CV246" s="11"/>
      <c r="CW246" s="11">
        <v>243000</v>
      </c>
      <c r="CX246" s="11"/>
      <c r="CY246" s="11"/>
      <c r="CZ246" s="11"/>
      <c r="DA246" s="11"/>
      <c r="DB246" s="11">
        <v>5906000</v>
      </c>
      <c r="DC246" s="11">
        <v>5663000</v>
      </c>
      <c r="DD246" s="11">
        <v>5663000</v>
      </c>
      <c r="DE246" s="11"/>
      <c r="DF246" s="11"/>
      <c r="DG246" s="7">
        <v>367000</v>
      </c>
      <c r="DH246" s="7">
        <v>1010000</v>
      </c>
      <c r="DI246" s="7">
        <v>331000</v>
      </c>
      <c r="DJ246" s="7"/>
      <c r="DK246" s="7"/>
      <c r="DL246" s="7">
        <v>32607000</v>
      </c>
      <c r="DM246" s="7">
        <v>23057000</v>
      </c>
      <c r="DN246" s="7">
        <v>35131000</v>
      </c>
      <c r="DO246" s="7"/>
      <c r="DP246" s="7"/>
      <c r="DQ246" s="11"/>
      <c r="DR246" s="11"/>
      <c r="DS246" s="11"/>
      <c r="DT246" s="11"/>
      <c r="DU246" s="11"/>
      <c r="DV246" s="11"/>
      <c r="DW246" s="11"/>
      <c r="DX246" s="11"/>
      <c r="DY246" s="11"/>
      <c r="DZ246" s="11"/>
      <c r="EA246" s="11">
        <v>32974000</v>
      </c>
      <c r="EB246" s="11">
        <v>24067000</v>
      </c>
      <c r="EC246" s="11">
        <v>35462000</v>
      </c>
      <c r="ED246" s="11"/>
      <c r="EE246" s="11"/>
      <c r="EF246" s="7">
        <v>40576000</v>
      </c>
      <c r="EG246" s="7">
        <v>29759000</v>
      </c>
      <c r="EH246" s="7">
        <v>32789000</v>
      </c>
      <c r="EI246" s="7"/>
      <c r="EJ246" s="7"/>
      <c r="EK246" s="7">
        <v>39475000</v>
      </c>
      <c r="EL246" s="7">
        <v>29114000</v>
      </c>
      <c r="EM246" s="7">
        <v>51535000</v>
      </c>
      <c r="EN246" s="7"/>
      <c r="EO246" s="7"/>
      <c r="EP246" s="7"/>
      <c r="EQ246" s="7"/>
      <c r="ER246" s="7"/>
      <c r="ES246" s="7"/>
      <c r="ET246" s="7"/>
      <c r="EU246" s="7"/>
      <c r="EV246" s="7"/>
      <c r="EW246" s="7"/>
      <c r="EX246" s="7"/>
      <c r="EY246" s="7"/>
      <c r="EZ246" s="11"/>
      <c r="FA246" s="11"/>
      <c r="FB246" s="11"/>
      <c r="FC246" s="11"/>
      <c r="FD246" s="11"/>
      <c r="FE246" s="11"/>
      <c r="FF246" s="11"/>
      <c r="FG246" s="11"/>
      <c r="FH246" s="11"/>
      <c r="FI246" s="11"/>
      <c r="FJ246" s="11">
        <v>1074000</v>
      </c>
      <c r="FK246" s="11">
        <v>940000</v>
      </c>
      <c r="FL246" s="11">
        <v>940000</v>
      </c>
      <c r="FM246" s="11"/>
      <c r="FN246" s="11"/>
      <c r="FO246" s="7">
        <v>472000</v>
      </c>
      <c r="FP246" s="7">
        <v>805000</v>
      </c>
      <c r="FQ246" s="7">
        <v>224000</v>
      </c>
      <c r="FR246" s="7"/>
      <c r="FS246" s="7"/>
      <c r="FT246" s="7">
        <v>360000</v>
      </c>
      <c r="FU246" s="7">
        <v>402000</v>
      </c>
      <c r="FV246" s="7">
        <v>354000</v>
      </c>
      <c r="FW246" s="7"/>
      <c r="FX246" s="7"/>
      <c r="FY246" s="11">
        <v>36000</v>
      </c>
      <c r="FZ246" s="11">
        <v>10000</v>
      </c>
      <c r="GA246" s="11">
        <v>75000</v>
      </c>
      <c r="GB246" s="11"/>
      <c r="GC246" s="11"/>
      <c r="GD246" s="7">
        <v>103000</v>
      </c>
      <c r="GE246" s="7">
        <v>98000</v>
      </c>
      <c r="GF246" s="7">
        <v>-19891000</v>
      </c>
      <c r="GG246" s="7"/>
      <c r="GH246" s="7"/>
    </row>
    <row r="247" spans="1:190" ht="26.25" x14ac:dyDescent="0.25">
      <c r="A247" s="4">
        <v>246</v>
      </c>
      <c r="B247" s="5" t="s">
        <v>801</v>
      </c>
      <c r="C247" s="9" t="s">
        <v>802</v>
      </c>
      <c r="D247" s="7">
        <v>11</v>
      </c>
      <c r="E247" s="6" t="s">
        <v>555</v>
      </c>
      <c r="F247" s="11"/>
      <c r="G247" s="11"/>
      <c r="H247" s="11"/>
      <c r="I247" s="11"/>
      <c r="J247" s="11"/>
      <c r="K247" s="11"/>
      <c r="L247" s="11">
        <v>204401</v>
      </c>
      <c r="M247" s="11">
        <v>166123</v>
      </c>
      <c r="N247" s="11">
        <v>15662</v>
      </c>
      <c r="O247" s="11"/>
      <c r="P247" s="7">
        <v>27794000</v>
      </c>
      <c r="Q247" s="7">
        <v>27794000</v>
      </c>
      <c r="R247" s="7">
        <v>28844000</v>
      </c>
      <c r="S247" s="7"/>
      <c r="T247" s="7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>
        <v>27794000</v>
      </c>
      <c r="AK247" s="11">
        <v>27794000</v>
      </c>
      <c r="AL247" s="11">
        <v>28844000</v>
      </c>
      <c r="AM247" s="11"/>
      <c r="AN247" s="11"/>
      <c r="AO247" s="7"/>
      <c r="AP247" s="7"/>
      <c r="AQ247" s="7"/>
      <c r="AR247" s="7"/>
      <c r="AS247" s="7"/>
      <c r="AT247" s="7">
        <v>33210000</v>
      </c>
      <c r="AU247" s="7">
        <v>33210000</v>
      </c>
      <c r="AV247" s="7">
        <v>35636000</v>
      </c>
      <c r="AW247" s="7"/>
      <c r="AX247" s="7"/>
      <c r="AY247" s="11"/>
      <c r="AZ247" s="11"/>
      <c r="BA247" s="11"/>
      <c r="BB247" s="11"/>
      <c r="BC247" s="11"/>
      <c r="BD247" s="7">
        <v>333000</v>
      </c>
      <c r="BE247" s="7">
        <v>2000</v>
      </c>
      <c r="BF247" s="7">
        <v>1000</v>
      </c>
      <c r="BG247" s="7"/>
      <c r="BH247" s="7"/>
      <c r="BI247" s="11"/>
      <c r="BJ247" s="11"/>
      <c r="BK247" s="11"/>
      <c r="BL247" s="11"/>
      <c r="BM247" s="11"/>
      <c r="BN247" s="11">
        <v>33543000</v>
      </c>
      <c r="BO247" s="11">
        <v>33212000</v>
      </c>
      <c r="BP247" s="11">
        <v>35637000</v>
      </c>
      <c r="BQ247" s="11"/>
      <c r="BR247" s="11"/>
      <c r="BS247" s="11">
        <v>61337000</v>
      </c>
      <c r="BT247" s="11">
        <v>61006000</v>
      </c>
      <c r="BU247" s="11">
        <v>64481000</v>
      </c>
      <c r="BV247" s="11"/>
      <c r="BW247" s="11"/>
      <c r="BX247" s="7">
        <v>31413000</v>
      </c>
      <c r="BY247" s="7">
        <v>31413000</v>
      </c>
      <c r="BZ247" s="7">
        <v>31413000</v>
      </c>
      <c r="CA247" s="7"/>
      <c r="CB247" s="7"/>
      <c r="CC247" s="11"/>
      <c r="CD247" s="11"/>
      <c r="CE247" s="11"/>
      <c r="CF247" s="11"/>
      <c r="CG247" s="11"/>
      <c r="CH247" s="7">
        <v>-8177000</v>
      </c>
      <c r="CI247" s="7">
        <v>-2152000</v>
      </c>
      <c r="CJ247" s="7">
        <v>-478000</v>
      </c>
      <c r="CK247" s="7"/>
      <c r="CL247" s="7"/>
      <c r="CM247" s="11">
        <v>23236000</v>
      </c>
      <c r="CN247" s="11">
        <v>29261000</v>
      </c>
      <c r="CO247" s="11">
        <v>30935000</v>
      </c>
      <c r="CP247" s="11"/>
      <c r="CQ247" s="11"/>
      <c r="CR247" s="11">
        <v>15240000</v>
      </c>
      <c r="CS247" s="11">
        <v>15240000</v>
      </c>
      <c r="CT247" s="11">
        <v>15240000</v>
      </c>
      <c r="CU247" s="11"/>
      <c r="CV247" s="11"/>
      <c r="CW247" s="11"/>
      <c r="CX247" s="11"/>
      <c r="CY247" s="11"/>
      <c r="CZ247" s="11"/>
      <c r="DA247" s="11"/>
      <c r="DB247" s="11">
        <v>15240000</v>
      </c>
      <c r="DC247" s="11">
        <v>15240000</v>
      </c>
      <c r="DD247" s="11">
        <v>15240000</v>
      </c>
      <c r="DE247" s="11"/>
      <c r="DF247" s="11"/>
      <c r="DG247" s="7"/>
      <c r="DH247" s="7"/>
      <c r="DI247" s="7"/>
      <c r="DJ247" s="7"/>
      <c r="DK247" s="7"/>
      <c r="DL247" s="7">
        <v>22861000</v>
      </c>
      <c r="DM247" s="7">
        <v>16505000</v>
      </c>
      <c r="DN247" s="7">
        <v>18306000</v>
      </c>
      <c r="DO247" s="7"/>
      <c r="DP247" s="7"/>
      <c r="DQ247" s="11"/>
      <c r="DR247" s="11"/>
      <c r="DS247" s="11"/>
      <c r="DT247" s="11"/>
      <c r="DU247" s="11"/>
      <c r="DV247" s="11"/>
      <c r="DW247" s="11"/>
      <c r="DX247" s="11"/>
      <c r="DY247" s="11"/>
      <c r="DZ247" s="11"/>
      <c r="EA247" s="11">
        <v>22861000</v>
      </c>
      <c r="EB247" s="11">
        <v>16505000</v>
      </c>
      <c r="EC247" s="11">
        <v>18306000</v>
      </c>
      <c r="ED247" s="11"/>
      <c r="EE247" s="11"/>
      <c r="EF247" s="7">
        <v>12403000</v>
      </c>
      <c r="EG247" s="7">
        <v>18263000</v>
      </c>
      <c r="EH247" s="7">
        <v>16711000</v>
      </c>
      <c r="EI247" s="7"/>
      <c r="EJ247" s="7"/>
      <c r="EK247" s="7">
        <v>18450000</v>
      </c>
      <c r="EL247" s="7">
        <v>18393000</v>
      </c>
      <c r="EM247" s="7">
        <v>17189000</v>
      </c>
      <c r="EN247" s="7"/>
      <c r="EO247" s="7"/>
      <c r="EP247" s="7"/>
      <c r="EQ247" s="7"/>
      <c r="ER247" s="7"/>
      <c r="ES247" s="7"/>
      <c r="ET247" s="7"/>
      <c r="EU247" s="7">
        <v>2130000</v>
      </c>
      <c r="EV247" s="7">
        <v>1950000</v>
      </c>
      <c r="EW247" s="7"/>
      <c r="EX247" s="7"/>
      <c r="EY247" s="7"/>
      <c r="EZ247" s="11"/>
      <c r="FA247" s="11"/>
      <c r="FB247" s="11"/>
      <c r="FC247" s="11"/>
      <c r="FD247" s="11"/>
      <c r="FE247" s="11"/>
      <c r="FF247" s="11"/>
      <c r="FG247" s="11"/>
      <c r="FH247" s="11"/>
      <c r="FI247" s="11"/>
      <c r="FJ247" s="11"/>
      <c r="FK247" s="11"/>
      <c r="FL247" s="11"/>
      <c r="FM247" s="11"/>
      <c r="FN247" s="11"/>
      <c r="FO247" s="7"/>
      <c r="FP247" s="7">
        <v>178000</v>
      </c>
      <c r="FQ247" s="7"/>
      <c r="FR247" s="7"/>
      <c r="FS247" s="7"/>
      <c r="FT247" s="7"/>
      <c r="FU247" s="7">
        <v>250000</v>
      </c>
      <c r="FV247" s="7"/>
      <c r="FW247" s="7"/>
      <c r="FX247" s="7"/>
      <c r="FY247" s="11"/>
      <c r="FZ247" s="11"/>
      <c r="GA247" s="11"/>
      <c r="GB247" s="11"/>
      <c r="GC247" s="11"/>
      <c r="GD247" s="7">
        <v>-8177000</v>
      </c>
      <c r="GE247" s="7">
        <v>-2152000</v>
      </c>
      <c r="GF247" s="7">
        <v>-478000</v>
      </c>
      <c r="GG247" s="7"/>
      <c r="GH247" s="7"/>
    </row>
    <row r="248" spans="1:190" x14ac:dyDescent="0.25">
      <c r="A248" s="4">
        <v>247</v>
      </c>
      <c r="B248" s="5" t="s">
        <v>803</v>
      </c>
      <c r="C248" s="9" t="s">
        <v>804</v>
      </c>
      <c r="D248" s="7">
        <v>17</v>
      </c>
      <c r="E248" s="6" t="s">
        <v>396</v>
      </c>
      <c r="F248" s="11">
        <v>72768</v>
      </c>
      <c r="G248" s="11">
        <v>49770</v>
      </c>
      <c r="H248" s="11">
        <v>11260</v>
      </c>
      <c r="I248" s="11">
        <v>39454</v>
      </c>
      <c r="J248" s="11"/>
      <c r="K248" s="11">
        <v>252930</v>
      </c>
      <c r="L248" s="11">
        <v>304674</v>
      </c>
      <c r="M248" s="11">
        <v>265098</v>
      </c>
      <c r="N248" s="11">
        <v>91506</v>
      </c>
      <c r="O248" s="11">
        <v>15641</v>
      </c>
      <c r="P248" s="7">
        <v>20000</v>
      </c>
      <c r="Q248" s="7"/>
      <c r="R248" s="7">
        <v>3624000</v>
      </c>
      <c r="S248" s="7"/>
      <c r="T248" s="7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>
        <v>20000</v>
      </c>
      <c r="AK248" s="11"/>
      <c r="AL248" s="11">
        <v>3624000</v>
      </c>
      <c r="AM248" s="11"/>
      <c r="AN248" s="11"/>
      <c r="AO248" s="7">
        <v>1070000</v>
      </c>
      <c r="AP248" s="7">
        <v>936000</v>
      </c>
      <c r="AQ248" s="7">
        <v>2524000</v>
      </c>
      <c r="AR248" s="7">
        <v>5078000</v>
      </c>
      <c r="AS248" s="7">
        <v>5078000</v>
      </c>
      <c r="AT248" s="7">
        <v>176000</v>
      </c>
      <c r="AU248" s="7">
        <v>676000</v>
      </c>
      <c r="AV248" s="7">
        <v>9800000</v>
      </c>
      <c r="AW248" s="7">
        <v>16715000</v>
      </c>
      <c r="AX248" s="7">
        <v>16715000</v>
      </c>
      <c r="AY248" s="11"/>
      <c r="AZ248" s="11"/>
      <c r="BA248" s="11"/>
      <c r="BB248" s="11"/>
      <c r="BC248" s="11"/>
      <c r="BD248" s="7">
        <v>17000</v>
      </c>
      <c r="BE248" s="7">
        <v>41000</v>
      </c>
      <c r="BF248" s="7">
        <v>833000</v>
      </c>
      <c r="BG248" s="7">
        <v>6000</v>
      </c>
      <c r="BH248" s="7"/>
      <c r="BI248" s="11">
        <v>100000</v>
      </c>
      <c r="BJ248" s="11"/>
      <c r="BK248" s="11"/>
      <c r="BL248" s="11"/>
      <c r="BM248" s="11"/>
      <c r="BN248" s="11">
        <v>1363000</v>
      </c>
      <c r="BO248" s="11">
        <v>1653000</v>
      </c>
      <c r="BP248" s="11">
        <v>13157000</v>
      </c>
      <c r="BQ248" s="11">
        <v>21798000</v>
      </c>
      <c r="BR248" s="11">
        <v>21793000</v>
      </c>
      <c r="BS248" s="11">
        <v>1383000</v>
      </c>
      <c r="BT248" s="11">
        <v>1653000</v>
      </c>
      <c r="BU248" s="11">
        <v>16781000</v>
      </c>
      <c r="BV248" s="11">
        <v>21798000</v>
      </c>
      <c r="BW248" s="11">
        <v>21793000</v>
      </c>
      <c r="BX248" s="7">
        <v>80000</v>
      </c>
      <c r="BY248" s="7"/>
      <c r="BZ248" s="7">
        <v>30000</v>
      </c>
      <c r="CA248" s="7">
        <v>30000</v>
      </c>
      <c r="CB248" s="7">
        <v>30000</v>
      </c>
      <c r="CC248" s="11"/>
      <c r="CD248" s="11"/>
      <c r="CE248" s="11"/>
      <c r="CF248" s="11"/>
      <c r="CG248" s="11"/>
      <c r="CH248" s="7">
        <v>721000</v>
      </c>
      <c r="CI248" s="7"/>
      <c r="CJ248" s="7">
        <v>1092000</v>
      </c>
      <c r="CK248" s="7">
        <v>-1991000</v>
      </c>
      <c r="CL248" s="7">
        <v>15209000</v>
      </c>
      <c r="CM248" s="11">
        <v>801000</v>
      </c>
      <c r="CN248" s="11">
        <v>913000</v>
      </c>
      <c r="CO248" s="11">
        <v>1122000</v>
      </c>
      <c r="CP248" s="11">
        <v>-1961000</v>
      </c>
      <c r="CQ248" s="11">
        <v>15239000</v>
      </c>
      <c r="CR248" s="11"/>
      <c r="CS248" s="11"/>
      <c r="CT248" s="11"/>
      <c r="CU248" s="11">
        <v>4566000</v>
      </c>
      <c r="CV248" s="11"/>
      <c r="CW248" s="11"/>
      <c r="CX248" s="11"/>
      <c r="CY248" s="11"/>
      <c r="CZ248" s="11"/>
      <c r="DA248" s="11"/>
      <c r="DB248" s="11"/>
      <c r="DC248" s="11"/>
      <c r="DD248" s="11"/>
      <c r="DE248" s="11">
        <v>4566000</v>
      </c>
      <c r="DF248" s="11"/>
      <c r="DG248" s="7">
        <v>20000</v>
      </c>
      <c r="DH248" s="7"/>
      <c r="DI248" s="7">
        <v>986000</v>
      </c>
      <c r="DJ248" s="7"/>
      <c r="DK248" s="7"/>
      <c r="DL248" s="7">
        <v>562000</v>
      </c>
      <c r="DM248" s="7">
        <v>740000</v>
      </c>
      <c r="DN248" s="7">
        <v>14673000</v>
      </c>
      <c r="DO248" s="7">
        <v>19192000</v>
      </c>
      <c r="DP248" s="7">
        <v>6554000</v>
      </c>
      <c r="DQ248" s="11"/>
      <c r="DR248" s="11"/>
      <c r="DS248" s="11"/>
      <c r="DT248" s="11"/>
      <c r="DU248" s="11"/>
      <c r="DV248" s="11"/>
      <c r="DW248" s="11"/>
      <c r="DX248" s="11"/>
      <c r="DY248" s="11"/>
      <c r="DZ248" s="11"/>
      <c r="EA248" s="11">
        <v>582000</v>
      </c>
      <c r="EB248" s="11">
        <v>740000</v>
      </c>
      <c r="EC248" s="11">
        <v>15659000</v>
      </c>
      <c r="ED248" s="11">
        <v>19192000</v>
      </c>
      <c r="EE248" s="11">
        <v>6554000</v>
      </c>
      <c r="EF248" s="7">
        <v>20224000</v>
      </c>
      <c r="EG248" s="7">
        <v>8992000</v>
      </c>
      <c r="EH248" s="7">
        <v>14372000</v>
      </c>
      <c r="EI248" s="7">
        <v>9246000</v>
      </c>
      <c r="EJ248" s="7"/>
      <c r="EK248" s="7">
        <v>17254000</v>
      </c>
      <c r="EL248" s="7">
        <v>8753000</v>
      </c>
      <c r="EM248" s="7">
        <v>12516000</v>
      </c>
      <c r="EN248" s="7">
        <v>8408000</v>
      </c>
      <c r="EO248" s="7"/>
      <c r="EP248" s="7"/>
      <c r="EQ248" s="7"/>
      <c r="ER248" s="7"/>
      <c r="ES248" s="7"/>
      <c r="ET248" s="7"/>
      <c r="EU248" s="7">
        <v>2639000</v>
      </c>
      <c r="EV248" s="7"/>
      <c r="EW248" s="7">
        <v>1619000</v>
      </c>
      <c r="EX248" s="7">
        <v>1060000</v>
      </c>
      <c r="EY248" s="7"/>
      <c r="EZ248" s="11"/>
      <c r="FA248" s="11"/>
      <c r="FB248" s="11"/>
      <c r="FC248" s="11"/>
      <c r="FD248" s="11"/>
      <c r="FE248" s="11"/>
      <c r="FF248" s="11"/>
      <c r="FG248" s="11"/>
      <c r="FH248" s="11"/>
      <c r="FI248" s="11"/>
      <c r="FJ248" s="11"/>
      <c r="FK248" s="11"/>
      <c r="FL248" s="11"/>
      <c r="FM248" s="11">
        <v>20000</v>
      </c>
      <c r="FN248" s="11"/>
      <c r="FO248" s="7"/>
      <c r="FP248" s="7"/>
      <c r="FQ248" s="7">
        <v>3000</v>
      </c>
      <c r="FR248" s="7">
        <v>309000</v>
      </c>
      <c r="FS248" s="7"/>
      <c r="FT248" s="7">
        <v>22000</v>
      </c>
      <c r="FU248" s="7">
        <v>35000</v>
      </c>
      <c r="FV248" s="7">
        <v>41000</v>
      </c>
      <c r="FW248" s="7">
        <v>552000</v>
      </c>
      <c r="FX248" s="7"/>
      <c r="FY248" s="11">
        <v>-62000</v>
      </c>
      <c r="FZ248" s="11">
        <v>42000</v>
      </c>
      <c r="GA248" s="11">
        <v>-40000</v>
      </c>
      <c r="GB248" s="11"/>
      <c r="GC248" s="11"/>
      <c r="GD248" s="7">
        <v>247000</v>
      </c>
      <c r="GE248" s="7">
        <v>162000</v>
      </c>
      <c r="GF248" s="7">
        <v>159000</v>
      </c>
      <c r="GG248" s="7">
        <v>-485000</v>
      </c>
      <c r="GH248" s="7"/>
    </row>
    <row r="249" spans="1:190" ht="26.25" x14ac:dyDescent="0.25">
      <c r="A249" s="4">
        <v>248</v>
      </c>
      <c r="B249" s="5" t="s">
        <v>805</v>
      </c>
      <c r="C249" s="9" t="s">
        <v>806</v>
      </c>
      <c r="D249" s="7">
        <v>16</v>
      </c>
      <c r="E249" s="6" t="s">
        <v>807</v>
      </c>
      <c r="F249" s="11"/>
      <c r="G249" s="11">
        <v>332616</v>
      </c>
      <c r="H249" s="11"/>
      <c r="I249" s="11"/>
      <c r="J249" s="11"/>
      <c r="K249" s="11">
        <v>189569</v>
      </c>
      <c r="L249" s="11">
        <v>355475</v>
      </c>
      <c r="M249" s="11"/>
      <c r="N249" s="11"/>
      <c r="O249" s="11"/>
      <c r="P249" s="7"/>
      <c r="Q249" s="7"/>
      <c r="R249" s="7"/>
      <c r="S249" s="7"/>
      <c r="T249" s="7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11"/>
      <c r="AZ249" s="11"/>
      <c r="BA249" s="11"/>
      <c r="BB249" s="11"/>
      <c r="BC249" s="11"/>
      <c r="BD249" s="7"/>
      <c r="BE249" s="7"/>
      <c r="BF249" s="7"/>
      <c r="BG249" s="7"/>
      <c r="BH249" s="7"/>
      <c r="BI249" s="11"/>
      <c r="BJ249" s="11"/>
      <c r="BK249" s="11"/>
      <c r="BL249" s="11"/>
      <c r="BM249" s="11"/>
      <c r="BN249" s="11"/>
      <c r="BO249" s="11"/>
      <c r="BP249" s="11"/>
      <c r="BQ249" s="11"/>
      <c r="BR249" s="11"/>
      <c r="BS249" s="11"/>
      <c r="BT249" s="11"/>
      <c r="BU249" s="11"/>
      <c r="BV249" s="11"/>
      <c r="BW249" s="11"/>
      <c r="BX249" s="7"/>
      <c r="BY249" s="7"/>
      <c r="BZ249" s="7"/>
      <c r="CA249" s="7"/>
      <c r="CB249" s="7"/>
      <c r="CC249" s="11"/>
      <c r="CD249" s="11"/>
      <c r="CE249" s="11"/>
      <c r="CF249" s="11"/>
      <c r="CG249" s="11"/>
      <c r="CH249" s="7"/>
      <c r="CI249" s="7"/>
      <c r="CJ249" s="7"/>
      <c r="CK249" s="7"/>
      <c r="CL249" s="7"/>
      <c r="CM249" s="11"/>
      <c r="CN249" s="11"/>
      <c r="CO249" s="11">
        <v>-143299000</v>
      </c>
      <c r="CP249" s="11"/>
      <c r="CQ249" s="11"/>
      <c r="CR249" s="11"/>
      <c r="CS249" s="11"/>
      <c r="CT249" s="11"/>
      <c r="CU249" s="11"/>
      <c r="CV249" s="11"/>
      <c r="CW249" s="11"/>
      <c r="CX249" s="11"/>
      <c r="CY249" s="11"/>
      <c r="CZ249" s="11"/>
      <c r="DA249" s="11"/>
      <c r="DB249" s="11"/>
      <c r="DC249" s="11"/>
      <c r="DD249" s="11"/>
      <c r="DE249" s="11"/>
      <c r="DF249" s="11"/>
      <c r="DG249" s="7"/>
      <c r="DH249" s="7"/>
      <c r="DI249" s="7"/>
      <c r="DJ249" s="7"/>
      <c r="DK249" s="7"/>
      <c r="DL249" s="7"/>
      <c r="DM249" s="7"/>
      <c r="DN249" s="7">
        <v>143299000</v>
      </c>
      <c r="DO249" s="7"/>
      <c r="DP249" s="7"/>
      <c r="DQ249" s="11"/>
      <c r="DR249" s="11"/>
      <c r="DS249" s="11"/>
      <c r="DT249" s="11"/>
      <c r="DU249" s="11"/>
      <c r="DV249" s="11"/>
      <c r="DW249" s="11"/>
      <c r="DX249" s="11"/>
      <c r="DY249" s="11"/>
      <c r="DZ249" s="11"/>
      <c r="EA249" s="11"/>
      <c r="EB249" s="11"/>
      <c r="EC249" s="11">
        <v>143299000</v>
      </c>
      <c r="ED249" s="11"/>
      <c r="EE249" s="11"/>
      <c r="EF249" s="7"/>
      <c r="EG249" s="7"/>
      <c r="EH249" s="7"/>
      <c r="EI249" s="7"/>
      <c r="EJ249" s="7"/>
      <c r="EK249" s="7"/>
      <c r="EL249" s="7"/>
      <c r="EM249" s="7">
        <v>242000</v>
      </c>
      <c r="EN249" s="7"/>
      <c r="EO249" s="7"/>
      <c r="EP249" s="7"/>
      <c r="EQ249" s="7"/>
      <c r="ER249" s="7"/>
      <c r="ES249" s="7"/>
      <c r="ET249" s="7"/>
      <c r="EU249" s="7"/>
      <c r="EV249" s="7"/>
      <c r="EW249" s="7"/>
      <c r="EX249" s="7"/>
      <c r="EY249" s="7"/>
      <c r="EZ249" s="11"/>
      <c r="FA249" s="11"/>
      <c r="FB249" s="11"/>
      <c r="FC249" s="11"/>
      <c r="FD249" s="11"/>
      <c r="FE249" s="11"/>
      <c r="FF249" s="11"/>
      <c r="FG249" s="11"/>
      <c r="FH249" s="11"/>
      <c r="FI249" s="11"/>
      <c r="FJ249" s="11"/>
      <c r="FK249" s="11"/>
      <c r="FL249" s="11"/>
      <c r="FM249" s="11"/>
      <c r="FN249" s="11"/>
      <c r="FO249" s="7"/>
      <c r="FP249" s="7"/>
      <c r="FQ249" s="7"/>
      <c r="FR249" s="7"/>
      <c r="FS249" s="7"/>
      <c r="FT249" s="7"/>
      <c r="FU249" s="7"/>
      <c r="FV249" s="7">
        <v>18000</v>
      </c>
      <c r="FW249" s="7"/>
      <c r="FX249" s="7"/>
      <c r="FY249" s="11"/>
      <c r="FZ249" s="11"/>
      <c r="GA249" s="11"/>
      <c r="GB249" s="11"/>
      <c r="GC249" s="11"/>
      <c r="GD249" s="7"/>
      <c r="GE249" s="7"/>
      <c r="GF249" s="7">
        <v>-260000</v>
      </c>
      <c r="GG249" s="7"/>
      <c r="GH249" s="7"/>
    </row>
    <row r="250" spans="1:190" ht="26.25" x14ac:dyDescent="0.25">
      <c r="A250" s="4">
        <v>249</v>
      </c>
      <c r="B250" s="5" t="s">
        <v>808</v>
      </c>
      <c r="C250" s="9" t="s">
        <v>809</v>
      </c>
      <c r="D250" s="7">
        <v>13</v>
      </c>
      <c r="E250" s="6" t="s">
        <v>325</v>
      </c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7"/>
      <c r="Q250" s="7"/>
      <c r="R250" s="7"/>
      <c r="S250" s="7"/>
      <c r="T250" s="7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11"/>
      <c r="AZ250" s="11"/>
      <c r="BA250" s="11"/>
      <c r="BB250" s="11"/>
      <c r="BC250" s="11"/>
      <c r="BD250" s="7"/>
      <c r="BE250" s="7"/>
      <c r="BF250" s="7"/>
      <c r="BG250" s="7"/>
      <c r="BH250" s="7"/>
      <c r="BI250" s="11"/>
      <c r="BJ250" s="11"/>
      <c r="BK250" s="11"/>
      <c r="BL250" s="11"/>
      <c r="BM250" s="11"/>
      <c r="BN250" s="11"/>
      <c r="BO250" s="11"/>
      <c r="BP250" s="11"/>
      <c r="BQ250" s="11"/>
      <c r="BR250" s="11"/>
      <c r="BS250" s="11"/>
      <c r="BT250" s="11"/>
      <c r="BU250" s="11"/>
      <c r="BV250" s="11"/>
      <c r="BW250" s="11"/>
      <c r="BX250" s="7"/>
      <c r="BY250" s="7"/>
      <c r="BZ250" s="7"/>
      <c r="CA250" s="7"/>
      <c r="CB250" s="7"/>
      <c r="CC250" s="11"/>
      <c r="CD250" s="11"/>
      <c r="CE250" s="11"/>
      <c r="CF250" s="11"/>
      <c r="CG250" s="11"/>
      <c r="CH250" s="7"/>
      <c r="CI250" s="7"/>
      <c r="CJ250" s="7"/>
      <c r="CK250" s="7"/>
      <c r="CL250" s="7"/>
      <c r="CM250" s="11"/>
      <c r="CN250" s="11"/>
      <c r="CO250" s="11"/>
      <c r="CP250" s="11"/>
      <c r="CQ250" s="11"/>
      <c r="CR250" s="11"/>
      <c r="CS250" s="11"/>
      <c r="CT250" s="11"/>
      <c r="CU250" s="11"/>
      <c r="CV250" s="11"/>
      <c r="CW250" s="11"/>
      <c r="CX250" s="11"/>
      <c r="CY250" s="11"/>
      <c r="CZ250" s="11"/>
      <c r="DA250" s="11"/>
      <c r="DB250" s="11"/>
      <c r="DC250" s="11"/>
      <c r="DD250" s="11"/>
      <c r="DE250" s="11"/>
      <c r="DF250" s="11"/>
      <c r="DG250" s="7"/>
      <c r="DH250" s="7"/>
      <c r="DI250" s="7"/>
      <c r="DJ250" s="7"/>
      <c r="DK250" s="7"/>
      <c r="DL250" s="7"/>
      <c r="DM250" s="7"/>
      <c r="DN250" s="7"/>
      <c r="DO250" s="7"/>
      <c r="DP250" s="7"/>
      <c r="DQ250" s="11"/>
      <c r="DR250" s="11"/>
      <c r="DS250" s="11"/>
      <c r="DT250" s="11"/>
      <c r="DU250" s="11"/>
      <c r="DV250" s="11"/>
      <c r="DW250" s="11"/>
      <c r="DX250" s="11"/>
      <c r="DY250" s="11"/>
      <c r="DZ250" s="11"/>
      <c r="EA250" s="11"/>
      <c r="EB250" s="11"/>
      <c r="EC250" s="11"/>
      <c r="ED250" s="11"/>
      <c r="EE250" s="11"/>
      <c r="EF250" s="7"/>
      <c r="EG250" s="7"/>
      <c r="EH250" s="7"/>
      <c r="EI250" s="7"/>
      <c r="EJ250" s="7"/>
      <c r="EK250" s="7"/>
      <c r="EL250" s="7"/>
      <c r="EM250" s="7"/>
      <c r="EN250" s="7"/>
      <c r="EO250" s="7"/>
      <c r="EP250" s="7"/>
      <c r="EQ250" s="7"/>
      <c r="ER250" s="7"/>
      <c r="ES250" s="7"/>
      <c r="ET250" s="7"/>
      <c r="EU250" s="7"/>
      <c r="EV250" s="7"/>
      <c r="EW250" s="7"/>
      <c r="EX250" s="7"/>
      <c r="EY250" s="7"/>
      <c r="EZ250" s="11"/>
      <c r="FA250" s="11"/>
      <c r="FB250" s="11"/>
      <c r="FC250" s="11"/>
      <c r="FD250" s="11"/>
      <c r="FE250" s="11"/>
      <c r="FF250" s="11"/>
      <c r="FG250" s="11"/>
      <c r="FH250" s="11"/>
      <c r="FI250" s="11"/>
      <c r="FJ250" s="11"/>
      <c r="FK250" s="11"/>
      <c r="FL250" s="11"/>
      <c r="FM250" s="11"/>
      <c r="FN250" s="11"/>
      <c r="FO250" s="7"/>
      <c r="FP250" s="7"/>
      <c r="FQ250" s="7"/>
      <c r="FR250" s="7"/>
      <c r="FS250" s="7"/>
      <c r="FT250" s="7"/>
      <c r="FU250" s="7"/>
      <c r="FV250" s="7"/>
      <c r="FW250" s="7"/>
      <c r="FX250" s="7"/>
      <c r="FY250" s="11"/>
      <c r="FZ250" s="11"/>
      <c r="GA250" s="11"/>
      <c r="GB250" s="11"/>
      <c r="GC250" s="11"/>
      <c r="GD250" s="7"/>
      <c r="GE250" s="7"/>
      <c r="GF250" s="7"/>
      <c r="GG250" s="7"/>
      <c r="GH250" s="7"/>
    </row>
    <row r="251" spans="1:190" ht="26.25" x14ac:dyDescent="0.25">
      <c r="A251" s="4">
        <v>250</v>
      </c>
      <c r="B251" s="5" t="s">
        <v>810</v>
      </c>
      <c r="C251" s="9" t="s">
        <v>811</v>
      </c>
      <c r="D251" s="7">
        <v>18</v>
      </c>
      <c r="E251" s="6" t="s">
        <v>812</v>
      </c>
      <c r="F251" s="11">
        <v>143821</v>
      </c>
      <c r="G251" s="11"/>
      <c r="H251" s="11"/>
      <c r="I251" s="11"/>
      <c r="J251" s="11"/>
      <c r="K251" s="11">
        <v>6217065</v>
      </c>
      <c r="L251" s="11">
        <v>1944542</v>
      </c>
      <c r="M251" s="11">
        <v>72</v>
      </c>
      <c r="N251" s="11"/>
      <c r="O251" s="11"/>
      <c r="P251" s="7">
        <v>3256000</v>
      </c>
      <c r="Q251" s="7"/>
      <c r="R251" s="7"/>
      <c r="S251" s="7"/>
      <c r="T251" s="7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>
        <v>3256000</v>
      </c>
      <c r="AK251" s="11"/>
      <c r="AL251" s="11"/>
      <c r="AM251" s="11"/>
      <c r="AN251" s="11"/>
      <c r="AO251" s="7">
        <v>63062000</v>
      </c>
      <c r="AP251" s="7"/>
      <c r="AQ251" s="7"/>
      <c r="AR251" s="7"/>
      <c r="AS251" s="7"/>
      <c r="AT251" s="7">
        <v>36402000</v>
      </c>
      <c r="AU251" s="7"/>
      <c r="AV251" s="7"/>
      <c r="AW251" s="7"/>
      <c r="AX251" s="7"/>
      <c r="AY251" s="11"/>
      <c r="AZ251" s="11"/>
      <c r="BA251" s="11"/>
      <c r="BB251" s="11"/>
      <c r="BC251" s="11"/>
      <c r="BD251" s="7">
        <v>34000</v>
      </c>
      <c r="BE251" s="7"/>
      <c r="BF251" s="7"/>
      <c r="BG251" s="7"/>
      <c r="BH251" s="7"/>
      <c r="BI251" s="11">
        <v>1114000</v>
      </c>
      <c r="BJ251" s="11"/>
      <c r="BK251" s="11"/>
      <c r="BL251" s="11"/>
      <c r="BM251" s="11"/>
      <c r="BN251" s="11">
        <v>100650000</v>
      </c>
      <c r="BO251" s="11"/>
      <c r="BP251" s="11"/>
      <c r="BQ251" s="11"/>
      <c r="BR251" s="11"/>
      <c r="BS251" s="11">
        <v>103905000</v>
      </c>
      <c r="BT251" s="11"/>
      <c r="BU251" s="11"/>
      <c r="BV251" s="11"/>
      <c r="BW251" s="11"/>
      <c r="BX251" s="7">
        <v>10000</v>
      </c>
      <c r="BY251" s="7"/>
      <c r="BZ251" s="7"/>
      <c r="CA251" s="7"/>
      <c r="CB251" s="7"/>
      <c r="CC251" s="11"/>
      <c r="CD251" s="11"/>
      <c r="CE251" s="11"/>
      <c r="CF251" s="11"/>
      <c r="CG251" s="11"/>
      <c r="CH251" s="7">
        <v>5386000</v>
      </c>
      <c r="CI251" s="7"/>
      <c r="CJ251" s="7"/>
      <c r="CK251" s="7"/>
      <c r="CL251" s="7"/>
      <c r="CM251" s="11">
        <v>5396000</v>
      </c>
      <c r="CN251" s="11"/>
      <c r="CO251" s="11"/>
      <c r="CP251" s="11"/>
      <c r="CQ251" s="11"/>
      <c r="CR251" s="11">
        <v>42882000</v>
      </c>
      <c r="CS251" s="11"/>
      <c r="CT251" s="11"/>
      <c r="CU251" s="11"/>
      <c r="CV251" s="11"/>
      <c r="CW251" s="11"/>
      <c r="CX251" s="11"/>
      <c r="CY251" s="11"/>
      <c r="CZ251" s="11"/>
      <c r="DA251" s="11"/>
      <c r="DB251" s="11">
        <v>42882000</v>
      </c>
      <c r="DC251" s="11"/>
      <c r="DD251" s="11"/>
      <c r="DE251" s="11"/>
      <c r="DF251" s="11"/>
      <c r="DG251" s="7">
        <v>10899000</v>
      </c>
      <c r="DH251" s="7"/>
      <c r="DI251" s="7"/>
      <c r="DJ251" s="7"/>
      <c r="DK251" s="7"/>
      <c r="DL251" s="7">
        <v>44728000</v>
      </c>
      <c r="DM251" s="7"/>
      <c r="DN251" s="7"/>
      <c r="DO251" s="7"/>
      <c r="DP251" s="7"/>
      <c r="DQ251" s="11"/>
      <c r="DR251" s="11"/>
      <c r="DS251" s="11"/>
      <c r="DT251" s="11"/>
      <c r="DU251" s="11"/>
      <c r="DV251" s="11"/>
      <c r="DW251" s="11"/>
      <c r="DX251" s="11"/>
      <c r="DY251" s="11"/>
      <c r="DZ251" s="11"/>
      <c r="EA251" s="11">
        <v>55627000</v>
      </c>
      <c r="EB251" s="11"/>
      <c r="EC251" s="11"/>
      <c r="ED251" s="11"/>
      <c r="EE251" s="11"/>
      <c r="EF251" s="7">
        <v>139034000</v>
      </c>
      <c r="EG251" s="7"/>
      <c r="EH251" s="7"/>
      <c r="EI251" s="7"/>
      <c r="EJ251" s="7"/>
      <c r="EK251" s="7">
        <v>134477000</v>
      </c>
      <c r="EL251" s="7"/>
      <c r="EM251" s="7"/>
      <c r="EN251" s="7"/>
      <c r="EO251" s="7"/>
      <c r="EP251" s="7">
        <v>67000</v>
      </c>
      <c r="EQ251" s="7"/>
      <c r="ER251" s="7"/>
      <c r="ES251" s="7"/>
      <c r="ET251" s="7"/>
      <c r="EU251" s="7">
        <v>29481000</v>
      </c>
      <c r="EV251" s="7"/>
      <c r="EW251" s="7"/>
      <c r="EX251" s="7"/>
      <c r="EY251" s="7"/>
      <c r="EZ251" s="11"/>
      <c r="FA251" s="11"/>
      <c r="FB251" s="11"/>
      <c r="FC251" s="11"/>
      <c r="FD251" s="11"/>
      <c r="FE251" s="11">
        <v>13000</v>
      </c>
      <c r="FF251" s="11"/>
      <c r="FG251" s="11"/>
      <c r="FH251" s="11"/>
      <c r="FI251" s="11"/>
      <c r="FJ251" s="11">
        <v>3428000</v>
      </c>
      <c r="FK251" s="11"/>
      <c r="FL251" s="11"/>
      <c r="FM251" s="11"/>
      <c r="FN251" s="11"/>
      <c r="FO251" s="7">
        <v>28197000</v>
      </c>
      <c r="FP251" s="7"/>
      <c r="FQ251" s="7"/>
      <c r="FR251" s="7"/>
      <c r="FS251" s="7"/>
      <c r="FT251" s="7">
        <v>4359000</v>
      </c>
      <c r="FU251" s="7"/>
      <c r="FV251" s="7"/>
      <c r="FW251" s="7"/>
      <c r="FX251" s="7"/>
      <c r="FY251" s="11">
        <v>-10000</v>
      </c>
      <c r="FZ251" s="11"/>
      <c r="GA251" s="11"/>
      <c r="GB251" s="11"/>
      <c r="GC251" s="11"/>
      <c r="GD251" s="7">
        <v>-4578000</v>
      </c>
      <c r="GE251" s="7"/>
      <c r="GF251" s="7"/>
      <c r="GG251" s="7"/>
      <c r="GH251" s="7"/>
    </row>
    <row r="252" spans="1:190" ht="26.25" x14ac:dyDescent="0.25">
      <c r="A252" s="4">
        <v>251</v>
      </c>
      <c r="B252" s="5" t="s">
        <v>813</v>
      </c>
      <c r="C252" s="9" t="s">
        <v>814</v>
      </c>
      <c r="D252" s="7">
        <v>11</v>
      </c>
      <c r="E252" s="6" t="s">
        <v>555</v>
      </c>
      <c r="F252" s="11">
        <v>21533</v>
      </c>
      <c r="G252" s="11">
        <v>76440</v>
      </c>
      <c r="H252" s="11">
        <v>107175</v>
      </c>
      <c r="I252" s="11">
        <v>73892</v>
      </c>
      <c r="J252" s="11"/>
      <c r="K252" s="11">
        <v>183631</v>
      </c>
      <c r="L252" s="11">
        <v>527811</v>
      </c>
      <c r="M252" s="11">
        <v>1297921</v>
      </c>
      <c r="N252" s="11">
        <v>641693</v>
      </c>
      <c r="O252" s="11"/>
      <c r="P252" s="7">
        <v>4157000</v>
      </c>
      <c r="Q252" s="7">
        <v>4103000</v>
      </c>
      <c r="R252" s="7">
        <v>24554000</v>
      </c>
      <c r="S252" s="7">
        <v>6212000</v>
      </c>
      <c r="T252" s="7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>
        <v>4157000</v>
      </c>
      <c r="AK252" s="11">
        <v>4103000</v>
      </c>
      <c r="AL252" s="11">
        <v>24554000</v>
      </c>
      <c r="AM252" s="11">
        <v>6212000</v>
      </c>
      <c r="AN252" s="11"/>
      <c r="AO252" s="7">
        <v>10694000</v>
      </c>
      <c r="AP252" s="7">
        <v>15496000</v>
      </c>
      <c r="AQ252" s="7">
        <v>19720000</v>
      </c>
      <c r="AR252" s="7">
        <v>20620000</v>
      </c>
      <c r="AS252" s="7"/>
      <c r="AT252" s="7">
        <v>5240000</v>
      </c>
      <c r="AU252" s="7">
        <v>6599000</v>
      </c>
      <c r="AV252" s="7">
        <v>6483000</v>
      </c>
      <c r="AW252" s="7">
        <v>7286000</v>
      </c>
      <c r="AX252" s="7"/>
      <c r="AY252" s="11">
        <v>400000</v>
      </c>
      <c r="AZ252" s="11">
        <v>4450000</v>
      </c>
      <c r="BA252" s="11">
        <v>6513000</v>
      </c>
      <c r="BB252" s="11">
        <v>6611000</v>
      </c>
      <c r="BC252" s="11"/>
      <c r="BD252" s="7">
        <v>4000</v>
      </c>
      <c r="BE252" s="7">
        <v>182000</v>
      </c>
      <c r="BF252" s="7">
        <v>468000</v>
      </c>
      <c r="BG252" s="7">
        <v>60000</v>
      </c>
      <c r="BH252" s="7"/>
      <c r="BI252" s="11">
        <v>72000</v>
      </c>
      <c r="BJ252" s="11">
        <v>21000</v>
      </c>
      <c r="BK252" s="11">
        <v>12000</v>
      </c>
      <c r="BL252" s="11">
        <v>17000</v>
      </c>
      <c r="BM252" s="11"/>
      <c r="BN252" s="11">
        <v>16410000</v>
      </c>
      <c r="BO252" s="11">
        <v>26820000</v>
      </c>
      <c r="BP252" s="11">
        <v>33253000</v>
      </c>
      <c r="BQ252" s="11">
        <v>34969000</v>
      </c>
      <c r="BR252" s="11"/>
      <c r="BS252" s="11">
        <v>20567000</v>
      </c>
      <c r="BT252" s="11">
        <v>30923000</v>
      </c>
      <c r="BU252" s="11">
        <v>57807000</v>
      </c>
      <c r="BV252" s="11">
        <v>41181000</v>
      </c>
      <c r="BW252" s="11"/>
      <c r="BX252" s="7">
        <v>10000</v>
      </c>
      <c r="BY252" s="7">
        <v>10000</v>
      </c>
      <c r="BZ252" s="7">
        <v>18646000</v>
      </c>
      <c r="CA252" s="7">
        <v>10000</v>
      </c>
      <c r="CB252" s="7"/>
      <c r="CC252" s="11">
        <v>2066000</v>
      </c>
      <c r="CD252" s="11">
        <v>2066000</v>
      </c>
      <c r="CE252" s="11">
        <v>2066000</v>
      </c>
      <c r="CF252" s="11">
        <v>2066000</v>
      </c>
      <c r="CG252" s="11"/>
      <c r="CH252" s="7">
        <v>-3411000</v>
      </c>
      <c r="CI252" s="7">
        <v>-3045000</v>
      </c>
      <c r="CJ252" s="7">
        <v>-2891000</v>
      </c>
      <c r="CK252" s="7">
        <v>-12812000</v>
      </c>
      <c r="CL252" s="7"/>
      <c r="CM252" s="11">
        <v>-1335000</v>
      </c>
      <c r="CN252" s="11">
        <v>-969000</v>
      </c>
      <c r="CO252" s="11">
        <v>17821000</v>
      </c>
      <c r="CP252" s="11">
        <v>-10736000</v>
      </c>
      <c r="CQ252" s="11"/>
      <c r="CR252" s="11"/>
      <c r="CS252" s="11"/>
      <c r="CT252" s="11"/>
      <c r="CU252" s="11"/>
      <c r="CV252" s="11"/>
      <c r="CW252" s="11">
        <v>267000</v>
      </c>
      <c r="CX252" s="11"/>
      <c r="CY252" s="11"/>
      <c r="CZ252" s="11"/>
      <c r="DA252" s="11"/>
      <c r="DB252" s="11">
        <v>267000</v>
      </c>
      <c r="DC252" s="11"/>
      <c r="DD252" s="11"/>
      <c r="DE252" s="11"/>
      <c r="DF252" s="11"/>
      <c r="DG252" s="7"/>
      <c r="DH252" s="7"/>
      <c r="DI252" s="7"/>
      <c r="DJ252" s="7">
        <v>13000</v>
      </c>
      <c r="DK252" s="7"/>
      <c r="DL252" s="7">
        <v>20115000</v>
      </c>
      <c r="DM252" s="7">
        <v>30472000</v>
      </c>
      <c r="DN252" s="7">
        <v>38656000</v>
      </c>
      <c r="DO252" s="7">
        <v>50598000</v>
      </c>
      <c r="DP252" s="7"/>
      <c r="DQ252" s="11">
        <v>1462000</v>
      </c>
      <c r="DR252" s="11">
        <v>1374000</v>
      </c>
      <c r="DS252" s="11">
        <v>1285000</v>
      </c>
      <c r="DT252" s="11">
        <v>1256000</v>
      </c>
      <c r="DU252" s="11"/>
      <c r="DV252" s="11">
        <v>58000</v>
      </c>
      <c r="DW252" s="11">
        <v>46000</v>
      </c>
      <c r="DX252" s="11">
        <v>45000</v>
      </c>
      <c r="DY252" s="11">
        <v>50000</v>
      </c>
      <c r="DZ252" s="11"/>
      <c r="EA252" s="11">
        <v>21635000</v>
      </c>
      <c r="EB252" s="11">
        <v>31892000</v>
      </c>
      <c r="EC252" s="11">
        <v>39986000</v>
      </c>
      <c r="ED252" s="11">
        <v>51917000</v>
      </c>
      <c r="EE252" s="11"/>
      <c r="EF252" s="7">
        <v>12651000</v>
      </c>
      <c r="EG252" s="7">
        <v>20804000</v>
      </c>
      <c r="EH252" s="7">
        <v>21528000</v>
      </c>
      <c r="EI252" s="7">
        <v>14834000</v>
      </c>
      <c r="EJ252" s="7"/>
      <c r="EK252" s="7">
        <v>9321000</v>
      </c>
      <c r="EL252" s="7">
        <v>16259000</v>
      </c>
      <c r="EM252" s="7">
        <v>18180000</v>
      </c>
      <c r="EN252" s="7">
        <v>20678000</v>
      </c>
      <c r="EO252" s="7"/>
      <c r="EP252" s="7"/>
      <c r="EQ252" s="7"/>
      <c r="ER252" s="7"/>
      <c r="ES252" s="7"/>
      <c r="ET252" s="7"/>
      <c r="EU252" s="7">
        <v>3609000</v>
      </c>
      <c r="EV252" s="7">
        <v>2870000</v>
      </c>
      <c r="EW252" s="7">
        <v>2924000</v>
      </c>
      <c r="EX252" s="7">
        <v>3196000</v>
      </c>
      <c r="EY252" s="7"/>
      <c r="EZ252" s="11"/>
      <c r="FA252" s="11"/>
      <c r="FB252" s="11"/>
      <c r="FC252" s="11"/>
      <c r="FD252" s="11"/>
      <c r="FE252" s="11"/>
      <c r="FF252" s="11"/>
      <c r="FG252" s="11">
        <v>168000</v>
      </c>
      <c r="FH252" s="11"/>
      <c r="FI252" s="11"/>
      <c r="FJ252" s="11"/>
      <c r="FK252" s="11">
        <v>13000</v>
      </c>
      <c r="FL252" s="11"/>
      <c r="FM252" s="11"/>
      <c r="FN252" s="11"/>
      <c r="FO252" s="7">
        <v>415000</v>
      </c>
      <c r="FP252" s="7">
        <v>323000</v>
      </c>
      <c r="FQ252" s="7">
        <v>1542000</v>
      </c>
      <c r="FR252" s="7">
        <v>934000</v>
      </c>
      <c r="FS252" s="7"/>
      <c r="FT252" s="7">
        <v>1369000</v>
      </c>
      <c r="FU252" s="7">
        <v>1494000</v>
      </c>
      <c r="FV252" s="7">
        <v>1874000</v>
      </c>
      <c r="FW252" s="7">
        <v>1876000</v>
      </c>
      <c r="FX252" s="7"/>
      <c r="FY252" s="11">
        <v>-48000</v>
      </c>
      <c r="FZ252" s="11">
        <v>-125000</v>
      </c>
      <c r="GA252" s="11">
        <v>-106000</v>
      </c>
      <c r="GB252" s="11"/>
      <c r="GC252" s="11"/>
      <c r="GD252" s="7">
        <v>-1281000</v>
      </c>
      <c r="GE252" s="7">
        <v>366000</v>
      </c>
      <c r="GF252" s="7">
        <v>154000</v>
      </c>
      <c r="GG252" s="7">
        <v>-9921000</v>
      </c>
      <c r="GH252" s="7"/>
    </row>
    <row r="253" spans="1:190" x14ac:dyDescent="0.25">
      <c r="A253" s="4">
        <v>252</v>
      </c>
      <c r="B253" s="5" t="s">
        <v>815</v>
      </c>
      <c r="C253" s="9" t="s">
        <v>816</v>
      </c>
      <c r="D253" s="7">
        <v>6</v>
      </c>
      <c r="E253" s="6" t="s">
        <v>269</v>
      </c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7"/>
      <c r="Q253" s="7"/>
      <c r="R253" s="7"/>
      <c r="S253" s="7"/>
      <c r="T253" s="7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11"/>
      <c r="AZ253" s="11"/>
      <c r="BA253" s="11"/>
      <c r="BB253" s="11"/>
      <c r="BC253" s="11"/>
      <c r="BD253" s="7"/>
      <c r="BE253" s="7"/>
      <c r="BF253" s="7"/>
      <c r="BG253" s="7"/>
      <c r="BH253" s="7"/>
      <c r="BI253" s="11"/>
      <c r="BJ253" s="11"/>
      <c r="BK253" s="11"/>
      <c r="BL253" s="11"/>
      <c r="BM253" s="11"/>
      <c r="BN253" s="11"/>
      <c r="BO253" s="11"/>
      <c r="BP253" s="11"/>
      <c r="BQ253" s="11"/>
      <c r="BR253" s="11"/>
      <c r="BS253" s="11"/>
      <c r="BT253" s="11"/>
      <c r="BU253" s="11"/>
      <c r="BV253" s="11"/>
      <c r="BW253" s="11"/>
      <c r="BX253" s="7"/>
      <c r="BY253" s="7"/>
      <c r="BZ253" s="7"/>
      <c r="CA253" s="7"/>
      <c r="CB253" s="7"/>
      <c r="CC253" s="11"/>
      <c r="CD253" s="11"/>
      <c r="CE253" s="11"/>
      <c r="CF253" s="11"/>
      <c r="CG253" s="11"/>
      <c r="CH253" s="7"/>
      <c r="CI253" s="7"/>
      <c r="CJ253" s="7"/>
      <c r="CK253" s="7"/>
      <c r="CL253" s="7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7"/>
      <c r="DH253" s="7"/>
      <c r="DI253" s="7"/>
      <c r="DJ253" s="7"/>
      <c r="DK253" s="7"/>
      <c r="DL253" s="7"/>
      <c r="DM253" s="7"/>
      <c r="DN253" s="7"/>
      <c r="DO253" s="7"/>
      <c r="DP253" s="7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7"/>
      <c r="EG253" s="7"/>
      <c r="EH253" s="7"/>
      <c r="EI253" s="7"/>
      <c r="EJ253" s="7"/>
      <c r="EK253" s="7"/>
      <c r="EL253" s="7"/>
      <c r="EM253" s="7"/>
      <c r="EN253" s="7"/>
      <c r="EO253" s="7"/>
      <c r="EP253" s="7"/>
      <c r="EQ253" s="7"/>
      <c r="ER253" s="7"/>
      <c r="ES253" s="7"/>
      <c r="ET253" s="7"/>
      <c r="EU253" s="7"/>
      <c r="EV253" s="7"/>
      <c r="EW253" s="7"/>
      <c r="EX253" s="7"/>
      <c r="EY253" s="7"/>
      <c r="EZ253" s="11"/>
      <c r="FA253" s="11"/>
      <c r="FB253" s="11"/>
      <c r="FC253" s="11"/>
      <c r="FD253" s="11"/>
      <c r="FE253" s="11"/>
      <c r="FF253" s="11"/>
      <c r="FG253" s="11"/>
      <c r="FH253" s="11"/>
      <c r="FI253" s="11"/>
      <c r="FJ253" s="11"/>
      <c r="FK253" s="11"/>
      <c r="FL253" s="11"/>
      <c r="FM253" s="11"/>
      <c r="FN253" s="11"/>
      <c r="FO253" s="7"/>
      <c r="FP253" s="7"/>
      <c r="FQ253" s="7"/>
      <c r="FR253" s="7"/>
      <c r="FS253" s="7"/>
      <c r="FT253" s="7"/>
      <c r="FU253" s="7"/>
      <c r="FV253" s="7"/>
      <c r="FW253" s="7"/>
      <c r="FX253" s="7"/>
      <c r="FY253" s="11"/>
      <c r="FZ253" s="11"/>
      <c r="GA253" s="11"/>
      <c r="GB253" s="11"/>
      <c r="GC253" s="11"/>
      <c r="GD253" s="7"/>
      <c r="GE253" s="7"/>
      <c r="GF253" s="7"/>
      <c r="GG253" s="7"/>
      <c r="GH253" s="7"/>
    </row>
  </sheetData>
  <hyperlinks>
    <hyperlink ref="B2" r:id="rId1" location="/company/14755F339CBD4225A41175FF5D4329CD/101" xr:uid="{00000000-0004-0000-0000-000000000000}"/>
    <hyperlink ref="B3" r:id="rId2" location="/company/47D4410A73984403A8416E9819B234AF/101" xr:uid="{00000000-0004-0000-0000-000001000000}"/>
    <hyperlink ref="B4" r:id="rId3" location="/company/4DA37467D7814FB78583DBA117F1E560/101" xr:uid="{00000000-0004-0000-0000-000002000000}"/>
    <hyperlink ref="B5" r:id="rId4" location="/company/DE8844DE065C4C80BBE4ED17571D2793/101" xr:uid="{00000000-0004-0000-0000-000003000000}"/>
    <hyperlink ref="B6" r:id="rId5" location="/company/BDC7C46ED276497E802A5E556F57344D/101" xr:uid="{00000000-0004-0000-0000-000004000000}"/>
    <hyperlink ref="B7" r:id="rId6" location="/company/96ACBE8C1B57476686789B5BE2385685/101" xr:uid="{00000000-0004-0000-0000-000005000000}"/>
    <hyperlink ref="B8" r:id="rId7" location="/company/D27B5AD0EC2E4BBCA1DACA910D407D65/101" xr:uid="{00000000-0004-0000-0000-000006000000}"/>
    <hyperlink ref="B9" r:id="rId8" location="/company/9347228F54CE4256923473AB0B11E1CB/101" xr:uid="{00000000-0004-0000-0000-000007000000}"/>
    <hyperlink ref="B10" r:id="rId9" location="/company/6BB745C1F1E84024AB28B8917C21696E/101" xr:uid="{00000000-0004-0000-0000-000008000000}"/>
    <hyperlink ref="B11" r:id="rId10" location="/company/F588BD64D88C41F99DCBC15AD93C2447/101" xr:uid="{00000000-0004-0000-0000-000009000000}"/>
    <hyperlink ref="B12" r:id="rId11" location="/company/DCC9941BF7F64B829A87DB65F69BAD6F/101" xr:uid="{00000000-0004-0000-0000-00000A000000}"/>
    <hyperlink ref="B13" r:id="rId12" location="/company/2FBF9D36540944E8A74431451547C153/101" xr:uid="{00000000-0004-0000-0000-00000B000000}"/>
    <hyperlink ref="B14" r:id="rId13" location="/company/E37679FC40004025BD5C5B6D83973AB2/101" xr:uid="{00000000-0004-0000-0000-00000C000000}"/>
    <hyperlink ref="B15" r:id="rId14" location="/company/10E0EA0BF9D545F7A86D9A1EC9C93317/101" xr:uid="{00000000-0004-0000-0000-00000D000000}"/>
    <hyperlink ref="B16" r:id="rId15" location="/company/3E7DDB6AAE5B44B1B68266315C58903C/101" xr:uid="{00000000-0004-0000-0000-00000E000000}"/>
    <hyperlink ref="B17" r:id="rId16" location="/company/3C76E1F0A91A4336973342306ACC7BCA/101" xr:uid="{00000000-0004-0000-0000-00000F000000}"/>
    <hyperlink ref="B18" r:id="rId17" location="/company/238F6E0D17BE4DCFB5FA1861417D9E6B/101" xr:uid="{00000000-0004-0000-0000-000010000000}"/>
    <hyperlink ref="B19" r:id="rId18" location="/company/C678075374504C7BAFB3C4C1C3A19EB7/101" xr:uid="{00000000-0004-0000-0000-000011000000}"/>
    <hyperlink ref="B20" r:id="rId19" location="/company/14AE41F6692942D6B3CB129ED6B8C02A/101" xr:uid="{00000000-0004-0000-0000-000012000000}"/>
    <hyperlink ref="B21" r:id="rId20" location="/company/46B8151C6CEA4664B8A219583EA90B4A/101" xr:uid="{00000000-0004-0000-0000-000013000000}"/>
    <hyperlink ref="B22" r:id="rId21" location="/company/53BBB56D89EB43578E2D624FA5B32467/101" xr:uid="{00000000-0004-0000-0000-000014000000}"/>
    <hyperlink ref="B23" r:id="rId22" location="/company/4900B1C62195450FBBF83C5B433334D4/101" xr:uid="{00000000-0004-0000-0000-000015000000}"/>
    <hyperlink ref="B24" r:id="rId23" location="/company/5BFF886867A35AE9E0531C9AA8C088BD/101" xr:uid="{00000000-0004-0000-0000-000016000000}"/>
    <hyperlink ref="B25" r:id="rId24" location="/company/DD67A36FF5C247AE9DE3A4C3F87E181C/101" xr:uid="{00000000-0004-0000-0000-000017000000}"/>
    <hyperlink ref="B26" r:id="rId25" location="/company/29E7DA05124048CC9E2692782A85BC60/101" xr:uid="{00000000-0004-0000-0000-000018000000}"/>
    <hyperlink ref="B27" r:id="rId26" location="/company/15AC93FBD6C444798814FA590D017578/101" xr:uid="{00000000-0004-0000-0000-000019000000}"/>
    <hyperlink ref="B28" r:id="rId27" location="/company/9C1C445EFE0B463E96A79252129C4158/101" xr:uid="{00000000-0004-0000-0000-00001A000000}"/>
    <hyperlink ref="B29" r:id="rId28" location="/company/9F41A5ABD9844D899F85A73B6028D679/101" xr:uid="{00000000-0004-0000-0000-00001B000000}"/>
    <hyperlink ref="B30" r:id="rId29" location="/company/9C2BBB9FD8AD48809B68010D4FA037DB/101" xr:uid="{00000000-0004-0000-0000-00001C000000}"/>
    <hyperlink ref="B31" r:id="rId30" location="/company/8386879CA62E5324E0531B9AA8C073ED/101" xr:uid="{00000000-0004-0000-0000-00001D000000}"/>
    <hyperlink ref="B32" r:id="rId31" location="/company/9962EE0612F3451587F1E7B5D386B54B/101" xr:uid="{00000000-0004-0000-0000-00001E000000}"/>
    <hyperlink ref="B33" r:id="rId32" location="/company/E62853245FFA42A4B25A32B7E5341C28/101" xr:uid="{00000000-0004-0000-0000-00001F000000}"/>
    <hyperlink ref="B34" r:id="rId33" location="/company/FFEFAB667E9A434AACB664D7818BA7A4/101" xr:uid="{00000000-0004-0000-0000-000020000000}"/>
    <hyperlink ref="B35" r:id="rId34" location="/company/7F39119BAA5D4A728FAC10A515A789B8/101" xr:uid="{00000000-0004-0000-0000-000021000000}"/>
    <hyperlink ref="B36" r:id="rId35" location="/company/128215043454404393D97679489EF5C9/101" xr:uid="{00000000-0004-0000-0000-000022000000}"/>
    <hyperlink ref="B37" r:id="rId36" location="/company/837A5CABF4CB3BBFE0531B9AA8C0B654/101" xr:uid="{00000000-0004-0000-0000-000023000000}"/>
    <hyperlink ref="B38" r:id="rId37" location="/company/F536CFDA23274D7D90E1BBF718154C81/101" xr:uid="{00000000-0004-0000-0000-000024000000}"/>
    <hyperlink ref="B39" r:id="rId38" location="/company/9EBA52E124354013829FA8BBBC27A8F2/101" xr:uid="{00000000-0004-0000-0000-000025000000}"/>
    <hyperlink ref="B40" r:id="rId39" location="/company/52EA9F5BFB9942EB8BF7CB37976602B0/101" xr:uid="{00000000-0004-0000-0000-000026000000}"/>
    <hyperlink ref="B41" r:id="rId40" location="/company/19307F1CBF16493681887CF68DD872A3/101" xr:uid="{00000000-0004-0000-0000-000027000000}"/>
    <hyperlink ref="B42" r:id="rId41" location="/company/25FC2A9F07EF43ADB591FBADED5A1B49/101" xr:uid="{00000000-0004-0000-0000-000028000000}"/>
    <hyperlink ref="B43" r:id="rId42" location="/company/C2FD25A917F24CFDAC1D73F5429C1371/101" xr:uid="{00000000-0004-0000-0000-000029000000}"/>
    <hyperlink ref="B44" r:id="rId43" location="/company/F7DCFF336E474CC4BB8895A209CD356C/101" xr:uid="{00000000-0004-0000-0000-00002A000000}"/>
    <hyperlink ref="B45" r:id="rId44" location="/company/FC08A548CABB4EA5880078B0067F44C1/101" xr:uid="{00000000-0004-0000-0000-00002B000000}"/>
    <hyperlink ref="B46" r:id="rId45" location="/company/95AE790B105D4D0FBCAF58199E2A753A/101" xr:uid="{00000000-0004-0000-0000-00002C000000}"/>
    <hyperlink ref="B47" r:id="rId46" location="/company/1418D9E546AB46D59AEAB7CD905CE74D/101" xr:uid="{00000000-0004-0000-0000-00002D000000}"/>
    <hyperlink ref="B48" r:id="rId47" location="/company/0EB7391728254F5A8CA25F441B1D7BF4/101" xr:uid="{00000000-0004-0000-0000-00002E000000}"/>
    <hyperlink ref="B49" r:id="rId48" location="/company/EFA23AF8B9FC4BE3A6A22E3A94283355/101" xr:uid="{00000000-0004-0000-0000-00002F000000}"/>
    <hyperlink ref="B50" r:id="rId49" location="/company/C2F97A9936734D90B6C8035002072DBC/101" xr:uid="{00000000-0004-0000-0000-000030000000}"/>
    <hyperlink ref="B51" r:id="rId50" location="/company/A2A691AA17984239B4635B194C213586/101" xr:uid="{00000000-0004-0000-0000-000031000000}"/>
    <hyperlink ref="B52" r:id="rId51" location="/company/202C76B7083F450EA261960F3A102648/101" xr:uid="{00000000-0004-0000-0000-000032000000}"/>
    <hyperlink ref="B53" r:id="rId52" location="/company/E73A0927647D4EAE80214D7F9DAF675D/101" xr:uid="{00000000-0004-0000-0000-000033000000}"/>
    <hyperlink ref="B54" r:id="rId53" location="/company/F4F9233C386A4D19B31E7684BA97F417/101" xr:uid="{00000000-0004-0000-0000-000034000000}"/>
    <hyperlink ref="B55" r:id="rId54" location="/company/32B6B686199046EDA01C5DA63D4B3696/101" xr:uid="{00000000-0004-0000-0000-000035000000}"/>
    <hyperlink ref="B56" r:id="rId55" location="/company/961C23F5EDD54D538EBA96378CC83466/101" xr:uid="{00000000-0004-0000-0000-000036000000}"/>
    <hyperlink ref="B57" r:id="rId56" location="/company/410F8EA6E3D04C7D878F8C6E83A09559/101" xr:uid="{00000000-0004-0000-0000-000037000000}"/>
    <hyperlink ref="B58" r:id="rId57" location="/company/996CBDECA426486E9C127E177E083CCC/101" xr:uid="{00000000-0004-0000-0000-000038000000}"/>
    <hyperlink ref="B59" r:id="rId58" location="/company/5C8DEDAEC354631FE0531C9AA8C0C748/101" xr:uid="{00000000-0004-0000-0000-000039000000}"/>
    <hyperlink ref="B60" r:id="rId59" location="/company/8BC084F84A274E6E85D012BEBEA63C2B/101" xr:uid="{00000000-0004-0000-0000-00003A000000}"/>
    <hyperlink ref="B61" r:id="rId60" location="/company/D5C2BD4E925547EE952E28315B69E511/101" xr:uid="{00000000-0004-0000-0000-00003B000000}"/>
    <hyperlink ref="B62" r:id="rId61" location="/company/92D81A8848B745BAA1F7897C28F8E0FE/101" xr:uid="{00000000-0004-0000-0000-00003C000000}"/>
    <hyperlink ref="B63" r:id="rId62" location="/company/083C45E4BD5E4A378A63ADCE736962D7/101" xr:uid="{00000000-0004-0000-0000-00003D000000}"/>
    <hyperlink ref="B64" r:id="rId63" location="/company/C543199DC9DC4E1E85B04A970F54C80D/101" xr:uid="{00000000-0004-0000-0000-00003E000000}"/>
    <hyperlink ref="B65" r:id="rId64" location="/company/C903BD4E1F4348A0B794A819244FE737/101" xr:uid="{00000000-0004-0000-0000-00003F000000}"/>
    <hyperlink ref="B66" r:id="rId65" location="/company/D4FE8FFCCCD64BCB9F64995A16448014/101" xr:uid="{00000000-0004-0000-0000-000040000000}"/>
    <hyperlink ref="B67" r:id="rId66" location="/company/A178296183FA427B86A4E3777FD82811/101" xr:uid="{00000000-0004-0000-0000-000041000000}"/>
    <hyperlink ref="B68" r:id="rId67" location="/company/817B739E5DE4753CE0531B9AA8C090BE/101" xr:uid="{00000000-0004-0000-0000-000042000000}"/>
    <hyperlink ref="B69" r:id="rId68" location="/company/8B5E5EFA39C540E184D950297F8C2F02/101" xr:uid="{00000000-0004-0000-0000-000043000000}"/>
    <hyperlink ref="B70" r:id="rId69" location="/company/E4B178DE09754E769DD50FBAB6227A41/101" xr:uid="{00000000-0004-0000-0000-000044000000}"/>
    <hyperlink ref="B71" r:id="rId70" location="/company/C8018980027F422CB1398F4A6C71F67D/101" xr:uid="{00000000-0004-0000-0000-000045000000}"/>
    <hyperlink ref="B72" r:id="rId71" location="/company/E564DAD24FDC45B2AC60FB76EB195C2B/101" xr:uid="{00000000-0004-0000-0000-000046000000}"/>
    <hyperlink ref="B73" r:id="rId72" location="/company/8CBFB58BC1504FE1B2EEB99A1C20AA77/101" xr:uid="{00000000-0004-0000-0000-000047000000}"/>
    <hyperlink ref="B74" r:id="rId73" location="/company/1183BD3DD1534A10A08F077977D24EC0/101" xr:uid="{00000000-0004-0000-0000-000048000000}"/>
    <hyperlink ref="B75" r:id="rId74" location="/company/51C6FB748FEE470193A418EDE25118C6/101" xr:uid="{00000000-0004-0000-0000-000049000000}"/>
    <hyperlink ref="B76" r:id="rId75" location="/company/6B0D903F55E34DEE8FBE8638CC466277/101" xr:uid="{00000000-0004-0000-0000-00004A000000}"/>
    <hyperlink ref="B77" r:id="rId76" location="/company/CE651AF14BDA4493930EE2C346FF75F2/101" xr:uid="{00000000-0004-0000-0000-00004B000000}"/>
    <hyperlink ref="B78" r:id="rId77" location="/company/5C24A102CF09403983BE9C2C9AC84E33/101" xr:uid="{00000000-0004-0000-0000-00004C000000}"/>
    <hyperlink ref="B79" r:id="rId78" location="/company/A75CF8F096D64EB6AC117A423E406FDA/101" xr:uid="{00000000-0004-0000-0000-00004D000000}"/>
    <hyperlink ref="B80" r:id="rId79" location="/company/B6347EF7EE32454A93E570DA3B641448/101" xr:uid="{00000000-0004-0000-0000-00004E000000}"/>
    <hyperlink ref="B81" r:id="rId80" location="/company/5B485DB60E214F0FBC27C9BC647DE772/101" xr:uid="{00000000-0004-0000-0000-00004F000000}"/>
    <hyperlink ref="B82" r:id="rId81" location="/company/AE21188299BC462BA62004C37830D7BC/101" xr:uid="{00000000-0004-0000-0000-000050000000}"/>
    <hyperlink ref="B83" r:id="rId82" location="/company/96D27C8BD2B14CD1A2A2D9C67E5B63F7/101" xr:uid="{00000000-0004-0000-0000-000051000000}"/>
    <hyperlink ref="B84" r:id="rId83" location="/company/340B11CF1AA84236B8F9B0A8973A7912/101" xr:uid="{00000000-0004-0000-0000-000052000000}"/>
    <hyperlink ref="B85" r:id="rId84" location="/company/62F29E6AA65F4955A81315F262C009BD/101" xr:uid="{00000000-0004-0000-0000-000053000000}"/>
    <hyperlink ref="B86" r:id="rId85" location="/company/46E540996076461D8E416705F357D656/101" xr:uid="{00000000-0004-0000-0000-000054000000}"/>
    <hyperlink ref="B87" r:id="rId86" location="/company/090429304FAB44B4A8C70CF5AB0CA9D6/101" xr:uid="{00000000-0004-0000-0000-000055000000}"/>
    <hyperlink ref="B88" r:id="rId87" location="/company/10E48BE5375B4EA090775505BB6B5AE6/101" xr:uid="{00000000-0004-0000-0000-000056000000}"/>
    <hyperlink ref="B89" r:id="rId88" location="/company/4526D8A9834248098D4726BC20E1E2B1/101" xr:uid="{00000000-0004-0000-0000-000057000000}"/>
    <hyperlink ref="B90" r:id="rId89" location="/company/32FE40113F3446359A90AA150CA8D782/101" xr:uid="{00000000-0004-0000-0000-000058000000}"/>
    <hyperlink ref="B91" r:id="rId90" location="/company/9F7FA4EDF3661432E053189AA8C0677A/101" xr:uid="{00000000-0004-0000-0000-000059000000}"/>
    <hyperlink ref="B92" r:id="rId91" location="/company/62C61BC2E3B547DFB365237655708990/101" xr:uid="{00000000-0004-0000-0000-00005A000000}"/>
    <hyperlink ref="B93" r:id="rId92" location="/company/7F2036C5C8754F019DABC11DBF51642D/101" xr:uid="{00000000-0004-0000-0000-00005B000000}"/>
    <hyperlink ref="B94" r:id="rId93" location="/company/AE5D6B361D6D49C2A8E8557B18ABF7AD/101" xr:uid="{00000000-0004-0000-0000-00005C000000}"/>
    <hyperlink ref="B95" r:id="rId94" location="/company/964EFD5C933E41179AE4E97F6D62527B/101" xr:uid="{00000000-0004-0000-0000-00005D000000}"/>
    <hyperlink ref="B96" r:id="rId95" location="/company/9C480CDEBF0F2B9EE053179AA8C0AC7D/101" xr:uid="{00000000-0004-0000-0000-00005E000000}"/>
    <hyperlink ref="B97" r:id="rId96" location="/company/E2FC8D1E73D44139B6CF5979C892457A/101" xr:uid="{00000000-0004-0000-0000-00005F000000}"/>
    <hyperlink ref="B98" r:id="rId97" location="/company/6AA4C0988CB24153875C913CFC55B0F6/101" xr:uid="{00000000-0004-0000-0000-000060000000}"/>
    <hyperlink ref="B99" r:id="rId98" location="/company/00F38B46F9844E7AB7A88D23FA6D59CC/101" xr:uid="{00000000-0004-0000-0000-000061000000}"/>
    <hyperlink ref="B100" r:id="rId99" location="/company/070B0ECC8FEF42AD8EA6A0226489D2EE/101" xr:uid="{00000000-0004-0000-0000-000062000000}"/>
    <hyperlink ref="B101" r:id="rId100" location="/company/67AC27D53CFF46FB965825D875D9787E/101" xr:uid="{00000000-0004-0000-0000-000063000000}"/>
    <hyperlink ref="B102" r:id="rId101" location="/company/67EB1B8FE1F649C89F55D1178A5EB791/101" xr:uid="{00000000-0004-0000-0000-000064000000}"/>
    <hyperlink ref="B103" r:id="rId102" location="/company/C45DF24493B544DD8D9E8525FA0E7389/101" xr:uid="{00000000-0004-0000-0000-000065000000}"/>
    <hyperlink ref="B104" r:id="rId103" location="/company/9C66DD6FFD244032B5D7C8CB69963A9F/101" xr:uid="{00000000-0004-0000-0000-000066000000}"/>
    <hyperlink ref="B105" r:id="rId104" location="/company/4C8547051CD141C2851A59E2CF3DD585/101" xr:uid="{00000000-0004-0000-0000-000067000000}"/>
    <hyperlink ref="B106" r:id="rId105" location="/company/4714DB0060104B218439A4C1EEB23CD1/101" xr:uid="{00000000-0004-0000-0000-000068000000}"/>
    <hyperlink ref="B107" r:id="rId106" location="/company/D67E0998790C4BB3BFFC7B0C1D4B7468/101" xr:uid="{00000000-0004-0000-0000-000069000000}"/>
    <hyperlink ref="B108" r:id="rId107" location="/company/EAE11B758C184181AEECAB08546EC1A1/101" xr:uid="{00000000-0004-0000-0000-00006A000000}"/>
    <hyperlink ref="B109" r:id="rId108" location="/company/830517A8A1874254B49202236C24B060/101" xr:uid="{00000000-0004-0000-0000-00006B000000}"/>
    <hyperlink ref="B110" r:id="rId109" location="/company/77B6E6B38C5E4A08900F5FFFBCD829E4/101" xr:uid="{00000000-0004-0000-0000-00006C000000}"/>
    <hyperlink ref="B111" r:id="rId110" location="/company/1C625CF76C4B42EEBC371702C2FF6A4B/101" xr:uid="{00000000-0004-0000-0000-00006D000000}"/>
    <hyperlink ref="B112" r:id="rId111" location="/company/61963EAEF34C49B28421F9E46B887787/101" xr:uid="{00000000-0004-0000-0000-00006E000000}"/>
    <hyperlink ref="B113" r:id="rId112" location="/company/8F27F4815F898032E0531B9AA8C0FA31/101" xr:uid="{00000000-0004-0000-0000-00006F000000}"/>
    <hyperlink ref="B114" r:id="rId113" location="/company/E619C7961D294508B060737F8128EE4C/101" xr:uid="{00000000-0004-0000-0000-000070000000}"/>
    <hyperlink ref="B115" r:id="rId114" location="/company/DDE3BDC227A3494497D8F641393A861D/101" xr:uid="{00000000-0004-0000-0000-000071000000}"/>
    <hyperlink ref="B116" r:id="rId115" location="/company/242A5F06247A4F51BA1B7B522B0F9914/101" xr:uid="{00000000-0004-0000-0000-000072000000}"/>
    <hyperlink ref="B117" r:id="rId116" location="/company/8AB2A3D435F24EE197BA89016E141885/101" xr:uid="{00000000-0004-0000-0000-000073000000}"/>
    <hyperlink ref="B118" r:id="rId117" location="/company/3353E3C9158C4A4493DF2AFBAC197731/101" xr:uid="{00000000-0004-0000-0000-000074000000}"/>
    <hyperlink ref="B119" r:id="rId118" location="/company/398E2E193A2548D9AC835D32522E0A1C/101" xr:uid="{00000000-0004-0000-0000-000075000000}"/>
    <hyperlink ref="B120" r:id="rId119" location="/company/F4F52077FCC34B688926F06184241874/101" xr:uid="{00000000-0004-0000-0000-000076000000}"/>
    <hyperlink ref="B121" r:id="rId120" location="/company/EF52626A25764ED9907A51ED0606BC98/101" xr:uid="{00000000-0004-0000-0000-000077000000}"/>
    <hyperlink ref="B122" r:id="rId121" location="/company/E377DF72D6AD416BA8B55233198FEE5B/101" xr:uid="{00000000-0004-0000-0000-000078000000}"/>
    <hyperlink ref="B123" r:id="rId122" location="/company/09737974DA9745248BCEBC98C25098EE/101" xr:uid="{00000000-0004-0000-0000-000079000000}"/>
    <hyperlink ref="B124" r:id="rId123" location="/company/79E1E691CEF648C4939D2317789D48EA/101" xr:uid="{00000000-0004-0000-0000-00007A000000}"/>
    <hyperlink ref="B125" r:id="rId124" location="/company/9E51E1217BC37744E053179AA8C0C8AC/101" xr:uid="{00000000-0004-0000-0000-00007B000000}"/>
    <hyperlink ref="B126" r:id="rId125" location="/company/A02669C43D18400B986848C6ACADC970/101" xr:uid="{00000000-0004-0000-0000-00007C000000}"/>
    <hyperlink ref="B127" r:id="rId126" location="/company/43457ED81CFB40DBBEB76FB1DD3F51D1/101" xr:uid="{00000000-0004-0000-0000-00007D000000}"/>
    <hyperlink ref="B128" r:id="rId127" location="/company/826A8BF285614A78B933EC8C7BA081B4/101" xr:uid="{00000000-0004-0000-0000-00007E000000}"/>
    <hyperlink ref="B129" r:id="rId128" location="/company/962666AFF7A04786E0531B9AA8C0F3D8/101" xr:uid="{00000000-0004-0000-0000-00007F000000}"/>
    <hyperlink ref="B130" r:id="rId129" location="/company/927594B726D308A5E0531B9AA8C088EE/101" xr:uid="{00000000-0004-0000-0000-000080000000}"/>
    <hyperlink ref="B131" r:id="rId130" location="/company/C35212F24ED747C19AC23257867D33DA/101" xr:uid="{00000000-0004-0000-0000-000081000000}"/>
    <hyperlink ref="B132" r:id="rId131" location="/company/C3C6EAF192904D91BE25FCBD5FE4A8CB/101" xr:uid="{00000000-0004-0000-0000-000082000000}"/>
    <hyperlink ref="B133" r:id="rId132" location="/company/9A1C5A24BC9A4E5EA14AE6CB97301B9C/101" xr:uid="{00000000-0004-0000-0000-000083000000}"/>
    <hyperlink ref="B134" r:id="rId133" location="/company/4BD19E7F003F4D7BA9DAE4C358260D51/101" xr:uid="{00000000-0004-0000-0000-000084000000}"/>
    <hyperlink ref="B135" r:id="rId134" location="/company/F7F63194A4044415986599C33DF5699F/101" xr:uid="{00000000-0004-0000-0000-000085000000}"/>
    <hyperlink ref="B136" r:id="rId135" location="/company/978BDFBD30224936B024BB6F34C0DA88/101" xr:uid="{00000000-0004-0000-0000-000086000000}"/>
    <hyperlink ref="B137" r:id="rId136" location="/company/E15FCD60C47A48E1BFBF307EE558B3CB/101" xr:uid="{00000000-0004-0000-0000-000087000000}"/>
    <hyperlink ref="B138" r:id="rId137" location="/company/E5E9E63B0D574DED8C9743BA3AEB6A4F/101" xr:uid="{00000000-0004-0000-0000-000088000000}"/>
    <hyperlink ref="B139" r:id="rId138" location="/company/70900673D46C47B99496B4F87E8592E0/101" xr:uid="{00000000-0004-0000-0000-000089000000}"/>
    <hyperlink ref="B140" r:id="rId139" location="/company/4D5C4F0306364F58BC109274E4B3F74C/101" xr:uid="{00000000-0004-0000-0000-00008A000000}"/>
    <hyperlink ref="B141" r:id="rId140" location="/company/7B6813FD6B454FF5B28A47B4B7D14E49/101" xr:uid="{00000000-0004-0000-0000-00008B000000}"/>
    <hyperlink ref="B142" r:id="rId141" location="/company/6EDF3F106BE3445D8CBE301BABDF1150/101" xr:uid="{00000000-0004-0000-0000-00008C000000}"/>
    <hyperlink ref="B143" r:id="rId142" location="/company/10EE97B260124BC9983B72B146004D64/101" xr:uid="{00000000-0004-0000-0000-00008D000000}"/>
    <hyperlink ref="B144" r:id="rId143" location="/company/6BD93C79B6274DE392CA96BF79FA1FA0/101" xr:uid="{00000000-0004-0000-0000-00008E000000}"/>
    <hyperlink ref="B145" r:id="rId144" location="/company/7779823B674549E1B32706343CE3B6DE/101" xr:uid="{00000000-0004-0000-0000-00008F000000}"/>
    <hyperlink ref="B146" r:id="rId145" location="/company/813AD30084A6432EA781EB2A844D6217/101" xr:uid="{00000000-0004-0000-0000-000090000000}"/>
    <hyperlink ref="B147" r:id="rId146" location="/company/8B26A0B5FAC340F2BDA0BAC8B32FAA93/101" xr:uid="{00000000-0004-0000-0000-000091000000}"/>
    <hyperlink ref="B148" r:id="rId147" location="/company/95AB24A101664A88BEE6E314F8C196B8/101" xr:uid="{00000000-0004-0000-0000-000092000000}"/>
    <hyperlink ref="B149" r:id="rId148" location="/company/1A4C0470954F4597AB7703F8F410EE92/101" xr:uid="{00000000-0004-0000-0000-000093000000}"/>
    <hyperlink ref="B150" r:id="rId149" location="/company/ABFD7B10D47E47EE83A2A128CC9C92F3/101" xr:uid="{00000000-0004-0000-0000-000094000000}"/>
    <hyperlink ref="B151" r:id="rId150" location="/company/6FC427BA4EA54545AA72E2DDD8EF5280/101" xr:uid="{00000000-0004-0000-0000-000095000000}"/>
    <hyperlink ref="B152" r:id="rId151" location="/company/0B2C3A10B9E7442289D5DFF5BB099ADA/101" xr:uid="{00000000-0004-0000-0000-000096000000}"/>
    <hyperlink ref="B153" r:id="rId152" location="/company/E2B212EBA2B8462E9CF1CDCB2FE59BFB/101" xr:uid="{00000000-0004-0000-0000-000097000000}"/>
    <hyperlink ref="B154" r:id="rId153" location="/company/3E120DE6DB194FE3A27E0E2E9ED05E71/101" xr:uid="{00000000-0004-0000-0000-000098000000}"/>
    <hyperlink ref="B155" r:id="rId154" location="/company/8EB1A134FD814B59B30FF9C46F80C3D1/101" xr:uid="{00000000-0004-0000-0000-000099000000}"/>
    <hyperlink ref="B156" r:id="rId155" location="/company/A29F28AF94214FAFB3347A0C150A8445/101" xr:uid="{00000000-0004-0000-0000-00009A000000}"/>
    <hyperlink ref="B157" r:id="rId156" location="/company/2A6D4FFB928C4C2BB59662F24B0BE9B6/101" xr:uid="{00000000-0004-0000-0000-00009B000000}"/>
    <hyperlink ref="B158" r:id="rId157" location="/company/B100840D8EAD4E909E0408EC7F3F62BA/101" xr:uid="{00000000-0004-0000-0000-00009C000000}"/>
    <hyperlink ref="B159" r:id="rId158" location="/company/AD330B7427BE416A865870348DA3BAFA/101" xr:uid="{00000000-0004-0000-0000-00009D000000}"/>
    <hyperlink ref="B160" r:id="rId159" location="/company/86A1ED4130ED44B3B34335F3E300494F/101" xr:uid="{00000000-0004-0000-0000-00009E000000}"/>
    <hyperlink ref="B161" r:id="rId160" location="/company/07FDCD5A92BE4D44A7932BB8EF93466F/101" xr:uid="{00000000-0004-0000-0000-00009F000000}"/>
    <hyperlink ref="B162" r:id="rId161" location="/company/7B235C2E28984FDF9016D0FF075A9977/101" xr:uid="{00000000-0004-0000-0000-0000A0000000}"/>
    <hyperlink ref="B163" r:id="rId162" location="/company/13E419A3EE3449B0A29B7E84559A8C64/101" xr:uid="{00000000-0004-0000-0000-0000A1000000}"/>
    <hyperlink ref="B164" r:id="rId163" location="/company/74FE65FAFA00492991B59ECB907DD2ED/101" xr:uid="{00000000-0004-0000-0000-0000A2000000}"/>
    <hyperlink ref="B165" r:id="rId164" location="/company/0C309117BC3C47B6B39FDD594D5FA681/101" xr:uid="{00000000-0004-0000-0000-0000A3000000}"/>
    <hyperlink ref="B166" r:id="rId165" location="/company/8A778E4D51A3425A911217E2ECB0E0E2/101" xr:uid="{00000000-0004-0000-0000-0000A4000000}"/>
    <hyperlink ref="B167" r:id="rId166" location="/company/BCA688C77BDD4315A2C91241D072EB72/101" xr:uid="{00000000-0004-0000-0000-0000A5000000}"/>
    <hyperlink ref="B168" r:id="rId167" location="/company/0D6CAC73409A4154ABA38AE010AE9EA4/101" xr:uid="{00000000-0004-0000-0000-0000A6000000}"/>
    <hyperlink ref="B169" r:id="rId168" location="/company/AC0E4C0081F6420CAC217B3CA7ADBDE1/101" xr:uid="{00000000-0004-0000-0000-0000A7000000}"/>
    <hyperlink ref="B170" r:id="rId169" location="/company/5BD501832C364CAC9FAC1F88195E9EBE/101" xr:uid="{00000000-0004-0000-0000-0000A8000000}"/>
    <hyperlink ref="B171" r:id="rId170" location="/company/8BA644CC8B66466983985B86BAC1B5D3/101" xr:uid="{00000000-0004-0000-0000-0000A9000000}"/>
    <hyperlink ref="B172" r:id="rId171" location="/company/6BB6DAF6A5668F6AE0531B9AA8C0AA8D/101" xr:uid="{00000000-0004-0000-0000-0000AA000000}"/>
    <hyperlink ref="B173" r:id="rId172" location="/company/05FAE6EEF8DB458895ABF42A3AF7BAFE/101" xr:uid="{00000000-0004-0000-0000-0000AB000000}"/>
    <hyperlink ref="B174" r:id="rId173" location="/company/071886674E8B4F97A149A421A3E214C3/101" xr:uid="{00000000-0004-0000-0000-0000AC000000}"/>
    <hyperlink ref="B175" r:id="rId174" location="/company/589FD666D50D53CAE0531C9AA8C08C9D/101" xr:uid="{00000000-0004-0000-0000-0000AD000000}"/>
    <hyperlink ref="B176" r:id="rId175" location="/company/F169CF0F246142B5B2261AEB776FA7D2/101" xr:uid="{00000000-0004-0000-0000-0000AE000000}"/>
    <hyperlink ref="B177" r:id="rId176" location="/company/DBFD167984D74836AE345C0B8C8A15B1/101" xr:uid="{00000000-0004-0000-0000-0000AF000000}"/>
    <hyperlink ref="B178" r:id="rId177" location="/company/3C18579C62244AD18F154E90E3B0DA12/101" xr:uid="{00000000-0004-0000-0000-0000B0000000}"/>
    <hyperlink ref="B179" r:id="rId178" location="/company/3B9F4971F9FA487D8D111C988EA9D355/101" xr:uid="{00000000-0004-0000-0000-0000B1000000}"/>
    <hyperlink ref="B180" r:id="rId179" location="/company/8A47FEBA8FC81358E0531B9AA8C0A922/101" xr:uid="{00000000-0004-0000-0000-0000B2000000}"/>
    <hyperlink ref="B181" r:id="rId180" location="/company/E092FB595C0045B5B5C829D9913475F8/101" xr:uid="{00000000-0004-0000-0000-0000B3000000}"/>
    <hyperlink ref="B182" r:id="rId181" location="/company/6357687282574E2B88C70357696279FA/101" xr:uid="{00000000-0004-0000-0000-0000B4000000}"/>
    <hyperlink ref="B183" r:id="rId182" location="/company/7CB2B40415C84CAA852C9CEF5575E7F0/101" xr:uid="{00000000-0004-0000-0000-0000B5000000}"/>
    <hyperlink ref="B184" r:id="rId183" location="/company/615D4B9A8914454099127F57F22AC034/101" xr:uid="{00000000-0004-0000-0000-0000B6000000}"/>
    <hyperlink ref="B185" r:id="rId184" location="/company/A9DA98B0B4ED42CBABCD7A460B26E89F/101" xr:uid="{00000000-0004-0000-0000-0000B7000000}"/>
    <hyperlink ref="B186" r:id="rId185" location="/company/A16225F31306470C905F976E7116B426/101" xr:uid="{00000000-0004-0000-0000-0000B8000000}"/>
    <hyperlink ref="B187" r:id="rId186" location="/company/ECCE0839F74A491E96BB10861E161A77/101" xr:uid="{00000000-0004-0000-0000-0000B9000000}"/>
    <hyperlink ref="B188" r:id="rId187" location="/company/1983F1FF09D744F6A6FA8DA5FC0532AB/101" xr:uid="{00000000-0004-0000-0000-0000BA000000}"/>
    <hyperlink ref="B189" r:id="rId188" location="/company/913EE4F943524A95E0531B9AA8C03F7E/101" xr:uid="{00000000-0004-0000-0000-0000BB000000}"/>
    <hyperlink ref="B190" r:id="rId189" location="/company/95F6F44B3024418BB14F4E2598669443/101" xr:uid="{00000000-0004-0000-0000-0000BC000000}"/>
    <hyperlink ref="B191" r:id="rId190" location="/company/7BBFE1F39E696CD6E0531B9AA8C02AB8/101" xr:uid="{00000000-0004-0000-0000-0000BD000000}"/>
    <hyperlink ref="B192" r:id="rId191" location="/company/130D86087E354B4EB24A9B211C4F5059/101" xr:uid="{00000000-0004-0000-0000-0000BE000000}"/>
    <hyperlink ref="B193" r:id="rId192" location="/company/5ADB103EEE5249E68A9EF50FB4845252/101" xr:uid="{00000000-0004-0000-0000-0000BF000000}"/>
    <hyperlink ref="B194" r:id="rId193" location="/company/82EAF212E19F49DC96272EA16C1D761F/101" xr:uid="{00000000-0004-0000-0000-0000C0000000}"/>
    <hyperlink ref="B195" r:id="rId194" location="/company/2D23DD608EC849589C5128EC599B1C3B/101" xr:uid="{00000000-0004-0000-0000-0000C1000000}"/>
    <hyperlink ref="B196" r:id="rId195" location="/company/AFDA9EE32044443EB5FE711CCA529AD2/101" xr:uid="{00000000-0004-0000-0000-0000C2000000}"/>
    <hyperlink ref="B197" r:id="rId196" location="/company/2E98BFADE9004913B39B6AB882F824A6/101" xr:uid="{00000000-0004-0000-0000-0000C3000000}"/>
    <hyperlink ref="B198" r:id="rId197" location="/company/BA85F07018784FBE85B60971D14718A7/101" xr:uid="{00000000-0004-0000-0000-0000C4000000}"/>
    <hyperlink ref="B199" r:id="rId198" location="/company/0593D0B805224A638F379F1396609472/101" xr:uid="{00000000-0004-0000-0000-0000C5000000}"/>
    <hyperlink ref="B200" r:id="rId199" location="/company/D04F34AA83554B1EABCA7D4E416E0121/101" xr:uid="{00000000-0004-0000-0000-0000C6000000}"/>
    <hyperlink ref="B201" r:id="rId200" location="/company/497F0BE9D9C64F98B8A69D968A5DD84E/101" xr:uid="{00000000-0004-0000-0000-0000C7000000}"/>
    <hyperlink ref="B202" r:id="rId201" location="/company/F3793FF96F234DB697DE7143A6250003/101" xr:uid="{00000000-0004-0000-0000-0000C8000000}"/>
    <hyperlink ref="B203" r:id="rId202" location="/company/BA87D9EE07CD425FE053219AA8C0762B/101" xr:uid="{00000000-0004-0000-0000-0000C9000000}"/>
    <hyperlink ref="B204" r:id="rId203" location="/company/2DAAFABB8C624938BB3ACA1A3DB96F61/101" xr:uid="{00000000-0004-0000-0000-0000CA000000}"/>
    <hyperlink ref="B205" r:id="rId204" location="/company/EC99A7D794AB4EFC827520066001D6DA/101" xr:uid="{00000000-0004-0000-0000-0000CB000000}"/>
    <hyperlink ref="B206" r:id="rId205" location="/company/01E5EA6EBF47404FA417614B9D58DD02/101" xr:uid="{00000000-0004-0000-0000-0000CC000000}"/>
    <hyperlink ref="B207" r:id="rId206" location="/company/3D460CA3A0B84211A02D3FB653DCD757/101" xr:uid="{00000000-0004-0000-0000-0000CD000000}"/>
    <hyperlink ref="B208" r:id="rId207" location="/company/BB550A4F2E7648BEB7FDD2303357C74E/101" xr:uid="{00000000-0004-0000-0000-0000CE000000}"/>
    <hyperlink ref="B209" r:id="rId208" location="/company/3BA72DE172904C929D286B1A82EDD9FB/101" xr:uid="{00000000-0004-0000-0000-0000CF000000}"/>
    <hyperlink ref="B210" r:id="rId209" location="/company/54C1B500726647F2889E012149688BEE/101" xr:uid="{00000000-0004-0000-0000-0000D0000000}"/>
    <hyperlink ref="B211" r:id="rId210" location="/company/ECB9BE2516E64ADEBF45D9F31F4692B1/101" xr:uid="{00000000-0004-0000-0000-0000D1000000}"/>
    <hyperlink ref="B212" r:id="rId211" location="/company/3319D2379EAB4466A3B227F9B5E2599B/101" xr:uid="{00000000-0004-0000-0000-0000D2000000}"/>
    <hyperlink ref="B213" r:id="rId212" location="/company/FE59765DDC654AD7BF3CC37C31FB16EF/101" xr:uid="{00000000-0004-0000-0000-0000D3000000}"/>
    <hyperlink ref="B214" r:id="rId213" location="/company/D9710CCFA7BC47FD9FE5E639EA74858D/101" xr:uid="{00000000-0004-0000-0000-0000D4000000}"/>
    <hyperlink ref="B215" r:id="rId214" location="/company/5ECD53CCF3AA41408064B956159FB06B/101" xr:uid="{00000000-0004-0000-0000-0000D5000000}"/>
    <hyperlink ref="B216" r:id="rId215" location="/company/5DB6BC87C71E459BAA7163E582B1F1E9/101" xr:uid="{00000000-0004-0000-0000-0000D6000000}"/>
    <hyperlink ref="B217" r:id="rId216" location="/company/7188F3D88CF0449AA2CD55D49E42B271/101" xr:uid="{00000000-0004-0000-0000-0000D7000000}"/>
    <hyperlink ref="B218" r:id="rId217" location="/company/EA5E084CF22C4549B40AD74229A168B7/101" xr:uid="{00000000-0004-0000-0000-0000D8000000}"/>
    <hyperlink ref="B219" r:id="rId218" location="/company/871D9BD889E0437D9F37177992D7E61E/101" xr:uid="{00000000-0004-0000-0000-0000D9000000}"/>
    <hyperlink ref="B220" r:id="rId219" location="/company/4B1DFA783FE042E2B8262C5B45BB83AB/101" xr:uid="{00000000-0004-0000-0000-0000DA000000}"/>
    <hyperlink ref="B221" r:id="rId220" location="/company/460153A21C0D4F4D9B91FB522AE5B505/101" xr:uid="{00000000-0004-0000-0000-0000DB000000}"/>
    <hyperlink ref="B222" r:id="rId221" location="/company/6804CCCF8A4F4A2D96A1AF41A47C13AF/101" xr:uid="{00000000-0004-0000-0000-0000DC000000}"/>
    <hyperlink ref="B223" r:id="rId222" location="/company/BAA067C052C64CE09AB49F5868F8F870/101" xr:uid="{00000000-0004-0000-0000-0000DD000000}"/>
    <hyperlink ref="B224" r:id="rId223" location="/company/EDC600AD882A4E569AB25C4FA4FCCE30/101" xr:uid="{00000000-0004-0000-0000-0000DE000000}"/>
    <hyperlink ref="B225" r:id="rId224" location="/company/629419812CD44E93A17BBF6D5D8DE3BC/101" xr:uid="{00000000-0004-0000-0000-0000DF000000}"/>
    <hyperlink ref="B226" r:id="rId225" location="/company/9DF4DDA8CA1F4D9BA1B5448F616CB34C/101" xr:uid="{00000000-0004-0000-0000-0000E0000000}"/>
    <hyperlink ref="B227" r:id="rId226" location="/company/D098CF3D06364752BA933A0B14DFF80A/101" xr:uid="{00000000-0004-0000-0000-0000E1000000}"/>
    <hyperlink ref="B228" r:id="rId227" location="/company/B57E63455301448E83536199E77D3971/101" xr:uid="{00000000-0004-0000-0000-0000E2000000}"/>
    <hyperlink ref="B229" r:id="rId228" location="/company/A1D4B0DB3C914300B6BD0F7A61785BBE/101" xr:uid="{00000000-0004-0000-0000-0000E3000000}"/>
    <hyperlink ref="B230" r:id="rId229" location="/company/13E83BF68319481D83CC7687EA95A64B/101" xr:uid="{00000000-0004-0000-0000-0000E4000000}"/>
    <hyperlink ref="B231" r:id="rId230" location="/company/170AF3F1B09049CC9A8D036912759C9A/101" xr:uid="{00000000-0004-0000-0000-0000E5000000}"/>
    <hyperlink ref="B232" r:id="rId231" location="/company/600CABE508994DF1B92C5F0504AE0028/101" xr:uid="{00000000-0004-0000-0000-0000E6000000}"/>
    <hyperlink ref="B233" r:id="rId232" location="/company/5E061923DF504EC19D001D47C4CB14A7/101" xr:uid="{00000000-0004-0000-0000-0000E7000000}"/>
    <hyperlink ref="B234" r:id="rId233" location="/company/870B12B34E26477EAA40CF7DC5FE870A/101" xr:uid="{00000000-0004-0000-0000-0000E8000000}"/>
    <hyperlink ref="B235" r:id="rId234" location="/company/65070D7A5F6B475CA81043994C41CC77/101" xr:uid="{00000000-0004-0000-0000-0000E9000000}"/>
    <hyperlink ref="B236" r:id="rId235" location="/company/737D53F3216940C2B6BB2CA895E42494/101" xr:uid="{00000000-0004-0000-0000-0000EA000000}"/>
    <hyperlink ref="B237" r:id="rId236" location="/company/4BDCC7A7E13848AC80276FA0A4BC6822/101" xr:uid="{00000000-0004-0000-0000-0000EB000000}"/>
    <hyperlink ref="B238" r:id="rId237" location="/company/3642E75C61024929952A02572E65219C/101" xr:uid="{00000000-0004-0000-0000-0000EC000000}"/>
    <hyperlink ref="B239" r:id="rId238" location="/company/F4289441EDA241B0AC7D5489D650582B/101" xr:uid="{00000000-0004-0000-0000-0000ED000000}"/>
    <hyperlink ref="B240" r:id="rId239" location="/company/A7F06EBE485C4C7D9A16769DBFF7E57E/101" xr:uid="{00000000-0004-0000-0000-0000EE000000}"/>
    <hyperlink ref="B241" r:id="rId240" location="/company/258D0BF077D7485AA99C607DED4FDC44/101" xr:uid="{00000000-0004-0000-0000-0000EF000000}"/>
    <hyperlink ref="B242" r:id="rId241" location="/company/5B0F5C7C1C924A02A0AAA479CBAA2A1A/101" xr:uid="{00000000-0004-0000-0000-0000F0000000}"/>
    <hyperlink ref="B243" r:id="rId242" location="/company/72B80CFCA4934DD7AAA7E9892F81963B/101" xr:uid="{00000000-0004-0000-0000-0000F1000000}"/>
    <hyperlink ref="B244" r:id="rId243" location="/company/D087938C91F34D8F8BF70158A79EAD49/101" xr:uid="{00000000-0004-0000-0000-0000F2000000}"/>
    <hyperlink ref="B245" r:id="rId244" location="/company/E0EF52C0D70949C18939F852A290B099/101" xr:uid="{00000000-0004-0000-0000-0000F3000000}"/>
    <hyperlink ref="B246" r:id="rId245" location="/company/07B67D8E7DCF48B6BD02B5A646E36F0D/101" xr:uid="{00000000-0004-0000-0000-0000F4000000}"/>
    <hyperlink ref="B247" r:id="rId246" location="/company/8026A8F5751C4CEE84E4D873957FE86E/101" xr:uid="{00000000-0004-0000-0000-0000F5000000}"/>
    <hyperlink ref="B248" r:id="rId247" location="/company/6CE7AAD2A5C948BAAFD5A6C9EA143CD0/101" xr:uid="{00000000-0004-0000-0000-0000F6000000}"/>
    <hyperlink ref="B249" r:id="rId248" location="/company/A22E52B152A9449998303F3DDE80C91E/101" xr:uid="{00000000-0004-0000-0000-0000F7000000}"/>
    <hyperlink ref="B250" r:id="rId249" location="/company/611AD145D0E24D1B870F6627BB915817/101" xr:uid="{00000000-0004-0000-0000-0000F8000000}"/>
    <hyperlink ref="B251" r:id="rId250" location="/company/BB689B78DA7A45EDB1E04922BC68DDF3/101" xr:uid="{00000000-0004-0000-0000-0000F9000000}"/>
    <hyperlink ref="B252" r:id="rId251" location="/company/1DFC84FDDB9C4F31844D4FA7E511AC54/101" xr:uid="{00000000-0004-0000-0000-0000FA000000}"/>
    <hyperlink ref="B253" r:id="rId252" location="/company/7C250D8487A7468FE0531B9AA8C04338/101" xr:uid="{00000000-0004-0000-0000-0000FB000000}"/>
  </hyperlinks>
  <pageMargins left="0.75" right="0.75" top="0.75" bottom="0.5" header="0.5" footer="0.75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134"/>
  <sheetViews>
    <sheetView zoomScale="80" zoomScaleNormal="80" workbookViewId="0">
      <selection activeCell="B130" sqref="B130:B131"/>
    </sheetView>
  </sheetViews>
  <sheetFormatPr defaultRowHeight="15" x14ac:dyDescent="0.25"/>
  <cols>
    <col min="1" max="1" width="86.7109375" style="1" bestFit="1" customWidth="1"/>
    <col min="2" max="2" width="44.42578125" bestFit="1" customWidth="1"/>
    <col min="3" max="10" width="2" bestFit="1" customWidth="1"/>
    <col min="11" max="100" width="3" bestFit="1" customWidth="1"/>
    <col min="101" max="253" width="4" bestFit="1" customWidth="1"/>
    <col min="254" max="254" width="11.5703125" bestFit="1" customWidth="1"/>
  </cols>
  <sheetData>
    <row r="3" spans="1:2" x14ac:dyDescent="0.25">
      <c r="A3" s="21" t="s">
        <v>817</v>
      </c>
      <c r="B3" t="s">
        <v>819</v>
      </c>
    </row>
    <row r="4" spans="1:2" x14ac:dyDescent="0.25">
      <c r="A4" s="22" t="s">
        <v>733</v>
      </c>
      <c r="B4">
        <v>1</v>
      </c>
    </row>
    <row r="5" spans="1:2" x14ac:dyDescent="0.25">
      <c r="A5" s="22" t="s">
        <v>216</v>
      </c>
      <c r="B5">
        <v>1</v>
      </c>
    </row>
    <row r="6" spans="1:2" x14ac:dyDescent="0.25">
      <c r="A6" s="22" t="s">
        <v>375</v>
      </c>
      <c r="B6">
        <v>2</v>
      </c>
    </row>
    <row r="7" spans="1:2" ht="30" x14ac:dyDescent="0.25">
      <c r="A7" s="22" t="s">
        <v>357</v>
      </c>
      <c r="B7">
        <v>1</v>
      </c>
    </row>
    <row r="8" spans="1:2" x14ac:dyDescent="0.25">
      <c r="A8" s="22" t="s">
        <v>198</v>
      </c>
      <c r="B8">
        <v>13</v>
      </c>
    </row>
    <row r="9" spans="1:2" x14ac:dyDescent="0.25">
      <c r="A9" s="22" t="s">
        <v>628</v>
      </c>
      <c r="B9">
        <v>2</v>
      </c>
    </row>
    <row r="10" spans="1:2" x14ac:dyDescent="0.25">
      <c r="A10" s="22" t="s">
        <v>303</v>
      </c>
      <c r="B10">
        <v>3</v>
      </c>
    </row>
    <row r="11" spans="1:2" ht="30" x14ac:dyDescent="0.25">
      <c r="A11" s="22" t="s">
        <v>277</v>
      </c>
      <c r="B11">
        <v>1</v>
      </c>
    </row>
    <row r="12" spans="1:2" x14ac:dyDescent="0.25">
      <c r="A12" s="22" t="s">
        <v>187</v>
      </c>
      <c r="B12">
        <v>1</v>
      </c>
    </row>
    <row r="13" spans="1:2" ht="30" x14ac:dyDescent="0.25">
      <c r="A13" s="22" t="s">
        <v>766</v>
      </c>
      <c r="B13">
        <v>1</v>
      </c>
    </row>
    <row r="14" spans="1:2" ht="30" x14ac:dyDescent="0.25">
      <c r="A14" s="22" t="s">
        <v>441</v>
      </c>
      <c r="B14">
        <v>1</v>
      </c>
    </row>
    <row r="15" spans="1:2" x14ac:dyDescent="0.25">
      <c r="A15" s="22" t="s">
        <v>340</v>
      </c>
      <c r="B15">
        <v>1</v>
      </c>
    </row>
    <row r="16" spans="1:2" ht="60" x14ac:dyDescent="0.25">
      <c r="A16" s="22" t="s">
        <v>430</v>
      </c>
      <c r="B16">
        <v>1</v>
      </c>
    </row>
    <row r="17" spans="1:2" x14ac:dyDescent="0.25">
      <c r="A17" s="22" t="s">
        <v>755</v>
      </c>
      <c r="B17">
        <v>1</v>
      </c>
    </row>
    <row r="18" spans="1:2" x14ac:dyDescent="0.25">
      <c r="A18" s="22" t="s">
        <v>508</v>
      </c>
      <c r="B18">
        <v>1</v>
      </c>
    </row>
    <row r="19" spans="1:2" x14ac:dyDescent="0.25">
      <c r="A19" s="22" t="s">
        <v>300</v>
      </c>
      <c r="B19">
        <v>1</v>
      </c>
    </row>
    <row r="20" spans="1:2" x14ac:dyDescent="0.25">
      <c r="A20" s="22" t="s">
        <v>726</v>
      </c>
      <c r="B20">
        <v>1</v>
      </c>
    </row>
    <row r="21" spans="1:2" x14ac:dyDescent="0.25">
      <c r="A21" s="22" t="s">
        <v>274</v>
      </c>
      <c r="B21">
        <v>1</v>
      </c>
    </row>
    <row r="22" spans="1:2" x14ac:dyDescent="0.25">
      <c r="A22" s="22" t="s">
        <v>306</v>
      </c>
      <c r="B22">
        <v>2</v>
      </c>
    </row>
    <row r="23" spans="1:2" x14ac:dyDescent="0.25">
      <c r="A23" s="22" t="s">
        <v>213</v>
      </c>
      <c r="B23">
        <v>1</v>
      </c>
    </row>
    <row r="24" spans="1:2" x14ac:dyDescent="0.25">
      <c r="A24" s="22" t="s">
        <v>587</v>
      </c>
      <c r="B24">
        <v>1</v>
      </c>
    </row>
    <row r="25" spans="1:2" x14ac:dyDescent="0.25">
      <c r="A25" s="22" t="s">
        <v>763</v>
      </c>
      <c r="B25">
        <v>1</v>
      </c>
    </row>
    <row r="26" spans="1:2" ht="30" x14ac:dyDescent="0.25">
      <c r="A26" s="22" t="s">
        <v>807</v>
      </c>
      <c r="B26">
        <v>1</v>
      </c>
    </row>
    <row r="27" spans="1:2" ht="30" x14ac:dyDescent="0.25">
      <c r="A27" s="22" t="s">
        <v>488</v>
      </c>
      <c r="B27">
        <v>1</v>
      </c>
    </row>
    <row r="28" spans="1:2" ht="30" x14ac:dyDescent="0.25">
      <c r="A28" s="22" t="s">
        <v>378</v>
      </c>
      <c r="B28">
        <v>2</v>
      </c>
    </row>
    <row r="29" spans="1:2" x14ac:dyDescent="0.25">
      <c r="A29" s="22" t="s">
        <v>337</v>
      </c>
      <c r="B29">
        <v>1</v>
      </c>
    </row>
    <row r="30" spans="1:2" x14ac:dyDescent="0.25">
      <c r="A30" s="22" t="s">
        <v>210</v>
      </c>
      <c r="B30">
        <v>1</v>
      </c>
    </row>
    <row r="31" spans="1:2" x14ac:dyDescent="0.25">
      <c r="A31" s="22" t="s">
        <v>393</v>
      </c>
      <c r="B31">
        <v>1</v>
      </c>
    </row>
    <row r="32" spans="1:2" x14ac:dyDescent="0.25">
      <c r="A32" s="22" t="s">
        <v>503</v>
      </c>
      <c r="B32">
        <v>1</v>
      </c>
    </row>
    <row r="33" spans="1:2" x14ac:dyDescent="0.25">
      <c r="A33" s="22" t="s">
        <v>467</v>
      </c>
      <c r="B33">
        <v>1</v>
      </c>
    </row>
    <row r="34" spans="1:2" ht="30" x14ac:dyDescent="0.25">
      <c r="A34" s="22" t="s">
        <v>384</v>
      </c>
      <c r="B34">
        <v>2</v>
      </c>
    </row>
    <row r="35" spans="1:2" x14ac:dyDescent="0.25">
      <c r="A35" s="22" t="s">
        <v>776</v>
      </c>
      <c r="B35">
        <v>1</v>
      </c>
    </row>
    <row r="36" spans="1:2" ht="30" x14ac:dyDescent="0.25">
      <c r="A36" s="22" t="s">
        <v>222</v>
      </c>
      <c r="B36">
        <v>1</v>
      </c>
    </row>
    <row r="37" spans="1:2" x14ac:dyDescent="0.25">
      <c r="A37" s="22" t="s">
        <v>242</v>
      </c>
      <c r="B37">
        <v>1</v>
      </c>
    </row>
    <row r="38" spans="1:2" ht="30" x14ac:dyDescent="0.25">
      <c r="A38" s="22" t="s">
        <v>289</v>
      </c>
      <c r="B38">
        <v>1</v>
      </c>
    </row>
    <row r="39" spans="1:2" ht="30" x14ac:dyDescent="0.25">
      <c r="A39" s="22" t="s">
        <v>571</v>
      </c>
      <c r="B39">
        <v>1</v>
      </c>
    </row>
    <row r="40" spans="1:2" x14ac:dyDescent="0.25">
      <c r="A40" s="22" t="s">
        <v>207</v>
      </c>
      <c r="B40">
        <v>1</v>
      </c>
    </row>
    <row r="41" spans="1:2" x14ac:dyDescent="0.25">
      <c r="A41" s="22" t="s">
        <v>233</v>
      </c>
      <c r="B41">
        <v>3</v>
      </c>
    </row>
    <row r="42" spans="1:2" x14ac:dyDescent="0.25">
      <c r="A42" s="22" t="s">
        <v>269</v>
      </c>
      <c r="B42">
        <v>2</v>
      </c>
    </row>
    <row r="43" spans="1:2" x14ac:dyDescent="0.25">
      <c r="A43" s="22" t="s">
        <v>252</v>
      </c>
      <c r="B43">
        <v>2</v>
      </c>
    </row>
    <row r="44" spans="1:2" x14ac:dyDescent="0.25">
      <c r="A44" s="22" t="s">
        <v>309</v>
      </c>
      <c r="B44">
        <v>1</v>
      </c>
    </row>
    <row r="45" spans="1:2" x14ac:dyDescent="0.25">
      <c r="A45" s="22" t="s">
        <v>446</v>
      </c>
      <c r="B45">
        <v>1</v>
      </c>
    </row>
    <row r="46" spans="1:2" x14ac:dyDescent="0.25">
      <c r="A46" s="22" t="s">
        <v>683</v>
      </c>
      <c r="B46">
        <v>2</v>
      </c>
    </row>
    <row r="47" spans="1:2" ht="30" x14ac:dyDescent="0.25">
      <c r="A47" s="22" t="s">
        <v>555</v>
      </c>
      <c r="B47">
        <v>4</v>
      </c>
    </row>
    <row r="48" spans="1:2" x14ac:dyDescent="0.25">
      <c r="A48" s="22" t="s">
        <v>396</v>
      </c>
      <c r="B48">
        <v>2</v>
      </c>
    </row>
    <row r="49" spans="1:2" x14ac:dyDescent="0.25">
      <c r="A49" s="22" t="s">
        <v>315</v>
      </c>
      <c r="B49">
        <v>1</v>
      </c>
    </row>
    <row r="50" spans="1:2" x14ac:dyDescent="0.25">
      <c r="A50" s="22" t="s">
        <v>399</v>
      </c>
      <c r="B50">
        <v>1</v>
      </c>
    </row>
    <row r="51" spans="1:2" ht="30" x14ac:dyDescent="0.25">
      <c r="A51" s="22" t="s">
        <v>758</v>
      </c>
      <c r="B51">
        <v>1</v>
      </c>
    </row>
    <row r="52" spans="1:2" x14ac:dyDescent="0.25">
      <c r="A52" s="22" t="s">
        <v>517</v>
      </c>
      <c r="B52">
        <v>1</v>
      </c>
    </row>
    <row r="53" spans="1:2" ht="30" x14ac:dyDescent="0.25">
      <c r="A53" s="22" t="s">
        <v>228</v>
      </c>
      <c r="B53">
        <v>2</v>
      </c>
    </row>
    <row r="54" spans="1:2" x14ac:dyDescent="0.25">
      <c r="A54" s="22" t="s">
        <v>595</v>
      </c>
      <c r="B54">
        <v>1</v>
      </c>
    </row>
    <row r="55" spans="1:2" x14ac:dyDescent="0.25">
      <c r="A55" s="22" t="s">
        <v>352</v>
      </c>
      <c r="B55">
        <v>2</v>
      </c>
    </row>
    <row r="56" spans="1:2" x14ac:dyDescent="0.25">
      <c r="A56" s="22" t="s">
        <v>491</v>
      </c>
      <c r="B56">
        <v>1</v>
      </c>
    </row>
    <row r="57" spans="1:2" ht="30" x14ac:dyDescent="0.25">
      <c r="A57" s="22" t="s">
        <v>368</v>
      </c>
      <c r="B57">
        <v>1</v>
      </c>
    </row>
    <row r="58" spans="1:2" x14ac:dyDescent="0.25">
      <c r="A58" s="22" t="s">
        <v>219</v>
      </c>
      <c r="B58">
        <v>1</v>
      </c>
    </row>
    <row r="59" spans="1:2" x14ac:dyDescent="0.25">
      <c r="A59" s="22" t="s">
        <v>283</v>
      </c>
      <c r="B59">
        <v>1</v>
      </c>
    </row>
    <row r="60" spans="1:2" x14ac:dyDescent="0.25">
      <c r="A60" s="22" t="s">
        <v>318</v>
      </c>
      <c r="B60">
        <v>6</v>
      </c>
    </row>
    <row r="61" spans="1:2" x14ac:dyDescent="0.25">
      <c r="A61" s="22" t="s">
        <v>478</v>
      </c>
      <c r="B61">
        <v>3</v>
      </c>
    </row>
    <row r="62" spans="1:2" x14ac:dyDescent="0.25">
      <c r="A62" s="22" t="s">
        <v>771</v>
      </c>
      <c r="B62">
        <v>1</v>
      </c>
    </row>
    <row r="63" spans="1:2" ht="30" x14ac:dyDescent="0.25">
      <c r="A63" s="22" t="s">
        <v>433</v>
      </c>
      <c r="B63">
        <v>1</v>
      </c>
    </row>
    <row r="64" spans="1:2" x14ac:dyDescent="0.25">
      <c r="A64" s="22" t="s">
        <v>225</v>
      </c>
      <c r="B64">
        <v>1</v>
      </c>
    </row>
    <row r="65" spans="1:2" x14ac:dyDescent="0.25">
      <c r="A65" s="22" t="s">
        <v>381</v>
      </c>
      <c r="B65">
        <v>2</v>
      </c>
    </row>
    <row r="66" spans="1:2" ht="30" x14ac:dyDescent="0.25">
      <c r="A66" s="22" t="s">
        <v>552</v>
      </c>
      <c r="B66">
        <v>1</v>
      </c>
    </row>
    <row r="67" spans="1:2" x14ac:dyDescent="0.25">
      <c r="A67" s="22" t="s">
        <v>563</v>
      </c>
      <c r="B67">
        <v>1</v>
      </c>
    </row>
    <row r="68" spans="1:2" x14ac:dyDescent="0.25">
      <c r="A68" s="22" t="s">
        <v>409</v>
      </c>
      <c r="B68">
        <v>1</v>
      </c>
    </row>
    <row r="69" spans="1:2" x14ac:dyDescent="0.25">
      <c r="A69" s="22" t="s">
        <v>436</v>
      </c>
      <c r="B69">
        <v>1</v>
      </c>
    </row>
    <row r="70" spans="1:2" x14ac:dyDescent="0.25">
      <c r="A70" s="22" t="s">
        <v>788</v>
      </c>
      <c r="B70">
        <v>1</v>
      </c>
    </row>
    <row r="71" spans="1:2" x14ac:dyDescent="0.25">
      <c r="A71" s="22" t="s">
        <v>328</v>
      </c>
      <c r="B71">
        <v>2</v>
      </c>
    </row>
    <row r="72" spans="1:2" ht="30" x14ac:dyDescent="0.25">
      <c r="A72" s="22" t="s">
        <v>671</v>
      </c>
      <c r="B72">
        <v>1</v>
      </c>
    </row>
    <row r="73" spans="1:2" ht="30" x14ac:dyDescent="0.25">
      <c r="A73" s="22" t="s">
        <v>280</v>
      </c>
      <c r="B73">
        <v>1</v>
      </c>
    </row>
    <row r="74" spans="1:2" x14ac:dyDescent="0.25">
      <c r="A74" s="22" t="s">
        <v>530</v>
      </c>
      <c r="B74">
        <v>1</v>
      </c>
    </row>
    <row r="75" spans="1:2" x14ac:dyDescent="0.25">
      <c r="A75" s="22" t="s">
        <v>494</v>
      </c>
      <c r="B75">
        <v>1</v>
      </c>
    </row>
    <row r="76" spans="1:2" x14ac:dyDescent="0.25">
      <c r="A76" s="22" t="s">
        <v>566</v>
      </c>
      <c r="B76">
        <v>1</v>
      </c>
    </row>
    <row r="77" spans="1:2" x14ac:dyDescent="0.25">
      <c r="A77" s="22" t="s">
        <v>363</v>
      </c>
      <c r="B77">
        <v>4</v>
      </c>
    </row>
    <row r="78" spans="1:2" ht="30" x14ac:dyDescent="0.25">
      <c r="A78" s="22" t="s">
        <v>633</v>
      </c>
      <c r="B78">
        <v>3</v>
      </c>
    </row>
    <row r="79" spans="1:2" x14ac:dyDescent="0.25">
      <c r="A79" s="22" t="s">
        <v>740</v>
      </c>
      <c r="B79">
        <v>1</v>
      </c>
    </row>
    <row r="80" spans="1:2" x14ac:dyDescent="0.25">
      <c r="A80" s="22" t="s">
        <v>611</v>
      </c>
      <c r="B80">
        <v>1</v>
      </c>
    </row>
    <row r="81" spans="1:2" x14ac:dyDescent="0.25">
      <c r="A81" s="22" t="s">
        <v>641</v>
      </c>
      <c r="B81">
        <v>1</v>
      </c>
    </row>
    <row r="82" spans="1:2" ht="30" x14ac:dyDescent="0.25">
      <c r="A82" s="22" t="s">
        <v>312</v>
      </c>
      <c r="B82">
        <v>2</v>
      </c>
    </row>
    <row r="83" spans="1:2" x14ac:dyDescent="0.25">
      <c r="A83" s="22" t="s">
        <v>195</v>
      </c>
      <c r="B83">
        <v>3</v>
      </c>
    </row>
    <row r="84" spans="1:2" ht="30" x14ac:dyDescent="0.25">
      <c r="A84" s="22" t="s">
        <v>663</v>
      </c>
      <c r="B84">
        <v>1</v>
      </c>
    </row>
    <row r="85" spans="1:2" x14ac:dyDescent="0.25">
      <c r="A85" s="22" t="s">
        <v>653</v>
      </c>
      <c r="B85">
        <v>2</v>
      </c>
    </row>
    <row r="86" spans="1:2" x14ac:dyDescent="0.25">
      <c r="A86" s="22" t="s">
        <v>258</v>
      </c>
      <c r="B86">
        <v>1</v>
      </c>
    </row>
    <row r="87" spans="1:2" x14ac:dyDescent="0.25">
      <c r="A87" s="22" t="s">
        <v>618</v>
      </c>
      <c r="B87">
        <v>1</v>
      </c>
    </row>
    <row r="88" spans="1:2" x14ac:dyDescent="0.25">
      <c r="A88" s="22" t="s">
        <v>623</v>
      </c>
      <c r="B88">
        <v>1</v>
      </c>
    </row>
    <row r="89" spans="1:2" x14ac:dyDescent="0.25">
      <c r="A89" s="22" t="s">
        <v>239</v>
      </c>
      <c r="B89">
        <v>7</v>
      </c>
    </row>
    <row r="90" spans="1:2" x14ac:dyDescent="0.25">
      <c r="A90" s="22" t="s">
        <v>674</v>
      </c>
      <c r="B90">
        <v>1</v>
      </c>
    </row>
    <row r="91" spans="1:2" x14ac:dyDescent="0.25">
      <c r="A91" s="22" t="s">
        <v>511</v>
      </c>
      <c r="B91">
        <v>1</v>
      </c>
    </row>
    <row r="92" spans="1:2" x14ac:dyDescent="0.25">
      <c r="A92" s="22" t="s">
        <v>190</v>
      </c>
      <c r="B92">
        <v>32</v>
      </c>
    </row>
    <row r="93" spans="1:2" ht="30" x14ac:dyDescent="0.25">
      <c r="A93" s="22" t="s">
        <v>255</v>
      </c>
      <c r="B93">
        <v>5</v>
      </c>
    </row>
    <row r="94" spans="1:2" ht="30" x14ac:dyDescent="0.25">
      <c r="A94" s="22" t="s">
        <v>201</v>
      </c>
      <c r="B94">
        <v>2</v>
      </c>
    </row>
    <row r="95" spans="1:2" x14ac:dyDescent="0.25">
      <c r="A95" s="22" t="s">
        <v>592</v>
      </c>
      <c r="B95">
        <v>1</v>
      </c>
    </row>
    <row r="96" spans="1:2" x14ac:dyDescent="0.25">
      <c r="A96" s="22" t="s">
        <v>360</v>
      </c>
      <c r="B96">
        <v>1</v>
      </c>
    </row>
    <row r="97" spans="1:2" x14ac:dyDescent="0.25">
      <c r="A97" s="22" t="s">
        <v>656</v>
      </c>
      <c r="B97">
        <v>1</v>
      </c>
    </row>
    <row r="98" spans="1:2" x14ac:dyDescent="0.25">
      <c r="A98" s="22" t="s">
        <v>263</v>
      </c>
      <c r="B98">
        <v>1</v>
      </c>
    </row>
    <row r="99" spans="1:2" x14ac:dyDescent="0.25">
      <c r="A99" s="22" t="s">
        <v>691</v>
      </c>
      <c r="B99">
        <v>1</v>
      </c>
    </row>
    <row r="100" spans="1:2" x14ac:dyDescent="0.25">
      <c r="A100" s="22" t="s">
        <v>686</v>
      </c>
      <c r="B100">
        <v>1</v>
      </c>
    </row>
    <row r="101" spans="1:2" ht="30" x14ac:dyDescent="0.25">
      <c r="A101" s="22" t="s">
        <v>481</v>
      </c>
      <c r="B101">
        <v>1</v>
      </c>
    </row>
    <row r="102" spans="1:2" x14ac:dyDescent="0.25">
      <c r="A102" s="22" t="s">
        <v>578</v>
      </c>
      <c r="B102">
        <v>2</v>
      </c>
    </row>
    <row r="103" spans="1:2" ht="30" x14ac:dyDescent="0.25">
      <c r="A103" s="22" t="s">
        <v>644</v>
      </c>
      <c r="B103">
        <v>1</v>
      </c>
    </row>
    <row r="104" spans="1:2" x14ac:dyDescent="0.25">
      <c r="A104" s="22" t="s">
        <v>470</v>
      </c>
      <c r="B104">
        <v>1</v>
      </c>
    </row>
    <row r="105" spans="1:2" x14ac:dyDescent="0.25">
      <c r="A105" s="22" t="s">
        <v>343</v>
      </c>
      <c r="B105">
        <v>1</v>
      </c>
    </row>
    <row r="106" spans="1:2" x14ac:dyDescent="0.25">
      <c r="A106" s="22" t="s">
        <v>500</v>
      </c>
      <c r="B106">
        <v>2</v>
      </c>
    </row>
    <row r="107" spans="1:2" x14ac:dyDescent="0.25">
      <c r="A107" s="22" t="s">
        <v>475</v>
      </c>
      <c r="B107">
        <v>2</v>
      </c>
    </row>
    <row r="108" spans="1:2" x14ac:dyDescent="0.25">
      <c r="A108" s="22" t="s">
        <v>497</v>
      </c>
      <c r="B108">
        <v>1</v>
      </c>
    </row>
    <row r="109" spans="1:2" ht="30" x14ac:dyDescent="0.25">
      <c r="A109" s="22" t="s">
        <v>812</v>
      </c>
      <c r="B109">
        <v>1</v>
      </c>
    </row>
    <row r="110" spans="1:2" x14ac:dyDescent="0.25">
      <c r="A110" s="22" t="s">
        <v>514</v>
      </c>
      <c r="B110">
        <v>3</v>
      </c>
    </row>
    <row r="111" spans="1:2" ht="30" x14ac:dyDescent="0.25">
      <c r="A111" s="22" t="s">
        <v>785</v>
      </c>
      <c r="B111">
        <v>1</v>
      </c>
    </row>
    <row r="112" spans="1:2" x14ac:dyDescent="0.25">
      <c r="A112" s="22" t="s">
        <v>404</v>
      </c>
      <c r="B112">
        <v>1</v>
      </c>
    </row>
    <row r="113" spans="1:2" x14ac:dyDescent="0.25">
      <c r="A113" s="22" t="s">
        <v>535</v>
      </c>
      <c r="B113">
        <v>2</v>
      </c>
    </row>
    <row r="114" spans="1:2" ht="30" x14ac:dyDescent="0.25">
      <c r="A114" s="22" t="s">
        <v>415</v>
      </c>
      <c r="B114">
        <v>1</v>
      </c>
    </row>
    <row r="115" spans="1:2" x14ac:dyDescent="0.25">
      <c r="A115" s="22" t="s">
        <v>266</v>
      </c>
      <c r="B115">
        <v>2</v>
      </c>
    </row>
    <row r="116" spans="1:2" x14ac:dyDescent="0.25">
      <c r="A116" s="22" t="s">
        <v>520</v>
      </c>
      <c r="B116">
        <v>1</v>
      </c>
    </row>
    <row r="117" spans="1:2" ht="30" x14ac:dyDescent="0.25">
      <c r="A117" s="22" t="s">
        <v>249</v>
      </c>
      <c r="B117">
        <v>2</v>
      </c>
    </row>
    <row r="118" spans="1:2" ht="30" x14ac:dyDescent="0.25">
      <c r="A118" s="22" t="s">
        <v>636</v>
      </c>
      <c r="B118">
        <v>1</v>
      </c>
    </row>
    <row r="119" spans="1:2" x14ac:dyDescent="0.25">
      <c r="A119" s="22" t="s">
        <v>451</v>
      </c>
      <c r="B119">
        <v>1</v>
      </c>
    </row>
    <row r="120" spans="1:2" x14ac:dyDescent="0.25">
      <c r="A120" s="22" t="s">
        <v>462</v>
      </c>
      <c r="B120">
        <v>1</v>
      </c>
    </row>
    <row r="121" spans="1:2" x14ac:dyDescent="0.25">
      <c r="A121" s="22" t="s">
        <v>236</v>
      </c>
      <c r="B121">
        <v>1</v>
      </c>
    </row>
    <row r="122" spans="1:2" ht="30" x14ac:dyDescent="0.25">
      <c r="A122" s="22" t="s">
        <v>668</v>
      </c>
      <c r="B122">
        <v>1</v>
      </c>
    </row>
    <row r="123" spans="1:2" x14ac:dyDescent="0.25">
      <c r="A123" s="22" t="s">
        <v>420</v>
      </c>
      <c r="B123">
        <v>1</v>
      </c>
    </row>
    <row r="124" spans="1:2" x14ac:dyDescent="0.25">
      <c r="A124" s="22" t="s">
        <v>412</v>
      </c>
      <c r="B124">
        <v>1</v>
      </c>
    </row>
    <row r="125" spans="1:2" x14ac:dyDescent="0.25">
      <c r="A125" s="22" t="s">
        <v>525</v>
      </c>
      <c r="B125">
        <v>1</v>
      </c>
    </row>
    <row r="126" spans="1:2" x14ac:dyDescent="0.25">
      <c r="A126" s="22" t="s">
        <v>423</v>
      </c>
      <c r="B126">
        <v>1</v>
      </c>
    </row>
    <row r="127" spans="1:2" ht="30" x14ac:dyDescent="0.25">
      <c r="A127" s="22" t="s">
        <v>558</v>
      </c>
      <c r="B127">
        <v>1</v>
      </c>
    </row>
    <row r="128" spans="1:2" x14ac:dyDescent="0.25">
      <c r="A128" s="22" t="s">
        <v>708</v>
      </c>
      <c r="B128">
        <v>1</v>
      </c>
    </row>
    <row r="129" spans="1:2" x14ac:dyDescent="0.25">
      <c r="A129" s="22" t="s">
        <v>286</v>
      </c>
      <c r="B129">
        <v>1</v>
      </c>
    </row>
    <row r="130" spans="1:2" x14ac:dyDescent="0.25">
      <c r="A130" s="22" t="s">
        <v>325</v>
      </c>
      <c r="B130">
        <v>11</v>
      </c>
    </row>
    <row r="131" spans="1:2" x14ac:dyDescent="0.25">
      <c r="A131" s="22" t="s">
        <v>204</v>
      </c>
      <c r="B131">
        <v>16</v>
      </c>
    </row>
    <row r="132" spans="1:2" x14ac:dyDescent="0.25">
      <c r="A132" s="22" t="s">
        <v>721</v>
      </c>
      <c r="B132">
        <v>1</v>
      </c>
    </row>
    <row r="133" spans="1:2" x14ac:dyDescent="0.25">
      <c r="A133" s="22" t="s">
        <v>818</v>
      </c>
      <c r="B133">
        <v>252</v>
      </c>
    </row>
    <row r="134" spans="1:2" x14ac:dyDescent="0.25">
      <c r="A13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U253"/>
  <sheetViews>
    <sheetView zoomScale="70" zoomScaleNormal="70" workbookViewId="0">
      <selection activeCell="BG1" sqref="BG1:BP2"/>
    </sheetView>
  </sheetViews>
  <sheetFormatPr defaultColWidth="8.85546875" defaultRowHeight="15" x14ac:dyDescent="0.25"/>
  <cols>
    <col min="1" max="1" width="3.85546875" style="15" customWidth="1"/>
    <col min="2" max="2" width="13.140625" style="19" customWidth="1"/>
    <col min="3" max="3" width="79.42578125" style="19" customWidth="1"/>
    <col min="4" max="8" width="27.7109375" style="19" customWidth="1"/>
    <col min="9" max="13" width="16.28515625" style="19" customWidth="1"/>
    <col min="14" max="38" width="32.7109375" style="19" customWidth="1"/>
    <col min="39" max="43" width="17.5703125" style="19" customWidth="1"/>
    <col min="44" max="48" width="30.28515625" style="19" customWidth="1"/>
    <col min="49" max="53" width="30.85546875" style="19" customWidth="1"/>
    <col min="54" max="58" width="32" style="19" customWidth="1"/>
    <col min="59" max="63" width="23.7109375" style="19" customWidth="1"/>
    <col min="64" max="68" width="24.42578125" style="19" customWidth="1"/>
    <col min="69" max="73" width="31.5703125" style="19" customWidth="1"/>
    <col min="74" max="16384" width="8.85546875" style="15"/>
  </cols>
  <sheetData>
    <row r="1" spans="1:73" ht="25.5" x14ac:dyDescent="0.25">
      <c r="A1" s="12" t="s">
        <v>0</v>
      </c>
      <c r="B1" s="13" t="s">
        <v>3</v>
      </c>
      <c r="C1" s="13" t="s">
        <v>4</v>
      </c>
      <c r="D1" s="13" t="s">
        <v>15</v>
      </c>
      <c r="E1" s="13" t="s">
        <v>16</v>
      </c>
      <c r="F1" s="13" t="s">
        <v>17</v>
      </c>
      <c r="G1" s="13" t="s">
        <v>18</v>
      </c>
      <c r="H1" s="13" t="s">
        <v>19</v>
      </c>
      <c r="I1" s="13" t="s">
        <v>40</v>
      </c>
      <c r="J1" s="13" t="s">
        <v>41</v>
      </c>
      <c r="K1" s="13" t="s">
        <v>42</v>
      </c>
      <c r="L1" s="13" t="s">
        <v>43</v>
      </c>
      <c r="M1" s="13" t="s">
        <v>44</v>
      </c>
      <c r="N1" s="13" t="s">
        <v>45</v>
      </c>
      <c r="O1" s="13" t="s">
        <v>46</v>
      </c>
      <c r="P1" s="13" t="s">
        <v>47</v>
      </c>
      <c r="Q1" s="13" t="s">
        <v>48</v>
      </c>
      <c r="R1" s="13" t="s">
        <v>49</v>
      </c>
      <c r="S1" s="13" t="s">
        <v>55</v>
      </c>
      <c r="T1" s="13" t="s">
        <v>56</v>
      </c>
      <c r="U1" s="13" t="s">
        <v>57</v>
      </c>
      <c r="V1" s="13" t="s">
        <v>58</v>
      </c>
      <c r="W1" s="13" t="s">
        <v>59</v>
      </c>
      <c r="X1" s="13" t="s">
        <v>85</v>
      </c>
      <c r="Y1" s="13" t="s">
        <v>86</v>
      </c>
      <c r="Z1" s="13" t="s">
        <v>87</v>
      </c>
      <c r="AA1" s="13" t="s">
        <v>88</v>
      </c>
      <c r="AB1" s="13" t="s">
        <v>89</v>
      </c>
      <c r="AC1" s="13" t="s">
        <v>110</v>
      </c>
      <c r="AD1" s="13" t="s">
        <v>111</v>
      </c>
      <c r="AE1" s="13" t="s">
        <v>112</v>
      </c>
      <c r="AF1" s="13" t="s">
        <v>113</v>
      </c>
      <c r="AG1" s="13" t="s">
        <v>114</v>
      </c>
      <c r="AH1" s="13" t="s">
        <v>115</v>
      </c>
      <c r="AI1" s="13" t="s">
        <v>116</v>
      </c>
      <c r="AJ1" s="13" t="s">
        <v>117</v>
      </c>
      <c r="AK1" s="13" t="s">
        <v>118</v>
      </c>
      <c r="AL1" s="13" t="s">
        <v>119</v>
      </c>
      <c r="AM1" s="13" t="s">
        <v>135</v>
      </c>
      <c r="AN1" s="13" t="s">
        <v>136</v>
      </c>
      <c r="AO1" s="13" t="s">
        <v>137</v>
      </c>
      <c r="AP1" s="13" t="s">
        <v>138</v>
      </c>
      <c r="AQ1" s="13" t="s">
        <v>139</v>
      </c>
      <c r="AR1" s="13" t="s">
        <v>140</v>
      </c>
      <c r="AS1" s="13" t="s">
        <v>141</v>
      </c>
      <c r="AT1" s="13" t="s">
        <v>142</v>
      </c>
      <c r="AU1" s="13" t="s">
        <v>143</v>
      </c>
      <c r="AV1" s="13" t="s">
        <v>144</v>
      </c>
      <c r="AW1" s="13" t="s">
        <v>145</v>
      </c>
      <c r="AX1" s="13" t="s">
        <v>146</v>
      </c>
      <c r="AY1" s="13" t="s">
        <v>147</v>
      </c>
      <c r="AZ1" s="13" t="s">
        <v>148</v>
      </c>
      <c r="BA1" s="13" t="s">
        <v>149</v>
      </c>
      <c r="BB1" s="13" t="s">
        <v>150</v>
      </c>
      <c r="BC1" s="13" t="s">
        <v>151</v>
      </c>
      <c r="BD1" s="13" t="s">
        <v>152</v>
      </c>
      <c r="BE1" s="13" t="s">
        <v>153</v>
      </c>
      <c r="BF1" s="13" t="s">
        <v>154</v>
      </c>
      <c r="BG1" s="13" t="s">
        <v>170</v>
      </c>
      <c r="BH1" s="13" t="s">
        <v>171</v>
      </c>
      <c r="BI1" s="13" t="s">
        <v>172</v>
      </c>
      <c r="BJ1" s="13" t="s">
        <v>173</v>
      </c>
      <c r="BK1" s="13" t="s">
        <v>174</v>
      </c>
      <c r="BL1" s="13" t="s">
        <v>175</v>
      </c>
      <c r="BM1" s="13" t="s">
        <v>176</v>
      </c>
      <c r="BN1" s="13" t="s">
        <v>177</v>
      </c>
      <c r="BO1" s="13" t="s">
        <v>178</v>
      </c>
      <c r="BP1" s="13" t="s">
        <v>179</v>
      </c>
      <c r="BQ1" s="13" t="s">
        <v>180</v>
      </c>
      <c r="BR1" s="13" t="s">
        <v>181</v>
      </c>
      <c r="BS1" s="13" t="s">
        <v>182</v>
      </c>
      <c r="BT1" s="13" t="s">
        <v>183</v>
      </c>
      <c r="BU1" s="13" t="s">
        <v>184</v>
      </c>
    </row>
    <row r="2" spans="1:73" x14ac:dyDescent="0.25">
      <c r="A2" s="16">
        <v>211</v>
      </c>
      <c r="B2" s="17">
        <v>12</v>
      </c>
      <c r="C2" s="18" t="s">
        <v>721</v>
      </c>
      <c r="D2" s="17"/>
      <c r="E2" s="17"/>
      <c r="F2" s="17"/>
      <c r="G2" s="17"/>
      <c r="H2" s="17"/>
      <c r="I2" s="17"/>
      <c r="J2" s="17"/>
      <c r="K2" s="17"/>
      <c r="L2" s="17"/>
      <c r="M2" s="17"/>
      <c r="N2" s="17">
        <v>3679000</v>
      </c>
      <c r="O2" s="17">
        <v>4504000</v>
      </c>
      <c r="P2" s="17">
        <v>4254000</v>
      </c>
      <c r="Q2" s="17">
        <v>3207000</v>
      </c>
      <c r="R2" s="17">
        <v>2934000</v>
      </c>
      <c r="S2" s="17">
        <v>530000</v>
      </c>
      <c r="T2" s="17">
        <v>692000</v>
      </c>
      <c r="U2" s="17">
        <v>538000</v>
      </c>
      <c r="V2" s="17">
        <v>501000</v>
      </c>
      <c r="W2" s="17">
        <v>1000</v>
      </c>
      <c r="X2" s="17"/>
      <c r="Y2" s="17"/>
      <c r="Z2" s="17"/>
      <c r="AA2" s="17"/>
      <c r="AB2" s="17"/>
      <c r="AC2" s="17">
        <v>2145000</v>
      </c>
      <c r="AD2" s="17"/>
      <c r="AE2" s="17"/>
      <c r="AF2" s="17"/>
      <c r="AG2" s="17"/>
      <c r="AH2" s="17"/>
      <c r="AI2" s="17">
        <v>45000</v>
      </c>
      <c r="AJ2" s="17">
        <v>62000</v>
      </c>
      <c r="AK2" s="17">
        <v>58000</v>
      </c>
      <c r="AL2" s="17">
        <v>58000</v>
      </c>
      <c r="AM2" s="17">
        <v>10962000</v>
      </c>
      <c r="AN2" s="17">
        <v>14691000</v>
      </c>
      <c r="AO2" s="17">
        <v>1920000</v>
      </c>
      <c r="AP2" s="17">
        <v>1612000</v>
      </c>
      <c r="AQ2" s="17"/>
      <c r="AR2" s="17">
        <v>9598000</v>
      </c>
      <c r="AS2" s="17">
        <v>10237000</v>
      </c>
      <c r="AT2" s="17">
        <v>1974000</v>
      </c>
      <c r="AU2" s="17">
        <v>2505000</v>
      </c>
      <c r="AV2" s="17">
        <v>279000</v>
      </c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>
        <v>27000</v>
      </c>
      <c r="BH2" s="17">
        <v>6000</v>
      </c>
      <c r="BI2" s="17">
        <v>7000</v>
      </c>
      <c r="BJ2" s="17">
        <v>11000</v>
      </c>
      <c r="BK2" s="17"/>
      <c r="BL2" s="17">
        <v>258000</v>
      </c>
      <c r="BM2" s="17">
        <v>130000</v>
      </c>
      <c r="BN2" s="17">
        <v>270000</v>
      </c>
      <c r="BO2" s="17">
        <v>56000</v>
      </c>
      <c r="BP2" s="17">
        <v>9000</v>
      </c>
      <c r="BQ2" s="17">
        <v>1133000</v>
      </c>
      <c r="BR2" s="17">
        <v>3826000</v>
      </c>
      <c r="BS2" s="17">
        <v>-420000</v>
      </c>
      <c r="BT2" s="17">
        <v>-1064000</v>
      </c>
      <c r="BU2" s="17">
        <v>-795000</v>
      </c>
    </row>
    <row r="3" spans="1:73" x14ac:dyDescent="0.25">
      <c r="A3" s="16">
        <v>7</v>
      </c>
      <c r="B3" s="17">
        <v>17</v>
      </c>
      <c r="C3" s="18" t="s">
        <v>204</v>
      </c>
      <c r="D3" s="17">
        <v>1496000</v>
      </c>
      <c r="E3" s="17">
        <v>7205000</v>
      </c>
      <c r="F3" s="17">
        <v>6909000</v>
      </c>
      <c r="G3" s="17"/>
      <c r="H3" s="17"/>
      <c r="I3" s="17">
        <v>2205000</v>
      </c>
      <c r="J3" s="17">
        <v>608000</v>
      </c>
      <c r="K3" s="17">
        <v>500000</v>
      </c>
      <c r="L3" s="17">
        <v>233000</v>
      </c>
      <c r="M3" s="17">
        <v>233000</v>
      </c>
      <c r="N3" s="17">
        <v>38472000</v>
      </c>
      <c r="O3" s="17">
        <v>14456000</v>
      </c>
      <c r="P3" s="17">
        <v>7610000</v>
      </c>
      <c r="Q3" s="17">
        <v>17806000</v>
      </c>
      <c r="R3" s="17">
        <v>14298000</v>
      </c>
      <c r="S3" s="17">
        <v>17451000</v>
      </c>
      <c r="T3" s="17">
        <v>12106000</v>
      </c>
      <c r="U3" s="17">
        <v>1009000</v>
      </c>
      <c r="V3" s="17">
        <v>307000</v>
      </c>
      <c r="W3" s="17">
        <v>1062000</v>
      </c>
      <c r="X3" s="17">
        <v>25831000</v>
      </c>
      <c r="Y3" s="17">
        <v>-2719000</v>
      </c>
      <c r="Z3" s="17">
        <v>-9356000</v>
      </c>
      <c r="AA3" s="17">
        <v>6816000</v>
      </c>
      <c r="AB3" s="17">
        <v>-722000</v>
      </c>
      <c r="AC3" s="17"/>
      <c r="AD3" s="17"/>
      <c r="AE3" s="17"/>
      <c r="AF3" s="17"/>
      <c r="AG3" s="17"/>
      <c r="AH3" s="17">
        <v>13228000</v>
      </c>
      <c r="AI3" s="17">
        <v>25791000</v>
      </c>
      <c r="AJ3" s="17">
        <v>24330000</v>
      </c>
      <c r="AK3" s="17">
        <v>11515000</v>
      </c>
      <c r="AL3" s="17">
        <v>16300000</v>
      </c>
      <c r="AM3" s="17">
        <v>111609000</v>
      </c>
      <c r="AN3" s="17">
        <v>32742000</v>
      </c>
      <c r="AO3" s="17">
        <v>7778000</v>
      </c>
      <c r="AP3" s="17">
        <v>3700000</v>
      </c>
      <c r="AQ3" s="17"/>
      <c r="AR3" s="17">
        <v>94923000</v>
      </c>
      <c r="AS3" s="17">
        <v>28040000</v>
      </c>
      <c r="AT3" s="17">
        <v>15221000</v>
      </c>
      <c r="AU3" s="17">
        <v>11887000</v>
      </c>
      <c r="AV3" s="17">
        <v>688000</v>
      </c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>
        <v>168000</v>
      </c>
      <c r="BH3" s="17">
        <v>1626000</v>
      </c>
      <c r="BI3" s="17">
        <v>2486000</v>
      </c>
      <c r="BJ3" s="17">
        <v>19356000</v>
      </c>
      <c r="BK3" s="17">
        <v>11000</v>
      </c>
      <c r="BL3" s="17">
        <v>596000</v>
      </c>
      <c r="BM3" s="17">
        <v>26201000</v>
      </c>
      <c r="BN3" s="17">
        <v>545000</v>
      </c>
      <c r="BO3" s="17">
        <v>8256000</v>
      </c>
      <c r="BP3" s="17">
        <v>6749000</v>
      </c>
      <c r="BQ3" s="17">
        <v>14845000</v>
      </c>
      <c r="BR3" s="17">
        <v>-20960000</v>
      </c>
      <c r="BS3" s="17">
        <v>-5625000</v>
      </c>
      <c r="BT3" s="17">
        <v>2790000</v>
      </c>
      <c r="BU3" s="17">
        <v>-7539000</v>
      </c>
    </row>
    <row r="4" spans="1:73" x14ac:dyDescent="0.25">
      <c r="A4" s="16">
        <v>39</v>
      </c>
      <c r="B4" s="17">
        <v>10</v>
      </c>
      <c r="C4" s="18" t="s">
        <v>204</v>
      </c>
      <c r="D4" s="17"/>
      <c r="E4" s="17">
        <v>39744000</v>
      </c>
      <c r="F4" s="17">
        <v>39744000</v>
      </c>
      <c r="G4" s="17"/>
      <c r="H4" s="17"/>
      <c r="I4" s="17">
        <v>34616000</v>
      </c>
      <c r="J4" s="17"/>
      <c r="K4" s="17"/>
      <c r="L4" s="17"/>
      <c r="M4" s="17"/>
      <c r="N4" s="17">
        <v>13496000</v>
      </c>
      <c r="O4" s="17">
        <v>13496000</v>
      </c>
      <c r="P4" s="17">
        <v>12511000</v>
      </c>
      <c r="Q4" s="17">
        <v>12511000</v>
      </c>
      <c r="R4" s="17">
        <v>12511000</v>
      </c>
      <c r="S4" s="17"/>
      <c r="T4" s="17"/>
      <c r="U4" s="17"/>
      <c r="V4" s="17"/>
      <c r="W4" s="17"/>
      <c r="X4" s="17">
        <v>-87698000</v>
      </c>
      <c r="Y4" s="17">
        <v>-83796000</v>
      </c>
      <c r="Z4" s="17">
        <v>-221452000</v>
      </c>
      <c r="AA4" s="17">
        <v>-261792000</v>
      </c>
      <c r="AB4" s="17">
        <v>-261792000</v>
      </c>
      <c r="AC4" s="17"/>
      <c r="AD4" s="17"/>
      <c r="AE4" s="17"/>
      <c r="AF4" s="17"/>
      <c r="AG4" s="17"/>
      <c r="AH4" s="17">
        <v>6554000</v>
      </c>
      <c r="AI4" s="17">
        <v>4563000</v>
      </c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>
        <v>3902000</v>
      </c>
      <c r="BI4" s="17"/>
      <c r="BJ4" s="17"/>
      <c r="BK4" s="17"/>
      <c r="BL4" s="17"/>
      <c r="BM4" s="17"/>
      <c r="BN4" s="17">
        <v>144918000</v>
      </c>
      <c r="BO4" s="17">
        <v>40340000</v>
      </c>
      <c r="BP4" s="17"/>
      <c r="BQ4" s="17"/>
      <c r="BR4" s="17">
        <v>3902000</v>
      </c>
      <c r="BS4" s="17">
        <v>-144918000</v>
      </c>
      <c r="BT4" s="17">
        <v>-40340000</v>
      </c>
      <c r="BU4" s="17"/>
    </row>
    <row r="5" spans="1:73" x14ac:dyDescent="0.25">
      <c r="A5" s="16">
        <v>40</v>
      </c>
      <c r="B5" s="17">
        <v>18</v>
      </c>
      <c r="C5" s="18" t="s">
        <v>204</v>
      </c>
      <c r="D5" s="17"/>
      <c r="E5" s="17"/>
      <c r="F5" s="17"/>
      <c r="G5" s="17"/>
      <c r="H5" s="17"/>
      <c r="I5" s="17">
        <v>2000</v>
      </c>
      <c r="J5" s="17">
        <v>14000</v>
      </c>
      <c r="K5" s="17"/>
      <c r="L5" s="17"/>
      <c r="M5" s="17"/>
      <c r="N5" s="17">
        <v>50798000</v>
      </c>
      <c r="O5" s="17">
        <v>62549000</v>
      </c>
      <c r="P5" s="17">
        <v>46980000</v>
      </c>
      <c r="Q5" s="17">
        <v>34234000</v>
      </c>
      <c r="R5" s="17">
        <v>26050000</v>
      </c>
      <c r="S5" s="17">
        <v>37003000</v>
      </c>
      <c r="T5" s="17">
        <v>131000</v>
      </c>
      <c r="U5" s="17">
        <v>519000</v>
      </c>
      <c r="V5" s="17">
        <v>488000</v>
      </c>
      <c r="W5" s="17">
        <v>1301000</v>
      </c>
      <c r="X5" s="17"/>
      <c r="Y5" s="17">
        <v>560000</v>
      </c>
      <c r="Z5" s="17">
        <v>560000</v>
      </c>
      <c r="AA5" s="17">
        <v>-9405000</v>
      </c>
      <c r="AB5" s="17">
        <v>-15365000</v>
      </c>
      <c r="AC5" s="17"/>
      <c r="AD5" s="17"/>
      <c r="AE5" s="17"/>
      <c r="AF5" s="17"/>
      <c r="AG5" s="17"/>
      <c r="AH5" s="17">
        <v>47342000</v>
      </c>
      <c r="AI5" s="17">
        <v>12091000</v>
      </c>
      <c r="AJ5" s="17">
        <v>41779000</v>
      </c>
      <c r="AK5" s="17">
        <v>43967000</v>
      </c>
      <c r="AL5" s="17">
        <v>42556000</v>
      </c>
      <c r="AM5" s="17">
        <v>115998000</v>
      </c>
      <c r="AN5" s="17">
        <v>85622000</v>
      </c>
      <c r="AO5" s="17"/>
      <c r="AP5" s="17"/>
      <c r="AQ5" s="17"/>
      <c r="AR5" s="17">
        <v>100954000</v>
      </c>
      <c r="AS5" s="17">
        <v>62571000</v>
      </c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>
        <v>33510000</v>
      </c>
      <c r="BH5" s="17">
        <v>2063000</v>
      </c>
      <c r="BI5" s="17"/>
      <c r="BJ5" s="17"/>
      <c r="BK5" s="17"/>
      <c r="BL5" s="17">
        <v>55671000</v>
      </c>
      <c r="BM5" s="17">
        <v>14375000</v>
      </c>
      <c r="BN5" s="17"/>
      <c r="BO5" s="17">
        <v>9405000</v>
      </c>
      <c r="BP5" s="17">
        <v>5960000</v>
      </c>
      <c r="BQ5" s="17">
        <v>-7329000</v>
      </c>
      <c r="BR5" s="17">
        <v>8687000</v>
      </c>
      <c r="BS5" s="17"/>
      <c r="BT5" s="17">
        <v>-9405000</v>
      </c>
      <c r="BU5" s="17">
        <v>-5960000</v>
      </c>
    </row>
    <row r="6" spans="1:73" x14ac:dyDescent="0.25">
      <c r="A6" s="16">
        <v>54</v>
      </c>
      <c r="B6" s="17">
        <v>16</v>
      </c>
      <c r="C6" s="18" t="s">
        <v>204</v>
      </c>
      <c r="D6" s="17"/>
      <c r="E6" s="17"/>
      <c r="F6" s="17"/>
      <c r="G6" s="17"/>
      <c r="H6" s="17"/>
      <c r="I6" s="17">
        <v>67000</v>
      </c>
      <c r="J6" s="17"/>
      <c r="K6" s="17"/>
      <c r="L6" s="17"/>
      <c r="M6" s="17"/>
      <c r="N6" s="17">
        <v>3123000</v>
      </c>
      <c r="O6" s="17">
        <v>93386000</v>
      </c>
      <c r="P6" s="17"/>
      <c r="Q6" s="17"/>
      <c r="R6" s="17"/>
      <c r="S6" s="17">
        <v>270000</v>
      </c>
      <c r="T6" s="17">
        <v>4114000</v>
      </c>
      <c r="U6" s="17"/>
      <c r="V6" s="17"/>
      <c r="W6" s="17"/>
      <c r="X6" s="17">
        <v>-186261000</v>
      </c>
      <c r="Y6" s="17">
        <v>-90345000</v>
      </c>
      <c r="Z6" s="17"/>
      <c r="AA6" s="17"/>
      <c r="AB6" s="17"/>
      <c r="AC6" s="17"/>
      <c r="AD6" s="17"/>
      <c r="AE6" s="17"/>
      <c r="AF6" s="17"/>
      <c r="AG6" s="17"/>
      <c r="AH6" s="17">
        <v>183559000</v>
      </c>
      <c r="AI6" s="17">
        <v>181748000</v>
      </c>
      <c r="AJ6" s="17"/>
      <c r="AK6" s="17"/>
      <c r="AL6" s="17"/>
      <c r="AM6" s="17">
        <v>26517000</v>
      </c>
      <c r="AN6" s="17"/>
      <c r="AO6" s="17"/>
      <c r="AP6" s="17"/>
      <c r="AQ6" s="17"/>
      <c r="AR6" s="17">
        <v>18849000</v>
      </c>
      <c r="AS6" s="17"/>
      <c r="AT6" s="17"/>
      <c r="AU6" s="17"/>
      <c r="AV6" s="17"/>
      <c r="AW6" s="17"/>
      <c r="AX6" s="17"/>
      <c r="AY6" s="17"/>
      <c r="AZ6" s="17"/>
      <c r="BA6" s="17"/>
      <c r="BB6" s="17">
        <v>1353000</v>
      </c>
      <c r="BC6" s="17"/>
      <c r="BD6" s="17"/>
      <c r="BE6" s="17"/>
      <c r="BF6" s="17"/>
      <c r="BG6" s="17">
        <v>20425000</v>
      </c>
      <c r="BH6" s="17">
        <v>132179000</v>
      </c>
      <c r="BI6" s="17"/>
      <c r="BJ6" s="17"/>
      <c r="BK6" s="17"/>
      <c r="BL6" s="17">
        <v>26550000</v>
      </c>
      <c r="BM6" s="17">
        <v>36250000</v>
      </c>
      <c r="BN6" s="17"/>
      <c r="BO6" s="17"/>
      <c r="BP6" s="17"/>
      <c r="BQ6" s="17">
        <v>190000</v>
      </c>
      <c r="BR6" s="17">
        <v>95929000</v>
      </c>
      <c r="BS6" s="17"/>
      <c r="BT6" s="17"/>
      <c r="BU6" s="17"/>
    </row>
    <row r="7" spans="1:73" x14ac:dyDescent="0.25">
      <c r="A7" s="16">
        <v>69</v>
      </c>
      <c r="B7" s="17">
        <v>30</v>
      </c>
      <c r="C7" s="18" t="s">
        <v>204</v>
      </c>
      <c r="D7" s="17">
        <v>941000</v>
      </c>
      <c r="E7" s="17">
        <v>557000</v>
      </c>
      <c r="F7" s="17">
        <v>318000</v>
      </c>
      <c r="G7" s="17"/>
      <c r="H7" s="17"/>
      <c r="I7" s="17">
        <v>846000</v>
      </c>
      <c r="J7" s="17"/>
      <c r="K7" s="17"/>
      <c r="L7" s="17"/>
      <c r="M7" s="17"/>
      <c r="N7" s="17">
        <v>4582000</v>
      </c>
      <c r="O7" s="17">
        <v>2631000</v>
      </c>
      <c r="P7" s="17">
        <v>3185000</v>
      </c>
      <c r="Q7" s="17">
        <v>2881000</v>
      </c>
      <c r="R7" s="17">
        <v>2747000</v>
      </c>
      <c r="S7" s="17">
        <v>3730000</v>
      </c>
      <c r="T7" s="17">
        <v>71000</v>
      </c>
      <c r="U7" s="17">
        <v>5110000</v>
      </c>
      <c r="V7" s="17">
        <v>1847000</v>
      </c>
      <c r="W7" s="17">
        <v>962000</v>
      </c>
      <c r="X7" s="17">
        <v>-23062000</v>
      </c>
      <c r="Y7" s="17">
        <v>-32063000</v>
      </c>
      <c r="Z7" s="17">
        <v>-30310000</v>
      </c>
      <c r="AA7" s="17">
        <v>-32354000</v>
      </c>
      <c r="AB7" s="17">
        <v>-33423000</v>
      </c>
      <c r="AC7" s="17"/>
      <c r="AD7" s="17"/>
      <c r="AE7" s="17"/>
      <c r="AF7" s="17"/>
      <c r="AG7" s="17"/>
      <c r="AH7" s="17">
        <v>17781000</v>
      </c>
      <c r="AI7" s="17">
        <v>24777000</v>
      </c>
      <c r="AJ7" s="17">
        <v>28515000</v>
      </c>
      <c r="AK7" s="17">
        <v>28017000</v>
      </c>
      <c r="AL7" s="17">
        <v>28101000</v>
      </c>
      <c r="AM7" s="17">
        <v>13987000</v>
      </c>
      <c r="AN7" s="17">
        <v>13120000</v>
      </c>
      <c r="AO7" s="17">
        <v>1376000</v>
      </c>
      <c r="AP7" s="17">
        <v>8000</v>
      </c>
      <c r="AQ7" s="17">
        <v>7000</v>
      </c>
      <c r="AR7" s="17">
        <v>11526000</v>
      </c>
      <c r="AS7" s="17">
        <v>12879000</v>
      </c>
      <c r="AT7" s="17">
        <v>5446000</v>
      </c>
      <c r="AU7" s="17"/>
      <c r="AV7" s="17"/>
      <c r="AW7" s="17"/>
      <c r="AX7" s="17"/>
      <c r="AY7" s="17"/>
      <c r="AZ7" s="17"/>
      <c r="BA7" s="17"/>
      <c r="BB7" s="17">
        <v>8751000</v>
      </c>
      <c r="BC7" s="17">
        <v>8655000</v>
      </c>
      <c r="BD7" s="17">
        <v>1182000</v>
      </c>
      <c r="BE7" s="17">
        <v>1021000</v>
      </c>
      <c r="BF7" s="17">
        <v>973000</v>
      </c>
      <c r="BG7" s="17">
        <v>238000</v>
      </c>
      <c r="BH7" s="17">
        <v>643000</v>
      </c>
      <c r="BI7" s="17">
        <v>18211000</v>
      </c>
      <c r="BJ7" s="17"/>
      <c r="BK7" s="17"/>
      <c r="BL7" s="17">
        <v>192000</v>
      </c>
      <c r="BM7" s="17">
        <v>217000</v>
      </c>
      <c r="BN7" s="17">
        <v>442000</v>
      </c>
      <c r="BO7" s="17">
        <v>571000</v>
      </c>
      <c r="BP7" s="17">
        <v>64000</v>
      </c>
      <c r="BQ7" s="17">
        <v>-5980000</v>
      </c>
      <c r="BR7" s="17">
        <v>-7905000</v>
      </c>
      <c r="BS7" s="17">
        <v>10788000</v>
      </c>
      <c r="BT7" s="17">
        <v>-1726000</v>
      </c>
      <c r="BU7" s="17">
        <v>-1069000</v>
      </c>
    </row>
    <row r="8" spans="1:73" x14ac:dyDescent="0.25">
      <c r="A8" s="16">
        <v>77</v>
      </c>
      <c r="B8" s="17">
        <v>18</v>
      </c>
      <c r="C8" s="18" t="s">
        <v>204</v>
      </c>
      <c r="D8" s="17"/>
      <c r="E8" s="17"/>
      <c r="F8" s="17"/>
      <c r="G8" s="17"/>
      <c r="H8" s="17"/>
      <c r="I8" s="17"/>
      <c r="J8" s="17"/>
      <c r="K8" s="17"/>
      <c r="L8" s="17"/>
      <c r="M8" s="17"/>
      <c r="N8" s="17">
        <v>29978000</v>
      </c>
      <c r="O8" s="17">
        <v>40222000</v>
      </c>
      <c r="P8" s="17">
        <v>39642000</v>
      </c>
      <c r="Q8" s="17">
        <v>37340000</v>
      </c>
      <c r="R8" s="17">
        <v>35920000</v>
      </c>
      <c r="S8" s="17">
        <v>1755000</v>
      </c>
      <c r="T8" s="17">
        <v>1582000</v>
      </c>
      <c r="U8" s="17">
        <v>1776000</v>
      </c>
      <c r="V8" s="17">
        <v>1333000</v>
      </c>
      <c r="W8" s="17">
        <v>563000</v>
      </c>
      <c r="X8" s="17">
        <v>-67998000</v>
      </c>
      <c r="Y8" s="17">
        <v>-13291000</v>
      </c>
      <c r="Z8" s="17">
        <v>-13291000</v>
      </c>
      <c r="AA8" s="17">
        <v>-13291000</v>
      </c>
      <c r="AB8" s="17">
        <v>-13291000</v>
      </c>
      <c r="AC8" s="17">
        <v>99721000</v>
      </c>
      <c r="AD8" s="17"/>
      <c r="AE8" s="17"/>
      <c r="AF8" s="17"/>
      <c r="AG8" s="17"/>
      <c r="AH8" s="17"/>
      <c r="AI8" s="17">
        <v>55085000</v>
      </c>
      <c r="AJ8" s="17">
        <v>54699000</v>
      </c>
      <c r="AK8" s="17">
        <v>51954000</v>
      </c>
      <c r="AL8" s="17">
        <v>49764000</v>
      </c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>
        <v>1105000</v>
      </c>
      <c r="BD8" s="17"/>
      <c r="BE8" s="17"/>
      <c r="BF8" s="17"/>
      <c r="BG8" s="17"/>
      <c r="BH8" s="17"/>
      <c r="BI8" s="17"/>
      <c r="BJ8" s="17"/>
      <c r="BK8" s="17"/>
      <c r="BL8" s="17">
        <v>373000</v>
      </c>
      <c r="BM8" s="17"/>
      <c r="BN8" s="17"/>
      <c r="BO8" s="17"/>
      <c r="BP8" s="17"/>
      <c r="BQ8" s="17">
        <v>-373000</v>
      </c>
      <c r="BR8" s="17">
        <v>-1105000</v>
      </c>
      <c r="BS8" s="17"/>
      <c r="BT8" s="17"/>
      <c r="BU8" s="17"/>
    </row>
    <row r="9" spans="1:73" x14ac:dyDescent="0.25">
      <c r="A9" s="16">
        <v>83</v>
      </c>
      <c r="B9" s="17">
        <v>20</v>
      </c>
      <c r="C9" s="18" t="s">
        <v>204</v>
      </c>
      <c r="D9" s="17"/>
      <c r="E9" s="17"/>
      <c r="F9" s="17"/>
      <c r="G9" s="17"/>
      <c r="H9" s="17"/>
      <c r="I9" s="17"/>
      <c r="J9" s="17"/>
      <c r="K9" s="17"/>
      <c r="L9" s="17"/>
      <c r="M9" s="17"/>
      <c r="N9" s="17">
        <v>29931000</v>
      </c>
      <c r="O9" s="17">
        <v>26551000</v>
      </c>
      <c r="P9" s="17">
        <v>25385000</v>
      </c>
      <c r="Q9" s="17">
        <v>23563000</v>
      </c>
      <c r="R9" s="17">
        <v>21295000</v>
      </c>
      <c r="S9" s="17">
        <v>104000</v>
      </c>
      <c r="T9" s="17">
        <v>1088000</v>
      </c>
      <c r="U9" s="17">
        <v>345000</v>
      </c>
      <c r="V9" s="17">
        <v>27000</v>
      </c>
      <c r="W9" s="17">
        <v>82000</v>
      </c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>
        <v>53843000</v>
      </c>
      <c r="AI9" s="17">
        <v>52960000</v>
      </c>
      <c r="AJ9" s="17">
        <v>52165000</v>
      </c>
      <c r="AK9" s="17">
        <v>50591000</v>
      </c>
      <c r="AL9" s="17">
        <v>48749000</v>
      </c>
      <c r="AM9" s="17">
        <v>111000</v>
      </c>
      <c r="AN9" s="17"/>
      <c r="AO9" s="17"/>
      <c r="AP9" s="17"/>
      <c r="AQ9" s="17"/>
      <c r="AR9" s="17">
        <v>127000</v>
      </c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>
        <v>9587000</v>
      </c>
      <c r="BM9" s="17">
        <v>1513000</v>
      </c>
      <c r="BN9" s="17">
        <v>1114000</v>
      </c>
      <c r="BO9" s="17">
        <v>566000</v>
      </c>
      <c r="BP9" s="17">
        <v>371000</v>
      </c>
      <c r="BQ9" s="17">
        <v>-9671000</v>
      </c>
      <c r="BR9" s="17">
        <v>-1513000</v>
      </c>
      <c r="BS9" s="17">
        <v>-1114000</v>
      </c>
      <c r="BT9" s="17">
        <v>-566000</v>
      </c>
      <c r="BU9" s="17">
        <v>-371000</v>
      </c>
    </row>
    <row r="10" spans="1:73" x14ac:dyDescent="0.25">
      <c r="A10" s="16">
        <v>162</v>
      </c>
      <c r="B10" s="17">
        <v>14</v>
      </c>
      <c r="C10" s="18" t="s">
        <v>204</v>
      </c>
      <c r="D10" s="17"/>
      <c r="E10" s="17"/>
      <c r="F10" s="17"/>
      <c r="G10" s="17"/>
      <c r="H10" s="17"/>
      <c r="I10" s="17">
        <v>28000</v>
      </c>
      <c r="J10" s="17">
        <v>40000</v>
      </c>
      <c r="K10" s="17">
        <v>55000</v>
      </c>
      <c r="L10" s="17">
        <v>51000</v>
      </c>
      <c r="M10" s="17">
        <v>48000</v>
      </c>
      <c r="N10" s="17">
        <v>30317000</v>
      </c>
      <c r="O10" s="17">
        <v>36012000</v>
      </c>
      <c r="P10" s="17">
        <v>32511000</v>
      </c>
      <c r="Q10" s="17">
        <v>28476000</v>
      </c>
      <c r="R10" s="17">
        <v>15196000</v>
      </c>
      <c r="S10" s="17">
        <v>66000</v>
      </c>
      <c r="T10" s="17">
        <v>916000</v>
      </c>
      <c r="U10" s="17">
        <v>78000</v>
      </c>
      <c r="V10" s="17">
        <v>125000</v>
      </c>
      <c r="W10" s="17">
        <v>42000</v>
      </c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>
        <v>21618000</v>
      </c>
      <c r="AI10" s="17">
        <v>25358000</v>
      </c>
      <c r="AJ10" s="17">
        <v>23016000</v>
      </c>
      <c r="AK10" s="17">
        <v>21916000</v>
      </c>
      <c r="AL10" s="17">
        <v>14648000</v>
      </c>
      <c r="AM10" s="17">
        <v>12855000</v>
      </c>
      <c r="AN10" s="17">
        <v>7744000</v>
      </c>
      <c r="AO10" s="17"/>
      <c r="AP10" s="17"/>
      <c r="AQ10" s="17"/>
      <c r="AR10" s="17">
        <v>11697000</v>
      </c>
      <c r="AS10" s="17">
        <v>5443000</v>
      </c>
      <c r="AT10" s="17">
        <v>1347000</v>
      </c>
      <c r="AU10" s="17">
        <v>1166000</v>
      </c>
      <c r="AV10" s="17">
        <v>1197000</v>
      </c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>
        <v>124000</v>
      </c>
      <c r="BH10" s="17">
        <v>98000</v>
      </c>
      <c r="BI10" s="17">
        <v>16000</v>
      </c>
      <c r="BJ10" s="17">
        <v>137000</v>
      </c>
      <c r="BK10" s="17">
        <v>129000</v>
      </c>
      <c r="BL10" s="17">
        <v>3000</v>
      </c>
      <c r="BM10" s="17">
        <v>143000</v>
      </c>
      <c r="BN10" s="17">
        <v>613000</v>
      </c>
      <c r="BO10" s="17">
        <v>1779000</v>
      </c>
      <c r="BP10" s="17">
        <v>4886000</v>
      </c>
      <c r="BQ10" s="17">
        <v>1150000</v>
      </c>
      <c r="BR10" s="17">
        <v>2083000</v>
      </c>
      <c r="BS10" s="17">
        <v>-1964000</v>
      </c>
      <c r="BT10" s="17">
        <v>-2854000</v>
      </c>
      <c r="BU10" s="17">
        <v>-5993000</v>
      </c>
    </row>
    <row r="11" spans="1:73" x14ac:dyDescent="0.25">
      <c r="A11" s="16">
        <v>166</v>
      </c>
      <c r="B11" s="17">
        <v>14</v>
      </c>
      <c r="C11" s="18" t="s">
        <v>204</v>
      </c>
      <c r="D11" s="17"/>
      <c r="E11" s="17"/>
      <c r="F11" s="17"/>
      <c r="G11" s="17"/>
      <c r="H11" s="17"/>
      <c r="I11" s="17">
        <v>41000</v>
      </c>
      <c r="J11" s="17"/>
      <c r="K11" s="17"/>
      <c r="L11" s="17"/>
      <c r="M11" s="17"/>
      <c r="N11" s="17">
        <v>22978000</v>
      </c>
      <c r="O11" s="17">
        <v>15371000</v>
      </c>
      <c r="P11" s="17">
        <v>6136000</v>
      </c>
      <c r="Q11" s="17">
        <v>4639000</v>
      </c>
      <c r="R11" s="17">
        <v>1118000</v>
      </c>
      <c r="S11" s="17">
        <v>11335000</v>
      </c>
      <c r="T11" s="17"/>
      <c r="U11" s="17"/>
      <c r="V11" s="17"/>
      <c r="W11" s="17"/>
      <c r="X11" s="17">
        <v>-9157000</v>
      </c>
      <c r="Y11" s="17">
        <v>-10368000</v>
      </c>
      <c r="Z11" s="17">
        <v>-12020000</v>
      </c>
      <c r="AA11" s="17">
        <v>-12020000</v>
      </c>
      <c r="AB11" s="17">
        <v>-12020000</v>
      </c>
      <c r="AC11" s="17"/>
      <c r="AD11" s="17"/>
      <c r="AE11" s="17"/>
      <c r="AF11" s="17"/>
      <c r="AG11" s="17"/>
      <c r="AH11" s="17">
        <v>23920000</v>
      </c>
      <c r="AI11" s="17">
        <v>16472000</v>
      </c>
      <c r="AJ11" s="17">
        <v>18146000</v>
      </c>
      <c r="AK11" s="17">
        <v>16649000</v>
      </c>
      <c r="AL11" s="17">
        <v>13128000</v>
      </c>
      <c r="AM11" s="17">
        <v>4808000</v>
      </c>
      <c r="AN11" s="17"/>
      <c r="AO11" s="17"/>
      <c r="AP11" s="17"/>
      <c r="AQ11" s="17"/>
      <c r="AR11" s="17">
        <v>2081000</v>
      </c>
      <c r="AS11" s="17"/>
      <c r="AT11" s="17"/>
      <c r="AU11" s="17"/>
      <c r="AV11" s="17"/>
      <c r="AW11" s="17"/>
      <c r="AX11" s="17"/>
      <c r="AY11" s="17"/>
      <c r="AZ11" s="17"/>
      <c r="BA11" s="17"/>
      <c r="BB11" s="17">
        <v>3038000</v>
      </c>
      <c r="BC11" s="17">
        <v>1211000</v>
      </c>
      <c r="BD11" s="17"/>
      <c r="BE11" s="17"/>
      <c r="BF11" s="17"/>
      <c r="BG11" s="17">
        <v>600000</v>
      </c>
      <c r="BH11" s="17"/>
      <c r="BI11" s="17"/>
      <c r="BJ11" s="17"/>
      <c r="BK11" s="17"/>
      <c r="BL11" s="17">
        <v>835000</v>
      </c>
      <c r="BM11" s="17"/>
      <c r="BN11" s="17">
        <v>1652000</v>
      </c>
      <c r="BO11" s="17"/>
      <c r="BP11" s="17"/>
      <c r="BQ11" s="17">
        <v>-546000</v>
      </c>
      <c r="BR11" s="17">
        <v>-1211000</v>
      </c>
      <c r="BS11" s="17">
        <v>-1652000</v>
      </c>
      <c r="BT11" s="17"/>
      <c r="BU11" s="17"/>
    </row>
    <row r="12" spans="1:73" x14ac:dyDescent="0.25">
      <c r="A12" s="16">
        <v>181</v>
      </c>
      <c r="B12" s="17">
        <v>10</v>
      </c>
      <c r="C12" s="18" t="s">
        <v>204</v>
      </c>
      <c r="D12" s="17"/>
      <c r="E12" s="17"/>
      <c r="F12" s="17"/>
      <c r="G12" s="17"/>
      <c r="H12" s="17"/>
      <c r="I12" s="17">
        <v>213000</v>
      </c>
      <c r="J12" s="17"/>
      <c r="K12" s="17"/>
      <c r="L12" s="17"/>
      <c r="M12" s="17"/>
      <c r="N12" s="17">
        <v>12528000</v>
      </c>
      <c r="O12" s="17"/>
      <c r="P12" s="17">
        <v>11759000</v>
      </c>
      <c r="Q12" s="17">
        <v>10291000</v>
      </c>
      <c r="R12" s="17">
        <v>9934000</v>
      </c>
      <c r="S12" s="17"/>
      <c r="T12" s="17"/>
      <c r="U12" s="17"/>
      <c r="V12" s="17"/>
      <c r="W12" s="17">
        <v>26000</v>
      </c>
      <c r="X12" s="17">
        <v>-5754000</v>
      </c>
      <c r="Y12" s="17"/>
      <c r="Z12" s="17"/>
      <c r="AA12" s="17"/>
      <c r="AB12" s="17"/>
      <c r="AC12" s="17"/>
      <c r="AD12" s="17"/>
      <c r="AE12" s="17">
        <v>144000</v>
      </c>
      <c r="AF12" s="17">
        <v>144000</v>
      </c>
      <c r="AG12" s="17">
        <v>237000</v>
      </c>
      <c r="AH12" s="17">
        <v>18341000</v>
      </c>
      <c r="AI12" s="17"/>
      <c r="AJ12" s="17">
        <v>19267000</v>
      </c>
      <c r="AK12" s="17">
        <v>18989000</v>
      </c>
      <c r="AL12" s="17">
        <v>19044000</v>
      </c>
      <c r="AM12" s="17">
        <v>23416000</v>
      </c>
      <c r="AN12" s="17"/>
      <c r="AO12" s="17"/>
      <c r="AP12" s="17"/>
      <c r="AQ12" s="17"/>
      <c r="AR12" s="17">
        <v>20999000</v>
      </c>
      <c r="AS12" s="17"/>
      <c r="AT12" s="17">
        <v>1509000</v>
      </c>
      <c r="AU12" s="17">
        <v>1168000</v>
      </c>
      <c r="AV12" s="17">
        <v>473000</v>
      </c>
      <c r="AW12" s="17"/>
      <c r="AX12" s="17"/>
      <c r="AY12" s="17"/>
      <c r="AZ12" s="17"/>
      <c r="BA12" s="17"/>
      <c r="BB12" s="17">
        <v>5609000</v>
      </c>
      <c r="BC12" s="17"/>
      <c r="BD12" s="17"/>
      <c r="BE12" s="17"/>
      <c r="BF12" s="17"/>
      <c r="BG12" s="17">
        <v>128000</v>
      </c>
      <c r="BH12" s="17"/>
      <c r="BI12" s="17"/>
      <c r="BJ12" s="17"/>
      <c r="BK12" s="17"/>
      <c r="BL12" s="17">
        <v>2169000</v>
      </c>
      <c r="BM12" s="17"/>
      <c r="BN12" s="17">
        <v>4000</v>
      </c>
      <c r="BO12" s="17">
        <v>7000</v>
      </c>
      <c r="BP12" s="17">
        <v>3000</v>
      </c>
      <c r="BQ12" s="17">
        <v>-5233000</v>
      </c>
      <c r="BR12" s="17"/>
      <c r="BS12" s="17">
        <v>-1519000</v>
      </c>
      <c r="BT12" s="17">
        <v>-1189000</v>
      </c>
      <c r="BU12" s="17">
        <v>-480000</v>
      </c>
    </row>
    <row r="13" spans="1:73" x14ac:dyDescent="0.25">
      <c r="A13" s="16">
        <v>193</v>
      </c>
      <c r="B13" s="17">
        <v>13</v>
      </c>
      <c r="C13" s="18" t="s">
        <v>204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</row>
    <row r="14" spans="1:73" x14ac:dyDescent="0.25">
      <c r="A14" s="16">
        <v>198</v>
      </c>
      <c r="B14" s="17">
        <v>13</v>
      </c>
      <c r="C14" s="18" t="s">
        <v>204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>
        <v>6583000</v>
      </c>
      <c r="O14" s="17">
        <v>5496000</v>
      </c>
      <c r="P14" s="17">
        <v>2008000</v>
      </c>
      <c r="Q14" s="17">
        <v>345000</v>
      </c>
      <c r="R14" s="17">
        <v>846000</v>
      </c>
      <c r="S14" s="17">
        <v>183000</v>
      </c>
      <c r="T14" s="17">
        <v>286000</v>
      </c>
      <c r="U14" s="17">
        <v>229000</v>
      </c>
      <c r="V14" s="17">
        <v>37000</v>
      </c>
      <c r="W14" s="17">
        <v>114000</v>
      </c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>
        <v>29748000</v>
      </c>
      <c r="AI14" s="17">
        <v>29804000</v>
      </c>
      <c r="AJ14" s="17">
        <v>29104000</v>
      </c>
      <c r="AK14" s="17">
        <v>27535000</v>
      </c>
      <c r="AL14" s="17">
        <v>25389000</v>
      </c>
      <c r="AM14" s="17">
        <v>7800000</v>
      </c>
      <c r="AN14" s="17">
        <v>576000</v>
      </c>
      <c r="AO14" s="17"/>
      <c r="AP14" s="17"/>
      <c r="AQ14" s="17"/>
      <c r="AR14" s="17">
        <v>8870000</v>
      </c>
      <c r="AS14" s="17">
        <v>364000</v>
      </c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>
        <v>3682000</v>
      </c>
      <c r="BM14" s="17">
        <v>1616000</v>
      </c>
      <c r="BN14" s="17">
        <v>2845000</v>
      </c>
      <c r="BO14" s="17">
        <v>1286000</v>
      </c>
      <c r="BP14" s="17">
        <v>400000</v>
      </c>
      <c r="BQ14" s="17">
        <v>-4752000</v>
      </c>
      <c r="BR14" s="17">
        <v>-1404000</v>
      </c>
      <c r="BS14" s="17">
        <v>-2845000</v>
      </c>
      <c r="BT14" s="17">
        <v>-1286000</v>
      </c>
      <c r="BU14" s="17">
        <v>-400000</v>
      </c>
    </row>
    <row r="15" spans="1:73" x14ac:dyDescent="0.25">
      <c r="A15" s="16">
        <v>200</v>
      </c>
      <c r="B15" s="17">
        <v>9</v>
      </c>
      <c r="C15" s="18" t="s">
        <v>204</v>
      </c>
      <c r="D15" s="17"/>
      <c r="E15" s="17"/>
      <c r="F15" s="17"/>
      <c r="G15" s="17"/>
      <c r="H15" s="17"/>
      <c r="I15" s="17"/>
      <c r="J15" s="17"/>
      <c r="K15" s="17">
        <v>10000</v>
      </c>
      <c r="L15" s="17"/>
      <c r="M15" s="17"/>
      <c r="N15" s="17">
        <v>48179000</v>
      </c>
      <c r="O15" s="17">
        <v>46471000</v>
      </c>
      <c r="P15" s="17">
        <v>43818000</v>
      </c>
      <c r="Q15" s="17">
        <v>43315000</v>
      </c>
      <c r="R15" s="17"/>
      <c r="S15" s="17">
        <v>6205000</v>
      </c>
      <c r="T15" s="17">
        <v>1177000</v>
      </c>
      <c r="U15" s="17">
        <v>1130000</v>
      </c>
      <c r="V15" s="17">
        <v>123000</v>
      </c>
      <c r="W15" s="17"/>
      <c r="X15" s="17">
        <v>1199000</v>
      </c>
      <c r="Y15" s="17">
        <v>42000</v>
      </c>
      <c r="Z15" s="17">
        <v>-465000</v>
      </c>
      <c r="AA15" s="17">
        <v>-1080000</v>
      </c>
      <c r="AB15" s="17"/>
      <c r="AC15" s="17"/>
      <c r="AD15" s="17"/>
      <c r="AE15" s="17"/>
      <c r="AF15" s="17"/>
      <c r="AG15" s="17"/>
      <c r="AH15" s="17">
        <v>40268000</v>
      </c>
      <c r="AI15" s="17">
        <v>40717000</v>
      </c>
      <c r="AJ15" s="17">
        <v>40108000</v>
      </c>
      <c r="AK15" s="17">
        <v>42016000</v>
      </c>
      <c r="AL15" s="17"/>
      <c r="AM15" s="17">
        <v>49196000</v>
      </c>
      <c r="AN15" s="17">
        <v>23407000</v>
      </c>
      <c r="AO15" s="17">
        <v>8664000</v>
      </c>
      <c r="AP15" s="17">
        <v>3349000</v>
      </c>
      <c r="AQ15" s="17"/>
      <c r="AR15" s="17">
        <v>29601000</v>
      </c>
      <c r="AS15" s="17">
        <v>15977000</v>
      </c>
      <c r="AT15" s="17">
        <v>5411000</v>
      </c>
      <c r="AU15" s="17">
        <v>1945000</v>
      </c>
      <c r="AV15" s="17"/>
      <c r="AW15" s="17"/>
      <c r="AX15" s="17"/>
      <c r="AY15" s="17"/>
      <c r="AZ15" s="17"/>
      <c r="BA15" s="17"/>
      <c r="BB15" s="17">
        <v>9318000</v>
      </c>
      <c r="BC15" s="17">
        <v>7036000</v>
      </c>
      <c r="BD15" s="17">
        <v>3791000</v>
      </c>
      <c r="BE15" s="17">
        <v>2372000</v>
      </c>
      <c r="BF15" s="17"/>
      <c r="BG15" s="17">
        <v>347000</v>
      </c>
      <c r="BH15" s="17">
        <v>1114000</v>
      </c>
      <c r="BI15" s="17"/>
      <c r="BJ15" s="17">
        <v>380000</v>
      </c>
      <c r="BK15" s="17"/>
      <c r="BL15" s="17">
        <v>5336000</v>
      </c>
      <c r="BM15" s="17">
        <v>2182000</v>
      </c>
      <c r="BN15" s="17">
        <v>9000</v>
      </c>
      <c r="BO15" s="17">
        <v>29000</v>
      </c>
      <c r="BP15" s="17"/>
      <c r="BQ15" s="17">
        <v>4480000</v>
      </c>
      <c r="BR15" s="17">
        <v>-464000</v>
      </c>
      <c r="BS15" s="17">
        <v>-507000</v>
      </c>
      <c r="BT15" s="17">
        <v>-615000</v>
      </c>
      <c r="BU15" s="17"/>
    </row>
    <row r="16" spans="1:73" x14ac:dyDescent="0.25">
      <c r="A16" s="16">
        <v>203</v>
      </c>
      <c r="B16" s="17">
        <v>14</v>
      </c>
      <c r="C16" s="18" t="s">
        <v>204</v>
      </c>
      <c r="D16" s="17"/>
      <c r="E16" s="17"/>
      <c r="F16" s="17"/>
      <c r="G16" s="17"/>
      <c r="H16" s="17"/>
      <c r="I16" s="17">
        <v>3000</v>
      </c>
      <c r="J16" s="17">
        <v>572000</v>
      </c>
      <c r="K16" s="17"/>
      <c r="L16" s="17"/>
      <c r="M16" s="17"/>
      <c r="N16" s="17">
        <v>123293000</v>
      </c>
      <c r="O16" s="17">
        <v>125411000</v>
      </c>
      <c r="P16" s="17">
        <v>98648000</v>
      </c>
      <c r="Q16" s="17">
        <v>88179000</v>
      </c>
      <c r="R16" s="17">
        <v>80125000</v>
      </c>
      <c r="S16" s="17">
        <v>4114000</v>
      </c>
      <c r="T16" s="17">
        <v>725000</v>
      </c>
      <c r="U16" s="17">
        <v>10000</v>
      </c>
      <c r="V16" s="17">
        <v>220000</v>
      </c>
      <c r="W16" s="17">
        <v>393000</v>
      </c>
      <c r="X16" s="17">
        <v>-25488000</v>
      </c>
      <c r="Y16" s="17">
        <v>-25929000</v>
      </c>
      <c r="Z16" s="17">
        <v>-28969000</v>
      </c>
      <c r="AA16" s="17">
        <v>-28969000</v>
      </c>
      <c r="AB16" s="17">
        <v>-31963000</v>
      </c>
      <c r="AC16" s="17"/>
      <c r="AD16" s="17"/>
      <c r="AE16" s="17"/>
      <c r="AF16" s="17"/>
      <c r="AG16" s="17"/>
      <c r="AH16" s="17">
        <v>130630000</v>
      </c>
      <c r="AI16" s="17">
        <v>130417000</v>
      </c>
      <c r="AJ16" s="17">
        <v>127617000</v>
      </c>
      <c r="AK16" s="17">
        <v>117358000</v>
      </c>
      <c r="AL16" s="17">
        <v>112471000</v>
      </c>
      <c r="AM16" s="17">
        <v>21533000</v>
      </c>
      <c r="AN16" s="17">
        <v>384000</v>
      </c>
      <c r="AO16" s="17"/>
      <c r="AP16" s="17"/>
      <c r="AQ16" s="17"/>
      <c r="AR16" s="17">
        <v>17112000</v>
      </c>
      <c r="AS16" s="17">
        <v>385000</v>
      </c>
      <c r="AT16" s="17"/>
      <c r="AU16" s="17"/>
      <c r="AV16" s="17"/>
      <c r="AW16" s="17"/>
      <c r="AX16" s="17"/>
      <c r="AY16" s="17"/>
      <c r="AZ16" s="17"/>
      <c r="BA16" s="17"/>
      <c r="BB16" s="17">
        <v>9574000</v>
      </c>
      <c r="BC16" s="17">
        <v>133000</v>
      </c>
      <c r="BD16" s="17"/>
      <c r="BE16" s="17"/>
      <c r="BF16" s="17"/>
      <c r="BG16" s="17">
        <v>2452000</v>
      </c>
      <c r="BH16" s="17">
        <v>1000</v>
      </c>
      <c r="BI16" s="17"/>
      <c r="BJ16" s="17"/>
      <c r="BK16" s="17"/>
      <c r="BL16" s="17">
        <v>3771000</v>
      </c>
      <c r="BM16" s="17">
        <v>308000</v>
      </c>
      <c r="BN16" s="17">
        <v>3040401000</v>
      </c>
      <c r="BO16" s="17"/>
      <c r="BP16" s="17">
        <v>2994000</v>
      </c>
      <c r="BQ16" s="17">
        <v>-6472000</v>
      </c>
      <c r="BR16" s="17">
        <v>-441000</v>
      </c>
      <c r="BS16" s="17">
        <v>-3040401000</v>
      </c>
      <c r="BT16" s="17"/>
      <c r="BU16" s="17">
        <v>-2994000</v>
      </c>
    </row>
    <row r="17" spans="1:73" x14ac:dyDescent="0.25">
      <c r="A17" s="16">
        <v>204</v>
      </c>
      <c r="B17" s="17">
        <v>17</v>
      </c>
      <c r="C17" s="18" t="s">
        <v>204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>
        <v>158606000</v>
      </c>
      <c r="O17" s="17">
        <v>140746000</v>
      </c>
      <c r="P17" s="17">
        <v>134494000</v>
      </c>
      <c r="Q17" s="17">
        <v>129797000</v>
      </c>
      <c r="R17" s="17">
        <v>129097000</v>
      </c>
      <c r="S17" s="17">
        <v>3045000</v>
      </c>
      <c r="T17" s="17">
        <v>5598000</v>
      </c>
      <c r="U17" s="17">
        <v>1280000</v>
      </c>
      <c r="V17" s="17">
        <v>1175000</v>
      </c>
      <c r="W17" s="17">
        <v>646000</v>
      </c>
      <c r="X17" s="17">
        <v>-60975000</v>
      </c>
      <c r="Y17" s="17">
        <v>-62543000</v>
      </c>
      <c r="Z17" s="17">
        <v>-64062000</v>
      </c>
      <c r="AA17" s="17">
        <v>-64062000</v>
      </c>
      <c r="AB17" s="17">
        <v>-64062000</v>
      </c>
      <c r="AC17" s="17"/>
      <c r="AD17" s="17"/>
      <c r="AE17" s="17"/>
      <c r="AF17" s="17"/>
      <c r="AG17" s="17"/>
      <c r="AH17" s="17">
        <v>221616000</v>
      </c>
      <c r="AI17" s="17">
        <v>207877000</v>
      </c>
      <c r="AJ17" s="17">
        <v>198826000</v>
      </c>
      <c r="AK17" s="17">
        <v>194024000</v>
      </c>
      <c r="AL17" s="17">
        <v>192795000</v>
      </c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>
        <v>1584000</v>
      </c>
      <c r="BM17" s="17">
        <v>1568000</v>
      </c>
      <c r="BN17" s="17">
        <v>1519000</v>
      </c>
      <c r="BO17" s="17"/>
      <c r="BP17" s="17"/>
      <c r="BQ17" s="17">
        <v>-1584000</v>
      </c>
      <c r="BR17" s="17">
        <v>-1568000</v>
      </c>
      <c r="BS17" s="17">
        <v>-1519000</v>
      </c>
      <c r="BT17" s="17"/>
      <c r="BU17" s="17"/>
    </row>
    <row r="18" spans="1:73" x14ac:dyDescent="0.25">
      <c r="A18" s="16">
        <v>209</v>
      </c>
      <c r="B18" s="17">
        <v>12</v>
      </c>
      <c r="C18" s="18" t="s">
        <v>204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>
        <v>33551000</v>
      </c>
      <c r="O18" s="17">
        <v>28952000</v>
      </c>
      <c r="P18" s="17">
        <v>26481000</v>
      </c>
      <c r="Q18" s="17">
        <v>24906000</v>
      </c>
      <c r="R18" s="17">
        <v>23763000</v>
      </c>
      <c r="S18" s="17">
        <v>563000</v>
      </c>
      <c r="T18" s="17">
        <v>150000</v>
      </c>
      <c r="U18" s="17">
        <v>1356000</v>
      </c>
      <c r="V18" s="17">
        <v>1298000</v>
      </c>
      <c r="W18" s="17">
        <v>1088000</v>
      </c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>
        <v>39642000</v>
      </c>
      <c r="AI18" s="17">
        <v>35806000</v>
      </c>
      <c r="AJ18" s="17">
        <v>35987000</v>
      </c>
      <c r="AK18" s="17">
        <v>35185000</v>
      </c>
      <c r="AL18" s="17">
        <v>34499000</v>
      </c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>
        <v>1770000</v>
      </c>
      <c r="BM18" s="17">
        <v>1176000</v>
      </c>
      <c r="BN18" s="17">
        <v>1265000</v>
      </c>
      <c r="BO18" s="17">
        <v>831000</v>
      </c>
      <c r="BP18" s="17">
        <v>667000</v>
      </c>
      <c r="BQ18" s="17">
        <v>-1822000</v>
      </c>
      <c r="BR18" s="17">
        <v>-1176000</v>
      </c>
      <c r="BS18" s="17">
        <v>-1446000</v>
      </c>
      <c r="BT18" s="17">
        <v>-831000</v>
      </c>
      <c r="BU18" s="17">
        <v>-667000</v>
      </c>
    </row>
    <row r="19" spans="1:73" x14ac:dyDescent="0.25">
      <c r="A19" s="16">
        <v>51</v>
      </c>
      <c r="B19" s="17">
        <v>19</v>
      </c>
      <c r="C19" s="18" t="s">
        <v>325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</row>
    <row r="20" spans="1:73" x14ac:dyDescent="0.25">
      <c r="A20" s="16">
        <v>53</v>
      </c>
      <c r="B20" s="17">
        <v>16</v>
      </c>
      <c r="C20" s="18" t="s">
        <v>325</v>
      </c>
      <c r="D20" s="17"/>
      <c r="E20" s="17"/>
      <c r="F20" s="17"/>
      <c r="G20" s="17"/>
      <c r="H20" s="17"/>
      <c r="I20" s="17">
        <v>813000</v>
      </c>
      <c r="J20" s="17">
        <v>613000</v>
      </c>
      <c r="K20" s="17">
        <v>457000</v>
      </c>
      <c r="L20" s="17">
        <v>941000</v>
      </c>
      <c r="M20" s="17"/>
      <c r="N20" s="17">
        <v>20211000</v>
      </c>
      <c r="O20" s="17">
        <v>24692000</v>
      </c>
      <c r="P20" s="17">
        <v>27641000</v>
      </c>
      <c r="Q20" s="17">
        <v>23567000</v>
      </c>
      <c r="R20" s="17">
        <v>17907000</v>
      </c>
      <c r="S20" s="17"/>
      <c r="T20" s="17"/>
      <c r="U20" s="17"/>
      <c r="V20" s="17">
        <v>2000</v>
      </c>
      <c r="W20" s="17">
        <v>39000</v>
      </c>
      <c r="X20" s="17"/>
      <c r="Y20" s="17"/>
      <c r="Z20" s="17"/>
      <c r="AA20" s="17"/>
      <c r="AB20" s="17">
        <v>-165000</v>
      </c>
      <c r="AC20" s="17"/>
      <c r="AD20" s="17"/>
      <c r="AE20" s="17"/>
      <c r="AF20" s="17"/>
      <c r="AG20" s="17"/>
      <c r="AH20" s="17">
        <v>10000000</v>
      </c>
      <c r="AI20" s="17">
        <v>16781000</v>
      </c>
      <c r="AJ20" s="17">
        <v>21395000</v>
      </c>
      <c r="AK20" s="17">
        <v>18470000</v>
      </c>
      <c r="AL20" s="17">
        <v>18101000</v>
      </c>
      <c r="AM20" s="17">
        <v>42410000</v>
      </c>
      <c r="AN20" s="17">
        <v>43195000</v>
      </c>
      <c r="AO20" s="17">
        <v>41441000</v>
      </c>
      <c r="AP20" s="17">
        <v>42381000</v>
      </c>
      <c r="AQ20" s="17">
        <v>7775000</v>
      </c>
      <c r="AR20" s="17">
        <v>40295000</v>
      </c>
      <c r="AS20" s="17">
        <v>44511000</v>
      </c>
      <c r="AT20" s="17">
        <v>43733000</v>
      </c>
      <c r="AU20" s="17">
        <v>42621000</v>
      </c>
      <c r="AV20" s="17">
        <v>13210000</v>
      </c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>
        <v>3263000</v>
      </c>
      <c r="BH20" s="17">
        <v>3462000</v>
      </c>
      <c r="BI20" s="17">
        <v>2787000</v>
      </c>
      <c r="BJ20" s="17"/>
      <c r="BK20" s="17"/>
      <c r="BL20" s="17">
        <v>2016000</v>
      </c>
      <c r="BM20" s="17">
        <v>4214000</v>
      </c>
      <c r="BN20" s="17">
        <v>1885000</v>
      </c>
      <c r="BO20" s="17"/>
      <c r="BP20" s="17">
        <v>760000</v>
      </c>
      <c r="BQ20" s="17">
        <v>2969000</v>
      </c>
      <c r="BR20" s="17">
        <v>-2500000</v>
      </c>
      <c r="BS20" s="17">
        <v>-1821000</v>
      </c>
      <c r="BT20" s="17">
        <v>-663000</v>
      </c>
      <c r="BU20" s="17">
        <v>-6195000</v>
      </c>
    </row>
    <row r="21" spans="1:73" x14ac:dyDescent="0.25">
      <c r="A21" s="16">
        <v>55</v>
      </c>
      <c r="B21" s="17">
        <v>21</v>
      </c>
      <c r="C21" s="18" t="s">
        <v>325</v>
      </c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>
        <v>207619000</v>
      </c>
      <c r="AI21" s="17">
        <v>209797000</v>
      </c>
      <c r="AJ21" s="17">
        <v>211625000</v>
      </c>
      <c r="AK21" s="17">
        <v>212881000</v>
      </c>
      <c r="AL21" s="17">
        <v>213870000</v>
      </c>
      <c r="AM21" s="17"/>
      <c r="AN21" s="17"/>
      <c r="AO21" s="17"/>
      <c r="AP21" s="17"/>
      <c r="AQ21" s="17"/>
      <c r="AR21" s="17">
        <v>2037000</v>
      </c>
      <c r="AS21" s="17">
        <v>1745000</v>
      </c>
      <c r="AT21" s="17">
        <v>1414000</v>
      </c>
      <c r="AU21" s="17">
        <v>856000</v>
      </c>
      <c r="AV21" s="17">
        <v>592000</v>
      </c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>
        <v>2122000</v>
      </c>
      <c r="BM21" s="17">
        <v>433000</v>
      </c>
      <c r="BN21" s="17">
        <v>414000</v>
      </c>
      <c r="BO21" s="17">
        <v>400000</v>
      </c>
      <c r="BP21" s="17">
        <v>397000</v>
      </c>
      <c r="BQ21" s="17">
        <v>-4159000</v>
      </c>
      <c r="BR21" s="17">
        <v>-2178000</v>
      </c>
      <c r="BS21" s="17">
        <v>-1828000</v>
      </c>
      <c r="BT21" s="17">
        <v>-1256000</v>
      </c>
      <c r="BU21" s="17">
        <v>-989000</v>
      </c>
    </row>
    <row r="22" spans="1:73" x14ac:dyDescent="0.25">
      <c r="A22" s="16">
        <v>199</v>
      </c>
      <c r="B22" s="17">
        <v>11</v>
      </c>
      <c r="C22" s="18" t="s">
        <v>325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</row>
    <row r="23" spans="1:73" x14ac:dyDescent="0.25">
      <c r="A23" s="16">
        <v>201</v>
      </c>
      <c r="B23" s="17">
        <v>11</v>
      </c>
      <c r="C23" s="18" t="s">
        <v>325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>
        <v>1094000</v>
      </c>
      <c r="T23" s="17">
        <v>306000</v>
      </c>
      <c r="U23" s="17">
        <v>407000</v>
      </c>
      <c r="V23" s="17">
        <v>139000</v>
      </c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>
        <v>50885000</v>
      </c>
      <c r="AI23" s="17">
        <v>55646000</v>
      </c>
      <c r="AJ23" s="17">
        <v>56279000</v>
      </c>
      <c r="AK23" s="17">
        <v>56463000</v>
      </c>
      <c r="AL23" s="17"/>
      <c r="AM23" s="17"/>
      <c r="AN23" s="17"/>
      <c r="AO23" s="17"/>
      <c r="AP23" s="17"/>
      <c r="AQ23" s="17"/>
      <c r="AR23" s="17">
        <v>120000</v>
      </c>
      <c r="AS23" s="17">
        <v>107000</v>
      </c>
      <c r="AT23" s="17">
        <v>143000</v>
      </c>
      <c r="AU23" s="17">
        <v>62000</v>
      </c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>
        <v>591000</v>
      </c>
      <c r="BM23" s="17">
        <v>5442000</v>
      </c>
      <c r="BN23" s="17">
        <v>389000</v>
      </c>
      <c r="BO23" s="17">
        <v>390000</v>
      </c>
      <c r="BP23" s="17"/>
      <c r="BQ23" s="17">
        <v>-711000</v>
      </c>
      <c r="BR23" s="17">
        <v>-5549000</v>
      </c>
      <c r="BS23" s="17">
        <v>-532000</v>
      </c>
      <c r="BT23" s="17">
        <v>-452000</v>
      </c>
      <c r="BU23" s="17"/>
    </row>
    <row r="24" spans="1:73" x14ac:dyDescent="0.25">
      <c r="A24" s="16">
        <v>202</v>
      </c>
      <c r="B24" s="17">
        <v>4</v>
      </c>
      <c r="C24" s="18" t="s">
        <v>325</v>
      </c>
      <c r="D24" s="17"/>
      <c r="E24" s="17"/>
      <c r="F24" s="17"/>
      <c r="G24" s="17"/>
      <c r="H24" s="17"/>
      <c r="I24" s="17"/>
      <c r="J24" s="17">
        <v>10000</v>
      </c>
      <c r="K24" s="17">
        <v>10000</v>
      </c>
      <c r="L24" s="17">
        <v>10000</v>
      </c>
      <c r="M24" s="17">
        <v>10000</v>
      </c>
      <c r="N24" s="17"/>
      <c r="O24" s="17"/>
      <c r="P24" s="17">
        <v>32267000</v>
      </c>
      <c r="Q24" s="17">
        <v>71479000</v>
      </c>
      <c r="R24" s="17">
        <v>71479000</v>
      </c>
      <c r="S24" s="17"/>
      <c r="T24" s="17"/>
      <c r="U24" s="17"/>
      <c r="V24" s="17">
        <v>5000</v>
      </c>
      <c r="W24" s="17">
        <v>5000</v>
      </c>
      <c r="X24" s="17"/>
      <c r="Y24" s="17"/>
      <c r="Z24" s="17"/>
      <c r="AA24" s="17"/>
      <c r="AB24" s="17"/>
      <c r="AC24" s="17"/>
      <c r="AD24" s="17"/>
      <c r="AE24" s="17">
        <v>184000</v>
      </c>
      <c r="AF24" s="17">
        <v>234000</v>
      </c>
      <c r="AG24" s="17">
        <v>234000</v>
      </c>
      <c r="AH24" s="17"/>
      <c r="AI24" s="17">
        <v>2000</v>
      </c>
      <c r="AJ24" s="17">
        <v>28446000</v>
      </c>
      <c r="AK24" s="17">
        <v>63548000</v>
      </c>
      <c r="AL24" s="17">
        <v>63548000</v>
      </c>
      <c r="AM24" s="17"/>
      <c r="AN24" s="17"/>
      <c r="AO24" s="17">
        <v>32338000</v>
      </c>
      <c r="AP24" s="17">
        <v>39262000</v>
      </c>
      <c r="AQ24" s="17"/>
      <c r="AR24" s="17"/>
      <c r="AS24" s="17"/>
      <c r="AT24" s="17">
        <v>28697000</v>
      </c>
      <c r="AU24" s="17">
        <v>35196000</v>
      </c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>
        <v>2000</v>
      </c>
      <c r="BN24" s="17">
        <v>3000</v>
      </c>
      <c r="BO24" s="17"/>
      <c r="BP24" s="17"/>
      <c r="BQ24" s="17"/>
      <c r="BR24" s="17">
        <v>-2000</v>
      </c>
      <c r="BS24" s="17">
        <v>3638000</v>
      </c>
      <c r="BT24" s="17">
        <v>4065000</v>
      </c>
      <c r="BU24" s="17"/>
    </row>
    <row r="25" spans="1:73" x14ac:dyDescent="0.25">
      <c r="A25" s="16">
        <v>207</v>
      </c>
      <c r="B25" s="17">
        <v>14</v>
      </c>
      <c r="C25" s="18" t="s">
        <v>325</v>
      </c>
      <c r="D25" s="17"/>
      <c r="E25" s="17"/>
      <c r="F25" s="17"/>
      <c r="G25" s="17"/>
      <c r="H25" s="17"/>
      <c r="I25" s="17">
        <v>993000</v>
      </c>
      <c r="J25" s="17"/>
      <c r="K25" s="17"/>
      <c r="L25" s="17"/>
      <c r="M25" s="17"/>
      <c r="N25" s="17">
        <v>55857000</v>
      </c>
      <c r="O25" s="17">
        <v>51701000</v>
      </c>
      <c r="P25" s="17">
        <v>47893000</v>
      </c>
      <c r="Q25" s="17">
        <v>21396000</v>
      </c>
      <c r="R25" s="17">
        <v>20358000</v>
      </c>
      <c r="S25" s="17">
        <v>3929000</v>
      </c>
      <c r="T25" s="17"/>
      <c r="U25" s="17"/>
      <c r="V25" s="17"/>
      <c r="W25" s="17"/>
      <c r="X25" s="17">
        <v>-15763000</v>
      </c>
      <c r="Y25" s="17">
        <v>-55021000</v>
      </c>
      <c r="Z25" s="17">
        <v>-56682000</v>
      </c>
      <c r="AA25" s="17">
        <v>-83179000</v>
      </c>
      <c r="AB25" s="17">
        <v>-83179000</v>
      </c>
      <c r="AC25" s="17"/>
      <c r="AD25" s="17"/>
      <c r="AE25" s="17"/>
      <c r="AF25" s="17"/>
      <c r="AG25" s="17"/>
      <c r="AH25" s="17">
        <v>77407000</v>
      </c>
      <c r="AI25" s="17">
        <v>106712000</v>
      </c>
      <c r="AJ25" s="17">
        <v>104565000</v>
      </c>
      <c r="AK25" s="17">
        <v>104565000</v>
      </c>
      <c r="AL25" s="17">
        <v>103527000</v>
      </c>
      <c r="AM25" s="17">
        <v>101000</v>
      </c>
      <c r="AN25" s="17"/>
      <c r="AO25" s="17"/>
      <c r="AP25" s="17"/>
      <c r="AQ25" s="17"/>
      <c r="AR25" s="17">
        <v>2000</v>
      </c>
      <c r="AS25" s="17"/>
      <c r="AT25" s="17"/>
      <c r="AU25" s="17"/>
      <c r="AV25" s="17"/>
      <c r="AW25" s="17"/>
      <c r="AX25" s="17"/>
      <c r="AY25" s="17"/>
      <c r="AZ25" s="17"/>
      <c r="BA25" s="17"/>
      <c r="BB25" s="17">
        <v>3692000</v>
      </c>
      <c r="BC25" s="17">
        <v>39258000</v>
      </c>
      <c r="BD25" s="17"/>
      <c r="BE25" s="17"/>
      <c r="BF25" s="17"/>
      <c r="BG25" s="17">
        <v>16000</v>
      </c>
      <c r="BH25" s="17"/>
      <c r="BI25" s="17"/>
      <c r="BJ25" s="17"/>
      <c r="BK25" s="17"/>
      <c r="BL25" s="17">
        <v>22000</v>
      </c>
      <c r="BM25" s="17"/>
      <c r="BN25" s="17">
        <v>1661000</v>
      </c>
      <c r="BO25" s="17">
        <v>26498000</v>
      </c>
      <c r="BP25" s="17"/>
      <c r="BQ25" s="17">
        <v>-3599000</v>
      </c>
      <c r="BR25" s="17">
        <v>-39258000</v>
      </c>
      <c r="BS25" s="17">
        <v>-1661000</v>
      </c>
      <c r="BT25" s="17">
        <v>-26498000</v>
      </c>
      <c r="BU25" s="17"/>
    </row>
    <row r="26" spans="1:73" x14ac:dyDescent="0.25">
      <c r="A26" s="16">
        <v>208</v>
      </c>
      <c r="B26" s="17">
        <v>17</v>
      </c>
      <c r="C26" s="18" t="s">
        <v>325</v>
      </c>
      <c r="D26" s="17"/>
      <c r="E26" s="17"/>
      <c r="F26" s="17">
        <v>20000</v>
      </c>
      <c r="G26" s="17"/>
      <c r="H26" s="17"/>
      <c r="I26" s="17">
        <v>13000</v>
      </c>
      <c r="J26" s="17">
        <v>11000</v>
      </c>
      <c r="K26" s="17">
        <v>9000</v>
      </c>
      <c r="L26" s="17"/>
      <c r="M26" s="17"/>
      <c r="N26" s="17">
        <v>200810000</v>
      </c>
      <c r="O26" s="17">
        <v>279592000</v>
      </c>
      <c r="P26" s="17">
        <v>273573000</v>
      </c>
      <c r="Q26" s="17"/>
      <c r="R26" s="17"/>
      <c r="S26" s="17">
        <v>7249000</v>
      </c>
      <c r="T26" s="17">
        <v>506000</v>
      </c>
      <c r="U26" s="17">
        <v>156000</v>
      </c>
      <c r="V26" s="17"/>
      <c r="W26" s="17"/>
      <c r="X26" s="17">
        <v>-2230000</v>
      </c>
      <c r="Y26" s="17">
        <v>-219536000</v>
      </c>
      <c r="Z26" s="17">
        <v>-224466000</v>
      </c>
      <c r="AA26" s="17"/>
      <c r="AB26" s="17"/>
      <c r="AC26" s="17"/>
      <c r="AD26" s="17"/>
      <c r="AE26" s="17"/>
      <c r="AF26" s="17"/>
      <c r="AG26" s="17"/>
      <c r="AH26" s="17">
        <v>226820000</v>
      </c>
      <c r="AI26" s="17">
        <v>516748000</v>
      </c>
      <c r="AJ26" s="17">
        <v>516306000</v>
      </c>
      <c r="AK26" s="17"/>
      <c r="AL26" s="17"/>
      <c r="AM26" s="17">
        <v>108190000</v>
      </c>
      <c r="AN26" s="17">
        <v>59010000</v>
      </c>
      <c r="AO26" s="17">
        <v>26298000</v>
      </c>
      <c r="AP26" s="17"/>
      <c r="AQ26" s="17"/>
      <c r="AR26" s="17">
        <v>111821000</v>
      </c>
      <c r="AS26" s="17">
        <v>63240000</v>
      </c>
      <c r="AT26" s="17">
        <v>31809000</v>
      </c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>
        <v>974000</v>
      </c>
      <c r="BH26" s="17">
        <v>51825000</v>
      </c>
      <c r="BI26" s="17">
        <v>1034000</v>
      </c>
      <c r="BJ26" s="17"/>
      <c r="BK26" s="17"/>
      <c r="BL26" s="17">
        <v>2327000</v>
      </c>
      <c r="BM26" s="17">
        <v>329912000</v>
      </c>
      <c r="BN26" s="17">
        <v>1659000</v>
      </c>
      <c r="BO26" s="17"/>
      <c r="BP26" s="17"/>
      <c r="BQ26" s="17">
        <v>-3958000</v>
      </c>
      <c r="BR26" s="17">
        <v>-217306000</v>
      </c>
      <c r="BS26" s="17">
        <v>-4957000</v>
      </c>
      <c r="BT26" s="17"/>
      <c r="BU26" s="17"/>
    </row>
    <row r="27" spans="1:73" x14ac:dyDescent="0.25">
      <c r="A27" s="16">
        <v>212</v>
      </c>
      <c r="B27" s="17">
        <v>12</v>
      </c>
      <c r="C27" s="18" t="s">
        <v>325</v>
      </c>
      <c r="D27" s="17">
        <v>52000</v>
      </c>
      <c r="E27" s="17"/>
      <c r="F27" s="17"/>
      <c r="G27" s="17"/>
      <c r="H27" s="17"/>
      <c r="I27" s="17">
        <v>102000</v>
      </c>
      <c r="J27" s="17">
        <v>13000</v>
      </c>
      <c r="K27" s="17">
        <v>6000</v>
      </c>
      <c r="L27" s="17">
        <v>3000</v>
      </c>
      <c r="M27" s="17">
        <v>1000</v>
      </c>
      <c r="N27" s="17">
        <v>220906000</v>
      </c>
      <c r="O27" s="17">
        <v>191267000</v>
      </c>
      <c r="P27" s="17">
        <v>135934000</v>
      </c>
      <c r="Q27" s="17">
        <v>129999000</v>
      </c>
      <c r="R27" s="17">
        <v>114467000</v>
      </c>
      <c r="S27" s="17">
        <v>554000</v>
      </c>
      <c r="T27" s="17">
        <v>34000</v>
      </c>
      <c r="U27" s="17">
        <v>13000</v>
      </c>
      <c r="V27" s="17">
        <v>433000</v>
      </c>
      <c r="W27" s="17">
        <v>9187000</v>
      </c>
      <c r="X27" s="17">
        <v>-41025000</v>
      </c>
      <c r="Y27" s="17">
        <v>-52930000</v>
      </c>
      <c r="Z27" s="17">
        <v>-66434000</v>
      </c>
      <c r="AA27" s="17">
        <v>-69898000</v>
      </c>
      <c r="AB27" s="17">
        <v>-88375000</v>
      </c>
      <c r="AC27" s="17">
        <v>1002000</v>
      </c>
      <c r="AD27" s="17"/>
      <c r="AE27" s="17">
        <v>5232000</v>
      </c>
      <c r="AF27" s="17">
        <v>12386000</v>
      </c>
      <c r="AG27" s="17">
        <v>12809000</v>
      </c>
      <c r="AH27" s="17">
        <v>232114000</v>
      </c>
      <c r="AI27" s="17">
        <v>236844000</v>
      </c>
      <c r="AJ27" s="17">
        <v>197479000</v>
      </c>
      <c r="AK27" s="17">
        <v>188506000</v>
      </c>
      <c r="AL27" s="17">
        <v>196375000</v>
      </c>
      <c r="AM27" s="17">
        <v>562247000</v>
      </c>
      <c r="AN27" s="17">
        <v>295436000</v>
      </c>
      <c r="AO27" s="17">
        <v>142275000</v>
      </c>
      <c r="AP27" s="17">
        <v>102835000</v>
      </c>
      <c r="AQ27" s="17">
        <v>22189000</v>
      </c>
      <c r="AR27" s="17">
        <v>529895000</v>
      </c>
      <c r="AS27" s="17">
        <v>283286000</v>
      </c>
      <c r="AT27" s="17">
        <v>130887000</v>
      </c>
      <c r="AU27" s="17">
        <v>96286000</v>
      </c>
      <c r="AV27" s="17">
        <v>17022000</v>
      </c>
      <c r="AW27" s="17"/>
      <c r="AX27" s="17"/>
      <c r="AY27" s="17"/>
      <c r="AZ27" s="17"/>
      <c r="BA27" s="17"/>
      <c r="BB27" s="17">
        <v>29640000</v>
      </c>
      <c r="BC27" s="17">
        <v>21231000</v>
      </c>
      <c r="BD27" s="17">
        <v>14387000</v>
      </c>
      <c r="BE27" s="17">
        <v>11241000</v>
      </c>
      <c r="BF27" s="17">
        <v>4392000</v>
      </c>
      <c r="BG27" s="17">
        <v>17495000</v>
      </c>
      <c r="BH27" s="17">
        <v>26951000</v>
      </c>
      <c r="BI27" s="17">
        <v>75355000</v>
      </c>
      <c r="BJ27" s="17">
        <v>49107000</v>
      </c>
      <c r="BK27" s="17">
        <v>14147000</v>
      </c>
      <c r="BL27" s="17">
        <v>21096000</v>
      </c>
      <c r="BM27" s="17">
        <v>28912000</v>
      </c>
      <c r="BN27" s="17">
        <v>85555000</v>
      </c>
      <c r="BO27" s="17">
        <v>46475000</v>
      </c>
      <c r="BP27" s="17">
        <v>34397000</v>
      </c>
      <c r="BQ27" s="17">
        <v>-4072000</v>
      </c>
      <c r="BR27" s="17">
        <v>-11905000</v>
      </c>
      <c r="BS27" s="17">
        <v>-13504000</v>
      </c>
      <c r="BT27" s="17">
        <v>-3464000</v>
      </c>
      <c r="BU27" s="17">
        <v>-18477000</v>
      </c>
    </row>
    <row r="28" spans="1:73" x14ac:dyDescent="0.25">
      <c r="A28" s="16">
        <v>214</v>
      </c>
      <c r="B28" s="17">
        <v>19</v>
      </c>
      <c r="C28" s="18" t="s">
        <v>325</v>
      </c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>
        <v>308469000</v>
      </c>
      <c r="AI28" s="17">
        <v>311472000</v>
      </c>
      <c r="AJ28" s="17">
        <v>314638000</v>
      </c>
      <c r="AK28" s="17">
        <v>316401000</v>
      </c>
      <c r="AL28" s="17">
        <v>317564000</v>
      </c>
      <c r="AM28" s="17"/>
      <c r="AN28" s="17"/>
      <c r="AO28" s="17"/>
      <c r="AP28" s="17"/>
      <c r="AQ28" s="17"/>
      <c r="AR28" s="17">
        <v>2591000</v>
      </c>
      <c r="AS28" s="17">
        <v>2489000</v>
      </c>
      <c r="AT28" s="17">
        <v>2714000</v>
      </c>
      <c r="AU28" s="17">
        <v>1260000</v>
      </c>
      <c r="AV28" s="17">
        <v>740000</v>
      </c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>
        <v>418000</v>
      </c>
      <c r="BM28" s="17">
        <v>514000</v>
      </c>
      <c r="BN28" s="17">
        <v>452000</v>
      </c>
      <c r="BO28" s="17">
        <v>503000</v>
      </c>
      <c r="BP28" s="17">
        <v>423000</v>
      </c>
      <c r="BQ28" s="17">
        <v>-3009000</v>
      </c>
      <c r="BR28" s="17">
        <v>-3003000</v>
      </c>
      <c r="BS28" s="17">
        <v>-3166000</v>
      </c>
      <c r="BT28" s="17">
        <v>-1763000</v>
      </c>
      <c r="BU28" s="17">
        <v>-1163000</v>
      </c>
    </row>
    <row r="29" spans="1:73" x14ac:dyDescent="0.25">
      <c r="A29" s="16">
        <v>249</v>
      </c>
      <c r="B29" s="17">
        <v>13</v>
      </c>
      <c r="C29" s="18" t="s">
        <v>325</v>
      </c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</row>
    <row r="30" spans="1:73" x14ac:dyDescent="0.25">
      <c r="A30" s="16">
        <v>36</v>
      </c>
      <c r="B30" s="17">
        <v>6</v>
      </c>
      <c r="C30" s="18" t="s">
        <v>286</v>
      </c>
      <c r="D30" s="17">
        <v>29698000</v>
      </c>
      <c r="E30" s="17">
        <v>51507000</v>
      </c>
      <c r="F30" s="17">
        <v>34104000</v>
      </c>
      <c r="G30" s="17">
        <v>39432000</v>
      </c>
      <c r="H30" s="17">
        <v>133332000</v>
      </c>
      <c r="I30" s="17">
        <v>505000</v>
      </c>
      <c r="J30" s="17">
        <v>104000</v>
      </c>
      <c r="K30" s="17">
        <v>94000</v>
      </c>
      <c r="L30" s="17">
        <v>48000</v>
      </c>
      <c r="M30" s="17">
        <v>210000</v>
      </c>
      <c r="N30" s="17">
        <v>12233000</v>
      </c>
      <c r="O30" s="17">
        <v>13023000</v>
      </c>
      <c r="P30" s="17">
        <v>20933000</v>
      </c>
      <c r="Q30" s="17">
        <v>24929000</v>
      </c>
      <c r="R30" s="17">
        <v>24759000</v>
      </c>
      <c r="S30" s="17">
        <v>277000</v>
      </c>
      <c r="T30" s="17">
        <v>265000</v>
      </c>
      <c r="U30" s="17">
        <v>373000</v>
      </c>
      <c r="V30" s="17">
        <v>75000</v>
      </c>
      <c r="W30" s="17">
        <v>893000</v>
      </c>
      <c r="X30" s="17">
        <v>5348000</v>
      </c>
      <c r="Y30" s="17">
        <v>-140000</v>
      </c>
      <c r="Z30" s="17">
        <v>-7968000</v>
      </c>
      <c r="AA30" s="17">
        <v>-5172000</v>
      </c>
      <c r="AB30" s="17">
        <v>9954000</v>
      </c>
      <c r="AC30" s="17">
        <v>14395000</v>
      </c>
      <c r="AD30" s="17">
        <v>19196000</v>
      </c>
      <c r="AE30" s="17">
        <v>16301000</v>
      </c>
      <c r="AF30" s="17">
        <v>17438000</v>
      </c>
      <c r="AG30" s="17">
        <v>5291000</v>
      </c>
      <c r="AH30" s="17">
        <v>9652000</v>
      </c>
      <c r="AI30" s="17">
        <v>8726000</v>
      </c>
      <c r="AJ30" s="17">
        <v>15209000</v>
      </c>
      <c r="AK30" s="17">
        <v>19488000</v>
      </c>
      <c r="AL30" s="17">
        <v>6303000</v>
      </c>
      <c r="AM30" s="17">
        <v>132408000</v>
      </c>
      <c r="AN30" s="17">
        <v>127412000</v>
      </c>
      <c r="AO30" s="17">
        <v>125394000</v>
      </c>
      <c r="AP30" s="17">
        <v>107752000</v>
      </c>
      <c r="AQ30" s="17">
        <v>147259000</v>
      </c>
      <c r="AR30" s="17">
        <v>89138000</v>
      </c>
      <c r="AS30" s="17">
        <v>97109000</v>
      </c>
      <c r="AT30" s="17">
        <v>106792000</v>
      </c>
      <c r="AU30" s="17">
        <v>90610000</v>
      </c>
      <c r="AV30" s="17">
        <v>117854000</v>
      </c>
      <c r="AW30" s="17"/>
      <c r="AX30" s="17"/>
      <c r="AY30" s="17"/>
      <c r="AZ30" s="17"/>
      <c r="BA30" s="17"/>
      <c r="BB30" s="17">
        <v>29341000</v>
      </c>
      <c r="BC30" s="17">
        <v>33830000</v>
      </c>
      <c r="BD30" s="17">
        <v>16114000</v>
      </c>
      <c r="BE30" s="17">
        <v>13149000</v>
      </c>
      <c r="BF30" s="17">
        <v>24971000</v>
      </c>
      <c r="BG30" s="17">
        <v>11000</v>
      </c>
      <c r="BH30" s="17">
        <v>5139000</v>
      </c>
      <c r="BI30" s="17">
        <v>7931000</v>
      </c>
      <c r="BJ30" s="17">
        <v>2932000</v>
      </c>
      <c r="BK30" s="17">
        <v>20041000</v>
      </c>
      <c r="BL30" s="17">
        <v>1312000</v>
      </c>
      <c r="BM30" s="17">
        <v>5942000</v>
      </c>
      <c r="BN30" s="17">
        <v>17064000</v>
      </c>
      <c r="BO30" s="17">
        <v>6916000</v>
      </c>
      <c r="BP30" s="17">
        <v>5767000</v>
      </c>
      <c r="BQ30" s="17">
        <v>9882000</v>
      </c>
      <c r="BR30" s="17">
        <v>-5505000</v>
      </c>
      <c r="BS30" s="17">
        <v>-7968000</v>
      </c>
      <c r="BT30" s="17">
        <v>-2796000</v>
      </c>
      <c r="BU30" s="17">
        <v>15049000</v>
      </c>
    </row>
    <row r="31" spans="1:73" x14ac:dyDescent="0.25">
      <c r="A31" s="16">
        <v>205</v>
      </c>
      <c r="B31" s="17">
        <v>9</v>
      </c>
      <c r="C31" s="18" t="s">
        <v>708</v>
      </c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>
        <v>18718000</v>
      </c>
      <c r="Q31" s="17">
        <v>14170000</v>
      </c>
      <c r="R31" s="17">
        <v>10733000</v>
      </c>
      <c r="S31" s="17"/>
      <c r="T31" s="17"/>
      <c r="U31" s="17">
        <v>3326000</v>
      </c>
      <c r="V31" s="17">
        <v>241000</v>
      </c>
      <c r="W31" s="17">
        <v>225000</v>
      </c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>
        <v>18830000</v>
      </c>
      <c r="AK31" s="17">
        <v>11197000</v>
      </c>
      <c r="AL31" s="17">
        <v>14883000</v>
      </c>
      <c r="AM31" s="17"/>
      <c r="AN31" s="17"/>
      <c r="AO31" s="17">
        <v>23571000</v>
      </c>
      <c r="AP31" s="17"/>
      <c r="AQ31" s="17"/>
      <c r="AR31" s="17"/>
      <c r="AS31" s="17"/>
      <c r="AT31" s="17">
        <v>15891000</v>
      </c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>
        <v>203000</v>
      </c>
      <c r="BJ31" s="17"/>
      <c r="BK31" s="17"/>
      <c r="BL31" s="17"/>
      <c r="BM31" s="17"/>
      <c r="BN31" s="17">
        <v>667000</v>
      </c>
      <c r="BO31" s="17"/>
      <c r="BP31" s="17">
        <v>7139000</v>
      </c>
      <c r="BQ31" s="17"/>
      <c r="BR31" s="17"/>
      <c r="BS31" s="17">
        <v>6503000</v>
      </c>
      <c r="BT31" s="17"/>
      <c r="BU31" s="17">
        <v>-7139000</v>
      </c>
    </row>
    <row r="32" spans="1:73" ht="26.25" x14ac:dyDescent="0.25">
      <c r="A32" s="16">
        <v>142</v>
      </c>
      <c r="B32" s="17">
        <v>20</v>
      </c>
      <c r="C32" s="18" t="s">
        <v>558</v>
      </c>
      <c r="D32" s="17">
        <v>945364000</v>
      </c>
      <c r="E32" s="17">
        <v>912455000</v>
      </c>
      <c r="F32" s="17">
        <v>8101090000</v>
      </c>
      <c r="G32" s="17">
        <v>425628000</v>
      </c>
      <c r="H32" s="17">
        <v>312210000</v>
      </c>
      <c r="I32" s="17">
        <v>14359920000</v>
      </c>
      <c r="J32" s="17">
        <v>15123264000</v>
      </c>
      <c r="K32" s="17">
        <v>4414615000</v>
      </c>
      <c r="L32" s="17">
        <v>3413685000</v>
      </c>
      <c r="M32" s="17">
        <v>3488787000</v>
      </c>
      <c r="N32" s="17">
        <v>27842542000</v>
      </c>
      <c r="O32" s="17">
        <v>32016168000</v>
      </c>
      <c r="P32" s="17">
        <v>4243988000</v>
      </c>
      <c r="Q32" s="17">
        <v>2385946000</v>
      </c>
      <c r="R32" s="17">
        <v>2357946000</v>
      </c>
      <c r="S32" s="17">
        <v>3297906000</v>
      </c>
      <c r="T32" s="17">
        <v>3760475000</v>
      </c>
      <c r="U32" s="17">
        <v>1224940000</v>
      </c>
      <c r="V32" s="17">
        <v>24524000</v>
      </c>
      <c r="W32" s="17">
        <v>55835000</v>
      </c>
      <c r="X32" s="17">
        <v>3612998000</v>
      </c>
      <c r="Y32" s="17">
        <v>3628277000</v>
      </c>
      <c r="Z32" s="17">
        <v>-44916058000</v>
      </c>
      <c r="AA32" s="17">
        <v>-48297330000</v>
      </c>
      <c r="AB32" s="17">
        <v>-48652696000</v>
      </c>
      <c r="AC32" s="17">
        <v>17591345000</v>
      </c>
      <c r="AD32" s="17">
        <v>10542639000</v>
      </c>
      <c r="AE32" s="17"/>
      <c r="AF32" s="17">
        <v>8012792000</v>
      </c>
      <c r="AG32" s="17">
        <v>8013422000</v>
      </c>
      <c r="AH32" s="17">
        <v>48981006000</v>
      </c>
      <c r="AI32" s="17">
        <v>54041839000</v>
      </c>
      <c r="AJ32" s="17">
        <v>53532029000</v>
      </c>
      <c r="AK32" s="17">
        <v>47499363000</v>
      </c>
      <c r="AL32" s="17">
        <v>47530919000</v>
      </c>
      <c r="AM32" s="17">
        <v>102151702000</v>
      </c>
      <c r="AN32" s="17">
        <v>105462524000</v>
      </c>
      <c r="AO32" s="17">
        <v>56759628000</v>
      </c>
      <c r="AP32" s="17">
        <v>5460267000</v>
      </c>
      <c r="AQ32" s="17">
        <v>9889000</v>
      </c>
      <c r="AR32" s="17">
        <v>77585664000</v>
      </c>
      <c r="AS32" s="17">
        <v>81463799000</v>
      </c>
      <c r="AT32" s="17">
        <v>38316485000</v>
      </c>
      <c r="AU32" s="17">
        <v>4016869000</v>
      </c>
      <c r="AV32" s="17"/>
      <c r="AW32" s="17">
        <v>24126948000</v>
      </c>
      <c r="AX32" s="17">
        <v>20197306000</v>
      </c>
      <c r="AY32" s="17">
        <v>16003711000</v>
      </c>
      <c r="AZ32" s="17">
        <v>6648956000</v>
      </c>
      <c r="BA32" s="17">
        <v>506665000</v>
      </c>
      <c r="BB32" s="17"/>
      <c r="BC32" s="17"/>
      <c r="BD32" s="17"/>
      <c r="BE32" s="17"/>
      <c r="BF32" s="17"/>
      <c r="BG32" s="17">
        <v>2558364000</v>
      </c>
      <c r="BH32" s="17">
        <v>1214348000</v>
      </c>
      <c r="BI32" s="17">
        <v>352547000</v>
      </c>
      <c r="BJ32" s="17">
        <v>3511891000</v>
      </c>
      <c r="BK32" s="17">
        <v>78156000</v>
      </c>
      <c r="BL32" s="17">
        <v>4564922000</v>
      </c>
      <c r="BM32" s="17">
        <v>4227624000</v>
      </c>
      <c r="BN32" s="17">
        <v>46396282000</v>
      </c>
      <c r="BO32" s="17">
        <v>1848243000</v>
      </c>
      <c r="BP32" s="17">
        <v>28066000</v>
      </c>
      <c r="BQ32" s="17">
        <v>-2156481000</v>
      </c>
      <c r="BR32" s="17">
        <v>15280000</v>
      </c>
      <c r="BS32" s="17">
        <v>-48544335000</v>
      </c>
      <c r="BT32" s="17">
        <v>-3039019000</v>
      </c>
      <c r="BU32" s="17">
        <v>-355366000</v>
      </c>
    </row>
    <row r="33" spans="1:73" x14ac:dyDescent="0.25">
      <c r="A33" s="16">
        <v>89</v>
      </c>
      <c r="B33" s="17">
        <v>24</v>
      </c>
      <c r="C33" s="18" t="s">
        <v>423</v>
      </c>
      <c r="D33" s="17">
        <v>14016000</v>
      </c>
      <c r="E33" s="17">
        <v>14759000</v>
      </c>
      <c r="F33" s="17">
        <v>282944000</v>
      </c>
      <c r="G33" s="17">
        <v>439288000</v>
      </c>
      <c r="H33" s="17">
        <v>370661000</v>
      </c>
      <c r="I33" s="17">
        <v>591313000</v>
      </c>
      <c r="J33" s="17">
        <v>618765000</v>
      </c>
      <c r="K33" s="17">
        <v>592607000</v>
      </c>
      <c r="L33" s="17">
        <v>586718000</v>
      </c>
      <c r="M33" s="17">
        <v>338042000</v>
      </c>
      <c r="N33" s="17">
        <v>76543000</v>
      </c>
      <c r="O33" s="17">
        <v>58086000</v>
      </c>
      <c r="P33" s="17">
        <v>53439000</v>
      </c>
      <c r="Q33" s="17">
        <v>55332000</v>
      </c>
      <c r="R33" s="17">
        <v>45934000</v>
      </c>
      <c r="S33" s="17">
        <v>12162000</v>
      </c>
      <c r="T33" s="17">
        <v>23876000</v>
      </c>
      <c r="U33" s="17">
        <v>25167000</v>
      </c>
      <c r="V33" s="17">
        <v>31468000</v>
      </c>
      <c r="W33" s="17">
        <v>27697000</v>
      </c>
      <c r="X33" s="17">
        <v>145367000</v>
      </c>
      <c r="Y33" s="17">
        <v>163395000</v>
      </c>
      <c r="Z33" s="17">
        <v>174867000</v>
      </c>
      <c r="AA33" s="17">
        <v>185627000</v>
      </c>
      <c r="AB33" s="17">
        <v>-99926000</v>
      </c>
      <c r="AC33" s="17">
        <v>5627000</v>
      </c>
      <c r="AD33" s="17">
        <v>42211000</v>
      </c>
      <c r="AE33" s="17"/>
      <c r="AF33" s="17"/>
      <c r="AG33" s="17">
        <v>5300000</v>
      </c>
      <c r="AH33" s="17">
        <v>445755000</v>
      </c>
      <c r="AI33" s="17">
        <v>463929000</v>
      </c>
      <c r="AJ33" s="17">
        <v>445490000</v>
      </c>
      <c r="AK33" s="17">
        <v>454484000</v>
      </c>
      <c r="AL33" s="17">
        <v>434417000</v>
      </c>
      <c r="AM33" s="17">
        <v>1046987000</v>
      </c>
      <c r="AN33" s="17">
        <v>941381000</v>
      </c>
      <c r="AO33" s="17">
        <v>858086000</v>
      </c>
      <c r="AP33" s="17">
        <v>752211000</v>
      </c>
      <c r="AQ33" s="17">
        <v>591349000</v>
      </c>
      <c r="AR33" s="17">
        <v>665981000</v>
      </c>
      <c r="AS33" s="17">
        <v>583857000</v>
      </c>
      <c r="AT33" s="17">
        <v>504924000</v>
      </c>
      <c r="AU33" s="17">
        <v>381565000</v>
      </c>
      <c r="AV33" s="17">
        <v>374650000</v>
      </c>
      <c r="AW33" s="17">
        <v>329316000</v>
      </c>
      <c r="AX33" s="17">
        <v>317518000</v>
      </c>
      <c r="AY33" s="17">
        <v>307990000</v>
      </c>
      <c r="AZ33" s="17">
        <v>313832000</v>
      </c>
      <c r="BA33" s="17">
        <v>356823000</v>
      </c>
      <c r="BB33" s="17"/>
      <c r="BC33" s="17"/>
      <c r="BD33" s="17"/>
      <c r="BE33" s="17"/>
      <c r="BF33" s="17"/>
      <c r="BG33" s="17">
        <v>26004000</v>
      </c>
      <c r="BH33" s="17">
        <v>56678000</v>
      </c>
      <c r="BI33" s="17">
        <v>35914000</v>
      </c>
      <c r="BJ33" s="17">
        <v>6352000</v>
      </c>
      <c r="BK33" s="17">
        <v>16282000</v>
      </c>
      <c r="BL33" s="17">
        <v>48994000</v>
      </c>
      <c r="BM33" s="17">
        <v>64448000</v>
      </c>
      <c r="BN33" s="17">
        <v>43067000</v>
      </c>
      <c r="BO33" s="17">
        <v>32677000</v>
      </c>
      <c r="BP33" s="17">
        <v>131408000</v>
      </c>
      <c r="BQ33" s="17">
        <v>12791000</v>
      </c>
      <c r="BR33" s="17">
        <v>18028000</v>
      </c>
      <c r="BS33" s="17">
        <v>16972000</v>
      </c>
      <c r="BT33" s="17">
        <v>10760000</v>
      </c>
      <c r="BU33" s="17">
        <v>-285553000</v>
      </c>
    </row>
    <row r="34" spans="1:73" x14ac:dyDescent="0.25">
      <c r="A34" s="16">
        <v>128</v>
      </c>
      <c r="B34" s="17">
        <v>5</v>
      </c>
      <c r="C34" s="18" t="s">
        <v>525</v>
      </c>
      <c r="D34" s="17">
        <v>870000</v>
      </c>
      <c r="E34" s="17">
        <v>646000</v>
      </c>
      <c r="F34" s="17">
        <v>568000</v>
      </c>
      <c r="G34" s="17">
        <v>4216000</v>
      </c>
      <c r="H34" s="17">
        <v>4216000</v>
      </c>
      <c r="I34" s="17">
        <v>6885000</v>
      </c>
      <c r="J34" s="17">
        <v>7538000</v>
      </c>
      <c r="K34" s="17">
        <v>6550000</v>
      </c>
      <c r="L34" s="17">
        <v>11699000</v>
      </c>
      <c r="M34" s="17">
        <v>9713000</v>
      </c>
      <c r="N34" s="17">
        <v>1425000</v>
      </c>
      <c r="O34" s="17">
        <v>5307000</v>
      </c>
      <c r="P34" s="17">
        <v>11358000</v>
      </c>
      <c r="Q34" s="17">
        <v>14290000</v>
      </c>
      <c r="R34" s="17">
        <v>561000</v>
      </c>
      <c r="S34" s="17">
        <v>29000</v>
      </c>
      <c r="T34" s="17">
        <v>7000</v>
      </c>
      <c r="U34" s="17">
        <v>1190000</v>
      </c>
      <c r="V34" s="17">
        <v>138000</v>
      </c>
      <c r="W34" s="17"/>
      <c r="X34" s="17"/>
      <c r="Y34" s="17"/>
      <c r="Z34" s="17"/>
      <c r="AA34" s="17"/>
      <c r="AB34" s="17"/>
      <c r="AC34" s="17">
        <v>3000</v>
      </c>
      <c r="AD34" s="17"/>
      <c r="AE34" s="17"/>
      <c r="AF34" s="17">
        <v>9970000</v>
      </c>
      <c r="AG34" s="17">
        <v>5941000</v>
      </c>
      <c r="AH34" s="17">
        <v>8214000</v>
      </c>
      <c r="AI34" s="17">
        <v>11569000</v>
      </c>
      <c r="AJ34" s="17">
        <v>16519000</v>
      </c>
      <c r="AK34" s="17">
        <v>15594000</v>
      </c>
      <c r="AL34" s="17">
        <v>10798000</v>
      </c>
      <c r="AM34" s="17">
        <v>15414000</v>
      </c>
      <c r="AN34" s="17">
        <v>16327000</v>
      </c>
      <c r="AO34" s="17">
        <v>54929000</v>
      </c>
      <c r="AP34" s="17">
        <v>72361000</v>
      </c>
      <c r="AQ34" s="17">
        <v>33041000</v>
      </c>
      <c r="AR34" s="17">
        <v>14139000</v>
      </c>
      <c r="AS34" s="17">
        <v>15119000</v>
      </c>
      <c r="AT34" s="17">
        <v>53345000</v>
      </c>
      <c r="AU34" s="17">
        <v>69625000</v>
      </c>
      <c r="AV34" s="17">
        <v>32268000</v>
      </c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>
        <v>47000</v>
      </c>
      <c r="BM34" s="17">
        <v>37000</v>
      </c>
      <c r="BN34" s="17">
        <v>62000</v>
      </c>
      <c r="BO34" s="17">
        <v>80000</v>
      </c>
      <c r="BP34" s="17">
        <v>6971000</v>
      </c>
      <c r="BQ34" s="17">
        <v>982000</v>
      </c>
      <c r="BR34" s="17">
        <v>937000</v>
      </c>
      <c r="BS34" s="17">
        <v>1218000</v>
      </c>
      <c r="BT34" s="17">
        <v>1632000</v>
      </c>
      <c r="BU34" s="17">
        <v>-7028000</v>
      </c>
    </row>
    <row r="35" spans="1:73" x14ac:dyDescent="0.25">
      <c r="A35" s="16">
        <v>85</v>
      </c>
      <c r="B35" s="17">
        <v>11</v>
      </c>
      <c r="C35" s="18" t="s">
        <v>412</v>
      </c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>
        <v>254000</v>
      </c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>
        <v>13140000</v>
      </c>
      <c r="AI35" s="17">
        <v>13140000</v>
      </c>
      <c r="AJ35" s="17">
        <v>13895000</v>
      </c>
      <c r="AK35" s="17">
        <v>13899000</v>
      </c>
      <c r="AL35" s="17">
        <v>14259000</v>
      </c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</row>
    <row r="36" spans="1:73" x14ac:dyDescent="0.25">
      <c r="A36" s="16">
        <v>88</v>
      </c>
      <c r="B36" s="17">
        <v>19</v>
      </c>
      <c r="C36" s="18" t="s">
        <v>420</v>
      </c>
      <c r="D36" s="17"/>
      <c r="E36" s="17"/>
      <c r="F36" s="17">
        <v>11838000</v>
      </c>
      <c r="G36" s="17">
        <v>11838000</v>
      </c>
      <c r="H36" s="17">
        <v>11838000</v>
      </c>
      <c r="I36" s="17"/>
      <c r="J36" s="17"/>
      <c r="K36" s="17"/>
      <c r="L36" s="17"/>
      <c r="M36" s="17"/>
      <c r="N36" s="17">
        <v>2558000</v>
      </c>
      <c r="O36" s="17">
        <v>2558000</v>
      </c>
      <c r="P36" s="17">
        <v>2558000</v>
      </c>
      <c r="Q36" s="17">
        <v>2558000</v>
      </c>
      <c r="R36" s="17">
        <v>2558000</v>
      </c>
      <c r="S36" s="17"/>
      <c r="T36" s="17"/>
      <c r="U36" s="17"/>
      <c r="V36" s="17"/>
      <c r="W36" s="17"/>
      <c r="X36" s="17">
        <v>-266006000</v>
      </c>
      <c r="Y36" s="17">
        <v>-267183000</v>
      </c>
      <c r="Z36" s="17">
        <v>-255345000</v>
      </c>
      <c r="AA36" s="17">
        <v>-255345000</v>
      </c>
      <c r="AB36" s="17">
        <v>-257391000</v>
      </c>
      <c r="AC36" s="17"/>
      <c r="AD36" s="17"/>
      <c r="AE36" s="17"/>
      <c r="AF36" s="17"/>
      <c r="AG36" s="17"/>
      <c r="AH36" s="17">
        <v>147533000</v>
      </c>
      <c r="AI36" s="17">
        <v>148710000</v>
      </c>
      <c r="AJ36" s="17">
        <v>148710000</v>
      </c>
      <c r="AK36" s="17">
        <v>148710000</v>
      </c>
      <c r="AL36" s="17">
        <v>150756000</v>
      </c>
      <c r="AM36" s="17">
        <v>18993000</v>
      </c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>
        <v>18996000</v>
      </c>
      <c r="BM36" s="17">
        <v>1187000</v>
      </c>
      <c r="BN36" s="17">
        <v>1320000</v>
      </c>
      <c r="BO36" s="17">
        <v>1320000</v>
      </c>
      <c r="BP36" s="17">
        <v>1320000</v>
      </c>
      <c r="BQ36" s="17">
        <v>-3000</v>
      </c>
      <c r="BR36" s="17">
        <v>-1187000</v>
      </c>
      <c r="BS36" s="17">
        <v>-1320000</v>
      </c>
      <c r="BT36" s="17">
        <v>-1320000</v>
      </c>
      <c r="BU36" s="17">
        <v>-1320000</v>
      </c>
    </row>
    <row r="37" spans="1:73" ht="26.25" x14ac:dyDescent="0.25">
      <c r="A37" s="16">
        <v>188</v>
      </c>
      <c r="B37" s="17">
        <v>6</v>
      </c>
      <c r="C37" s="18" t="s">
        <v>668</v>
      </c>
      <c r="D37" s="17"/>
      <c r="E37" s="17"/>
      <c r="F37" s="17"/>
      <c r="G37" s="17"/>
      <c r="H37" s="17"/>
      <c r="I37" s="17">
        <v>6215000</v>
      </c>
      <c r="J37" s="17">
        <v>9982000</v>
      </c>
      <c r="K37" s="17">
        <v>10404000</v>
      </c>
      <c r="L37" s="17"/>
      <c r="M37" s="17"/>
      <c r="N37" s="17">
        <v>7918000</v>
      </c>
      <c r="O37" s="17">
        <v>18068000</v>
      </c>
      <c r="P37" s="17">
        <v>21414000</v>
      </c>
      <c r="Q37" s="17">
        <v>21946000</v>
      </c>
      <c r="R37" s="17">
        <v>21976000</v>
      </c>
      <c r="S37" s="17">
        <v>13481000</v>
      </c>
      <c r="T37" s="17">
        <v>4021000</v>
      </c>
      <c r="U37" s="17">
        <v>2515000</v>
      </c>
      <c r="V37" s="17">
        <v>18000</v>
      </c>
      <c r="W37" s="17"/>
      <c r="X37" s="17"/>
      <c r="Y37" s="17"/>
      <c r="Z37" s="17"/>
      <c r="AA37" s="17"/>
      <c r="AB37" s="17">
        <v>-2920000</v>
      </c>
      <c r="AC37" s="17">
        <v>2473000</v>
      </c>
      <c r="AD37" s="17"/>
      <c r="AE37" s="17"/>
      <c r="AF37" s="17"/>
      <c r="AG37" s="17"/>
      <c r="AH37" s="17">
        <v>5998000</v>
      </c>
      <c r="AI37" s="17">
        <v>10128000</v>
      </c>
      <c r="AJ37" s="17">
        <v>11267000</v>
      </c>
      <c r="AK37" s="17">
        <v>22000</v>
      </c>
      <c r="AL37" s="17">
        <v>24896000</v>
      </c>
      <c r="AM37" s="17">
        <v>149055000</v>
      </c>
      <c r="AN37" s="17">
        <v>178225000</v>
      </c>
      <c r="AO37" s="17">
        <v>194580000</v>
      </c>
      <c r="AP37" s="17">
        <v>71347000</v>
      </c>
      <c r="AQ37" s="17"/>
      <c r="AR37" s="17">
        <v>131347000</v>
      </c>
      <c r="AS37" s="17">
        <v>172464000</v>
      </c>
      <c r="AT37" s="17">
        <v>189744000</v>
      </c>
      <c r="AU37" s="17">
        <v>71401000</v>
      </c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>
        <v>739000</v>
      </c>
      <c r="BH37" s="17">
        <v>1071000</v>
      </c>
      <c r="BI37" s="17">
        <v>209000</v>
      </c>
      <c r="BJ37" s="17"/>
      <c r="BK37" s="17"/>
      <c r="BL37" s="17">
        <v>1358000</v>
      </c>
      <c r="BM37" s="17">
        <v>2114000</v>
      </c>
      <c r="BN37" s="17">
        <v>1955000</v>
      </c>
      <c r="BO37" s="17">
        <v>345000</v>
      </c>
      <c r="BP37" s="17"/>
      <c r="BQ37" s="17">
        <v>15091000</v>
      </c>
      <c r="BR37" s="17">
        <v>2799000</v>
      </c>
      <c r="BS37" s="17">
        <v>1123000</v>
      </c>
      <c r="BT37" s="17">
        <v>-1124000</v>
      </c>
      <c r="BU37" s="17"/>
    </row>
    <row r="38" spans="1:73" x14ac:dyDescent="0.25">
      <c r="A38" s="16">
        <v>18</v>
      </c>
      <c r="B38" s="17">
        <v>10</v>
      </c>
      <c r="C38" s="18" t="s">
        <v>236</v>
      </c>
      <c r="D38" s="17">
        <v>496000</v>
      </c>
      <c r="E38" s="17">
        <v>432000</v>
      </c>
      <c r="F38" s="17"/>
      <c r="G38" s="17"/>
      <c r="H38" s="17"/>
      <c r="I38" s="17">
        <v>634520000</v>
      </c>
      <c r="J38" s="17">
        <v>443883000</v>
      </c>
      <c r="K38" s="17">
        <v>71992000</v>
      </c>
      <c r="L38" s="17">
        <v>37221000</v>
      </c>
      <c r="M38" s="17">
        <v>29783000</v>
      </c>
      <c r="N38" s="17">
        <v>65258000</v>
      </c>
      <c r="O38" s="17">
        <v>209011000</v>
      </c>
      <c r="P38" s="17">
        <v>263000000</v>
      </c>
      <c r="Q38" s="17">
        <v>257268000</v>
      </c>
      <c r="R38" s="17">
        <v>193444000</v>
      </c>
      <c r="S38" s="17">
        <v>9170000</v>
      </c>
      <c r="T38" s="17">
        <v>2858000</v>
      </c>
      <c r="U38" s="17">
        <v>3558000</v>
      </c>
      <c r="V38" s="17">
        <v>5195000</v>
      </c>
      <c r="W38" s="17">
        <v>458000</v>
      </c>
      <c r="X38" s="17">
        <v>40071000</v>
      </c>
      <c r="Y38" s="17">
        <v>35145000</v>
      </c>
      <c r="Z38" s="17">
        <v>1113000</v>
      </c>
      <c r="AA38" s="17">
        <v>2763000</v>
      </c>
      <c r="AB38" s="17">
        <v>3496000</v>
      </c>
      <c r="AC38" s="17">
        <v>5074000</v>
      </c>
      <c r="AD38" s="17">
        <v>3427000</v>
      </c>
      <c r="AE38" s="17">
        <v>7410000</v>
      </c>
      <c r="AF38" s="17">
        <v>33587000</v>
      </c>
      <c r="AG38" s="17">
        <v>5864000</v>
      </c>
      <c r="AH38" s="17">
        <v>667219000</v>
      </c>
      <c r="AI38" s="17">
        <v>625868000</v>
      </c>
      <c r="AJ38" s="17">
        <v>342506000</v>
      </c>
      <c r="AK38" s="17">
        <v>274902000</v>
      </c>
      <c r="AL38" s="17">
        <v>227191000</v>
      </c>
      <c r="AM38" s="17">
        <v>314616000</v>
      </c>
      <c r="AN38" s="17">
        <v>370254000</v>
      </c>
      <c r="AO38" s="17">
        <v>185892000</v>
      </c>
      <c r="AP38" s="17">
        <v>46513000</v>
      </c>
      <c r="AQ38" s="17">
        <v>26263000</v>
      </c>
      <c r="AR38" s="17">
        <v>205525000</v>
      </c>
      <c r="AS38" s="17">
        <v>322434000</v>
      </c>
      <c r="AT38" s="17">
        <v>160555000</v>
      </c>
      <c r="AU38" s="17">
        <v>43639000</v>
      </c>
      <c r="AV38" s="17">
        <v>10704000</v>
      </c>
      <c r="AW38" s="17">
        <v>136706000</v>
      </c>
      <c r="AX38" s="17">
        <v>154549000</v>
      </c>
      <c r="AY38" s="17">
        <v>84362000</v>
      </c>
      <c r="AZ38" s="17">
        <v>38783000</v>
      </c>
      <c r="BA38" s="17">
        <v>24548000</v>
      </c>
      <c r="BB38" s="17"/>
      <c r="BC38" s="17"/>
      <c r="BD38" s="17"/>
      <c r="BE38" s="17"/>
      <c r="BF38" s="17"/>
      <c r="BG38" s="17">
        <v>45294000</v>
      </c>
      <c r="BH38" s="17">
        <v>114977000</v>
      </c>
      <c r="BI38" s="17">
        <v>273160000</v>
      </c>
      <c r="BJ38" s="17">
        <v>61753000</v>
      </c>
      <c r="BK38" s="17">
        <v>23463000</v>
      </c>
      <c r="BL38" s="17">
        <v>17324000</v>
      </c>
      <c r="BM38" s="17">
        <v>14308000</v>
      </c>
      <c r="BN38" s="17">
        <v>244919000</v>
      </c>
      <c r="BO38" s="17">
        <v>21498000</v>
      </c>
      <c r="BP38" s="17">
        <v>13666000</v>
      </c>
      <c r="BQ38" s="17">
        <v>-250000</v>
      </c>
      <c r="BR38" s="17">
        <v>-4925000</v>
      </c>
      <c r="BS38" s="17">
        <v>-33136000</v>
      </c>
      <c r="BT38" s="17">
        <v>2172000</v>
      </c>
      <c r="BU38" s="17">
        <v>731000</v>
      </c>
    </row>
    <row r="39" spans="1:73" x14ac:dyDescent="0.25">
      <c r="A39" s="16">
        <v>105</v>
      </c>
      <c r="B39" s="17">
        <v>8</v>
      </c>
      <c r="C39" s="18" t="s">
        <v>462</v>
      </c>
      <c r="D39" s="17">
        <v>83671000</v>
      </c>
      <c r="E39" s="17"/>
      <c r="F39" s="17"/>
      <c r="G39" s="17"/>
      <c r="H39" s="17"/>
      <c r="I39" s="17">
        <v>728116000</v>
      </c>
      <c r="J39" s="17"/>
      <c r="K39" s="17"/>
      <c r="L39" s="17"/>
      <c r="M39" s="17"/>
      <c r="N39" s="17">
        <v>1354894000</v>
      </c>
      <c r="O39" s="17"/>
      <c r="P39" s="17"/>
      <c r="Q39" s="17"/>
      <c r="R39" s="17"/>
      <c r="S39" s="17">
        <v>9321000</v>
      </c>
      <c r="T39" s="17"/>
      <c r="U39" s="17"/>
      <c r="V39" s="17"/>
      <c r="W39" s="17"/>
      <c r="X39" s="17">
        <v>45552000</v>
      </c>
      <c r="Y39" s="17"/>
      <c r="Z39" s="17"/>
      <c r="AA39" s="17"/>
      <c r="AB39" s="17"/>
      <c r="AC39" s="17">
        <v>1257150000</v>
      </c>
      <c r="AD39" s="17"/>
      <c r="AE39" s="17"/>
      <c r="AF39" s="17"/>
      <c r="AG39" s="17"/>
      <c r="AH39" s="17">
        <v>932303000</v>
      </c>
      <c r="AI39" s="17"/>
      <c r="AJ39" s="17"/>
      <c r="AK39" s="17"/>
      <c r="AL39" s="17"/>
      <c r="AM39" s="17">
        <v>1842726000</v>
      </c>
      <c r="AN39" s="17"/>
      <c r="AO39" s="17"/>
      <c r="AP39" s="17"/>
      <c r="AQ39" s="17"/>
      <c r="AR39" s="17">
        <v>1133488000</v>
      </c>
      <c r="AS39" s="17"/>
      <c r="AT39" s="17"/>
      <c r="AU39" s="17"/>
      <c r="AV39" s="17"/>
      <c r="AW39" s="17">
        <v>443515000</v>
      </c>
      <c r="AX39" s="17"/>
      <c r="AY39" s="17"/>
      <c r="AZ39" s="17"/>
      <c r="BA39" s="17"/>
      <c r="BB39" s="17"/>
      <c r="BC39" s="17"/>
      <c r="BD39" s="17"/>
      <c r="BE39" s="17"/>
      <c r="BF39" s="17"/>
      <c r="BG39" s="17">
        <v>100328000</v>
      </c>
      <c r="BH39" s="17"/>
      <c r="BI39" s="17"/>
      <c r="BJ39" s="17"/>
      <c r="BK39" s="17"/>
      <c r="BL39" s="17">
        <v>306500000</v>
      </c>
      <c r="BM39" s="17"/>
      <c r="BN39" s="17"/>
      <c r="BO39" s="17"/>
      <c r="BP39" s="17"/>
      <c r="BQ39" s="17">
        <v>9088000</v>
      </c>
      <c r="BR39" s="17"/>
      <c r="BS39" s="17"/>
      <c r="BT39" s="17"/>
      <c r="BU39" s="17"/>
    </row>
    <row r="40" spans="1:73" x14ac:dyDescent="0.25">
      <c r="A40" s="16">
        <v>100</v>
      </c>
      <c r="B40" s="17">
        <v>22</v>
      </c>
      <c r="C40" s="18" t="s">
        <v>451</v>
      </c>
      <c r="D40" s="17">
        <v>633546000</v>
      </c>
      <c r="E40" s="17">
        <v>590821000</v>
      </c>
      <c r="F40" s="17">
        <v>444509000</v>
      </c>
      <c r="G40" s="17">
        <v>379098000</v>
      </c>
      <c r="H40" s="17">
        <v>372785000</v>
      </c>
      <c r="I40" s="17">
        <v>18123730000</v>
      </c>
      <c r="J40" s="17">
        <v>15562098000</v>
      </c>
      <c r="K40" s="17">
        <v>416510000</v>
      </c>
      <c r="L40" s="17">
        <v>774000</v>
      </c>
      <c r="M40" s="17">
        <v>774000</v>
      </c>
      <c r="N40" s="17">
        <v>3924535000</v>
      </c>
      <c r="O40" s="17">
        <v>4201342000</v>
      </c>
      <c r="P40" s="17">
        <v>1668490000</v>
      </c>
      <c r="Q40" s="17">
        <v>1673314000</v>
      </c>
      <c r="R40" s="17">
        <v>1208574000</v>
      </c>
      <c r="S40" s="17">
        <v>143697000</v>
      </c>
      <c r="T40" s="17">
        <v>43761000</v>
      </c>
      <c r="U40" s="17">
        <v>43460000</v>
      </c>
      <c r="V40" s="17">
        <v>32126000</v>
      </c>
      <c r="W40" s="17">
        <v>8840000</v>
      </c>
      <c r="X40" s="17">
        <v>6481420000</v>
      </c>
      <c r="Y40" s="17">
        <v>2000516000</v>
      </c>
      <c r="Z40" s="17">
        <v>-11637758000</v>
      </c>
      <c r="AA40" s="17">
        <v>-14713232000</v>
      </c>
      <c r="AB40" s="17">
        <v>-14778792000</v>
      </c>
      <c r="AC40" s="17">
        <v>3476438000</v>
      </c>
      <c r="AD40" s="17">
        <v>3879436000</v>
      </c>
      <c r="AE40" s="17">
        <v>10923707000</v>
      </c>
      <c r="AF40" s="17">
        <v>4859029000</v>
      </c>
      <c r="AG40" s="17">
        <v>4859029000</v>
      </c>
      <c r="AH40" s="17">
        <v>5073286000</v>
      </c>
      <c r="AI40" s="17">
        <v>6848820000</v>
      </c>
      <c r="AJ40" s="17">
        <v>3957423000</v>
      </c>
      <c r="AK40" s="17">
        <v>11939932000</v>
      </c>
      <c r="AL40" s="17">
        <v>13220190000</v>
      </c>
      <c r="AM40" s="17">
        <v>7296907000</v>
      </c>
      <c r="AN40" s="17">
        <v>5513600000</v>
      </c>
      <c r="AO40" s="17">
        <v>1867457000</v>
      </c>
      <c r="AP40" s="17">
        <v>229520000</v>
      </c>
      <c r="AQ40" s="17">
        <v>55742000</v>
      </c>
      <c r="AR40" s="17">
        <v>4296596000</v>
      </c>
      <c r="AS40" s="17">
        <v>3484867000</v>
      </c>
      <c r="AT40" s="17">
        <v>2049018000</v>
      </c>
      <c r="AU40" s="17">
        <v>333205000</v>
      </c>
      <c r="AV40" s="17">
        <v>39267000</v>
      </c>
      <c r="AW40" s="17">
        <v>1860899000</v>
      </c>
      <c r="AX40" s="17">
        <v>2028601000</v>
      </c>
      <c r="AY40" s="17">
        <v>1283469000</v>
      </c>
      <c r="AZ40" s="17">
        <v>366961000</v>
      </c>
      <c r="BA40" s="17"/>
      <c r="BB40" s="17">
        <v>287995000</v>
      </c>
      <c r="BC40" s="17">
        <v>297497000</v>
      </c>
      <c r="BD40" s="17">
        <v>191962000</v>
      </c>
      <c r="BE40" s="17">
        <v>66031000</v>
      </c>
      <c r="BF40" s="17">
        <v>34234000</v>
      </c>
      <c r="BG40" s="17">
        <v>465113000</v>
      </c>
      <c r="BH40" s="17">
        <v>2531376000</v>
      </c>
      <c r="BI40" s="17">
        <v>2063179000</v>
      </c>
      <c r="BJ40" s="17">
        <v>279514000</v>
      </c>
      <c r="BK40" s="17">
        <v>33982000</v>
      </c>
      <c r="BL40" s="17">
        <v>471811000</v>
      </c>
      <c r="BM40" s="17">
        <v>6547565000</v>
      </c>
      <c r="BN40" s="17">
        <v>16110339000</v>
      </c>
      <c r="BO40" s="17">
        <v>2387943000</v>
      </c>
      <c r="BP40" s="17"/>
      <c r="BQ40" s="17">
        <v>-40383000</v>
      </c>
      <c r="BR40" s="17">
        <v>-4351294000</v>
      </c>
      <c r="BS40" s="17">
        <v>-13641847000</v>
      </c>
      <c r="BT40" s="17">
        <v>-2883190000</v>
      </c>
      <c r="BU40" s="17">
        <v>-65560000</v>
      </c>
    </row>
    <row r="41" spans="1:73" ht="26.25" x14ac:dyDescent="0.25">
      <c r="A41" s="16">
        <v>175</v>
      </c>
      <c r="B41" s="17">
        <v>23</v>
      </c>
      <c r="C41" s="18" t="s">
        <v>636</v>
      </c>
      <c r="D41" s="17">
        <v>4027000</v>
      </c>
      <c r="E41" s="17"/>
      <c r="F41" s="17">
        <v>744000</v>
      </c>
      <c r="G41" s="17">
        <v>618000</v>
      </c>
      <c r="H41" s="17"/>
      <c r="I41" s="17">
        <v>5310000</v>
      </c>
      <c r="J41" s="17">
        <v>5535000</v>
      </c>
      <c r="K41" s="17">
        <v>7638000</v>
      </c>
      <c r="L41" s="17">
        <v>2218000</v>
      </c>
      <c r="M41" s="17"/>
      <c r="N41" s="17">
        <v>8639000</v>
      </c>
      <c r="O41" s="17">
        <v>14846000</v>
      </c>
      <c r="P41" s="17">
        <v>15253000</v>
      </c>
      <c r="Q41" s="17">
        <v>12922000</v>
      </c>
      <c r="R41" s="17"/>
      <c r="S41" s="17">
        <v>263000</v>
      </c>
      <c r="T41" s="17">
        <v>447000</v>
      </c>
      <c r="U41" s="17">
        <v>468000</v>
      </c>
      <c r="V41" s="17">
        <v>120000</v>
      </c>
      <c r="W41" s="17"/>
      <c r="X41" s="17">
        <v>16702000</v>
      </c>
      <c r="Y41" s="17">
        <v>19358000</v>
      </c>
      <c r="Z41" s="17">
        <v>22015000</v>
      </c>
      <c r="AA41" s="17">
        <v>14405000</v>
      </c>
      <c r="AB41" s="17"/>
      <c r="AC41" s="17">
        <v>1523000</v>
      </c>
      <c r="AD41" s="17"/>
      <c r="AE41" s="17"/>
      <c r="AF41" s="17"/>
      <c r="AG41" s="17"/>
      <c r="AH41" s="17"/>
      <c r="AI41" s="17">
        <v>1456000</v>
      </c>
      <c r="AJ41" s="17">
        <v>2074000</v>
      </c>
      <c r="AK41" s="17">
        <v>1459000</v>
      </c>
      <c r="AL41" s="17"/>
      <c r="AM41" s="17">
        <v>60187000</v>
      </c>
      <c r="AN41" s="17">
        <v>51655000</v>
      </c>
      <c r="AO41" s="17">
        <v>44893000</v>
      </c>
      <c r="AP41" s="17">
        <v>24778000</v>
      </c>
      <c r="AQ41" s="17"/>
      <c r="AR41" s="17">
        <v>50384000</v>
      </c>
      <c r="AS41" s="17">
        <v>42886000</v>
      </c>
      <c r="AT41" s="17">
        <v>37947000</v>
      </c>
      <c r="AU41" s="17">
        <v>22693000</v>
      </c>
      <c r="AV41" s="17"/>
      <c r="AW41" s="17">
        <v>6439000</v>
      </c>
      <c r="AX41" s="17">
        <v>8673000</v>
      </c>
      <c r="AY41" s="17">
        <v>5793000</v>
      </c>
      <c r="AZ41" s="17">
        <v>9823000</v>
      </c>
      <c r="BA41" s="17"/>
      <c r="BB41" s="17"/>
      <c r="BC41" s="17"/>
      <c r="BD41" s="17"/>
      <c r="BE41" s="17"/>
      <c r="BF41" s="17"/>
      <c r="BG41" s="17">
        <v>4872000</v>
      </c>
      <c r="BH41" s="17">
        <v>3666000</v>
      </c>
      <c r="BI41" s="17">
        <v>2392000</v>
      </c>
      <c r="BJ41" s="17">
        <v>767000</v>
      </c>
      <c r="BK41" s="17"/>
      <c r="BL41" s="17">
        <v>571000</v>
      </c>
      <c r="BM41" s="17">
        <v>543000</v>
      </c>
      <c r="BN41" s="17">
        <v>385000</v>
      </c>
      <c r="BO41" s="17">
        <v>382000</v>
      </c>
      <c r="BP41" s="17"/>
      <c r="BQ41" s="17">
        <v>7239000</v>
      </c>
      <c r="BR41" s="17">
        <v>2656000</v>
      </c>
      <c r="BS41" s="17">
        <v>2657000</v>
      </c>
      <c r="BT41" s="17">
        <v>-7610000</v>
      </c>
      <c r="BU41" s="17"/>
    </row>
    <row r="42" spans="1:73" ht="26.25" x14ac:dyDescent="0.25">
      <c r="A42" s="16">
        <v>23</v>
      </c>
      <c r="B42" s="17">
        <v>8</v>
      </c>
      <c r="C42" s="18" t="s">
        <v>249</v>
      </c>
      <c r="D42" s="17">
        <v>1291000</v>
      </c>
      <c r="E42" s="17">
        <v>111000</v>
      </c>
      <c r="F42" s="17"/>
      <c r="G42" s="17"/>
      <c r="H42" s="17"/>
      <c r="I42" s="17">
        <v>664425000</v>
      </c>
      <c r="J42" s="17">
        <v>423415000</v>
      </c>
      <c r="K42" s="17"/>
      <c r="L42" s="17">
        <v>5000</v>
      </c>
      <c r="M42" s="17">
        <v>5000</v>
      </c>
      <c r="N42" s="17">
        <v>1922091000</v>
      </c>
      <c r="O42" s="17">
        <v>1621127000</v>
      </c>
      <c r="P42" s="17"/>
      <c r="Q42" s="17">
        <v>24000</v>
      </c>
      <c r="R42" s="17"/>
      <c r="S42" s="17">
        <v>366000</v>
      </c>
      <c r="T42" s="17">
        <v>5550000</v>
      </c>
      <c r="U42" s="17"/>
      <c r="V42" s="17">
        <v>101000</v>
      </c>
      <c r="W42" s="17">
        <v>107000</v>
      </c>
      <c r="X42" s="17">
        <v>37932000</v>
      </c>
      <c r="Y42" s="17">
        <v>-226930000</v>
      </c>
      <c r="Z42" s="17"/>
      <c r="AA42" s="17">
        <v>-2826678000</v>
      </c>
      <c r="AB42" s="17">
        <v>-2836238000</v>
      </c>
      <c r="AC42" s="17">
        <v>439829000</v>
      </c>
      <c r="AD42" s="17">
        <v>489646000</v>
      </c>
      <c r="AE42" s="17"/>
      <c r="AF42" s="17"/>
      <c r="AG42" s="17"/>
      <c r="AH42" s="17">
        <v>2147151000</v>
      </c>
      <c r="AI42" s="17">
        <v>1928670000</v>
      </c>
      <c r="AJ42" s="17"/>
      <c r="AK42" s="17">
        <v>2827888000</v>
      </c>
      <c r="AL42" s="17">
        <v>2836330000</v>
      </c>
      <c r="AM42" s="17">
        <v>1805986000</v>
      </c>
      <c r="AN42" s="17">
        <v>640098000</v>
      </c>
      <c r="AO42" s="17"/>
      <c r="AP42" s="17">
        <v>92000</v>
      </c>
      <c r="AQ42" s="17">
        <v>149000</v>
      </c>
      <c r="AR42" s="17">
        <v>1356738000</v>
      </c>
      <c r="AS42" s="17">
        <v>503785000</v>
      </c>
      <c r="AT42" s="17"/>
      <c r="AU42" s="17">
        <v>1420000</v>
      </c>
      <c r="AV42" s="17">
        <v>8518000</v>
      </c>
      <c r="AW42" s="17">
        <v>407832000</v>
      </c>
      <c r="AX42" s="17">
        <v>281605000</v>
      </c>
      <c r="AY42" s="17"/>
      <c r="AZ42" s="17"/>
      <c r="BA42" s="17"/>
      <c r="BB42" s="17"/>
      <c r="BC42" s="17"/>
      <c r="BD42" s="17"/>
      <c r="BE42" s="17"/>
      <c r="BF42" s="17"/>
      <c r="BG42" s="17">
        <v>204103000</v>
      </c>
      <c r="BH42" s="17">
        <v>40770000</v>
      </c>
      <c r="BI42" s="17"/>
      <c r="BJ42" s="17">
        <v>2000000</v>
      </c>
      <c r="BK42" s="17"/>
      <c r="BL42" s="17">
        <v>175431000</v>
      </c>
      <c r="BM42" s="17">
        <v>139440000</v>
      </c>
      <c r="BN42" s="17"/>
      <c r="BO42" s="17">
        <v>901000</v>
      </c>
      <c r="BP42" s="17">
        <v>1191000</v>
      </c>
      <c r="BQ42" s="17">
        <v>36012000</v>
      </c>
      <c r="BR42" s="17">
        <v>-235060000</v>
      </c>
      <c r="BS42" s="17"/>
      <c r="BT42" s="17">
        <v>-229000</v>
      </c>
      <c r="BU42" s="17">
        <v>-9560000</v>
      </c>
    </row>
    <row r="43" spans="1:73" ht="26.25" x14ac:dyDescent="0.25">
      <c r="A43" s="16">
        <v>114</v>
      </c>
      <c r="B43" s="17">
        <v>8</v>
      </c>
      <c r="C43" s="18" t="s">
        <v>249</v>
      </c>
      <c r="D43" s="17">
        <v>220074000</v>
      </c>
      <c r="E43" s="17">
        <v>52191000</v>
      </c>
      <c r="F43" s="17">
        <v>34217000</v>
      </c>
      <c r="G43" s="17">
        <v>17974000</v>
      </c>
      <c r="H43" s="17">
        <v>17974000</v>
      </c>
      <c r="I43" s="17">
        <v>3002589000</v>
      </c>
      <c r="J43" s="17">
        <v>2378795000</v>
      </c>
      <c r="K43" s="17">
        <v>773493000</v>
      </c>
      <c r="L43" s="17">
        <v>763493000</v>
      </c>
      <c r="M43" s="17">
        <v>761493000</v>
      </c>
      <c r="N43" s="17">
        <v>1582995000</v>
      </c>
      <c r="O43" s="17">
        <v>1547653000</v>
      </c>
      <c r="P43" s="17">
        <v>901436000</v>
      </c>
      <c r="Q43" s="17">
        <v>80919000</v>
      </c>
      <c r="R43" s="17">
        <v>80919000</v>
      </c>
      <c r="S43" s="17">
        <v>481555000</v>
      </c>
      <c r="T43" s="17">
        <v>550331000</v>
      </c>
      <c r="U43" s="17"/>
      <c r="V43" s="17">
        <v>12815000</v>
      </c>
      <c r="W43" s="17">
        <v>47000</v>
      </c>
      <c r="X43" s="17">
        <v>236705000</v>
      </c>
      <c r="Y43" s="17">
        <v>-507164000</v>
      </c>
      <c r="Z43" s="17">
        <v>-1671570000</v>
      </c>
      <c r="AA43" s="17">
        <v>-3889762000</v>
      </c>
      <c r="AB43" s="17">
        <v>-3908476000</v>
      </c>
      <c r="AC43" s="17">
        <v>751964000</v>
      </c>
      <c r="AD43" s="17">
        <v>1510742000</v>
      </c>
      <c r="AE43" s="17">
        <v>865458000</v>
      </c>
      <c r="AF43" s="17">
        <v>3039105000</v>
      </c>
      <c r="AG43" s="17">
        <v>3039105000</v>
      </c>
      <c r="AH43" s="17">
        <v>4770627000</v>
      </c>
      <c r="AI43" s="17">
        <v>4211650000</v>
      </c>
      <c r="AJ43" s="17">
        <v>2588564000</v>
      </c>
      <c r="AK43" s="17">
        <v>1725838000</v>
      </c>
      <c r="AL43" s="17">
        <v>1729784000</v>
      </c>
      <c r="AM43" s="17">
        <v>11624287000</v>
      </c>
      <c r="AN43" s="17">
        <v>9939709000</v>
      </c>
      <c r="AO43" s="17">
        <v>1063592000</v>
      </c>
      <c r="AP43" s="17">
        <v>10371000</v>
      </c>
      <c r="AQ43" s="17">
        <v>4121000</v>
      </c>
      <c r="AR43" s="17">
        <v>8701033000</v>
      </c>
      <c r="AS43" s="17">
        <v>7097609000</v>
      </c>
      <c r="AT43" s="17">
        <v>972955000</v>
      </c>
      <c r="AU43" s="17">
        <v>35327000</v>
      </c>
      <c r="AV43" s="17">
        <v>2000000</v>
      </c>
      <c r="AW43" s="17">
        <v>2774188000</v>
      </c>
      <c r="AX43" s="17">
        <v>3193428000</v>
      </c>
      <c r="AY43" s="17">
        <v>1255043000</v>
      </c>
      <c r="AZ43" s="17">
        <v>24916000</v>
      </c>
      <c r="BA43" s="17">
        <v>20708000</v>
      </c>
      <c r="BB43" s="17"/>
      <c r="BC43" s="17"/>
      <c r="BD43" s="17"/>
      <c r="BE43" s="17"/>
      <c r="BF43" s="17"/>
      <c r="BG43" s="17">
        <v>1213642000</v>
      </c>
      <c r="BH43" s="17">
        <v>684906000</v>
      </c>
      <c r="BI43" s="17"/>
      <c r="BJ43" s="17"/>
      <c r="BK43" s="17"/>
      <c r="BL43" s="17">
        <v>1245046000</v>
      </c>
      <c r="BM43" s="17">
        <v>765791000</v>
      </c>
      <c r="BN43" s="17"/>
      <c r="BO43" s="17">
        <v>2168320000</v>
      </c>
      <c r="BP43" s="17">
        <v>147000</v>
      </c>
      <c r="BQ43" s="17">
        <v>40592000</v>
      </c>
      <c r="BR43" s="17">
        <v>-387431000</v>
      </c>
      <c r="BS43" s="17">
        <v>-1164406000</v>
      </c>
      <c r="BT43" s="17">
        <v>-2218192000</v>
      </c>
      <c r="BU43" s="17">
        <v>-18734000</v>
      </c>
    </row>
    <row r="44" spans="1:73" x14ac:dyDescent="0.25">
      <c r="A44" s="16">
        <v>126</v>
      </c>
      <c r="B44" s="17">
        <v>15</v>
      </c>
      <c r="C44" s="18" t="s">
        <v>520</v>
      </c>
      <c r="D44" s="17">
        <v>25000</v>
      </c>
      <c r="E44" s="17">
        <v>1356000</v>
      </c>
      <c r="F44" s="17"/>
      <c r="G44" s="17"/>
      <c r="H44" s="17"/>
      <c r="I44" s="17">
        <v>5799000</v>
      </c>
      <c r="J44" s="17">
        <v>22436000</v>
      </c>
      <c r="K44" s="17">
        <v>28633000</v>
      </c>
      <c r="L44" s="17"/>
      <c r="M44" s="17"/>
      <c r="N44" s="17">
        <v>65325000</v>
      </c>
      <c r="O44" s="17">
        <v>70272000</v>
      </c>
      <c r="P44" s="17">
        <v>66439000</v>
      </c>
      <c r="Q44" s="17"/>
      <c r="R44" s="17"/>
      <c r="S44" s="17">
        <v>547000</v>
      </c>
      <c r="T44" s="17">
        <v>2086000</v>
      </c>
      <c r="U44" s="17">
        <v>223000</v>
      </c>
      <c r="V44" s="17">
        <v>1430000</v>
      </c>
      <c r="W44" s="17"/>
      <c r="X44" s="17">
        <v>6391000</v>
      </c>
      <c r="Y44" s="17">
        <v>7370000</v>
      </c>
      <c r="Z44" s="17"/>
      <c r="AA44" s="17"/>
      <c r="AB44" s="17"/>
      <c r="AC44" s="17">
        <v>1750000</v>
      </c>
      <c r="AD44" s="17">
        <v>1751000</v>
      </c>
      <c r="AE44" s="17">
        <v>1446000</v>
      </c>
      <c r="AF44" s="17"/>
      <c r="AG44" s="17"/>
      <c r="AH44" s="17">
        <v>39722000</v>
      </c>
      <c r="AI44" s="17">
        <v>91299000</v>
      </c>
      <c r="AJ44" s="17">
        <v>34584000</v>
      </c>
      <c r="AK44" s="17">
        <v>561000</v>
      </c>
      <c r="AL44" s="17"/>
      <c r="AM44" s="17">
        <v>79428000</v>
      </c>
      <c r="AN44" s="17">
        <v>107430000</v>
      </c>
      <c r="AO44" s="17">
        <v>148719000</v>
      </c>
      <c r="AP44" s="17">
        <v>28790000</v>
      </c>
      <c r="AQ44" s="17"/>
      <c r="AR44" s="17">
        <v>76377000</v>
      </c>
      <c r="AS44" s="17">
        <v>86290000</v>
      </c>
      <c r="AT44" s="17">
        <v>152649000</v>
      </c>
      <c r="AU44" s="17">
        <v>27816000</v>
      </c>
      <c r="AV44" s="17"/>
      <c r="AW44" s="17"/>
      <c r="AX44" s="17"/>
      <c r="AY44" s="17"/>
      <c r="AZ44" s="17"/>
      <c r="BA44" s="17"/>
      <c r="BB44" s="17"/>
      <c r="BC44" s="17">
        <v>18464000</v>
      </c>
      <c r="BD44" s="17"/>
      <c r="BE44" s="17"/>
      <c r="BF44" s="17"/>
      <c r="BG44" s="17">
        <v>19000</v>
      </c>
      <c r="BH44" s="17">
        <v>33000</v>
      </c>
      <c r="BI44" s="17">
        <v>6823000</v>
      </c>
      <c r="BJ44" s="17"/>
      <c r="BK44" s="17"/>
      <c r="BL44" s="17">
        <v>447000</v>
      </c>
      <c r="BM44" s="17">
        <v>1167000</v>
      </c>
      <c r="BN44" s="17">
        <v>746000</v>
      </c>
      <c r="BO44" s="17">
        <v>176000</v>
      </c>
      <c r="BP44" s="17"/>
      <c r="BQ44" s="17">
        <v>2075000</v>
      </c>
      <c r="BR44" s="17">
        <v>979000</v>
      </c>
      <c r="BS44" s="17">
        <v>1718000</v>
      </c>
      <c r="BT44" s="17">
        <v>798000</v>
      </c>
      <c r="BU44" s="17"/>
    </row>
    <row r="45" spans="1:73" x14ac:dyDescent="0.25">
      <c r="A45" s="16">
        <v>29</v>
      </c>
      <c r="B45" s="17">
        <v>18</v>
      </c>
      <c r="C45" s="18" t="s">
        <v>266</v>
      </c>
      <c r="D45" s="17">
        <v>72041000</v>
      </c>
      <c r="E45" s="17">
        <v>52973000</v>
      </c>
      <c r="F45" s="17">
        <v>89410000</v>
      </c>
      <c r="G45" s="17">
        <v>12870000</v>
      </c>
      <c r="H45" s="17">
        <v>12870000</v>
      </c>
      <c r="I45" s="17">
        <v>6148227000</v>
      </c>
      <c r="J45" s="17">
        <v>5999859000</v>
      </c>
      <c r="K45" s="17">
        <v>6028868000</v>
      </c>
      <c r="L45" s="17">
        <v>15816000</v>
      </c>
      <c r="M45" s="17">
        <v>15816000</v>
      </c>
      <c r="N45" s="17">
        <v>2673379000</v>
      </c>
      <c r="O45" s="17">
        <v>3233937000</v>
      </c>
      <c r="P45" s="17">
        <v>5335774000</v>
      </c>
      <c r="Q45" s="17">
        <v>5062119000</v>
      </c>
      <c r="R45" s="17">
        <v>5038140000</v>
      </c>
      <c r="S45" s="17">
        <v>3402000</v>
      </c>
      <c r="T45" s="17">
        <v>1892000</v>
      </c>
      <c r="U45" s="17">
        <v>79059000</v>
      </c>
      <c r="V45" s="17">
        <v>4015000</v>
      </c>
      <c r="W45" s="17">
        <v>610000</v>
      </c>
      <c r="X45" s="17">
        <v>1230753000</v>
      </c>
      <c r="Y45" s="17">
        <v>1428233000</v>
      </c>
      <c r="Z45" s="17">
        <v>1636796000</v>
      </c>
      <c r="AA45" s="17">
        <v>-3501497000</v>
      </c>
      <c r="AB45" s="17">
        <v>-3518048000</v>
      </c>
      <c r="AC45" s="17">
        <v>2774000000</v>
      </c>
      <c r="AD45" s="17">
        <v>3304063000</v>
      </c>
      <c r="AE45" s="17">
        <v>4452075000</v>
      </c>
      <c r="AF45" s="17"/>
      <c r="AG45" s="17"/>
      <c r="AH45" s="17">
        <v>5777048000</v>
      </c>
      <c r="AI45" s="17">
        <v>5489957000</v>
      </c>
      <c r="AJ45" s="17">
        <v>6448950000</v>
      </c>
      <c r="AK45" s="17">
        <v>4585314000</v>
      </c>
      <c r="AL45" s="17">
        <v>4578356000</v>
      </c>
      <c r="AM45" s="17">
        <v>20322825000</v>
      </c>
      <c r="AN45" s="17">
        <v>17415422000</v>
      </c>
      <c r="AO45" s="17">
        <v>17414894000</v>
      </c>
      <c r="AP45" s="17">
        <v>7384425000</v>
      </c>
      <c r="AQ45" s="17">
        <v>242000</v>
      </c>
      <c r="AR45" s="17">
        <v>19891083000</v>
      </c>
      <c r="AS45" s="17">
        <v>16919131000</v>
      </c>
      <c r="AT45" s="17">
        <v>16655535000</v>
      </c>
      <c r="AU45" s="17">
        <v>7323049000</v>
      </c>
      <c r="AV45" s="17"/>
      <c r="AW45" s="17">
        <v>889453000</v>
      </c>
      <c r="AX45" s="17">
        <v>794697000</v>
      </c>
      <c r="AY45" s="17">
        <v>776373000</v>
      </c>
      <c r="AZ45" s="17">
        <v>558244000</v>
      </c>
      <c r="BA45" s="17">
        <v>20864000</v>
      </c>
      <c r="BB45" s="17"/>
      <c r="BC45" s="17"/>
      <c r="BD45" s="17"/>
      <c r="BE45" s="17"/>
      <c r="BF45" s="17"/>
      <c r="BG45" s="17">
        <v>1193766000</v>
      </c>
      <c r="BH45" s="17">
        <v>1166975000</v>
      </c>
      <c r="BI45" s="17">
        <v>1028320000</v>
      </c>
      <c r="BJ45" s="17">
        <v>507121000</v>
      </c>
      <c r="BK45" s="17">
        <v>1115000</v>
      </c>
      <c r="BL45" s="17">
        <v>268982000</v>
      </c>
      <c r="BM45" s="17">
        <v>360848000</v>
      </c>
      <c r="BN45" s="17">
        <v>245209000</v>
      </c>
      <c r="BO45" s="17">
        <v>729924000</v>
      </c>
      <c r="BP45" s="17">
        <v>781000</v>
      </c>
      <c r="BQ45" s="17">
        <v>185594000</v>
      </c>
      <c r="BR45" s="17">
        <v>197480000</v>
      </c>
      <c r="BS45" s="17">
        <v>198986000</v>
      </c>
      <c r="BT45" s="17">
        <v>-5138293000</v>
      </c>
      <c r="BU45" s="17">
        <v>-16549000</v>
      </c>
    </row>
    <row r="46" spans="1:73" x14ac:dyDescent="0.25">
      <c r="A46" s="16">
        <v>133</v>
      </c>
      <c r="B46" s="17">
        <v>22</v>
      </c>
      <c r="C46" s="18" t="s">
        <v>266</v>
      </c>
      <c r="D46" s="17">
        <v>106059000</v>
      </c>
      <c r="E46" s="17"/>
      <c r="F46" s="17"/>
      <c r="G46" s="17"/>
      <c r="H46" s="17"/>
      <c r="I46" s="17"/>
      <c r="J46" s="17"/>
      <c r="K46" s="17"/>
      <c r="L46" s="17"/>
      <c r="M46" s="17"/>
      <c r="N46" s="17">
        <v>426775000</v>
      </c>
      <c r="O46" s="17"/>
      <c r="P46" s="17"/>
      <c r="Q46" s="17"/>
      <c r="R46" s="17"/>
      <c r="S46" s="17">
        <v>29496000</v>
      </c>
      <c r="T46" s="17"/>
      <c r="U46" s="17"/>
      <c r="V46" s="17"/>
      <c r="W46" s="17"/>
      <c r="X46" s="17">
        <v>-24949906000</v>
      </c>
      <c r="Y46" s="17">
        <v>-1000000</v>
      </c>
      <c r="Z46" s="17"/>
      <c r="AA46" s="17"/>
      <c r="AB46" s="17"/>
      <c r="AC46" s="17"/>
      <c r="AD46" s="17"/>
      <c r="AE46" s="17"/>
      <c r="AF46" s="17"/>
      <c r="AG46" s="17"/>
      <c r="AH46" s="17">
        <v>25511236000</v>
      </c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>
        <v>11428997000</v>
      </c>
      <c r="BM46" s="17"/>
      <c r="BN46" s="17"/>
      <c r="BO46" s="17"/>
      <c r="BP46" s="17"/>
      <c r="BQ46" s="17">
        <v>-11428997000</v>
      </c>
      <c r="BR46" s="17"/>
      <c r="BS46" s="17"/>
      <c r="BT46" s="17"/>
      <c r="BU46" s="17"/>
    </row>
    <row r="47" spans="1:73" ht="26.25" x14ac:dyDescent="0.25">
      <c r="A47" s="16">
        <v>86</v>
      </c>
      <c r="B47" s="17">
        <v>25</v>
      </c>
      <c r="C47" s="18" t="s">
        <v>415</v>
      </c>
      <c r="D47" s="17">
        <v>44884000</v>
      </c>
      <c r="E47" s="17">
        <v>3126000</v>
      </c>
      <c r="F47" s="17">
        <v>3124000</v>
      </c>
      <c r="G47" s="17">
        <v>3122000</v>
      </c>
      <c r="H47" s="17">
        <v>3120000</v>
      </c>
      <c r="I47" s="17">
        <v>332660000</v>
      </c>
      <c r="J47" s="17">
        <v>327623000</v>
      </c>
      <c r="K47" s="17">
        <v>271348000</v>
      </c>
      <c r="L47" s="17">
        <v>235636000</v>
      </c>
      <c r="M47" s="17">
        <v>235636000</v>
      </c>
      <c r="N47" s="17">
        <v>1544265000</v>
      </c>
      <c r="O47" s="17">
        <v>1522381000</v>
      </c>
      <c r="P47" s="17">
        <v>1454858000</v>
      </c>
      <c r="Q47" s="17">
        <v>1448260000</v>
      </c>
      <c r="R47" s="17">
        <v>1448260000</v>
      </c>
      <c r="S47" s="17">
        <v>29529000</v>
      </c>
      <c r="T47" s="17">
        <v>59995000</v>
      </c>
      <c r="U47" s="17">
        <v>39489000</v>
      </c>
      <c r="V47" s="17">
        <v>33155000</v>
      </c>
      <c r="W47" s="17">
        <v>23368000</v>
      </c>
      <c r="X47" s="17">
        <v>194514000</v>
      </c>
      <c r="Y47" s="17">
        <v>-248925000</v>
      </c>
      <c r="Z47" s="17">
        <v>-380653000</v>
      </c>
      <c r="AA47" s="17">
        <v>-436034000</v>
      </c>
      <c r="AB47" s="17">
        <v>-438631000</v>
      </c>
      <c r="AC47" s="17">
        <v>1187063000</v>
      </c>
      <c r="AD47" s="17">
        <v>1182811000</v>
      </c>
      <c r="AE47" s="17">
        <v>1175022000</v>
      </c>
      <c r="AF47" s="17">
        <v>1175022000</v>
      </c>
      <c r="AG47" s="17">
        <v>1168216000</v>
      </c>
      <c r="AH47" s="17">
        <v>1189026000</v>
      </c>
      <c r="AI47" s="17">
        <v>1168522000</v>
      </c>
      <c r="AJ47" s="17">
        <v>1164435000</v>
      </c>
      <c r="AK47" s="17">
        <v>1166256000</v>
      </c>
      <c r="AL47" s="17">
        <v>1165870000</v>
      </c>
      <c r="AM47" s="17">
        <v>21373000</v>
      </c>
      <c r="AN47" s="17">
        <v>45922000</v>
      </c>
      <c r="AO47" s="17">
        <v>9000000</v>
      </c>
      <c r="AP47" s="17"/>
      <c r="AQ47" s="17"/>
      <c r="AR47" s="17">
        <v>29630000</v>
      </c>
      <c r="AS47" s="17">
        <v>40890000</v>
      </c>
      <c r="AT47" s="17">
        <v>123520000</v>
      </c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>
        <v>6477000</v>
      </c>
      <c r="BH47" s="17">
        <v>53000</v>
      </c>
      <c r="BI47" s="17">
        <v>674000</v>
      </c>
      <c r="BJ47" s="17">
        <v>10769000</v>
      </c>
      <c r="BK47" s="17">
        <v>206000</v>
      </c>
      <c r="BL47" s="17">
        <v>30074000</v>
      </c>
      <c r="BM47" s="17">
        <v>448649000</v>
      </c>
      <c r="BN47" s="17">
        <v>17882000</v>
      </c>
      <c r="BO47" s="17">
        <v>66150000</v>
      </c>
      <c r="BP47" s="17">
        <v>2803000</v>
      </c>
      <c r="BQ47" s="17">
        <v>-31854000</v>
      </c>
      <c r="BR47" s="17">
        <v>-443439000</v>
      </c>
      <c r="BS47" s="17">
        <v>-131728000</v>
      </c>
      <c r="BT47" s="17">
        <v>-55381000</v>
      </c>
      <c r="BU47" s="17">
        <v>-2597000</v>
      </c>
    </row>
    <row r="48" spans="1:73" x14ac:dyDescent="0.25">
      <c r="A48" s="16">
        <v>132</v>
      </c>
      <c r="B48" s="17">
        <v>10</v>
      </c>
      <c r="C48" s="18" t="s">
        <v>535</v>
      </c>
      <c r="D48" s="17">
        <v>54413000</v>
      </c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>
        <v>-156641000</v>
      </c>
      <c r="Y48" s="17"/>
      <c r="Z48" s="17"/>
      <c r="AA48" s="17"/>
      <c r="AB48" s="17"/>
      <c r="AC48" s="17"/>
      <c r="AD48" s="17"/>
      <c r="AE48" s="17"/>
      <c r="AF48" s="17"/>
      <c r="AG48" s="17"/>
      <c r="AH48" s="17">
        <v>66044000</v>
      </c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</row>
    <row r="49" spans="1:73" x14ac:dyDescent="0.25">
      <c r="A49" s="16">
        <v>241</v>
      </c>
      <c r="B49" s="17">
        <v>16</v>
      </c>
      <c r="C49" s="18" t="s">
        <v>535</v>
      </c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</row>
    <row r="50" spans="1:73" x14ac:dyDescent="0.25">
      <c r="A50" s="16">
        <v>82</v>
      </c>
      <c r="B50" s="17">
        <v>14</v>
      </c>
      <c r="C50" s="18" t="s">
        <v>404</v>
      </c>
      <c r="D50" s="17">
        <v>7065000</v>
      </c>
      <c r="E50" s="17">
        <v>13004000</v>
      </c>
      <c r="F50" s="17">
        <v>7318000</v>
      </c>
      <c r="G50" s="17">
        <v>1635000</v>
      </c>
      <c r="H50" s="17">
        <v>383000</v>
      </c>
      <c r="I50" s="17">
        <v>39210000</v>
      </c>
      <c r="J50" s="17">
        <v>65329000</v>
      </c>
      <c r="K50" s="17">
        <v>37482000</v>
      </c>
      <c r="L50" s="17">
        <v>6258000</v>
      </c>
      <c r="M50" s="17"/>
      <c r="N50" s="17">
        <v>17501000</v>
      </c>
      <c r="O50" s="17">
        <v>37350000</v>
      </c>
      <c r="P50" s="17">
        <v>28533000</v>
      </c>
      <c r="Q50" s="17">
        <v>25450000</v>
      </c>
      <c r="R50" s="17">
        <v>13055000</v>
      </c>
      <c r="S50" s="17">
        <v>1024000</v>
      </c>
      <c r="T50" s="17">
        <v>146000</v>
      </c>
      <c r="U50" s="17">
        <v>65000</v>
      </c>
      <c r="V50" s="17">
        <v>16000</v>
      </c>
      <c r="W50" s="17">
        <v>1000</v>
      </c>
      <c r="X50" s="17">
        <v>1238000</v>
      </c>
      <c r="Y50" s="17">
        <v>280000</v>
      </c>
      <c r="Z50" s="17">
        <v>1410000</v>
      </c>
      <c r="AA50" s="17">
        <v>1231000</v>
      </c>
      <c r="AB50" s="17">
        <v>934000</v>
      </c>
      <c r="AC50" s="17">
        <v>1784000</v>
      </c>
      <c r="AD50" s="17">
        <v>2312000</v>
      </c>
      <c r="AE50" s="17">
        <v>2312000</v>
      </c>
      <c r="AF50" s="17">
        <v>1341000</v>
      </c>
      <c r="AG50" s="17">
        <v>1174000</v>
      </c>
      <c r="AH50" s="17">
        <v>58450000</v>
      </c>
      <c r="AI50" s="17">
        <v>105681000</v>
      </c>
      <c r="AJ50" s="17">
        <v>67958000</v>
      </c>
      <c r="AK50" s="17">
        <v>28987000</v>
      </c>
      <c r="AL50" s="17">
        <v>11010000</v>
      </c>
      <c r="AM50" s="17">
        <v>95047000</v>
      </c>
      <c r="AN50" s="17">
        <v>199888000</v>
      </c>
      <c r="AO50" s="17">
        <v>66970000</v>
      </c>
      <c r="AP50" s="17">
        <v>20482000</v>
      </c>
      <c r="AQ50" s="17">
        <v>7933000</v>
      </c>
      <c r="AR50" s="17">
        <v>42039000</v>
      </c>
      <c r="AS50" s="17">
        <v>136121000</v>
      </c>
      <c r="AT50" s="17">
        <v>64095000</v>
      </c>
      <c r="AU50" s="17">
        <v>12907000</v>
      </c>
      <c r="AV50" s="17">
        <v>5636000</v>
      </c>
      <c r="AW50" s="17">
        <v>46993000</v>
      </c>
      <c r="AX50" s="17">
        <v>46163000</v>
      </c>
      <c r="AY50" s="17">
        <v>3095000</v>
      </c>
      <c r="AZ50" s="17">
        <v>770000</v>
      </c>
      <c r="BA50" s="17">
        <v>2242000</v>
      </c>
      <c r="BB50" s="17">
        <v>5177000</v>
      </c>
      <c r="BC50" s="17">
        <v>15499000</v>
      </c>
      <c r="BD50" s="17">
        <v>8216000</v>
      </c>
      <c r="BE50" s="17">
        <v>9023000</v>
      </c>
      <c r="BF50" s="17">
        <v>1688000</v>
      </c>
      <c r="BG50" s="17">
        <v>692000</v>
      </c>
      <c r="BH50" s="17">
        <v>4262000</v>
      </c>
      <c r="BI50" s="17">
        <v>14254000</v>
      </c>
      <c r="BJ50" s="17">
        <v>2709000</v>
      </c>
      <c r="BK50" s="17">
        <v>1604000</v>
      </c>
      <c r="BL50" s="17">
        <v>1263000</v>
      </c>
      <c r="BM50" s="17">
        <v>2747000</v>
      </c>
      <c r="BN50" s="17">
        <v>4371000</v>
      </c>
      <c r="BO50" s="17">
        <v>670000</v>
      </c>
      <c r="BP50" s="17">
        <v>268000</v>
      </c>
      <c r="BQ50" s="17">
        <v>138000</v>
      </c>
      <c r="BR50" s="17">
        <v>-968000</v>
      </c>
      <c r="BS50" s="17">
        <v>1130000</v>
      </c>
      <c r="BT50" s="17">
        <v>-179000</v>
      </c>
      <c r="BU50" s="17">
        <v>-297000</v>
      </c>
    </row>
    <row r="51" spans="1:73" ht="26.25" x14ac:dyDescent="0.25">
      <c r="A51" s="16">
        <v>238</v>
      </c>
      <c r="B51" s="17">
        <v>20</v>
      </c>
      <c r="C51" s="18" t="s">
        <v>785</v>
      </c>
      <c r="D51" s="17">
        <v>6011000</v>
      </c>
      <c r="E51" s="17">
        <v>6011000</v>
      </c>
      <c r="F51" s="17">
        <v>6011000</v>
      </c>
      <c r="G51" s="17">
        <v>6011000</v>
      </c>
      <c r="H51" s="17"/>
      <c r="I51" s="17">
        <v>287540000</v>
      </c>
      <c r="J51" s="17">
        <v>19181000</v>
      </c>
      <c r="K51" s="17">
        <v>1928000</v>
      </c>
      <c r="L51" s="17">
        <v>1928000</v>
      </c>
      <c r="M51" s="17">
        <v>1928000</v>
      </c>
      <c r="N51" s="17">
        <v>528496000</v>
      </c>
      <c r="O51" s="17">
        <v>378372000</v>
      </c>
      <c r="P51" s="17">
        <v>405434000</v>
      </c>
      <c r="Q51" s="17">
        <v>685748000</v>
      </c>
      <c r="R51" s="17">
        <v>457927000</v>
      </c>
      <c r="S51" s="17">
        <v>4830000</v>
      </c>
      <c r="T51" s="17">
        <v>1899000</v>
      </c>
      <c r="U51" s="17">
        <v>17387000</v>
      </c>
      <c r="V51" s="17">
        <v>15219000</v>
      </c>
      <c r="W51" s="17">
        <v>41031000</v>
      </c>
      <c r="X51" s="17">
        <v>-2115172000</v>
      </c>
      <c r="Y51" s="17">
        <v>-2828121000</v>
      </c>
      <c r="Z51" s="17">
        <v>-2844245000</v>
      </c>
      <c r="AA51" s="17">
        <v>-4972477000</v>
      </c>
      <c r="AB51" s="17">
        <v>-5164664000</v>
      </c>
      <c r="AC51" s="17">
        <v>3165144000</v>
      </c>
      <c r="AD51" s="17">
        <v>3165144000</v>
      </c>
      <c r="AE51" s="17">
        <v>3165144000</v>
      </c>
      <c r="AF51" s="17">
        <v>3165144000</v>
      </c>
      <c r="AG51" s="17">
        <v>3165144000</v>
      </c>
      <c r="AH51" s="17">
        <v>329571000</v>
      </c>
      <c r="AI51" s="17">
        <v>83214000</v>
      </c>
      <c r="AJ51" s="17">
        <v>99361000</v>
      </c>
      <c r="AK51" s="17">
        <v>2505739000</v>
      </c>
      <c r="AL51" s="17">
        <v>2489906000</v>
      </c>
      <c r="AM51" s="17">
        <v>467052000</v>
      </c>
      <c r="AN51" s="17"/>
      <c r="AO51" s="17"/>
      <c r="AP51" s="17"/>
      <c r="AQ51" s="17"/>
      <c r="AR51" s="17">
        <v>544775000</v>
      </c>
      <c r="AS51" s="17">
        <v>710908000</v>
      </c>
      <c r="AT51" s="17"/>
      <c r="AU51" s="17"/>
      <c r="AV51" s="17"/>
      <c r="AW51" s="17">
        <v>7264000</v>
      </c>
      <c r="AX51" s="17">
        <v>3241000</v>
      </c>
      <c r="AY51" s="17">
        <v>15284000</v>
      </c>
      <c r="AZ51" s="17"/>
      <c r="BA51" s="17"/>
      <c r="BB51" s="17">
        <v>125095000</v>
      </c>
      <c r="BC51" s="17">
        <v>17178000</v>
      </c>
      <c r="BD51" s="17"/>
      <c r="BE51" s="17"/>
      <c r="BF51" s="17"/>
      <c r="BG51" s="17">
        <v>64590000</v>
      </c>
      <c r="BH51" s="17">
        <v>9844000</v>
      </c>
      <c r="BI51" s="17"/>
      <c r="BJ51" s="17">
        <v>12628000</v>
      </c>
      <c r="BK51" s="17">
        <v>35634000</v>
      </c>
      <c r="BL51" s="17">
        <v>437053000</v>
      </c>
      <c r="BM51" s="17">
        <v>25423000</v>
      </c>
      <c r="BN51" s="17">
        <v>3170000</v>
      </c>
      <c r="BO51" s="17">
        <v>12617000</v>
      </c>
      <c r="BP51" s="17">
        <v>227821000</v>
      </c>
      <c r="BQ51" s="17">
        <v>-473982000</v>
      </c>
      <c r="BR51" s="17">
        <v>-717425000</v>
      </c>
      <c r="BS51" s="17">
        <v>-16124000</v>
      </c>
      <c r="BT51" s="17">
        <v>9000</v>
      </c>
      <c r="BU51" s="17">
        <v>-192187000</v>
      </c>
    </row>
    <row r="52" spans="1:73" x14ac:dyDescent="0.25">
      <c r="A52" s="16">
        <v>124</v>
      </c>
      <c r="B52" s="17">
        <v>5</v>
      </c>
      <c r="C52" s="18" t="s">
        <v>514</v>
      </c>
      <c r="D52" s="17">
        <v>48770000</v>
      </c>
      <c r="E52" s="17">
        <v>111869000</v>
      </c>
      <c r="F52" s="17">
        <v>218282000</v>
      </c>
      <c r="G52" s="17"/>
      <c r="H52" s="17"/>
      <c r="I52" s="17">
        <v>1316733000</v>
      </c>
      <c r="J52" s="17">
        <v>835197000</v>
      </c>
      <c r="K52" s="17">
        <v>952368000</v>
      </c>
      <c r="L52" s="17"/>
      <c r="M52" s="17"/>
      <c r="N52" s="17">
        <v>7325084000</v>
      </c>
      <c r="O52" s="17">
        <v>6562026000</v>
      </c>
      <c r="P52" s="17">
        <v>4220629000</v>
      </c>
      <c r="Q52" s="17"/>
      <c r="R52" s="17"/>
      <c r="S52" s="17">
        <v>515442000</v>
      </c>
      <c r="T52" s="17">
        <v>1870923000</v>
      </c>
      <c r="U52" s="17">
        <v>2886181000</v>
      </c>
      <c r="V52" s="17"/>
      <c r="W52" s="17"/>
      <c r="X52" s="17">
        <v>-339877000</v>
      </c>
      <c r="Y52" s="17">
        <v>1453586000</v>
      </c>
      <c r="Z52" s="17">
        <v>64625000</v>
      </c>
      <c r="AA52" s="17"/>
      <c r="AB52" s="17"/>
      <c r="AC52" s="17">
        <v>1101556000</v>
      </c>
      <c r="AD52" s="17">
        <v>1778000</v>
      </c>
      <c r="AE52" s="17"/>
      <c r="AF52" s="17"/>
      <c r="AG52" s="17"/>
      <c r="AH52" s="17">
        <v>8288544000</v>
      </c>
      <c r="AI52" s="17">
        <v>7579087000</v>
      </c>
      <c r="AJ52" s="17">
        <v>6253970000</v>
      </c>
      <c r="AK52" s="17"/>
      <c r="AL52" s="17"/>
      <c r="AM52" s="17">
        <v>23749524000</v>
      </c>
      <c r="AN52" s="17">
        <v>23129009000</v>
      </c>
      <c r="AO52" s="17">
        <v>6184671000</v>
      </c>
      <c r="AP52" s="17"/>
      <c r="AQ52" s="17"/>
      <c r="AR52" s="17">
        <v>21362788000</v>
      </c>
      <c r="AS52" s="17">
        <v>19103021000</v>
      </c>
      <c r="AT52" s="17">
        <v>4703493000</v>
      </c>
      <c r="AU52" s="17"/>
      <c r="AV52" s="17"/>
      <c r="AW52" s="17">
        <v>840300000</v>
      </c>
      <c r="AX52" s="17">
        <v>843212000</v>
      </c>
      <c r="AY52" s="17">
        <v>688119000</v>
      </c>
      <c r="AZ52" s="17"/>
      <c r="BA52" s="17"/>
      <c r="BB52" s="17">
        <v>630180000</v>
      </c>
      <c r="BC52" s="17">
        <v>651423000</v>
      </c>
      <c r="BD52" s="17">
        <v>523791000</v>
      </c>
      <c r="BE52" s="17"/>
      <c r="BF52" s="17"/>
      <c r="BG52" s="17">
        <v>11618000</v>
      </c>
      <c r="BH52" s="17">
        <v>598873000</v>
      </c>
      <c r="BI52" s="17">
        <v>68113000</v>
      </c>
      <c r="BJ52" s="17"/>
      <c r="BK52" s="17"/>
      <c r="BL52" s="17">
        <v>1043994000</v>
      </c>
      <c r="BM52" s="17">
        <v>861733000</v>
      </c>
      <c r="BN52" s="17">
        <v>1806497000</v>
      </c>
      <c r="BO52" s="17"/>
      <c r="BP52" s="17"/>
      <c r="BQ52" s="17">
        <v>-113526000</v>
      </c>
      <c r="BR52" s="17">
        <v>1793463000</v>
      </c>
      <c r="BS52" s="17">
        <v>-1435653000</v>
      </c>
      <c r="BT52" s="17"/>
      <c r="BU52" s="17"/>
    </row>
    <row r="53" spans="1:73" x14ac:dyDescent="0.25">
      <c r="A53" s="16">
        <v>217</v>
      </c>
      <c r="B53" s="17">
        <v>14</v>
      </c>
      <c r="C53" s="18" t="s">
        <v>514</v>
      </c>
      <c r="D53" s="17">
        <v>3867000</v>
      </c>
      <c r="E53" s="17"/>
      <c r="F53" s="17"/>
      <c r="G53" s="17"/>
      <c r="H53" s="17"/>
      <c r="I53" s="17">
        <v>46672000</v>
      </c>
      <c r="J53" s="17">
        <v>8791000</v>
      </c>
      <c r="K53" s="17">
        <v>5465000</v>
      </c>
      <c r="L53" s="17">
        <v>1414000</v>
      </c>
      <c r="M53" s="17">
        <v>724000</v>
      </c>
      <c r="N53" s="17">
        <v>189846000</v>
      </c>
      <c r="O53" s="17">
        <v>245004000</v>
      </c>
      <c r="P53" s="17">
        <v>175186000</v>
      </c>
      <c r="Q53" s="17">
        <v>206298000</v>
      </c>
      <c r="R53" s="17">
        <v>208501000</v>
      </c>
      <c r="S53" s="17">
        <v>35000</v>
      </c>
      <c r="T53" s="17">
        <v>14000</v>
      </c>
      <c r="U53" s="17">
        <v>14000</v>
      </c>
      <c r="V53" s="17">
        <v>14000</v>
      </c>
      <c r="W53" s="17">
        <v>39000</v>
      </c>
      <c r="X53" s="17">
        <v>9264000</v>
      </c>
      <c r="Y53" s="17">
        <v>4172000</v>
      </c>
      <c r="Z53" s="17">
        <v>5043000</v>
      </c>
      <c r="AA53" s="17">
        <v>6255000</v>
      </c>
      <c r="AB53" s="17">
        <v>5306000</v>
      </c>
      <c r="AC53" s="17">
        <v>13537000</v>
      </c>
      <c r="AD53" s="17"/>
      <c r="AE53" s="17"/>
      <c r="AF53" s="17">
        <v>220000</v>
      </c>
      <c r="AG53" s="17">
        <v>46000</v>
      </c>
      <c r="AH53" s="17">
        <v>180165000</v>
      </c>
      <c r="AI53" s="17">
        <v>234543000</v>
      </c>
      <c r="AJ53" s="17">
        <v>160357000</v>
      </c>
      <c r="AK53" s="17">
        <v>186014000</v>
      </c>
      <c r="AL53" s="17">
        <v>187211000</v>
      </c>
      <c r="AM53" s="17">
        <v>87137000</v>
      </c>
      <c r="AN53" s="17">
        <v>147986000</v>
      </c>
      <c r="AO53" s="17">
        <v>30547000</v>
      </c>
      <c r="AP53" s="17">
        <v>3738000</v>
      </c>
      <c r="AQ53" s="17">
        <v>738000</v>
      </c>
      <c r="AR53" s="17">
        <v>32874000</v>
      </c>
      <c r="AS53" s="17">
        <v>174832000</v>
      </c>
      <c r="AT53" s="17">
        <v>13563000</v>
      </c>
      <c r="AU53" s="17"/>
      <c r="AV53" s="17"/>
      <c r="AW53" s="17">
        <v>6898000</v>
      </c>
      <c r="AX53" s="17">
        <v>6757000</v>
      </c>
      <c r="AY53" s="17">
        <v>963000</v>
      </c>
      <c r="AZ53" s="17">
        <v>378000</v>
      </c>
      <c r="BA53" s="17">
        <v>180000</v>
      </c>
      <c r="BB53" s="17">
        <v>40267000</v>
      </c>
      <c r="BC53" s="17">
        <v>7540000</v>
      </c>
      <c r="BD53" s="17">
        <v>5786000</v>
      </c>
      <c r="BE53" s="17">
        <v>1804000</v>
      </c>
      <c r="BF53" s="17">
        <v>1734000</v>
      </c>
      <c r="BG53" s="17">
        <v>8808000</v>
      </c>
      <c r="BH53" s="17">
        <v>163505000</v>
      </c>
      <c r="BI53" s="17">
        <v>192302000</v>
      </c>
      <c r="BJ53" s="17"/>
      <c r="BK53" s="17">
        <v>2888000</v>
      </c>
      <c r="BL53" s="17">
        <v>11081000</v>
      </c>
      <c r="BM53" s="17">
        <v>152853000</v>
      </c>
      <c r="BN53" s="17">
        <v>201426000</v>
      </c>
      <c r="BO53" s="17">
        <v>1134000</v>
      </c>
      <c r="BP53" s="17">
        <v>2032000</v>
      </c>
      <c r="BQ53" s="17">
        <v>-5955000</v>
      </c>
      <c r="BR53" s="17">
        <v>-27510000</v>
      </c>
      <c r="BS53" s="17">
        <v>872000</v>
      </c>
      <c r="BT53" s="17">
        <v>338000</v>
      </c>
      <c r="BU53" s="17">
        <v>-950000</v>
      </c>
    </row>
    <row r="54" spans="1:73" x14ac:dyDescent="0.25">
      <c r="A54" s="16">
        <v>240</v>
      </c>
      <c r="B54" s="17">
        <v>20</v>
      </c>
      <c r="C54" s="18" t="s">
        <v>514</v>
      </c>
      <c r="D54" s="17"/>
      <c r="E54" s="17">
        <v>3405000</v>
      </c>
      <c r="F54" s="17"/>
      <c r="G54" s="17"/>
      <c r="H54" s="17"/>
      <c r="I54" s="17">
        <v>2314000</v>
      </c>
      <c r="J54" s="17">
        <v>8228000</v>
      </c>
      <c r="K54" s="17"/>
      <c r="L54" s="17"/>
      <c r="M54" s="17"/>
      <c r="N54" s="17">
        <v>342000</v>
      </c>
      <c r="O54" s="17">
        <v>3196000</v>
      </c>
      <c r="P54" s="17"/>
      <c r="Q54" s="17"/>
      <c r="R54" s="17"/>
      <c r="S54" s="17">
        <v>165000</v>
      </c>
      <c r="T54" s="17">
        <v>109000</v>
      </c>
      <c r="U54" s="17"/>
      <c r="V54" s="17"/>
      <c r="W54" s="17"/>
      <c r="X54" s="17">
        <v>299000</v>
      </c>
      <c r="Y54" s="17">
        <v>595000</v>
      </c>
      <c r="Z54" s="17"/>
      <c r="AA54" s="17"/>
      <c r="AB54" s="17"/>
      <c r="AC54" s="17"/>
      <c r="AD54" s="17"/>
      <c r="AE54" s="17"/>
      <c r="AF54" s="17"/>
      <c r="AG54" s="17"/>
      <c r="AH54" s="17">
        <v>2577000</v>
      </c>
      <c r="AI54" s="17">
        <v>14471000</v>
      </c>
      <c r="AJ54" s="17"/>
      <c r="AK54" s="17"/>
      <c r="AL54" s="17"/>
      <c r="AM54" s="17">
        <v>5034000</v>
      </c>
      <c r="AN54" s="17">
        <v>102643000</v>
      </c>
      <c r="AO54" s="17"/>
      <c r="AP54" s="17"/>
      <c r="AQ54" s="17"/>
      <c r="AR54" s="17">
        <v>4433000</v>
      </c>
      <c r="AS54" s="17">
        <v>89844000</v>
      </c>
      <c r="AT54" s="17"/>
      <c r="AU54" s="17"/>
      <c r="AV54" s="17"/>
      <c r="AW54" s="17"/>
      <c r="AX54" s="17">
        <v>12154000</v>
      </c>
      <c r="AY54" s="17"/>
      <c r="AZ54" s="17"/>
      <c r="BA54" s="17"/>
      <c r="BB54" s="17">
        <v>400000</v>
      </c>
      <c r="BC54" s="17"/>
      <c r="BD54" s="17"/>
      <c r="BE54" s="17"/>
      <c r="BF54" s="17"/>
      <c r="BG54" s="17"/>
      <c r="BH54" s="17"/>
      <c r="BI54" s="17"/>
      <c r="BJ54" s="17"/>
      <c r="BK54" s="17"/>
      <c r="BL54" s="17">
        <v>33000</v>
      </c>
      <c r="BM54" s="17">
        <v>52000</v>
      </c>
      <c r="BN54" s="17"/>
      <c r="BO54" s="17"/>
      <c r="BP54" s="17"/>
      <c r="BQ54" s="17">
        <v>134000</v>
      </c>
      <c r="BR54" s="17">
        <v>474000</v>
      </c>
      <c r="BS54" s="17"/>
      <c r="BT54" s="17"/>
      <c r="BU54" s="17"/>
    </row>
    <row r="55" spans="1:73" ht="26.25" x14ac:dyDescent="0.25">
      <c r="A55" s="16">
        <v>250</v>
      </c>
      <c r="B55" s="17">
        <v>18</v>
      </c>
      <c r="C55" s="18" t="s">
        <v>812</v>
      </c>
      <c r="D55" s="17">
        <v>3256000</v>
      </c>
      <c r="E55" s="17"/>
      <c r="F55" s="17"/>
      <c r="G55" s="17"/>
      <c r="H55" s="17"/>
      <c r="I55" s="17">
        <v>63062000</v>
      </c>
      <c r="J55" s="17"/>
      <c r="K55" s="17"/>
      <c r="L55" s="17"/>
      <c r="M55" s="17"/>
      <c r="N55" s="17">
        <v>36402000</v>
      </c>
      <c r="O55" s="17"/>
      <c r="P55" s="17"/>
      <c r="Q55" s="17"/>
      <c r="R55" s="17"/>
      <c r="S55" s="17">
        <v>34000</v>
      </c>
      <c r="T55" s="17"/>
      <c r="U55" s="17"/>
      <c r="V55" s="17"/>
      <c r="W55" s="17"/>
      <c r="X55" s="17">
        <v>5386000</v>
      </c>
      <c r="Y55" s="17"/>
      <c r="Z55" s="17"/>
      <c r="AA55" s="17"/>
      <c r="AB55" s="17"/>
      <c r="AC55" s="17">
        <v>10899000</v>
      </c>
      <c r="AD55" s="17"/>
      <c r="AE55" s="17"/>
      <c r="AF55" s="17"/>
      <c r="AG55" s="17"/>
      <c r="AH55" s="17">
        <v>44728000</v>
      </c>
      <c r="AI55" s="17"/>
      <c r="AJ55" s="17"/>
      <c r="AK55" s="17"/>
      <c r="AL55" s="17"/>
      <c r="AM55" s="17">
        <v>139034000</v>
      </c>
      <c r="AN55" s="17"/>
      <c r="AO55" s="17"/>
      <c r="AP55" s="17"/>
      <c r="AQ55" s="17"/>
      <c r="AR55" s="17">
        <v>134477000</v>
      </c>
      <c r="AS55" s="17"/>
      <c r="AT55" s="17"/>
      <c r="AU55" s="17"/>
      <c r="AV55" s="17"/>
      <c r="AW55" s="17">
        <v>67000</v>
      </c>
      <c r="AX55" s="17"/>
      <c r="AY55" s="17"/>
      <c r="AZ55" s="17"/>
      <c r="BA55" s="17"/>
      <c r="BB55" s="17">
        <v>29481000</v>
      </c>
      <c r="BC55" s="17"/>
      <c r="BD55" s="17"/>
      <c r="BE55" s="17"/>
      <c r="BF55" s="17"/>
      <c r="BG55" s="17">
        <v>28197000</v>
      </c>
      <c r="BH55" s="17"/>
      <c r="BI55" s="17"/>
      <c r="BJ55" s="17"/>
      <c r="BK55" s="17"/>
      <c r="BL55" s="17">
        <v>4359000</v>
      </c>
      <c r="BM55" s="17"/>
      <c r="BN55" s="17"/>
      <c r="BO55" s="17"/>
      <c r="BP55" s="17"/>
      <c r="BQ55" s="17">
        <v>-4578000</v>
      </c>
      <c r="BR55" s="17"/>
      <c r="BS55" s="17"/>
      <c r="BT55" s="17"/>
      <c r="BU55" s="17"/>
    </row>
    <row r="56" spans="1:73" x14ac:dyDescent="0.25">
      <c r="A56" s="16">
        <v>118</v>
      </c>
      <c r="B56" s="17">
        <v>16</v>
      </c>
      <c r="C56" s="18" t="s">
        <v>497</v>
      </c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>
        <v>72901000</v>
      </c>
      <c r="O56" s="17"/>
      <c r="P56" s="17"/>
      <c r="Q56" s="17"/>
      <c r="R56" s="17"/>
      <c r="S56" s="17"/>
      <c r="T56" s="17"/>
      <c r="U56" s="17"/>
      <c r="V56" s="17"/>
      <c r="W56" s="17"/>
      <c r="X56" s="17">
        <v>-161150000</v>
      </c>
      <c r="Y56" s="17"/>
      <c r="Z56" s="17"/>
      <c r="AA56" s="17"/>
      <c r="AB56" s="17"/>
      <c r="AC56" s="17">
        <v>143881000</v>
      </c>
      <c r="AD56" s="17"/>
      <c r="AE56" s="17"/>
      <c r="AF56" s="17"/>
      <c r="AG56" s="17"/>
      <c r="AH56" s="17">
        <v>90160000</v>
      </c>
      <c r="AI56" s="17"/>
      <c r="AJ56" s="17"/>
      <c r="AK56" s="17"/>
      <c r="AL56" s="17"/>
      <c r="AM56" s="17">
        <v>180000</v>
      </c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>
        <v>361000</v>
      </c>
      <c r="BM56" s="17"/>
      <c r="BN56" s="17"/>
      <c r="BO56" s="17"/>
      <c r="BP56" s="17"/>
      <c r="BQ56" s="17">
        <v>-181000</v>
      </c>
      <c r="BR56" s="17"/>
      <c r="BS56" s="17"/>
      <c r="BT56" s="17"/>
      <c r="BU56" s="17"/>
    </row>
    <row r="57" spans="1:73" x14ac:dyDescent="0.25">
      <c r="A57" s="16">
        <v>110</v>
      </c>
      <c r="B57" s="17">
        <v>17</v>
      </c>
      <c r="C57" s="18" t="s">
        <v>475</v>
      </c>
      <c r="D57" s="17">
        <v>5862000</v>
      </c>
      <c r="E57" s="17"/>
      <c r="F57" s="17"/>
      <c r="G57" s="17"/>
      <c r="H57" s="17"/>
      <c r="I57" s="17">
        <v>1722000</v>
      </c>
      <c r="J57" s="17">
        <v>1534000</v>
      </c>
      <c r="K57" s="17"/>
      <c r="L57" s="17"/>
      <c r="M57" s="17"/>
      <c r="N57" s="17">
        <v>10130000</v>
      </c>
      <c r="O57" s="17">
        <v>13126000</v>
      </c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>
        <v>5184000</v>
      </c>
      <c r="AI57" s="17">
        <v>3875000</v>
      </c>
      <c r="AJ57" s="17"/>
      <c r="AK57" s="17"/>
      <c r="AL57" s="17"/>
      <c r="AM57" s="17">
        <v>55229000</v>
      </c>
      <c r="AN57" s="17">
        <v>150000</v>
      </c>
      <c r="AO57" s="17"/>
      <c r="AP57" s="17"/>
      <c r="AQ57" s="17"/>
      <c r="AR57" s="17">
        <v>54443000</v>
      </c>
      <c r="AS57" s="17">
        <v>150000</v>
      </c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>
        <v>247000</v>
      </c>
      <c r="BR57" s="17"/>
      <c r="BS57" s="17"/>
      <c r="BT57" s="17"/>
      <c r="BU57" s="17"/>
    </row>
    <row r="58" spans="1:73" x14ac:dyDescent="0.25">
      <c r="A58" s="16">
        <v>121</v>
      </c>
      <c r="B58" s="17">
        <v>20</v>
      </c>
      <c r="C58" s="18" t="s">
        <v>475</v>
      </c>
      <c r="D58" s="17">
        <v>850000</v>
      </c>
      <c r="E58" s="17">
        <v>435000</v>
      </c>
      <c r="F58" s="17"/>
      <c r="G58" s="17"/>
      <c r="H58" s="17"/>
      <c r="I58" s="17"/>
      <c r="J58" s="17"/>
      <c r="K58" s="17"/>
      <c r="L58" s="17"/>
      <c r="M58" s="17"/>
      <c r="N58" s="17">
        <v>21565000</v>
      </c>
      <c r="O58" s="17">
        <v>9132000</v>
      </c>
      <c r="P58" s="17">
        <v>552000</v>
      </c>
      <c r="Q58" s="17">
        <v>484000</v>
      </c>
      <c r="R58" s="17">
        <v>483000</v>
      </c>
      <c r="S58" s="17">
        <v>48000</v>
      </c>
      <c r="T58" s="17">
        <v>95000</v>
      </c>
      <c r="U58" s="17">
        <v>17000</v>
      </c>
      <c r="V58" s="17">
        <v>43000</v>
      </c>
      <c r="W58" s="17">
        <v>43000</v>
      </c>
      <c r="X58" s="17">
        <v>-125908000</v>
      </c>
      <c r="Y58" s="17">
        <v>-125109000</v>
      </c>
      <c r="Z58" s="17">
        <v>-125779000</v>
      </c>
      <c r="AA58" s="17">
        <v>-126020000</v>
      </c>
      <c r="AB58" s="17">
        <v>-126369000</v>
      </c>
      <c r="AC58" s="17"/>
      <c r="AD58" s="17"/>
      <c r="AE58" s="17"/>
      <c r="AF58" s="17"/>
      <c r="AG58" s="17"/>
      <c r="AH58" s="17">
        <v>115112000</v>
      </c>
      <c r="AI58" s="17">
        <v>97717000</v>
      </c>
      <c r="AJ58" s="17">
        <v>90825000</v>
      </c>
      <c r="AK58" s="17">
        <v>90824000</v>
      </c>
      <c r="AL58" s="17">
        <v>90922000</v>
      </c>
      <c r="AM58" s="17">
        <v>486019000</v>
      </c>
      <c r="AN58" s="17">
        <v>690604000</v>
      </c>
      <c r="AO58" s="17">
        <v>3263000</v>
      </c>
      <c r="AP58" s="17"/>
      <c r="AQ58" s="17"/>
      <c r="AR58" s="17">
        <v>484848000</v>
      </c>
      <c r="AS58" s="17">
        <v>689865000</v>
      </c>
      <c r="AT58" s="17">
        <v>3261000</v>
      </c>
      <c r="AU58" s="17"/>
      <c r="AV58" s="17"/>
      <c r="AW58" s="17">
        <v>2202000</v>
      </c>
      <c r="AX58" s="17"/>
      <c r="AY58" s="17"/>
      <c r="AZ58" s="17"/>
      <c r="BA58" s="17"/>
      <c r="BB58" s="17">
        <v>3637000</v>
      </c>
      <c r="BC58" s="17">
        <v>558000</v>
      </c>
      <c r="BD58" s="17">
        <v>316000</v>
      </c>
      <c r="BE58" s="17">
        <v>215000</v>
      </c>
      <c r="BF58" s="17">
        <v>292000</v>
      </c>
      <c r="BG58" s="17">
        <v>244000</v>
      </c>
      <c r="BH58" s="17">
        <v>5519000</v>
      </c>
      <c r="BI58" s="17">
        <v>130000</v>
      </c>
      <c r="BJ58" s="17">
        <v>10000</v>
      </c>
      <c r="BK58" s="17"/>
      <c r="BL58" s="17">
        <v>5706000</v>
      </c>
      <c r="BM58" s="17">
        <v>3855000</v>
      </c>
      <c r="BN58" s="17">
        <v>486000</v>
      </c>
      <c r="BO58" s="17">
        <v>36000</v>
      </c>
      <c r="BP58" s="17">
        <v>61000</v>
      </c>
      <c r="BQ58" s="17">
        <v>-9267000</v>
      </c>
      <c r="BR58" s="17">
        <v>799000</v>
      </c>
      <c r="BS58" s="17">
        <v>-670000</v>
      </c>
      <c r="BT58" s="17">
        <v>-241000</v>
      </c>
      <c r="BU58" s="17">
        <v>-349000</v>
      </c>
    </row>
    <row r="59" spans="1:73" x14ac:dyDescent="0.25">
      <c r="A59" s="16">
        <v>119</v>
      </c>
      <c r="B59" s="17">
        <v>13</v>
      </c>
      <c r="C59" s="18" t="s">
        <v>500</v>
      </c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</row>
    <row r="60" spans="1:73" x14ac:dyDescent="0.25">
      <c r="A60" s="16">
        <v>160</v>
      </c>
      <c r="B60" s="17">
        <v>14</v>
      </c>
      <c r="C60" s="18" t="s">
        <v>500</v>
      </c>
      <c r="D60" s="17"/>
      <c r="E60" s="17">
        <v>444000</v>
      </c>
      <c r="F60" s="17"/>
      <c r="G60" s="17"/>
      <c r="H60" s="17"/>
      <c r="I60" s="17">
        <v>39630000</v>
      </c>
      <c r="J60" s="17">
        <v>78843000</v>
      </c>
      <c r="K60" s="17">
        <v>19473000</v>
      </c>
      <c r="L60" s="17"/>
      <c r="M60" s="17"/>
      <c r="N60" s="17">
        <v>20536000</v>
      </c>
      <c r="O60" s="17">
        <v>8837000</v>
      </c>
      <c r="P60" s="17">
        <v>3702000</v>
      </c>
      <c r="Q60" s="17"/>
      <c r="R60" s="17"/>
      <c r="S60" s="17">
        <v>2511000</v>
      </c>
      <c r="T60" s="17">
        <v>8600000</v>
      </c>
      <c r="U60" s="17">
        <v>2000</v>
      </c>
      <c r="V60" s="17"/>
      <c r="W60" s="17"/>
      <c r="X60" s="17">
        <v>1515000</v>
      </c>
      <c r="Y60" s="17">
        <v>3628000</v>
      </c>
      <c r="Z60" s="17">
        <v>6722000</v>
      </c>
      <c r="AA60" s="17"/>
      <c r="AB60" s="17"/>
      <c r="AC60" s="17">
        <v>6764000</v>
      </c>
      <c r="AD60" s="17">
        <v>4725000</v>
      </c>
      <c r="AE60" s="17">
        <v>466000</v>
      </c>
      <c r="AF60" s="17"/>
      <c r="AG60" s="17"/>
      <c r="AH60" s="17">
        <v>55212000</v>
      </c>
      <c r="AI60" s="17">
        <v>92900000</v>
      </c>
      <c r="AJ60" s="17">
        <v>16915000</v>
      </c>
      <c r="AK60" s="17"/>
      <c r="AL60" s="17"/>
      <c r="AM60" s="17">
        <v>110117000</v>
      </c>
      <c r="AN60" s="17">
        <v>134431000</v>
      </c>
      <c r="AO60" s="17">
        <v>174922000</v>
      </c>
      <c r="AP60" s="17"/>
      <c r="AQ60" s="17"/>
      <c r="AR60" s="17">
        <v>95795000</v>
      </c>
      <c r="AS60" s="17">
        <v>91169000</v>
      </c>
      <c r="AT60" s="17">
        <v>167398000</v>
      </c>
      <c r="AU60" s="17"/>
      <c r="AV60" s="17"/>
      <c r="AW60" s="17">
        <v>12298000</v>
      </c>
      <c r="AX60" s="17">
        <v>40513000</v>
      </c>
      <c r="AY60" s="17">
        <v>3388000</v>
      </c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>
        <v>132000</v>
      </c>
      <c r="BM60" s="17">
        <v>108000</v>
      </c>
      <c r="BN60" s="17">
        <v>268000</v>
      </c>
      <c r="BO60" s="17"/>
      <c r="BP60" s="17"/>
      <c r="BQ60" s="17">
        <v>1513000</v>
      </c>
      <c r="BR60" s="17">
        <v>2113000</v>
      </c>
      <c r="BS60" s="17">
        <v>3094000</v>
      </c>
      <c r="BT60" s="17"/>
      <c r="BU60" s="17"/>
    </row>
    <row r="61" spans="1:73" x14ac:dyDescent="0.25">
      <c r="A61" s="16">
        <v>58</v>
      </c>
      <c r="B61" s="17">
        <v>7</v>
      </c>
      <c r="C61" s="18" t="s">
        <v>343</v>
      </c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>
        <v>63720000</v>
      </c>
      <c r="O61" s="17">
        <v>25981000</v>
      </c>
      <c r="P61" s="17"/>
      <c r="Q61" s="17">
        <v>1000000</v>
      </c>
      <c r="R61" s="17">
        <v>974000</v>
      </c>
      <c r="S61" s="17">
        <v>135000</v>
      </c>
      <c r="T61" s="17">
        <v>29000</v>
      </c>
      <c r="U61" s="17"/>
      <c r="V61" s="17"/>
      <c r="W61" s="17"/>
      <c r="X61" s="17">
        <v>157000</v>
      </c>
      <c r="Y61" s="17">
        <v>186000</v>
      </c>
      <c r="Z61" s="17">
        <v>-22311000</v>
      </c>
      <c r="AA61" s="17">
        <v>-26036000</v>
      </c>
      <c r="AB61" s="17">
        <v>-26627000</v>
      </c>
      <c r="AC61" s="17">
        <v>5000000</v>
      </c>
      <c r="AD61" s="17">
        <v>3000000</v>
      </c>
      <c r="AE61" s="17"/>
      <c r="AF61" s="17"/>
      <c r="AG61" s="17"/>
      <c r="AH61" s="17">
        <v>58648000</v>
      </c>
      <c r="AI61" s="17">
        <v>22774000</v>
      </c>
      <c r="AJ61" s="17">
        <v>22261000</v>
      </c>
      <c r="AK61" s="17">
        <v>26986000</v>
      </c>
      <c r="AL61" s="17">
        <v>27551000</v>
      </c>
      <c r="AM61" s="17">
        <v>1400000</v>
      </c>
      <c r="AN61" s="17">
        <v>1472000</v>
      </c>
      <c r="AO61" s="17"/>
      <c r="AP61" s="17"/>
      <c r="AQ61" s="17"/>
      <c r="AR61" s="17">
        <v>1304000</v>
      </c>
      <c r="AS61" s="17">
        <v>1436000</v>
      </c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>
        <v>380000</v>
      </c>
      <c r="BO61" s="17">
        <v>625000</v>
      </c>
      <c r="BP61" s="17">
        <v>490000</v>
      </c>
      <c r="BQ61" s="17">
        <v>77000</v>
      </c>
      <c r="BR61" s="17">
        <v>29000</v>
      </c>
      <c r="BS61" s="17">
        <v>-380000</v>
      </c>
      <c r="BT61" s="17">
        <v>-625000</v>
      </c>
      <c r="BU61" s="17">
        <v>-490000</v>
      </c>
    </row>
    <row r="62" spans="1:73" x14ac:dyDescent="0.25">
      <c r="A62" s="16">
        <v>108</v>
      </c>
      <c r="B62" s="17">
        <v>19</v>
      </c>
      <c r="C62" s="18" t="s">
        <v>470</v>
      </c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</row>
    <row r="63" spans="1:73" ht="26.25" x14ac:dyDescent="0.25">
      <c r="A63" s="16">
        <v>178</v>
      </c>
      <c r="B63" s="17">
        <v>9</v>
      </c>
      <c r="C63" s="18" t="s">
        <v>644</v>
      </c>
      <c r="D63" s="17">
        <v>18342000</v>
      </c>
      <c r="E63" s="17">
        <v>6988000</v>
      </c>
      <c r="F63" s="17">
        <v>7098000</v>
      </c>
      <c r="G63" s="17">
        <v>446000</v>
      </c>
      <c r="H63" s="17"/>
      <c r="I63" s="17">
        <v>8224000</v>
      </c>
      <c r="J63" s="17">
        <v>13639000</v>
      </c>
      <c r="K63" s="17">
        <v>8222000</v>
      </c>
      <c r="L63" s="17">
        <v>423000</v>
      </c>
      <c r="M63" s="17"/>
      <c r="N63" s="17">
        <v>63257000</v>
      </c>
      <c r="O63" s="17">
        <v>103852000</v>
      </c>
      <c r="P63" s="17">
        <v>127038000</v>
      </c>
      <c r="Q63" s="17">
        <v>89997000</v>
      </c>
      <c r="R63" s="17"/>
      <c r="S63" s="17">
        <v>57000</v>
      </c>
      <c r="T63" s="17">
        <v>1672000</v>
      </c>
      <c r="U63" s="17">
        <v>8000</v>
      </c>
      <c r="V63" s="17">
        <v>14000</v>
      </c>
      <c r="W63" s="17"/>
      <c r="X63" s="17">
        <v>-36304000</v>
      </c>
      <c r="Y63" s="17">
        <v>-40324000</v>
      </c>
      <c r="Z63" s="17">
        <v>-61419000</v>
      </c>
      <c r="AA63" s="17">
        <v>-127873000</v>
      </c>
      <c r="AB63" s="17"/>
      <c r="AC63" s="17">
        <v>4727000</v>
      </c>
      <c r="AD63" s="17">
        <v>4643000</v>
      </c>
      <c r="AE63" s="17">
        <v>84634000</v>
      </c>
      <c r="AF63" s="17">
        <v>84634000</v>
      </c>
      <c r="AG63" s="17"/>
      <c r="AH63" s="17">
        <v>118679000</v>
      </c>
      <c r="AI63" s="17">
        <v>163141000</v>
      </c>
      <c r="AJ63" s="17">
        <v>199538000</v>
      </c>
      <c r="AK63" s="17">
        <v>196564000</v>
      </c>
      <c r="AL63" s="17"/>
      <c r="AM63" s="17">
        <v>103555000</v>
      </c>
      <c r="AN63" s="17">
        <v>134066000</v>
      </c>
      <c r="AO63" s="17">
        <v>74731000</v>
      </c>
      <c r="AP63" s="17">
        <v>4346000</v>
      </c>
      <c r="AQ63" s="17"/>
      <c r="AR63" s="17">
        <v>93983000</v>
      </c>
      <c r="AS63" s="17">
        <v>121978000</v>
      </c>
      <c r="AT63" s="17">
        <v>76343000</v>
      </c>
      <c r="AU63" s="17">
        <v>6141000</v>
      </c>
      <c r="AV63" s="17"/>
      <c r="AW63" s="17">
        <v>8756000</v>
      </c>
      <c r="AX63" s="17">
        <v>9781000</v>
      </c>
      <c r="AY63" s="17">
        <v>5519000</v>
      </c>
      <c r="AZ63" s="17">
        <v>594000</v>
      </c>
      <c r="BA63" s="17"/>
      <c r="BB63" s="17">
        <v>20964000</v>
      </c>
      <c r="BC63" s="17">
        <v>18471000</v>
      </c>
      <c r="BD63" s="17">
        <v>22395000</v>
      </c>
      <c r="BE63" s="17">
        <v>3179000</v>
      </c>
      <c r="BF63" s="17"/>
      <c r="BG63" s="17">
        <v>31774000</v>
      </c>
      <c r="BH63" s="17">
        <v>25563000</v>
      </c>
      <c r="BI63" s="17">
        <v>17718000</v>
      </c>
      <c r="BJ63" s="17">
        <v>4645000</v>
      </c>
      <c r="BK63" s="17"/>
      <c r="BL63" s="17">
        <v>19506000</v>
      </c>
      <c r="BM63" s="17">
        <v>11797000</v>
      </c>
      <c r="BN63" s="17">
        <v>9413000</v>
      </c>
      <c r="BO63" s="17">
        <v>65653000</v>
      </c>
      <c r="BP63" s="17"/>
      <c r="BQ63" s="17">
        <v>-7189000</v>
      </c>
      <c r="BR63" s="17">
        <v>-4020000</v>
      </c>
      <c r="BS63" s="17">
        <v>-21095000</v>
      </c>
      <c r="BT63" s="17">
        <v>-66454000</v>
      </c>
      <c r="BU63" s="17"/>
    </row>
    <row r="64" spans="1:73" x14ac:dyDescent="0.25">
      <c r="A64" s="16">
        <v>150</v>
      </c>
      <c r="B64" s="17">
        <v>15</v>
      </c>
      <c r="C64" s="18" t="s">
        <v>578</v>
      </c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</row>
    <row r="65" spans="1:73" x14ac:dyDescent="0.25">
      <c r="A65" s="16">
        <v>215</v>
      </c>
      <c r="B65" s="17">
        <v>17</v>
      </c>
      <c r="C65" s="18" t="s">
        <v>578</v>
      </c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>
        <v>4261000</v>
      </c>
      <c r="O65" s="17">
        <v>4261000</v>
      </c>
      <c r="P65" s="17">
        <v>4261000</v>
      </c>
      <c r="Q65" s="17"/>
      <c r="R65" s="17"/>
      <c r="S65" s="17"/>
      <c r="T65" s="17"/>
      <c r="U65" s="17"/>
      <c r="V65" s="17"/>
      <c r="W65" s="17"/>
      <c r="X65" s="17">
        <v>-527776000</v>
      </c>
      <c r="Y65" s="17">
        <v>-527776000</v>
      </c>
      <c r="Z65" s="17">
        <v>-527776000</v>
      </c>
      <c r="AA65" s="17">
        <v>-532037000</v>
      </c>
      <c r="AB65" s="17">
        <v>-532037000</v>
      </c>
      <c r="AC65" s="17">
        <v>196761000</v>
      </c>
      <c r="AD65" s="17">
        <v>196761000</v>
      </c>
      <c r="AE65" s="17">
        <v>196761000</v>
      </c>
      <c r="AF65" s="17">
        <v>196761000</v>
      </c>
      <c r="AG65" s="17">
        <v>196761000</v>
      </c>
      <c r="AH65" s="17">
        <v>149862000</v>
      </c>
      <c r="AI65" s="17">
        <v>149862000</v>
      </c>
      <c r="AJ65" s="17">
        <v>149862000</v>
      </c>
      <c r="AK65" s="17">
        <v>149862000</v>
      </c>
      <c r="AL65" s="17">
        <v>149862000</v>
      </c>
      <c r="AM65" s="17">
        <v>69000</v>
      </c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>
        <v>500000</v>
      </c>
      <c r="BK65" s="17">
        <v>1523000</v>
      </c>
      <c r="BL65" s="17">
        <v>69000</v>
      </c>
      <c r="BM65" s="17"/>
      <c r="BN65" s="17"/>
      <c r="BO65" s="17">
        <v>4761000</v>
      </c>
      <c r="BP65" s="17">
        <v>1523000</v>
      </c>
      <c r="BQ65" s="17"/>
      <c r="BR65" s="17"/>
      <c r="BS65" s="17"/>
      <c r="BT65" s="17">
        <v>-4261000</v>
      </c>
      <c r="BU65" s="17"/>
    </row>
    <row r="66" spans="1:73" ht="26.25" x14ac:dyDescent="0.25">
      <c r="A66" s="16">
        <v>112</v>
      </c>
      <c r="B66" s="17">
        <v>6</v>
      </c>
      <c r="C66" s="18" t="s">
        <v>481</v>
      </c>
      <c r="D66" s="17"/>
      <c r="E66" s="17">
        <v>15751000</v>
      </c>
      <c r="F66" s="17"/>
      <c r="G66" s="17"/>
      <c r="H66" s="17"/>
      <c r="I66" s="17">
        <v>152000</v>
      </c>
      <c r="J66" s="17">
        <v>187000</v>
      </c>
      <c r="K66" s="17"/>
      <c r="L66" s="17"/>
      <c r="M66" s="17"/>
      <c r="N66" s="17">
        <v>3184000</v>
      </c>
      <c r="O66" s="17">
        <v>3372000</v>
      </c>
      <c r="P66" s="17"/>
      <c r="Q66" s="17"/>
      <c r="R66" s="17"/>
      <c r="S66" s="17">
        <v>312000</v>
      </c>
      <c r="T66" s="17">
        <v>59000</v>
      </c>
      <c r="U66" s="17"/>
      <c r="V66" s="17"/>
      <c r="W66" s="17"/>
      <c r="X66" s="17">
        <v>-3812000</v>
      </c>
      <c r="Y66" s="17">
        <v>-17555000</v>
      </c>
      <c r="Z66" s="17"/>
      <c r="AA66" s="17"/>
      <c r="AB66" s="17"/>
      <c r="AC66" s="17"/>
      <c r="AD66" s="17"/>
      <c r="AE66" s="17"/>
      <c r="AF66" s="17"/>
      <c r="AG66" s="17"/>
      <c r="AH66" s="17">
        <v>4590000</v>
      </c>
      <c r="AI66" s="17">
        <v>14050000</v>
      </c>
      <c r="AJ66" s="17"/>
      <c r="AK66" s="17"/>
      <c r="AL66" s="17"/>
      <c r="AM66" s="17">
        <v>60515000</v>
      </c>
      <c r="AN66" s="17">
        <v>58252000</v>
      </c>
      <c r="AO66" s="17"/>
      <c r="AP66" s="17"/>
      <c r="AQ66" s="17"/>
      <c r="AR66" s="17">
        <v>55571000</v>
      </c>
      <c r="AS66" s="17">
        <v>45794000</v>
      </c>
      <c r="AT66" s="17"/>
      <c r="AU66" s="17"/>
      <c r="AV66" s="17"/>
      <c r="AW66" s="17">
        <v>9234000</v>
      </c>
      <c r="AX66" s="17">
        <v>23475000</v>
      </c>
      <c r="AY66" s="17"/>
      <c r="AZ66" s="17"/>
      <c r="BA66" s="17"/>
      <c r="BB66" s="17">
        <v>49000</v>
      </c>
      <c r="BC66" s="17">
        <v>271000</v>
      </c>
      <c r="BD66" s="17"/>
      <c r="BE66" s="17"/>
      <c r="BF66" s="17"/>
      <c r="BG66" s="17"/>
      <c r="BH66" s="17">
        <v>101000</v>
      </c>
      <c r="BI66" s="17"/>
      <c r="BJ66" s="17"/>
      <c r="BK66" s="17"/>
      <c r="BL66" s="17">
        <v>125000</v>
      </c>
      <c r="BM66" s="17">
        <v>1344000</v>
      </c>
      <c r="BN66" s="17"/>
      <c r="BO66" s="17"/>
      <c r="BP66" s="17"/>
      <c r="BQ66" s="17">
        <v>-3810000</v>
      </c>
      <c r="BR66" s="17">
        <v>-13733000</v>
      </c>
      <c r="BS66" s="17"/>
      <c r="BT66" s="17"/>
      <c r="BU66" s="17"/>
    </row>
    <row r="67" spans="1:73" x14ac:dyDescent="0.25">
      <c r="A67" s="16">
        <v>195</v>
      </c>
      <c r="B67" s="17">
        <v>17</v>
      </c>
      <c r="C67" s="18" t="s">
        <v>686</v>
      </c>
      <c r="D67" s="17">
        <v>4016000</v>
      </c>
      <c r="E67" s="17">
        <v>625000</v>
      </c>
      <c r="F67" s="17"/>
      <c r="G67" s="17"/>
      <c r="H67" s="17"/>
      <c r="I67" s="17">
        <v>97000</v>
      </c>
      <c r="J67" s="17"/>
      <c r="K67" s="17"/>
      <c r="L67" s="17"/>
      <c r="M67" s="17"/>
      <c r="N67" s="17">
        <v>19811000</v>
      </c>
      <c r="O67" s="17">
        <v>13672000</v>
      </c>
      <c r="P67" s="17"/>
      <c r="Q67" s="17"/>
      <c r="R67" s="17"/>
      <c r="S67" s="17">
        <v>483000</v>
      </c>
      <c r="T67" s="17"/>
      <c r="U67" s="17"/>
      <c r="V67" s="17"/>
      <c r="W67" s="17"/>
      <c r="X67" s="17"/>
      <c r="Y67" s="17"/>
      <c r="Z67" s="17"/>
      <c r="AA67" s="17"/>
      <c r="AB67" s="17"/>
      <c r="AC67" s="17">
        <v>240000</v>
      </c>
      <c r="AD67" s="17">
        <v>240000</v>
      </c>
      <c r="AE67" s="17"/>
      <c r="AF67" s="17"/>
      <c r="AG67" s="17"/>
      <c r="AH67" s="17">
        <v>21315000</v>
      </c>
      <c r="AI67" s="17">
        <v>19270000</v>
      </c>
      <c r="AJ67" s="17"/>
      <c r="AK67" s="17"/>
      <c r="AL67" s="17"/>
      <c r="AM67" s="17">
        <v>31713000</v>
      </c>
      <c r="AN67" s="17">
        <v>30013000</v>
      </c>
      <c r="AO67" s="17"/>
      <c r="AP67" s="17"/>
      <c r="AQ67" s="17"/>
      <c r="AR67" s="17">
        <v>29492000</v>
      </c>
      <c r="AS67" s="17">
        <v>34589000</v>
      </c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>
        <v>12000</v>
      </c>
      <c r="BH67" s="17">
        <v>3000</v>
      </c>
      <c r="BI67" s="17"/>
      <c r="BJ67" s="17"/>
      <c r="BK67" s="17"/>
      <c r="BL67" s="17">
        <v>1097000</v>
      </c>
      <c r="BM67" s="17">
        <v>3453000</v>
      </c>
      <c r="BN67" s="17"/>
      <c r="BO67" s="17"/>
      <c r="BP67" s="17"/>
      <c r="BQ67" s="17">
        <v>837000</v>
      </c>
      <c r="BR67" s="17">
        <v>-8065000</v>
      </c>
      <c r="BS67" s="17"/>
      <c r="BT67" s="17"/>
      <c r="BU67" s="17"/>
    </row>
    <row r="68" spans="1:73" x14ac:dyDescent="0.25">
      <c r="A68" s="16">
        <v>197</v>
      </c>
      <c r="B68" s="17">
        <v>8</v>
      </c>
      <c r="C68" s="18" t="s">
        <v>691</v>
      </c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>
        <v>10000</v>
      </c>
      <c r="U68" s="17">
        <v>10000</v>
      </c>
      <c r="V68" s="17">
        <v>10000</v>
      </c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</row>
    <row r="69" spans="1:73" x14ac:dyDescent="0.25">
      <c r="A69" s="16">
        <v>28</v>
      </c>
      <c r="B69" s="17">
        <v>17</v>
      </c>
      <c r="C69" s="18" t="s">
        <v>263</v>
      </c>
      <c r="D69" s="17">
        <v>1098000</v>
      </c>
      <c r="E69" s="17">
        <v>751000</v>
      </c>
      <c r="F69" s="17">
        <v>73000</v>
      </c>
      <c r="G69" s="17"/>
      <c r="H69" s="17"/>
      <c r="I69" s="17"/>
      <c r="J69" s="17"/>
      <c r="K69" s="17">
        <v>150000</v>
      </c>
      <c r="L69" s="17"/>
      <c r="M69" s="17"/>
      <c r="N69" s="17">
        <v>6911000</v>
      </c>
      <c r="O69" s="17">
        <v>11908000</v>
      </c>
      <c r="P69" s="17">
        <v>13847000</v>
      </c>
      <c r="Q69" s="17"/>
      <c r="R69" s="17"/>
      <c r="S69" s="17">
        <v>138000</v>
      </c>
      <c r="T69" s="17">
        <v>498000</v>
      </c>
      <c r="U69" s="17">
        <v>365000</v>
      </c>
      <c r="V69" s="17"/>
      <c r="W69" s="17"/>
      <c r="X69" s="17"/>
      <c r="Y69" s="17"/>
      <c r="Z69" s="17"/>
      <c r="AA69" s="17"/>
      <c r="AB69" s="17"/>
      <c r="AC69" s="17"/>
      <c r="AD69" s="17">
        <v>5061000</v>
      </c>
      <c r="AE69" s="17">
        <v>2889000</v>
      </c>
      <c r="AF69" s="17"/>
      <c r="AG69" s="17"/>
      <c r="AH69" s="17">
        <v>6254000</v>
      </c>
      <c r="AI69" s="17">
        <v>3093000</v>
      </c>
      <c r="AJ69" s="17">
        <v>2715000</v>
      </c>
      <c r="AK69" s="17"/>
      <c r="AL69" s="17"/>
      <c r="AM69" s="17">
        <v>8464000</v>
      </c>
      <c r="AN69" s="17">
        <v>13152000</v>
      </c>
      <c r="AO69" s="17">
        <v>7768000</v>
      </c>
      <c r="AP69" s="17"/>
      <c r="AQ69" s="17"/>
      <c r="AR69" s="17">
        <v>7205000</v>
      </c>
      <c r="AS69" s="17">
        <v>9149000</v>
      </c>
      <c r="AT69" s="17">
        <v>5604000</v>
      </c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>
        <v>3044000</v>
      </c>
      <c r="BH69" s="17">
        <v>255000</v>
      </c>
      <c r="BI69" s="17">
        <v>150000</v>
      </c>
      <c r="BJ69" s="17"/>
      <c r="BK69" s="17"/>
      <c r="BL69" s="17">
        <v>2238000</v>
      </c>
      <c r="BM69" s="17">
        <v>1176000</v>
      </c>
      <c r="BN69" s="17">
        <v>675000</v>
      </c>
      <c r="BO69" s="17"/>
      <c r="BP69" s="17"/>
      <c r="BQ69" s="17">
        <v>1500000</v>
      </c>
      <c r="BR69" s="17">
        <v>1708000</v>
      </c>
      <c r="BS69" s="17">
        <v>1252000</v>
      </c>
      <c r="BT69" s="17"/>
      <c r="BU69" s="17"/>
    </row>
    <row r="70" spans="1:73" x14ac:dyDescent="0.25">
      <c r="A70" s="16">
        <v>183</v>
      </c>
      <c r="B70" s="17">
        <v>17</v>
      </c>
      <c r="C70" s="18" t="s">
        <v>656</v>
      </c>
      <c r="D70" s="17"/>
      <c r="E70" s="17"/>
      <c r="F70" s="17"/>
      <c r="G70" s="17">
        <v>2217000</v>
      </c>
      <c r="H70" s="17">
        <v>1674000</v>
      </c>
      <c r="I70" s="17">
        <v>16590000</v>
      </c>
      <c r="J70" s="17">
        <v>17100000</v>
      </c>
      <c r="K70" s="17">
        <v>23443000</v>
      </c>
      <c r="L70" s="17">
        <v>2681000</v>
      </c>
      <c r="M70" s="17">
        <v>34470000</v>
      </c>
      <c r="N70" s="17">
        <v>3947000</v>
      </c>
      <c r="O70" s="17">
        <v>4122000</v>
      </c>
      <c r="P70" s="17">
        <v>5292000</v>
      </c>
      <c r="Q70" s="17">
        <v>2712000</v>
      </c>
      <c r="R70" s="17">
        <v>2050000</v>
      </c>
      <c r="S70" s="17">
        <v>323000</v>
      </c>
      <c r="T70" s="17">
        <v>215000</v>
      </c>
      <c r="U70" s="17">
        <v>925000</v>
      </c>
      <c r="V70" s="17">
        <v>714000</v>
      </c>
      <c r="W70" s="17">
        <v>712000</v>
      </c>
      <c r="X70" s="17">
        <v>6247000</v>
      </c>
      <c r="Y70" s="17">
        <v>6247000</v>
      </c>
      <c r="Z70" s="17">
        <v>6373000</v>
      </c>
      <c r="AA70" s="17">
        <v>5202000</v>
      </c>
      <c r="AB70" s="17">
        <v>4857000</v>
      </c>
      <c r="AC70" s="17">
        <v>1371000</v>
      </c>
      <c r="AD70" s="17">
        <v>1371000</v>
      </c>
      <c r="AE70" s="17">
        <v>1381000</v>
      </c>
      <c r="AF70" s="17">
        <v>1371000</v>
      </c>
      <c r="AG70" s="17">
        <v>1371000</v>
      </c>
      <c r="AH70" s="17">
        <v>11045000</v>
      </c>
      <c r="AI70" s="17">
        <v>12409000</v>
      </c>
      <c r="AJ70" s="17">
        <v>21281000</v>
      </c>
      <c r="AK70" s="17">
        <v>324000</v>
      </c>
      <c r="AL70" s="17">
        <v>31244000</v>
      </c>
      <c r="AM70" s="17">
        <v>10831000</v>
      </c>
      <c r="AN70" s="17">
        <v>12012000</v>
      </c>
      <c r="AO70" s="17">
        <v>8841000</v>
      </c>
      <c r="AP70" s="17">
        <v>14872000</v>
      </c>
      <c r="AQ70" s="17">
        <v>379000</v>
      </c>
      <c r="AR70" s="17">
        <v>6691000</v>
      </c>
      <c r="AS70" s="17">
        <v>7728000</v>
      </c>
      <c r="AT70" s="17">
        <v>4409000</v>
      </c>
      <c r="AU70" s="17">
        <v>13036000</v>
      </c>
      <c r="AV70" s="17">
        <v>133000</v>
      </c>
      <c r="AW70" s="17">
        <v>3684000</v>
      </c>
      <c r="AX70" s="17">
        <v>3948000</v>
      </c>
      <c r="AY70" s="17">
        <v>3994000</v>
      </c>
      <c r="AZ70" s="17">
        <v>8066000</v>
      </c>
      <c r="BA70" s="17">
        <v>843000</v>
      </c>
      <c r="BB70" s="17"/>
      <c r="BC70" s="17"/>
      <c r="BD70" s="17"/>
      <c r="BE70" s="17"/>
      <c r="BF70" s="17"/>
      <c r="BG70" s="17">
        <v>774000</v>
      </c>
      <c r="BH70" s="17">
        <v>39000</v>
      </c>
      <c r="BI70" s="17">
        <v>49000</v>
      </c>
      <c r="BJ70" s="17">
        <v>7088000</v>
      </c>
      <c r="BK70" s="17">
        <v>1117000</v>
      </c>
      <c r="BL70" s="17">
        <v>779000</v>
      </c>
      <c r="BM70" s="17">
        <v>111000</v>
      </c>
      <c r="BN70" s="17">
        <v>186000</v>
      </c>
      <c r="BO70" s="17">
        <v>2161000</v>
      </c>
      <c r="BP70" s="17">
        <v>1060000</v>
      </c>
      <c r="BQ70" s="17">
        <v>280000</v>
      </c>
      <c r="BR70" s="17">
        <v>5000</v>
      </c>
      <c r="BS70" s="17">
        <v>128000</v>
      </c>
      <c r="BT70" s="17">
        <v>-1093000</v>
      </c>
      <c r="BU70" s="17">
        <v>-330000</v>
      </c>
    </row>
    <row r="71" spans="1:73" x14ac:dyDescent="0.25">
      <c r="A71" s="16">
        <v>65</v>
      </c>
      <c r="B71" s="17">
        <v>28</v>
      </c>
      <c r="C71" s="18" t="s">
        <v>360</v>
      </c>
      <c r="D71" s="17">
        <v>718000</v>
      </c>
      <c r="E71" s="17"/>
      <c r="F71" s="17"/>
      <c r="G71" s="17"/>
      <c r="H71" s="17"/>
      <c r="I71" s="17">
        <v>46304000</v>
      </c>
      <c r="J71" s="17">
        <v>10990000</v>
      </c>
      <c r="K71" s="17">
        <v>10990000</v>
      </c>
      <c r="L71" s="17">
        <v>10990000</v>
      </c>
      <c r="M71" s="17">
        <v>10990000</v>
      </c>
      <c r="N71" s="17">
        <v>4443000</v>
      </c>
      <c r="O71" s="17">
        <v>3866000</v>
      </c>
      <c r="P71" s="17">
        <v>3910000</v>
      </c>
      <c r="Q71" s="17">
        <v>3318000</v>
      </c>
      <c r="R71" s="17"/>
      <c r="S71" s="17">
        <v>25178000</v>
      </c>
      <c r="T71" s="17">
        <v>1139000</v>
      </c>
      <c r="U71" s="17">
        <v>843000</v>
      </c>
      <c r="V71" s="17">
        <v>1532000</v>
      </c>
      <c r="W71" s="17">
        <v>969000</v>
      </c>
      <c r="X71" s="17">
        <v>-772100000</v>
      </c>
      <c r="Y71" s="17">
        <v>-792190000</v>
      </c>
      <c r="Z71" s="17">
        <v>-792114000</v>
      </c>
      <c r="AA71" s="17">
        <v>-720617000</v>
      </c>
      <c r="AB71" s="17">
        <v>-724507000</v>
      </c>
      <c r="AC71" s="17"/>
      <c r="AD71" s="17"/>
      <c r="AE71" s="17"/>
      <c r="AF71" s="17"/>
      <c r="AG71" s="17"/>
      <c r="AH71" s="17">
        <v>805222000</v>
      </c>
      <c r="AI71" s="17">
        <v>765077000</v>
      </c>
      <c r="AJ71" s="17">
        <v>764733000</v>
      </c>
      <c r="AK71" s="17">
        <v>693300000</v>
      </c>
      <c r="AL71" s="17">
        <v>693280000</v>
      </c>
      <c r="AM71" s="17">
        <v>2846000</v>
      </c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>
        <v>11523000</v>
      </c>
      <c r="BC71" s="17">
        <v>2985000</v>
      </c>
      <c r="BD71" s="17">
        <v>1169000</v>
      </c>
      <c r="BE71" s="17">
        <v>526000</v>
      </c>
      <c r="BF71" s="17"/>
      <c r="BG71" s="17">
        <v>603966000</v>
      </c>
      <c r="BH71" s="17">
        <v>15902000</v>
      </c>
      <c r="BI71" s="17">
        <v>1461000</v>
      </c>
      <c r="BJ71" s="17">
        <v>1037000</v>
      </c>
      <c r="BK71" s="17"/>
      <c r="BL71" s="17">
        <v>89234000</v>
      </c>
      <c r="BM71" s="17">
        <v>44710000</v>
      </c>
      <c r="BN71" s="17">
        <v>421000</v>
      </c>
      <c r="BO71" s="17">
        <v>451000</v>
      </c>
      <c r="BP71" s="17"/>
      <c r="BQ71" s="17">
        <v>508646000</v>
      </c>
      <c r="BR71" s="17">
        <v>-31848000</v>
      </c>
      <c r="BS71" s="17">
        <v>-129000</v>
      </c>
      <c r="BT71" s="17">
        <v>60000</v>
      </c>
      <c r="BU71" s="17"/>
    </row>
    <row r="72" spans="1:73" x14ac:dyDescent="0.25">
      <c r="A72" s="16">
        <v>156</v>
      </c>
      <c r="B72" s="17">
        <v>10</v>
      </c>
      <c r="C72" s="18" t="s">
        <v>592</v>
      </c>
      <c r="D72" s="17">
        <v>1743000</v>
      </c>
      <c r="E72" s="17">
        <v>2766000</v>
      </c>
      <c r="F72" s="17">
        <v>1770000</v>
      </c>
      <c r="G72" s="17">
        <v>643000</v>
      </c>
      <c r="H72" s="17">
        <v>156000</v>
      </c>
      <c r="I72" s="17">
        <v>117587000</v>
      </c>
      <c r="J72" s="17">
        <v>192391000</v>
      </c>
      <c r="K72" s="17">
        <v>43830000</v>
      </c>
      <c r="L72" s="17">
        <v>57687000</v>
      </c>
      <c r="M72" s="17">
        <v>53791000</v>
      </c>
      <c r="N72" s="17">
        <v>1191000</v>
      </c>
      <c r="O72" s="17">
        <v>73669000</v>
      </c>
      <c r="P72" s="17">
        <v>18251000</v>
      </c>
      <c r="Q72" s="17">
        <v>27072000</v>
      </c>
      <c r="R72" s="17">
        <v>21065000</v>
      </c>
      <c r="S72" s="17">
        <v>20572000</v>
      </c>
      <c r="T72" s="17">
        <v>10666000</v>
      </c>
      <c r="U72" s="17">
        <v>75000</v>
      </c>
      <c r="V72" s="17">
        <v>98000</v>
      </c>
      <c r="W72" s="17"/>
      <c r="X72" s="17">
        <v>4532000</v>
      </c>
      <c r="Y72" s="17">
        <v>4773000</v>
      </c>
      <c r="Z72" s="17">
        <v>-27906000</v>
      </c>
      <c r="AA72" s="17">
        <v>-33735000</v>
      </c>
      <c r="AB72" s="17">
        <v>-36201000</v>
      </c>
      <c r="AC72" s="17"/>
      <c r="AD72" s="17">
        <v>5804000</v>
      </c>
      <c r="AE72" s="17">
        <v>11971000</v>
      </c>
      <c r="AF72" s="17">
        <v>12832000</v>
      </c>
      <c r="AG72" s="17">
        <v>12382000</v>
      </c>
      <c r="AH72" s="17">
        <v>136551000</v>
      </c>
      <c r="AI72" s="17">
        <v>268960000</v>
      </c>
      <c r="AJ72" s="17">
        <v>79851000</v>
      </c>
      <c r="AK72" s="17">
        <v>106393000</v>
      </c>
      <c r="AL72" s="17">
        <v>98821000</v>
      </c>
      <c r="AM72" s="17">
        <v>288133000</v>
      </c>
      <c r="AN72" s="17">
        <v>195157000</v>
      </c>
      <c r="AO72" s="17">
        <v>370819000</v>
      </c>
      <c r="AP72" s="17">
        <v>24236000</v>
      </c>
      <c r="AQ72" s="17">
        <v>1305000</v>
      </c>
      <c r="AR72" s="17">
        <v>274761000</v>
      </c>
      <c r="AS72" s="17">
        <v>180954000</v>
      </c>
      <c r="AT72" s="17">
        <v>395275000</v>
      </c>
      <c r="AU72" s="17">
        <v>14653000</v>
      </c>
      <c r="AV72" s="17">
        <v>2358000</v>
      </c>
      <c r="AW72" s="17"/>
      <c r="AX72" s="17"/>
      <c r="AY72" s="17"/>
      <c r="AZ72" s="17"/>
      <c r="BA72" s="17"/>
      <c r="BB72" s="17">
        <v>12871000</v>
      </c>
      <c r="BC72" s="17">
        <v>13601000</v>
      </c>
      <c r="BD72" s="17">
        <v>14683000</v>
      </c>
      <c r="BE72" s="17">
        <v>7189000</v>
      </c>
      <c r="BF72" s="17">
        <v>1218000</v>
      </c>
      <c r="BG72" s="17"/>
      <c r="BH72" s="17"/>
      <c r="BI72" s="17">
        <v>25019000</v>
      </c>
      <c r="BJ72" s="17">
        <v>4274000</v>
      </c>
      <c r="BK72" s="17"/>
      <c r="BL72" s="17">
        <v>122000</v>
      </c>
      <c r="BM72" s="17">
        <v>241000</v>
      </c>
      <c r="BN72" s="17">
        <v>21842000</v>
      </c>
      <c r="BO72" s="17">
        <v>8849000</v>
      </c>
      <c r="BP72" s="17">
        <v>205000</v>
      </c>
      <c r="BQ72" s="17">
        <v>379000</v>
      </c>
      <c r="BR72" s="17">
        <v>361000</v>
      </c>
      <c r="BS72" s="17">
        <v>-35962000</v>
      </c>
      <c r="BT72" s="17">
        <v>-2181000</v>
      </c>
      <c r="BU72" s="17">
        <v>-2476000</v>
      </c>
    </row>
    <row r="73" spans="1:73" ht="26.25" x14ac:dyDescent="0.25">
      <c r="A73" s="16">
        <v>6</v>
      </c>
      <c r="B73" s="17">
        <v>14</v>
      </c>
      <c r="C73" s="18" t="s">
        <v>201</v>
      </c>
      <c r="D73" s="17">
        <v>77566000</v>
      </c>
      <c r="E73" s="17">
        <v>67792000</v>
      </c>
      <c r="F73" s="17">
        <v>60290000</v>
      </c>
      <c r="G73" s="17">
        <v>57862000</v>
      </c>
      <c r="H73" s="17">
        <v>289000</v>
      </c>
      <c r="I73" s="17">
        <v>212209000</v>
      </c>
      <c r="J73" s="17">
        <v>226034000</v>
      </c>
      <c r="K73" s="17">
        <v>226034000</v>
      </c>
      <c r="L73" s="17">
        <v>223949000</v>
      </c>
      <c r="M73" s="17">
        <v>223949000</v>
      </c>
      <c r="N73" s="17">
        <v>91702000</v>
      </c>
      <c r="O73" s="17">
        <v>89118000</v>
      </c>
      <c r="P73" s="17">
        <v>107194000</v>
      </c>
      <c r="Q73" s="17">
        <v>72035000</v>
      </c>
      <c r="R73" s="17">
        <v>13317000</v>
      </c>
      <c r="S73" s="17"/>
      <c r="T73" s="17"/>
      <c r="U73" s="17">
        <v>286000</v>
      </c>
      <c r="V73" s="17">
        <v>23093000</v>
      </c>
      <c r="W73" s="17">
        <v>27251000</v>
      </c>
      <c r="X73" s="17">
        <v>-64752000</v>
      </c>
      <c r="Y73" s="17">
        <v>-86226000</v>
      </c>
      <c r="Z73" s="17">
        <v>-64035000</v>
      </c>
      <c r="AA73" s="17">
        <v>-77096000</v>
      </c>
      <c r="AB73" s="17">
        <v>-129701000</v>
      </c>
      <c r="AC73" s="17">
        <v>12359000</v>
      </c>
      <c r="AD73" s="17">
        <v>12353000</v>
      </c>
      <c r="AE73" s="17">
        <v>12353000</v>
      </c>
      <c r="AF73" s="17">
        <v>12353000</v>
      </c>
      <c r="AG73" s="17">
        <v>12353000</v>
      </c>
      <c r="AH73" s="17">
        <v>444591000</v>
      </c>
      <c r="AI73" s="17">
        <v>467381000</v>
      </c>
      <c r="AJ73" s="17">
        <v>457150000</v>
      </c>
      <c r="AK73" s="17">
        <v>453323000</v>
      </c>
      <c r="AL73" s="17">
        <v>393793000</v>
      </c>
      <c r="AM73" s="17">
        <v>71835000</v>
      </c>
      <c r="AN73" s="17">
        <v>1145000</v>
      </c>
      <c r="AO73" s="17"/>
      <c r="AP73" s="17"/>
      <c r="AQ73" s="17"/>
      <c r="AR73" s="17">
        <v>85733000</v>
      </c>
      <c r="AS73" s="17"/>
      <c r="AT73" s="17"/>
      <c r="AU73" s="17"/>
      <c r="AV73" s="17"/>
      <c r="AW73" s="17"/>
      <c r="AX73" s="17"/>
      <c r="AY73" s="17"/>
      <c r="AZ73" s="17"/>
      <c r="BA73" s="17"/>
      <c r="BB73" s="17">
        <v>51679000</v>
      </c>
      <c r="BC73" s="17">
        <v>23897000</v>
      </c>
      <c r="BD73" s="17">
        <v>10117000</v>
      </c>
      <c r="BE73" s="17">
        <v>6140000</v>
      </c>
      <c r="BF73" s="17">
        <v>4098000</v>
      </c>
      <c r="BG73" s="17">
        <v>22490000</v>
      </c>
      <c r="BH73" s="17">
        <v>7031000</v>
      </c>
      <c r="BI73" s="17">
        <v>44789000</v>
      </c>
      <c r="BJ73" s="17">
        <v>3000000</v>
      </c>
      <c r="BK73" s="17">
        <v>9268000</v>
      </c>
      <c r="BL73" s="17">
        <v>57894000</v>
      </c>
      <c r="BM73" s="17">
        <v>3927000</v>
      </c>
      <c r="BN73" s="17">
        <v>6840000</v>
      </c>
      <c r="BO73" s="17">
        <v>9921000</v>
      </c>
      <c r="BP73" s="17">
        <v>57775000</v>
      </c>
      <c r="BQ73" s="17">
        <v>-84328000</v>
      </c>
      <c r="BR73" s="17">
        <v>-19648000</v>
      </c>
      <c r="BS73" s="17">
        <v>22190000</v>
      </c>
      <c r="BT73" s="17">
        <v>-13061000</v>
      </c>
      <c r="BU73" s="17">
        <v>-52605000</v>
      </c>
    </row>
    <row r="74" spans="1:73" ht="26.25" x14ac:dyDescent="0.25">
      <c r="A74" s="16">
        <v>95</v>
      </c>
      <c r="B74" s="17">
        <v>5</v>
      </c>
      <c r="C74" s="18" t="s">
        <v>201</v>
      </c>
      <c r="D74" s="17">
        <v>86000</v>
      </c>
      <c r="E74" s="17">
        <v>10157000</v>
      </c>
      <c r="F74" s="17">
        <v>8598000</v>
      </c>
      <c r="G74" s="17">
        <v>6314000</v>
      </c>
      <c r="H74" s="17">
        <v>70000</v>
      </c>
      <c r="I74" s="17">
        <v>2355000</v>
      </c>
      <c r="J74" s="17">
        <v>14378000</v>
      </c>
      <c r="K74" s="17">
        <v>14704000</v>
      </c>
      <c r="L74" s="17">
        <v>77380000</v>
      </c>
      <c r="M74" s="17">
        <v>105438000</v>
      </c>
      <c r="N74" s="17">
        <v>5831000</v>
      </c>
      <c r="O74" s="17">
        <v>12763000</v>
      </c>
      <c r="P74" s="17">
        <v>21132000</v>
      </c>
      <c r="Q74" s="17">
        <v>38150000</v>
      </c>
      <c r="R74" s="17">
        <v>37134000</v>
      </c>
      <c r="S74" s="17">
        <v>1560000</v>
      </c>
      <c r="T74" s="17">
        <v>67000</v>
      </c>
      <c r="U74" s="17">
        <v>11434000</v>
      </c>
      <c r="V74" s="17">
        <v>1889000</v>
      </c>
      <c r="W74" s="17">
        <v>89000</v>
      </c>
      <c r="X74" s="17"/>
      <c r="Y74" s="17"/>
      <c r="Z74" s="17"/>
      <c r="AA74" s="17"/>
      <c r="AB74" s="17"/>
      <c r="AC74" s="17">
        <v>650000</v>
      </c>
      <c r="AD74" s="17">
        <v>1373000</v>
      </c>
      <c r="AE74" s="17">
        <v>1370000</v>
      </c>
      <c r="AF74" s="17"/>
      <c r="AG74" s="17"/>
      <c r="AH74" s="17">
        <v>5085000</v>
      </c>
      <c r="AI74" s="17">
        <v>7777000</v>
      </c>
      <c r="AJ74" s="17">
        <v>20820000</v>
      </c>
      <c r="AK74" s="17">
        <v>54109000</v>
      </c>
      <c r="AL74" s="17">
        <v>72737000</v>
      </c>
      <c r="AM74" s="17">
        <v>28948000</v>
      </c>
      <c r="AN74" s="17">
        <v>47747000</v>
      </c>
      <c r="AO74" s="17">
        <v>93383000</v>
      </c>
      <c r="AP74" s="17">
        <v>133381000</v>
      </c>
      <c r="AQ74" s="17">
        <v>104332000</v>
      </c>
      <c r="AR74" s="17">
        <v>28781000</v>
      </c>
      <c r="AS74" s="17">
        <v>45487000</v>
      </c>
      <c r="AT74" s="17">
        <v>91694000</v>
      </c>
      <c r="AU74" s="17">
        <v>128465000</v>
      </c>
      <c r="AV74" s="17">
        <v>104154000</v>
      </c>
      <c r="AW74" s="17"/>
      <c r="AX74" s="17"/>
      <c r="AY74" s="17"/>
      <c r="AZ74" s="17"/>
      <c r="BA74" s="17"/>
      <c r="BB74" s="17"/>
      <c r="BC74" s="17"/>
      <c r="BD74" s="17"/>
      <c r="BE74" s="17"/>
      <c r="BF74" s="17"/>
      <c r="BG74" s="17"/>
      <c r="BH74" s="17"/>
      <c r="BI74" s="17">
        <v>30000</v>
      </c>
      <c r="BJ74" s="17">
        <v>3821000</v>
      </c>
      <c r="BK74" s="17">
        <v>22652000</v>
      </c>
      <c r="BL74" s="17">
        <v>61000</v>
      </c>
      <c r="BM74" s="17">
        <v>134000</v>
      </c>
      <c r="BN74" s="17">
        <v>603000</v>
      </c>
      <c r="BO74" s="17">
        <v>4068000</v>
      </c>
      <c r="BP74" s="17">
        <v>17060000</v>
      </c>
      <c r="BQ74" s="17">
        <v>86000</v>
      </c>
      <c r="BR74" s="17">
        <v>1784000</v>
      </c>
      <c r="BS74" s="17">
        <v>209000</v>
      </c>
      <c r="BT74" s="17">
        <v>2154000</v>
      </c>
      <c r="BU74" s="17">
        <v>200000</v>
      </c>
    </row>
    <row r="75" spans="1:73" ht="26.25" x14ac:dyDescent="0.25">
      <c r="A75" s="16">
        <v>25</v>
      </c>
      <c r="B75" s="17">
        <v>32</v>
      </c>
      <c r="C75" s="18" t="s">
        <v>255</v>
      </c>
      <c r="D75" s="17">
        <v>367420000</v>
      </c>
      <c r="E75" s="17">
        <v>353701000</v>
      </c>
      <c r="F75" s="17">
        <v>298856000</v>
      </c>
      <c r="G75" s="17">
        <v>224123000</v>
      </c>
      <c r="H75" s="17">
        <v>112842000</v>
      </c>
      <c r="I75" s="17">
        <v>439645000</v>
      </c>
      <c r="J75" s="17">
        <v>445688000</v>
      </c>
      <c r="K75" s="17">
        <v>443054000</v>
      </c>
      <c r="L75" s="17">
        <v>435788000</v>
      </c>
      <c r="M75" s="17">
        <v>412956000</v>
      </c>
      <c r="N75" s="17">
        <v>1228777000</v>
      </c>
      <c r="O75" s="17">
        <v>1265599000</v>
      </c>
      <c r="P75" s="17">
        <v>1362357000</v>
      </c>
      <c r="Q75" s="17">
        <v>1798613000</v>
      </c>
      <c r="R75" s="17">
        <v>1660245000</v>
      </c>
      <c r="S75" s="17">
        <v>55117000</v>
      </c>
      <c r="T75" s="17">
        <v>283000</v>
      </c>
      <c r="U75" s="17">
        <v>9733000</v>
      </c>
      <c r="V75" s="17">
        <v>4162000</v>
      </c>
      <c r="W75" s="17">
        <v>2579000</v>
      </c>
      <c r="X75" s="17">
        <v>-2445078000</v>
      </c>
      <c r="Y75" s="17">
        <v>-2508018000</v>
      </c>
      <c r="Z75" s="17">
        <v>-2800056000</v>
      </c>
      <c r="AA75" s="17">
        <v>-2344725000</v>
      </c>
      <c r="AB75" s="17">
        <v>-2000784000</v>
      </c>
      <c r="AC75" s="17">
        <v>297268000</v>
      </c>
      <c r="AD75" s="17">
        <v>307908000</v>
      </c>
      <c r="AE75" s="17">
        <v>318548000</v>
      </c>
      <c r="AF75" s="17">
        <v>329188000</v>
      </c>
      <c r="AG75" s="17">
        <v>270624000</v>
      </c>
      <c r="AH75" s="17">
        <v>3734172000</v>
      </c>
      <c r="AI75" s="17">
        <v>3791148000</v>
      </c>
      <c r="AJ75" s="17">
        <v>4201778000</v>
      </c>
      <c r="AK75" s="17">
        <v>4064303000</v>
      </c>
      <c r="AL75" s="17">
        <v>3585076000</v>
      </c>
      <c r="AM75" s="17">
        <v>319294000</v>
      </c>
      <c r="AN75" s="17">
        <v>119395000</v>
      </c>
      <c r="AO75" s="17">
        <v>171801000</v>
      </c>
      <c r="AP75" s="17">
        <v>30107000</v>
      </c>
      <c r="AQ75" s="17">
        <v>6124000</v>
      </c>
      <c r="AR75" s="17">
        <v>421764000</v>
      </c>
      <c r="AS75" s="17">
        <v>158353000</v>
      </c>
      <c r="AT75" s="17">
        <v>95185000</v>
      </c>
      <c r="AU75" s="17">
        <v>75580000</v>
      </c>
      <c r="AV75" s="17"/>
      <c r="AW75" s="17"/>
      <c r="AX75" s="17"/>
      <c r="AY75" s="17"/>
      <c r="AZ75" s="17"/>
      <c r="BA75" s="17"/>
      <c r="BB75" s="17">
        <v>81594000</v>
      </c>
      <c r="BC75" s="17">
        <v>66180000</v>
      </c>
      <c r="BD75" s="17">
        <v>69427000</v>
      </c>
      <c r="BE75" s="17">
        <v>51367000</v>
      </c>
      <c r="BF75" s="17">
        <v>121350000</v>
      </c>
      <c r="BG75" s="17">
        <v>50773000</v>
      </c>
      <c r="BH75" s="17">
        <v>39541000</v>
      </c>
      <c r="BI75" s="17">
        <v>322160000</v>
      </c>
      <c r="BJ75" s="17">
        <v>908756000</v>
      </c>
      <c r="BK75" s="17">
        <v>583635000</v>
      </c>
      <c r="BL75" s="17">
        <v>26081000</v>
      </c>
      <c r="BM75" s="17">
        <v>12102000</v>
      </c>
      <c r="BN75" s="17">
        <v>220469000</v>
      </c>
      <c r="BO75" s="17">
        <v>260369000</v>
      </c>
      <c r="BP75" s="17">
        <v>139882000</v>
      </c>
      <c r="BQ75" s="17">
        <v>-307791000</v>
      </c>
      <c r="BR75" s="17">
        <v>-71066000</v>
      </c>
      <c r="BS75" s="17">
        <v>-382876000</v>
      </c>
      <c r="BT75" s="17">
        <v>414586000</v>
      </c>
      <c r="BU75" s="17">
        <v>226364000</v>
      </c>
    </row>
    <row r="76" spans="1:73" ht="26.25" x14ac:dyDescent="0.25">
      <c r="A76" s="16">
        <v>139</v>
      </c>
      <c r="B76" s="17">
        <v>32</v>
      </c>
      <c r="C76" s="18" t="s">
        <v>255</v>
      </c>
      <c r="D76" s="17"/>
      <c r="E76" s="17"/>
      <c r="F76" s="17"/>
      <c r="G76" s="17"/>
      <c r="H76" s="17"/>
      <c r="I76" s="17">
        <v>29000</v>
      </c>
      <c r="J76" s="17">
        <v>29000</v>
      </c>
      <c r="K76" s="17">
        <v>21000</v>
      </c>
      <c r="L76" s="17">
        <v>21000</v>
      </c>
      <c r="M76" s="17">
        <v>21000</v>
      </c>
      <c r="N76" s="17">
        <v>2512000</v>
      </c>
      <c r="O76" s="17">
        <v>302000</v>
      </c>
      <c r="P76" s="17">
        <v>476000</v>
      </c>
      <c r="Q76" s="17">
        <v>481000</v>
      </c>
      <c r="R76" s="17">
        <v>356000</v>
      </c>
      <c r="S76" s="17">
        <v>2752000</v>
      </c>
      <c r="T76" s="17">
        <v>2398000</v>
      </c>
      <c r="U76" s="17">
        <v>1508000</v>
      </c>
      <c r="V76" s="17">
        <v>2245000</v>
      </c>
      <c r="W76" s="17">
        <v>2585000</v>
      </c>
      <c r="X76" s="17">
        <v>-330005000</v>
      </c>
      <c r="Y76" s="17">
        <v>-319764000</v>
      </c>
      <c r="Z76" s="17">
        <v>-319469000</v>
      </c>
      <c r="AA76" s="17">
        <v>-316964000</v>
      </c>
      <c r="AB76" s="17">
        <v>-317559000</v>
      </c>
      <c r="AC76" s="17"/>
      <c r="AD76" s="17"/>
      <c r="AE76" s="17"/>
      <c r="AF76" s="17"/>
      <c r="AG76" s="17"/>
      <c r="AH76" s="17">
        <v>38994000</v>
      </c>
      <c r="AI76" s="17">
        <v>34231000</v>
      </c>
      <c r="AJ76" s="17">
        <v>36581000</v>
      </c>
      <c r="AK76" s="17">
        <v>34969000</v>
      </c>
      <c r="AL76" s="17">
        <v>319280000</v>
      </c>
      <c r="AM76" s="17"/>
      <c r="AN76" s="17"/>
      <c r="AO76" s="17">
        <v>1000000</v>
      </c>
      <c r="AP76" s="17"/>
      <c r="AQ76" s="17"/>
      <c r="AR76" s="17">
        <v>497000</v>
      </c>
      <c r="AS76" s="17"/>
      <c r="AT76" s="17">
        <v>1000</v>
      </c>
      <c r="AU76" s="17"/>
      <c r="AV76" s="17"/>
      <c r="AW76" s="17"/>
      <c r="AX76" s="17"/>
      <c r="AY76" s="17"/>
      <c r="AZ76" s="17"/>
      <c r="BA76" s="17"/>
      <c r="BB76" s="17"/>
      <c r="BC76" s="17">
        <v>463000</v>
      </c>
      <c r="BD76" s="17">
        <v>490000</v>
      </c>
      <c r="BE76" s="17">
        <v>648000</v>
      </c>
      <c r="BF76" s="17">
        <v>451000</v>
      </c>
      <c r="BG76" s="17">
        <v>3373000</v>
      </c>
      <c r="BH76" s="17">
        <v>10984000</v>
      </c>
      <c r="BI76" s="17"/>
      <c r="BJ76" s="17">
        <v>3781000</v>
      </c>
      <c r="BK76" s="17">
        <v>1000</v>
      </c>
      <c r="BL76" s="17">
        <v>202000</v>
      </c>
      <c r="BM76" s="17">
        <v>154000</v>
      </c>
      <c r="BN76" s="17">
        <v>141000</v>
      </c>
      <c r="BO76" s="17">
        <v>173000</v>
      </c>
      <c r="BP76" s="17">
        <v>25000</v>
      </c>
      <c r="BQ76" s="17">
        <v>2674000</v>
      </c>
      <c r="BR76" s="17">
        <v>10241000</v>
      </c>
      <c r="BS76" s="17">
        <v>294000</v>
      </c>
      <c r="BT76" s="17">
        <v>2364000</v>
      </c>
      <c r="BU76" s="17">
        <v>-475000</v>
      </c>
    </row>
    <row r="77" spans="1:73" ht="26.25" x14ac:dyDescent="0.25">
      <c r="A77" s="16">
        <v>176</v>
      </c>
      <c r="B77" s="17">
        <v>8</v>
      </c>
      <c r="C77" s="18" t="s">
        <v>255</v>
      </c>
      <c r="D77" s="17">
        <v>2704000</v>
      </c>
      <c r="E77" s="17">
        <v>1526000</v>
      </c>
      <c r="F77" s="17">
        <v>729000</v>
      </c>
      <c r="G77" s="17">
        <v>12652000</v>
      </c>
      <c r="H77" s="17">
        <v>9747000</v>
      </c>
      <c r="I77" s="17">
        <v>522000</v>
      </c>
      <c r="J77" s="17">
        <v>2866000</v>
      </c>
      <c r="K77" s="17">
        <v>3131000</v>
      </c>
      <c r="L77" s="17">
        <v>31909000</v>
      </c>
      <c r="M77" s="17">
        <v>6226000</v>
      </c>
      <c r="N77" s="17">
        <v>12611000</v>
      </c>
      <c r="O77" s="17">
        <v>11128000</v>
      </c>
      <c r="P77" s="17">
        <v>15832000</v>
      </c>
      <c r="Q77" s="17">
        <v>46818000</v>
      </c>
      <c r="R77" s="17">
        <v>47410000</v>
      </c>
      <c r="S77" s="17">
        <v>35000</v>
      </c>
      <c r="T77" s="17">
        <v>4295000</v>
      </c>
      <c r="U77" s="17">
        <v>898000</v>
      </c>
      <c r="V77" s="17">
        <v>3735000</v>
      </c>
      <c r="W77" s="17">
        <v>4000</v>
      </c>
      <c r="X77" s="17"/>
      <c r="Y77" s="17"/>
      <c r="Z77" s="17"/>
      <c r="AA77" s="17"/>
      <c r="AB77" s="17"/>
      <c r="AC77" s="17"/>
      <c r="AD77" s="17"/>
      <c r="AE77" s="17">
        <v>46000</v>
      </c>
      <c r="AF77" s="17">
        <v>585000</v>
      </c>
      <c r="AG77" s="17">
        <v>2096000</v>
      </c>
      <c r="AH77" s="17">
        <v>4207000</v>
      </c>
      <c r="AI77" s="17">
        <v>6481000</v>
      </c>
      <c r="AJ77" s="17">
        <v>6906000</v>
      </c>
      <c r="AK77" s="17">
        <v>51154000</v>
      </c>
      <c r="AL77" s="17">
        <v>29552000</v>
      </c>
      <c r="AM77" s="17">
        <v>30975000</v>
      </c>
      <c r="AN77" s="17">
        <v>47862000</v>
      </c>
      <c r="AO77" s="17">
        <v>82674000</v>
      </c>
      <c r="AP77" s="17">
        <v>87627000</v>
      </c>
      <c r="AQ77" s="17">
        <v>49283000</v>
      </c>
      <c r="AR77" s="17">
        <v>29728000</v>
      </c>
      <c r="AS77" s="17">
        <v>45769000</v>
      </c>
      <c r="AT77" s="17">
        <v>72722000</v>
      </c>
      <c r="AU77" s="17">
        <v>84492000</v>
      </c>
      <c r="AV77" s="17">
        <v>49023000</v>
      </c>
      <c r="AW77" s="17"/>
      <c r="AX77" s="17"/>
      <c r="AY77" s="17"/>
      <c r="AZ77" s="17"/>
      <c r="BA77" s="17"/>
      <c r="BB77" s="17"/>
      <c r="BC77" s="17"/>
      <c r="BD77" s="17"/>
      <c r="BE77" s="17"/>
      <c r="BF77" s="17"/>
      <c r="BG77" s="17"/>
      <c r="BH77" s="17">
        <v>826000</v>
      </c>
      <c r="BI77" s="17">
        <v>10383000</v>
      </c>
      <c r="BJ77" s="17">
        <v>951000</v>
      </c>
      <c r="BK77" s="17">
        <v>397000</v>
      </c>
      <c r="BL77" s="17">
        <v>295000</v>
      </c>
      <c r="BM77" s="17">
        <v>408000</v>
      </c>
      <c r="BN77" s="17">
        <v>16393000</v>
      </c>
      <c r="BO77" s="17">
        <v>3767000</v>
      </c>
      <c r="BP77" s="17">
        <v>2205000</v>
      </c>
      <c r="BQ77" s="17">
        <v>312000</v>
      </c>
      <c r="BR77" s="17">
        <v>1792000</v>
      </c>
      <c r="BS77" s="17">
        <v>1630000</v>
      </c>
      <c r="BT77" s="17">
        <v>-1529000</v>
      </c>
      <c r="BU77" s="17">
        <v>-4226000</v>
      </c>
    </row>
    <row r="78" spans="1:73" ht="26.25" x14ac:dyDescent="0.25">
      <c r="A78" s="16">
        <v>210</v>
      </c>
      <c r="B78" s="17">
        <v>17</v>
      </c>
      <c r="C78" s="18" t="s">
        <v>255</v>
      </c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</row>
    <row r="79" spans="1:73" ht="26.25" x14ac:dyDescent="0.25">
      <c r="A79" s="16">
        <v>245</v>
      </c>
      <c r="B79" s="17">
        <v>16</v>
      </c>
      <c r="C79" s="18" t="s">
        <v>255</v>
      </c>
      <c r="D79" s="17">
        <v>746000</v>
      </c>
      <c r="E79" s="17">
        <v>317000</v>
      </c>
      <c r="F79" s="17">
        <v>17000</v>
      </c>
      <c r="G79" s="17"/>
      <c r="H79" s="17"/>
      <c r="I79" s="17">
        <v>29737000</v>
      </c>
      <c r="J79" s="17">
        <v>29260000</v>
      </c>
      <c r="K79" s="17">
        <v>20737000</v>
      </c>
      <c r="L79" s="17"/>
      <c r="M79" s="17"/>
      <c r="N79" s="17">
        <v>13876000</v>
      </c>
      <c r="O79" s="17">
        <v>1393000</v>
      </c>
      <c r="P79" s="17">
        <v>989000</v>
      </c>
      <c r="Q79" s="17"/>
      <c r="R79" s="17"/>
      <c r="S79" s="17">
        <v>1000</v>
      </c>
      <c r="T79" s="17"/>
      <c r="U79" s="17">
        <v>2000</v>
      </c>
      <c r="V79" s="17"/>
      <c r="W79" s="17"/>
      <c r="X79" s="17"/>
      <c r="Y79" s="17"/>
      <c r="Z79" s="17"/>
      <c r="AA79" s="17"/>
      <c r="AB79" s="17"/>
      <c r="AC79" s="17">
        <v>367000</v>
      </c>
      <c r="AD79" s="17">
        <v>1010000</v>
      </c>
      <c r="AE79" s="17">
        <v>331000</v>
      </c>
      <c r="AF79" s="17"/>
      <c r="AG79" s="17"/>
      <c r="AH79" s="17">
        <v>32607000</v>
      </c>
      <c r="AI79" s="17">
        <v>23057000</v>
      </c>
      <c r="AJ79" s="17">
        <v>35131000</v>
      </c>
      <c r="AK79" s="17"/>
      <c r="AL79" s="17"/>
      <c r="AM79" s="17">
        <v>40576000</v>
      </c>
      <c r="AN79" s="17">
        <v>29759000</v>
      </c>
      <c r="AO79" s="17">
        <v>32789000</v>
      </c>
      <c r="AP79" s="17"/>
      <c r="AQ79" s="17"/>
      <c r="AR79" s="17">
        <v>39475000</v>
      </c>
      <c r="AS79" s="17">
        <v>29114000</v>
      </c>
      <c r="AT79" s="17">
        <v>51535000</v>
      </c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>
        <v>472000</v>
      </c>
      <c r="BH79" s="17">
        <v>805000</v>
      </c>
      <c r="BI79" s="17">
        <v>224000</v>
      </c>
      <c r="BJ79" s="17"/>
      <c r="BK79" s="17"/>
      <c r="BL79" s="17">
        <v>360000</v>
      </c>
      <c r="BM79" s="17">
        <v>402000</v>
      </c>
      <c r="BN79" s="17">
        <v>354000</v>
      </c>
      <c r="BO79" s="17"/>
      <c r="BP79" s="17"/>
      <c r="BQ79" s="17">
        <v>103000</v>
      </c>
      <c r="BR79" s="17">
        <v>98000</v>
      </c>
      <c r="BS79" s="17">
        <v>-19891000</v>
      </c>
      <c r="BT79" s="17"/>
      <c r="BU79" s="17"/>
    </row>
    <row r="80" spans="1:73" x14ac:dyDescent="0.25">
      <c r="A80" s="16">
        <v>2</v>
      </c>
      <c r="B80" s="17">
        <v>31</v>
      </c>
      <c r="C80" s="18" t="s">
        <v>190</v>
      </c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</row>
    <row r="81" spans="1:73" x14ac:dyDescent="0.25">
      <c r="A81" s="16">
        <v>3</v>
      </c>
      <c r="B81" s="17">
        <v>14</v>
      </c>
      <c r="C81" s="18" t="s">
        <v>190</v>
      </c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>
        <v>13129000</v>
      </c>
      <c r="O81" s="17"/>
      <c r="P81" s="17"/>
      <c r="Q81" s="17"/>
      <c r="R81" s="17"/>
      <c r="S81" s="17">
        <v>214000</v>
      </c>
      <c r="T81" s="17"/>
      <c r="U81" s="17"/>
      <c r="V81" s="17"/>
      <c r="W81" s="17"/>
      <c r="X81" s="17">
        <v>10654000</v>
      </c>
      <c r="Y81" s="17"/>
      <c r="Z81" s="17"/>
      <c r="AA81" s="17"/>
      <c r="AB81" s="17"/>
      <c r="AC81" s="17"/>
      <c r="AD81" s="17"/>
      <c r="AE81" s="17"/>
      <c r="AF81" s="17"/>
      <c r="AG81" s="17"/>
      <c r="AH81" s="17">
        <v>2679000</v>
      </c>
      <c r="AI81" s="17"/>
      <c r="AJ81" s="17"/>
      <c r="AK81" s="17"/>
      <c r="AL81" s="17"/>
      <c r="AM81" s="17">
        <v>12939000</v>
      </c>
      <c r="AN81" s="17"/>
      <c r="AO81" s="17"/>
      <c r="AP81" s="17"/>
      <c r="AQ81" s="17"/>
      <c r="AR81" s="17">
        <v>7399000</v>
      </c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>
        <v>4432000</v>
      </c>
      <c r="BR81" s="17"/>
      <c r="BS81" s="17"/>
      <c r="BT81" s="17"/>
      <c r="BU81" s="17"/>
    </row>
    <row r="82" spans="1:73" x14ac:dyDescent="0.25">
      <c r="A82" s="16">
        <v>16</v>
      </c>
      <c r="B82" s="17">
        <v>22</v>
      </c>
      <c r="C82" s="18" t="s">
        <v>190</v>
      </c>
      <c r="D82" s="17">
        <v>152000</v>
      </c>
      <c r="E82" s="17">
        <v>201000</v>
      </c>
      <c r="F82" s="17"/>
      <c r="G82" s="17"/>
      <c r="H82" s="17"/>
      <c r="I82" s="17">
        <v>17768000</v>
      </c>
      <c r="J82" s="17">
        <v>86870000</v>
      </c>
      <c r="K82" s="17"/>
      <c r="L82" s="17"/>
      <c r="M82" s="17"/>
      <c r="N82" s="17">
        <v>16542000</v>
      </c>
      <c r="O82" s="17">
        <v>20531000</v>
      </c>
      <c r="P82" s="17"/>
      <c r="Q82" s="17"/>
      <c r="R82" s="17"/>
      <c r="S82" s="17">
        <v>12879000</v>
      </c>
      <c r="T82" s="17"/>
      <c r="U82" s="17"/>
      <c r="V82" s="17"/>
      <c r="W82" s="17"/>
      <c r="X82" s="17">
        <v>1993000</v>
      </c>
      <c r="Y82" s="17">
        <v>2586000</v>
      </c>
      <c r="Z82" s="17"/>
      <c r="AA82" s="17"/>
      <c r="AB82" s="17"/>
      <c r="AC82" s="17">
        <v>2700000</v>
      </c>
      <c r="AD82" s="17">
        <v>16199000</v>
      </c>
      <c r="AE82" s="17"/>
      <c r="AF82" s="17"/>
      <c r="AG82" s="17"/>
      <c r="AH82" s="17">
        <v>45141000</v>
      </c>
      <c r="AI82" s="17">
        <v>93118000</v>
      </c>
      <c r="AJ82" s="17"/>
      <c r="AK82" s="17"/>
      <c r="AL82" s="17"/>
      <c r="AM82" s="17">
        <v>5397000</v>
      </c>
      <c r="AN82" s="17">
        <v>31348000</v>
      </c>
      <c r="AO82" s="17"/>
      <c r="AP82" s="17"/>
      <c r="AQ82" s="17"/>
      <c r="AR82" s="17">
        <v>5536000</v>
      </c>
      <c r="AS82" s="17">
        <v>29384000</v>
      </c>
      <c r="AT82" s="17"/>
      <c r="AU82" s="17"/>
      <c r="AV82" s="17"/>
      <c r="AW82" s="17"/>
      <c r="AX82" s="17"/>
      <c r="AY82" s="17"/>
      <c r="AZ82" s="17"/>
      <c r="BA82" s="17"/>
      <c r="BB82" s="17">
        <v>3018000</v>
      </c>
      <c r="BC82" s="17"/>
      <c r="BD82" s="17"/>
      <c r="BE82" s="17"/>
      <c r="BF82" s="17"/>
      <c r="BG82" s="17">
        <v>8643000</v>
      </c>
      <c r="BH82" s="17"/>
      <c r="BI82" s="17"/>
      <c r="BJ82" s="17"/>
      <c r="BK82" s="17"/>
      <c r="BL82" s="17">
        <v>5051000</v>
      </c>
      <c r="BM82" s="17">
        <v>918000</v>
      </c>
      <c r="BN82" s="17"/>
      <c r="BO82" s="17"/>
      <c r="BP82" s="17"/>
      <c r="BQ82" s="17">
        <v>345000</v>
      </c>
      <c r="BR82" s="17">
        <v>-759000</v>
      </c>
      <c r="BS82" s="17"/>
      <c r="BT82" s="17"/>
      <c r="BU82" s="17"/>
    </row>
    <row r="83" spans="1:73" x14ac:dyDescent="0.25">
      <c r="A83" s="16">
        <v>27</v>
      </c>
      <c r="B83" s="17">
        <v>9</v>
      </c>
      <c r="C83" s="18" t="s">
        <v>190</v>
      </c>
      <c r="D83" s="17">
        <v>3628000</v>
      </c>
      <c r="E83" s="17">
        <v>2267000</v>
      </c>
      <c r="F83" s="17">
        <v>907000</v>
      </c>
      <c r="G83" s="17"/>
      <c r="H83" s="17"/>
      <c r="I83" s="17">
        <v>2342000</v>
      </c>
      <c r="J83" s="17">
        <v>5000</v>
      </c>
      <c r="K83" s="17"/>
      <c r="L83" s="17"/>
      <c r="M83" s="17"/>
      <c r="N83" s="17">
        <v>2535000</v>
      </c>
      <c r="O83" s="17">
        <v>3869000</v>
      </c>
      <c r="P83" s="17">
        <v>3142000</v>
      </c>
      <c r="Q83" s="17"/>
      <c r="R83" s="17"/>
      <c r="S83" s="17"/>
      <c r="T83" s="17"/>
      <c r="U83" s="17"/>
      <c r="V83" s="17"/>
      <c r="W83" s="17"/>
      <c r="X83" s="17">
        <v>-3837000</v>
      </c>
      <c r="Y83" s="17">
        <v>-5321000</v>
      </c>
      <c r="Z83" s="17">
        <v>-7417000</v>
      </c>
      <c r="AA83" s="17"/>
      <c r="AB83" s="17"/>
      <c r="AC83" s="17"/>
      <c r="AD83" s="17"/>
      <c r="AE83" s="17"/>
      <c r="AF83" s="17"/>
      <c r="AG83" s="17"/>
      <c r="AH83" s="17">
        <v>11053000</v>
      </c>
      <c r="AI83" s="17">
        <v>9239000</v>
      </c>
      <c r="AJ83" s="17">
        <v>9237000</v>
      </c>
      <c r="AK83" s="17">
        <v>7671000</v>
      </c>
      <c r="AL83" s="17"/>
      <c r="AM83" s="17">
        <v>1461000</v>
      </c>
      <c r="AN83" s="17">
        <v>2327000</v>
      </c>
      <c r="AO83" s="17"/>
      <c r="AP83" s="17"/>
      <c r="AQ83" s="17"/>
      <c r="AR83" s="17">
        <v>1119000</v>
      </c>
      <c r="AS83" s="17">
        <v>2336000</v>
      </c>
      <c r="AT83" s="17">
        <v>1730000</v>
      </c>
      <c r="AU83" s="17"/>
      <c r="AV83" s="17"/>
      <c r="AW83" s="17">
        <v>2000</v>
      </c>
      <c r="AX83" s="17"/>
      <c r="AY83" s="17"/>
      <c r="AZ83" s="17"/>
      <c r="BA83" s="17"/>
      <c r="BB83" s="17">
        <v>2372000</v>
      </c>
      <c r="BC83" s="17">
        <v>1470000</v>
      </c>
      <c r="BD83" s="17"/>
      <c r="BE83" s="17"/>
      <c r="BF83" s="17"/>
      <c r="BG83" s="17">
        <v>2549000</v>
      </c>
      <c r="BH83" s="17"/>
      <c r="BI83" s="17"/>
      <c r="BJ83" s="17"/>
      <c r="BK83" s="17"/>
      <c r="BL83" s="17">
        <v>922000</v>
      </c>
      <c r="BM83" s="17"/>
      <c r="BN83" s="17">
        <v>366000</v>
      </c>
      <c r="BO83" s="17">
        <v>264000</v>
      </c>
      <c r="BP83" s="17"/>
      <c r="BQ83" s="17">
        <v>-423000</v>
      </c>
      <c r="BR83" s="17">
        <v>-1484000</v>
      </c>
      <c r="BS83" s="17">
        <v>-2096000</v>
      </c>
      <c r="BT83" s="17">
        <v>-264000</v>
      </c>
      <c r="BU83" s="17"/>
    </row>
    <row r="84" spans="1:73" x14ac:dyDescent="0.25">
      <c r="A84" s="16">
        <v>41</v>
      </c>
      <c r="B84" s="17">
        <v>29</v>
      </c>
      <c r="C84" s="18" t="s">
        <v>190</v>
      </c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>
        <v>6399000</v>
      </c>
      <c r="O84" s="17">
        <v>6239000</v>
      </c>
      <c r="P84" s="17">
        <v>6263000</v>
      </c>
      <c r="Q84" s="17">
        <v>6064000</v>
      </c>
      <c r="R84" s="17">
        <v>6028000</v>
      </c>
      <c r="S84" s="17">
        <v>10000</v>
      </c>
      <c r="T84" s="17">
        <v>9000</v>
      </c>
      <c r="U84" s="17">
        <v>4000</v>
      </c>
      <c r="V84" s="17">
        <v>5000</v>
      </c>
      <c r="W84" s="17"/>
      <c r="X84" s="17"/>
      <c r="Y84" s="17"/>
      <c r="Z84" s="17"/>
      <c r="AA84" s="17"/>
      <c r="AB84" s="17">
        <v>-19060000</v>
      </c>
      <c r="AC84" s="17"/>
      <c r="AD84" s="17"/>
      <c r="AE84" s="17"/>
      <c r="AF84" s="17"/>
      <c r="AG84" s="17"/>
      <c r="AH84" s="17">
        <v>74000</v>
      </c>
      <c r="AI84" s="17">
        <v>104000</v>
      </c>
      <c r="AJ84" s="17">
        <v>374000</v>
      </c>
      <c r="AK84" s="17">
        <v>358000</v>
      </c>
      <c r="AL84" s="17">
        <v>25088000</v>
      </c>
      <c r="AM84" s="17"/>
      <c r="AN84" s="17">
        <v>600000</v>
      </c>
      <c r="AO84" s="17">
        <v>600000</v>
      </c>
      <c r="AP84" s="17">
        <v>622000</v>
      </c>
      <c r="AQ84" s="17"/>
      <c r="AR84" s="17">
        <v>681000</v>
      </c>
      <c r="AS84" s="17">
        <v>694000</v>
      </c>
      <c r="AT84" s="17">
        <v>812000</v>
      </c>
      <c r="AU84" s="17">
        <v>750000</v>
      </c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>
        <v>987000</v>
      </c>
      <c r="BG84" s="17">
        <v>4000</v>
      </c>
      <c r="BH84" s="17"/>
      <c r="BI84" s="17"/>
      <c r="BJ84" s="17"/>
      <c r="BK84" s="17">
        <v>805000</v>
      </c>
      <c r="BL84" s="17">
        <v>321000</v>
      </c>
      <c r="BM84" s="17">
        <v>97000</v>
      </c>
      <c r="BN84" s="17">
        <v>33000</v>
      </c>
      <c r="BO84" s="17">
        <v>49000</v>
      </c>
      <c r="BP84" s="17"/>
      <c r="BQ84" s="17">
        <v>-1002000</v>
      </c>
      <c r="BR84" s="17">
        <v>-191000</v>
      </c>
      <c r="BS84" s="17">
        <v>-251000</v>
      </c>
      <c r="BT84" s="17">
        <v>-183000</v>
      </c>
      <c r="BU84" s="17">
        <v>-182000</v>
      </c>
    </row>
    <row r="85" spans="1:73" x14ac:dyDescent="0.25">
      <c r="A85" s="16">
        <v>49</v>
      </c>
      <c r="B85" s="17">
        <v>12</v>
      </c>
      <c r="C85" s="18" t="s">
        <v>190</v>
      </c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</row>
    <row r="86" spans="1:73" x14ac:dyDescent="0.25">
      <c r="A86" s="16">
        <v>60</v>
      </c>
      <c r="B86" s="17">
        <v>8</v>
      </c>
      <c r="C86" s="18" t="s">
        <v>190</v>
      </c>
      <c r="D86" s="17"/>
      <c r="E86" s="17">
        <v>513000</v>
      </c>
      <c r="F86" s="17">
        <v>426000</v>
      </c>
      <c r="G86" s="17">
        <v>1514000</v>
      </c>
      <c r="H86" s="17">
        <v>441000</v>
      </c>
      <c r="I86" s="17">
        <v>37000</v>
      </c>
      <c r="J86" s="17"/>
      <c r="K86" s="17">
        <v>19880000</v>
      </c>
      <c r="L86" s="17">
        <v>35544000</v>
      </c>
      <c r="M86" s="17">
        <v>1000</v>
      </c>
      <c r="N86" s="17">
        <v>1104000</v>
      </c>
      <c r="O86" s="17">
        <v>9854000</v>
      </c>
      <c r="P86" s="17">
        <v>5703000</v>
      </c>
      <c r="Q86" s="17">
        <v>9897000</v>
      </c>
      <c r="R86" s="17">
        <v>804000</v>
      </c>
      <c r="S86" s="17">
        <v>123000</v>
      </c>
      <c r="T86" s="17">
        <v>726000</v>
      </c>
      <c r="U86" s="17">
        <v>877000</v>
      </c>
      <c r="V86" s="17">
        <v>226000</v>
      </c>
      <c r="W86" s="17">
        <v>1000</v>
      </c>
      <c r="X86" s="17">
        <v>123000</v>
      </c>
      <c r="Y86" s="17"/>
      <c r="Z86" s="17"/>
      <c r="AA86" s="17"/>
      <c r="AB86" s="17"/>
      <c r="AC86" s="17"/>
      <c r="AD86" s="17"/>
      <c r="AE86" s="17"/>
      <c r="AF86" s="17"/>
      <c r="AG86" s="17"/>
      <c r="AH86" s="17">
        <v>333000</v>
      </c>
      <c r="AI86" s="17">
        <v>8951000</v>
      </c>
      <c r="AJ86" s="17">
        <v>16092000</v>
      </c>
      <c r="AK86" s="17">
        <v>19994000</v>
      </c>
      <c r="AL86" s="17">
        <v>15629000</v>
      </c>
      <c r="AM86" s="17">
        <v>581000</v>
      </c>
      <c r="AN86" s="17">
        <v>31542000</v>
      </c>
      <c r="AO86" s="17">
        <v>26051000</v>
      </c>
      <c r="AP86" s="17">
        <v>47837000</v>
      </c>
      <c r="AQ86" s="17">
        <v>25506000</v>
      </c>
      <c r="AR86" s="17">
        <v>319000</v>
      </c>
      <c r="AS86" s="17">
        <v>29861000</v>
      </c>
      <c r="AT86" s="17">
        <v>23759000</v>
      </c>
      <c r="AU86" s="17">
        <v>43265000</v>
      </c>
      <c r="AV86" s="17">
        <v>56970000</v>
      </c>
      <c r="AW86" s="17"/>
      <c r="AX86" s="17"/>
      <c r="AY86" s="17"/>
      <c r="AZ86" s="17"/>
      <c r="BA86" s="17"/>
      <c r="BB86" s="17">
        <v>163000</v>
      </c>
      <c r="BC86" s="17"/>
      <c r="BD86" s="17"/>
      <c r="BE86" s="17"/>
      <c r="BF86" s="17"/>
      <c r="BG86" s="17"/>
      <c r="BH86" s="17">
        <v>25000</v>
      </c>
      <c r="BI86" s="17"/>
      <c r="BJ86" s="17">
        <v>25000</v>
      </c>
      <c r="BK86" s="17"/>
      <c r="BL86" s="17">
        <v>23000</v>
      </c>
      <c r="BM86" s="17">
        <v>305000</v>
      </c>
      <c r="BN86" s="17">
        <v>1105000</v>
      </c>
      <c r="BO86" s="17">
        <v>2454000</v>
      </c>
      <c r="BP86" s="17">
        <v>1078000</v>
      </c>
      <c r="BQ86" s="17">
        <v>61000</v>
      </c>
      <c r="BR86" s="17">
        <v>1150000</v>
      </c>
      <c r="BS86" s="17">
        <v>893000</v>
      </c>
      <c r="BT86" s="17">
        <v>1669000</v>
      </c>
      <c r="BU86" s="17">
        <v>-33458000</v>
      </c>
    </row>
    <row r="87" spans="1:73" x14ac:dyDescent="0.25">
      <c r="A87" s="16">
        <v>61</v>
      </c>
      <c r="B87" s="17">
        <v>17</v>
      </c>
      <c r="C87" s="18" t="s">
        <v>190</v>
      </c>
      <c r="D87" s="17">
        <v>985000</v>
      </c>
      <c r="E87" s="17"/>
      <c r="F87" s="17"/>
      <c r="G87" s="17"/>
      <c r="H87" s="17"/>
      <c r="I87" s="17">
        <v>3026000</v>
      </c>
      <c r="J87" s="17">
        <v>3547000</v>
      </c>
      <c r="K87" s="17">
        <v>2964000</v>
      </c>
      <c r="L87" s="17">
        <v>2964000</v>
      </c>
      <c r="M87" s="17"/>
      <c r="N87" s="17">
        <v>111235000</v>
      </c>
      <c r="O87" s="17">
        <v>111235000</v>
      </c>
      <c r="P87" s="17">
        <v>3252000</v>
      </c>
      <c r="Q87" s="17">
        <v>3252000</v>
      </c>
      <c r="R87" s="17">
        <v>3064000</v>
      </c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>
        <v>10491000</v>
      </c>
      <c r="AD87" s="17">
        <v>10491000</v>
      </c>
      <c r="AE87" s="17"/>
      <c r="AF87" s="17"/>
      <c r="AG87" s="17"/>
      <c r="AH87" s="17">
        <v>142017000</v>
      </c>
      <c r="AI87" s="17">
        <v>142017000</v>
      </c>
      <c r="AJ87" s="17">
        <v>85481000</v>
      </c>
      <c r="AK87" s="17">
        <v>85481000</v>
      </c>
      <c r="AL87" s="17">
        <v>100071000</v>
      </c>
      <c r="AM87" s="17">
        <v>74616000</v>
      </c>
      <c r="AN87" s="17">
        <v>3528000</v>
      </c>
      <c r="AO87" s="17">
        <v>583000</v>
      </c>
      <c r="AP87" s="17"/>
      <c r="AQ87" s="17">
        <v>92000</v>
      </c>
      <c r="AR87" s="17">
        <v>82170000</v>
      </c>
      <c r="AS87" s="17">
        <v>3987000</v>
      </c>
      <c r="AT87" s="17">
        <v>38722000</v>
      </c>
      <c r="AU87" s="17"/>
      <c r="AV87" s="17">
        <v>17834000</v>
      </c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>
        <v>22000</v>
      </c>
      <c r="BH87" s="17"/>
      <c r="BI87" s="17"/>
      <c r="BJ87" s="17"/>
      <c r="BK87" s="17"/>
      <c r="BL87" s="17">
        <v>25186000</v>
      </c>
      <c r="BM87" s="17">
        <v>5000</v>
      </c>
      <c r="BN87" s="17"/>
      <c r="BO87" s="17"/>
      <c r="BP87" s="17"/>
      <c r="BQ87" s="17">
        <v>-32718000</v>
      </c>
      <c r="BR87" s="17">
        <v>-464000</v>
      </c>
      <c r="BS87" s="17">
        <v>-38139000</v>
      </c>
      <c r="BT87" s="17"/>
      <c r="BU87" s="17">
        <v>-17742000</v>
      </c>
    </row>
    <row r="88" spans="1:73" x14ac:dyDescent="0.25">
      <c r="A88" s="16">
        <v>63</v>
      </c>
      <c r="B88" s="17">
        <v>11</v>
      </c>
      <c r="C88" s="18" t="s">
        <v>190</v>
      </c>
      <c r="D88" s="17">
        <v>9494000</v>
      </c>
      <c r="E88" s="17">
        <v>9771000</v>
      </c>
      <c r="F88" s="17">
        <v>2970000</v>
      </c>
      <c r="G88" s="17">
        <v>2212000</v>
      </c>
      <c r="H88" s="17">
        <v>1659000</v>
      </c>
      <c r="I88" s="17">
        <v>54068000</v>
      </c>
      <c r="J88" s="17">
        <v>39070000</v>
      </c>
      <c r="K88" s="17">
        <v>24697000</v>
      </c>
      <c r="L88" s="17">
        <v>48933000</v>
      </c>
      <c r="M88" s="17">
        <v>39894000</v>
      </c>
      <c r="N88" s="17">
        <v>53492000</v>
      </c>
      <c r="O88" s="17">
        <v>53896000</v>
      </c>
      <c r="P88" s="17">
        <v>75901000</v>
      </c>
      <c r="Q88" s="17">
        <v>67410000</v>
      </c>
      <c r="R88" s="17">
        <v>113451000</v>
      </c>
      <c r="S88" s="17">
        <v>2745000</v>
      </c>
      <c r="T88" s="17">
        <v>95000</v>
      </c>
      <c r="U88" s="17">
        <v>1474000</v>
      </c>
      <c r="V88" s="17">
        <v>3588000</v>
      </c>
      <c r="W88" s="17">
        <v>882000</v>
      </c>
      <c r="X88" s="17">
        <v>57223000</v>
      </c>
      <c r="Y88" s="17">
        <v>69214000</v>
      </c>
      <c r="Z88" s="17">
        <v>61451000</v>
      </c>
      <c r="AA88" s="17">
        <v>1491000</v>
      </c>
      <c r="AB88" s="17">
        <v>-41383000</v>
      </c>
      <c r="AC88" s="17"/>
      <c r="AD88" s="17"/>
      <c r="AE88" s="17"/>
      <c r="AF88" s="17"/>
      <c r="AG88" s="17"/>
      <c r="AH88" s="17">
        <v>47597000</v>
      </c>
      <c r="AI88" s="17">
        <v>32684000</v>
      </c>
      <c r="AJ88" s="17">
        <v>46730000</v>
      </c>
      <c r="AK88" s="17">
        <v>108274000</v>
      </c>
      <c r="AL88" s="17">
        <v>184316000</v>
      </c>
      <c r="AM88" s="17">
        <v>98500000</v>
      </c>
      <c r="AN88" s="17">
        <v>221469000</v>
      </c>
      <c r="AO88" s="17">
        <v>325832000</v>
      </c>
      <c r="AP88" s="17">
        <v>214938000</v>
      </c>
      <c r="AQ88" s="17">
        <v>62166000</v>
      </c>
      <c r="AR88" s="17">
        <v>87035000</v>
      </c>
      <c r="AS88" s="17">
        <v>204523000</v>
      </c>
      <c r="AT88" s="17">
        <v>271619000</v>
      </c>
      <c r="AU88" s="17">
        <v>214386000</v>
      </c>
      <c r="AV88" s="17">
        <v>60945000</v>
      </c>
      <c r="AW88" s="17"/>
      <c r="AX88" s="17"/>
      <c r="AY88" s="17"/>
      <c r="AZ88" s="17"/>
      <c r="BA88" s="17"/>
      <c r="BB88" s="17">
        <v>1084000</v>
      </c>
      <c r="BC88" s="17">
        <v>3200000</v>
      </c>
      <c r="BD88" s="17">
        <v>2487000</v>
      </c>
      <c r="BE88" s="17">
        <v>2154000</v>
      </c>
      <c r="BF88" s="17">
        <v>1211000</v>
      </c>
      <c r="BG88" s="17">
        <v>2898000</v>
      </c>
      <c r="BH88" s="17">
        <v>4130000</v>
      </c>
      <c r="BI88" s="17">
        <v>4222000</v>
      </c>
      <c r="BJ88" s="17">
        <v>1700000</v>
      </c>
      <c r="BK88" s="17"/>
      <c r="BL88" s="17">
        <v>588000</v>
      </c>
      <c r="BM88" s="17">
        <v>3489000</v>
      </c>
      <c r="BN88" s="17">
        <v>4992000</v>
      </c>
      <c r="BO88" s="17"/>
      <c r="BP88" s="17"/>
      <c r="BQ88" s="17">
        <v>11230000</v>
      </c>
      <c r="BR88" s="17">
        <v>12399000</v>
      </c>
      <c r="BS88" s="17">
        <v>43771000</v>
      </c>
      <c r="BT88" s="17">
        <v>78000</v>
      </c>
      <c r="BU88" s="17">
        <v>10000</v>
      </c>
    </row>
    <row r="89" spans="1:73" x14ac:dyDescent="0.25">
      <c r="A89" s="16">
        <v>75</v>
      </c>
      <c r="B89" s="17">
        <v>22</v>
      </c>
      <c r="C89" s="18" t="s">
        <v>190</v>
      </c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>
        <v>15000</v>
      </c>
      <c r="O89" s="17">
        <v>37000</v>
      </c>
      <c r="P89" s="17"/>
      <c r="Q89" s="17"/>
      <c r="R89" s="17"/>
      <c r="S89" s="17">
        <v>1207000</v>
      </c>
      <c r="T89" s="17">
        <v>1038000</v>
      </c>
      <c r="U89" s="17">
        <v>931000</v>
      </c>
      <c r="V89" s="17">
        <v>764000</v>
      </c>
      <c r="W89" s="17">
        <v>676000</v>
      </c>
      <c r="X89" s="17">
        <v>-20150000</v>
      </c>
      <c r="Y89" s="17">
        <v>-20332000</v>
      </c>
      <c r="Z89" s="17">
        <v>-20476000</v>
      </c>
      <c r="AA89" s="17">
        <v>-20716000</v>
      </c>
      <c r="AB89" s="17">
        <v>-23923000</v>
      </c>
      <c r="AC89" s="17">
        <v>3129000</v>
      </c>
      <c r="AD89" s="17">
        <v>23860000</v>
      </c>
      <c r="AE89" s="17">
        <v>23860000</v>
      </c>
      <c r="AF89" s="17">
        <v>23860000</v>
      </c>
      <c r="AG89" s="17">
        <v>23860000</v>
      </c>
      <c r="AH89" s="17">
        <v>591000</v>
      </c>
      <c r="AI89" s="17">
        <v>624000</v>
      </c>
      <c r="AJ89" s="17">
        <v>652000</v>
      </c>
      <c r="AK89" s="17">
        <v>719000</v>
      </c>
      <c r="AL89" s="17">
        <v>729000</v>
      </c>
      <c r="AM89" s="17">
        <v>4850000</v>
      </c>
      <c r="AN89" s="17"/>
      <c r="AO89" s="17"/>
      <c r="AP89" s="17"/>
      <c r="AQ89" s="17"/>
      <c r="AR89" s="17">
        <v>4530000</v>
      </c>
      <c r="AS89" s="17"/>
      <c r="AT89" s="17"/>
      <c r="AU89" s="17"/>
      <c r="AV89" s="17"/>
      <c r="AW89" s="17">
        <v>173000</v>
      </c>
      <c r="AX89" s="17">
        <v>25000</v>
      </c>
      <c r="AY89" s="17"/>
      <c r="AZ89" s="17"/>
      <c r="BA89" s="17"/>
      <c r="BB89" s="17">
        <v>493000</v>
      </c>
      <c r="BC89" s="17">
        <v>167000</v>
      </c>
      <c r="BD89" s="17">
        <v>120000</v>
      </c>
      <c r="BE89" s="17">
        <v>170000</v>
      </c>
      <c r="BF89" s="17">
        <v>129000</v>
      </c>
      <c r="BG89" s="17">
        <v>27000</v>
      </c>
      <c r="BH89" s="17"/>
      <c r="BI89" s="17"/>
      <c r="BJ89" s="17">
        <v>67000</v>
      </c>
      <c r="BK89" s="17">
        <v>42000</v>
      </c>
      <c r="BL89" s="17">
        <v>31000</v>
      </c>
      <c r="BM89" s="17">
        <v>16000</v>
      </c>
      <c r="BN89" s="17">
        <v>24000</v>
      </c>
      <c r="BO89" s="17">
        <v>137000</v>
      </c>
      <c r="BP89" s="17">
        <v>1000</v>
      </c>
      <c r="BQ89" s="17">
        <v>-288000</v>
      </c>
      <c r="BR89" s="17">
        <v>-182000</v>
      </c>
      <c r="BS89" s="17">
        <v>-144000</v>
      </c>
      <c r="BT89" s="17">
        <v>-240000</v>
      </c>
      <c r="BU89" s="17">
        <v>-88000</v>
      </c>
    </row>
    <row r="90" spans="1:73" x14ac:dyDescent="0.25">
      <c r="A90" s="16">
        <v>102</v>
      </c>
      <c r="B90" s="17">
        <v>12</v>
      </c>
      <c r="C90" s="18" t="s">
        <v>190</v>
      </c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>
        <v>17776000</v>
      </c>
      <c r="P90" s="17">
        <v>12269000</v>
      </c>
      <c r="Q90" s="17">
        <v>11128000</v>
      </c>
      <c r="R90" s="17">
        <v>10692000</v>
      </c>
      <c r="S90" s="17"/>
      <c r="T90" s="17">
        <v>451000</v>
      </c>
      <c r="U90" s="17">
        <v>944000</v>
      </c>
      <c r="V90" s="17">
        <v>1080000</v>
      </c>
      <c r="W90" s="17">
        <v>531000</v>
      </c>
      <c r="X90" s="17"/>
      <c r="Y90" s="17"/>
      <c r="Z90" s="17">
        <v>-5912000</v>
      </c>
      <c r="AA90" s="17">
        <v>-6917000</v>
      </c>
      <c r="AB90" s="17">
        <v>-7902000</v>
      </c>
      <c r="AC90" s="17"/>
      <c r="AD90" s="17"/>
      <c r="AE90" s="17"/>
      <c r="AF90" s="17"/>
      <c r="AG90" s="17"/>
      <c r="AH90" s="17"/>
      <c r="AI90" s="17">
        <v>17924000</v>
      </c>
      <c r="AJ90" s="17">
        <v>18822000</v>
      </c>
      <c r="AK90" s="17">
        <v>18822000</v>
      </c>
      <c r="AL90" s="17">
        <v>18822000</v>
      </c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>
        <v>389000</v>
      </c>
      <c r="BO90" s="17">
        <v>595000</v>
      </c>
      <c r="BP90" s="17">
        <v>444000</v>
      </c>
      <c r="BQ90" s="17"/>
      <c r="BR90" s="17"/>
      <c r="BS90" s="17">
        <v>-389000</v>
      </c>
      <c r="BT90" s="17">
        <v>-595000</v>
      </c>
      <c r="BU90" s="17">
        <v>-444000</v>
      </c>
    </row>
    <row r="91" spans="1:73" x14ac:dyDescent="0.25">
      <c r="A91" s="16">
        <v>104</v>
      </c>
      <c r="B91" s="17">
        <v>14</v>
      </c>
      <c r="C91" s="18" t="s">
        <v>190</v>
      </c>
      <c r="D91" s="17">
        <v>1133000</v>
      </c>
      <c r="E91" s="17">
        <v>4486000</v>
      </c>
      <c r="F91" s="17">
        <v>3754000</v>
      </c>
      <c r="G91" s="17"/>
      <c r="H91" s="17">
        <v>2068000</v>
      </c>
      <c r="I91" s="17">
        <v>3799000</v>
      </c>
      <c r="J91" s="17">
        <v>124000</v>
      </c>
      <c r="K91" s="17"/>
      <c r="L91" s="17"/>
      <c r="M91" s="17"/>
      <c r="N91" s="17">
        <v>39273000</v>
      </c>
      <c r="O91" s="17">
        <v>47008000</v>
      </c>
      <c r="P91" s="17">
        <v>47008000</v>
      </c>
      <c r="Q91" s="17"/>
      <c r="R91" s="17">
        <v>3992000</v>
      </c>
      <c r="S91" s="17">
        <v>2304000</v>
      </c>
      <c r="T91" s="17"/>
      <c r="U91" s="17"/>
      <c r="V91" s="17"/>
      <c r="W91" s="17"/>
      <c r="X91" s="17">
        <v>17331000</v>
      </c>
      <c r="Y91" s="17">
        <v>19602000</v>
      </c>
      <c r="Z91" s="17">
        <v>18002000</v>
      </c>
      <c r="AA91" s="17"/>
      <c r="AB91" s="17">
        <v>-76068000</v>
      </c>
      <c r="AC91" s="17">
        <v>17217000</v>
      </c>
      <c r="AD91" s="17">
        <v>3290000</v>
      </c>
      <c r="AE91" s="17">
        <v>4704000</v>
      </c>
      <c r="AF91" s="17"/>
      <c r="AG91" s="17"/>
      <c r="AH91" s="17">
        <v>10041000</v>
      </c>
      <c r="AI91" s="17">
        <v>7875000</v>
      </c>
      <c r="AJ91" s="17">
        <v>7205000</v>
      </c>
      <c r="AK91" s="17"/>
      <c r="AL91" s="17">
        <v>79128000</v>
      </c>
      <c r="AM91" s="17">
        <v>26099000</v>
      </c>
      <c r="AN91" s="17">
        <v>3871000</v>
      </c>
      <c r="AO91" s="17"/>
      <c r="AP91" s="17"/>
      <c r="AQ91" s="17"/>
      <c r="AR91" s="17">
        <v>19343000</v>
      </c>
      <c r="AS91" s="17">
        <v>890000</v>
      </c>
      <c r="AT91" s="17"/>
      <c r="AU91" s="17"/>
      <c r="AV91" s="17"/>
      <c r="AW91" s="17"/>
      <c r="AX91" s="17"/>
      <c r="AY91" s="17">
        <v>1481000</v>
      </c>
      <c r="AZ91" s="17"/>
      <c r="BA91" s="17"/>
      <c r="BB91" s="17">
        <v>751000</v>
      </c>
      <c r="BC91" s="17">
        <v>710000</v>
      </c>
      <c r="BD91" s="17"/>
      <c r="BE91" s="17"/>
      <c r="BF91" s="17"/>
      <c r="BG91" s="17">
        <v>31775000</v>
      </c>
      <c r="BH91" s="17"/>
      <c r="BI91" s="17"/>
      <c r="BJ91" s="17"/>
      <c r="BK91" s="17"/>
      <c r="BL91" s="17">
        <v>29403000</v>
      </c>
      <c r="BM91" s="17"/>
      <c r="BN91" s="17">
        <v>118000</v>
      </c>
      <c r="BO91" s="17"/>
      <c r="BP91" s="17"/>
      <c r="BQ91" s="17">
        <v>8377000</v>
      </c>
      <c r="BR91" s="17">
        <v>2271000</v>
      </c>
      <c r="BS91" s="17">
        <v>-1599000</v>
      </c>
      <c r="BT91" s="17"/>
      <c r="BU91" s="17"/>
    </row>
    <row r="92" spans="1:73" x14ac:dyDescent="0.25">
      <c r="A92" s="16">
        <v>106</v>
      </c>
      <c r="B92" s="17">
        <v>19</v>
      </c>
      <c r="C92" s="18" t="s">
        <v>190</v>
      </c>
      <c r="D92" s="17">
        <v>22818000</v>
      </c>
      <c r="E92" s="17">
        <v>54597000</v>
      </c>
      <c r="F92" s="17">
        <v>57804000</v>
      </c>
      <c r="G92" s="17"/>
      <c r="H92" s="17"/>
      <c r="I92" s="17">
        <v>58122000</v>
      </c>
      <c r="J92" s="17">
        <v>181340000</v>
      </c>
      <c r="K92" s="17">
        <v>155940000</v>
      </c>
      <c r="L92" s="17"/>
      <c r="M92" s="17"/>
      <c r="N92" s="17">
        <v>59459000</v>
      </c>
      <c r="O92" s="17">
        <v>98936000</v>
      </c>
      <c r="P92" s="17">
        <v>71288000</v>
      </c>
      <c r="Q92" s="17"/>
      <c r="R92" s="17"/>
      <c r="S92" s="17">
        <v>4476000</v>
      </c>
      <c r="T92" s="17">
        <v>1261000</v>
      </c>
      <c r="U92" s="17"/>
      <c r="V92" s="17"/>
      <c r="W92" s="17"/>
      <c r="X92" s="17">
        <v>28486000</v>
      </c>
      <c r="Y92" s="17">
        <v>27728000</v>
      </c>
      <c r="Z92" s="17">
        <v>33119000</v>
      </c>
      <c r="AA92" s="17"/>
      <c r="AB92" s="17"/>
      <c r="AC92" s="17"/>
      <c r="AD92" s="17">
        <v>3085000</v>
      </c>
      <c r="AE92" s="17"/>
      <c r="AF92" s="17"/>
      <c r="AG92" s="17"/>
      <c r="AH92" s="17">
        <v>26314000</v>
      </c>
      <c r="AI92" s="17">
        <v>168650000</v>
      </c>
      <c r="AJ92" s="17">
        <v>127938000</v>
      </c>
      <c r="AK92" s="17"/>
      <c r="AL92" s="17"/>
      <c r="AM92" s="17">
        <v>264237000</v>
      </c>
      <c r="AN92" s="17">
        <v>211842000</v>
      </c>
      <c r="AO92" s="17">
        <v>271311000</v>
      </c>
      <c r="AP92" s="17"/>
      <c r="AQ92" s="17"/>
      <c r="AR92" s="17">
        <v>255129000</v>
      </c>
      <c r="AS92" s="17">
        <v>190456000</v>
      </c>
      <c r="AT92" s="17">
        <v>257743000</v>
      </c>
      <c r="AU92" s="17"/>
      <c r="AV92" s="17"/>
      <c r="AW92" s="17"/>
      <c r="AX92" s="17"/>
      <c r="AY92" s="17">
        <v>1067000</v>
      </c>
      <c r="AZ92" s="17"/>
      <c r="BA92" s="17"/>
      <c r="BB92" s="17"/>
      <c r="BC92" s="17"/>
      <c r="BD92" s="17">
        <v>5763000</v>
      </c>
      <c r="BE92" s="17"/>
      <c r="BF92" s="17"/>
      <c r="BG92" s="17"/>
      <c r="BH92" s="17"/>
      <c r="BI92" s="17"/>
      <c r="BJ92" s="17"/>
      <c r="BK92" s="17"/>
      <c r="BL92" s="17"/>
      <c r="BM92" s="17">
        <v>16084000</v>
      </c>
      <c r="BN92" s="17"/>
      <c r="BO92" s="17"/>
      <c r="BP92" s="17"/>
      <c r="BQ92" s="17">
        <v>7286000</v>
      </c>
      <c r="BR92" s="17">
        <v>4242000</v>
      </c>
      <c r="BS92" s="17">
        <v>5391000</v>
      </c>
      <c r="BT92" s="17"/>
      <c r="BU92" s="17"/>
    </row>
    <row r="93" spans="1:73" x14ac:dyDescent="0.25">
      <c r="A93" s="16">
        <v>127</v>
      </c>
      <c r="B93" s="17">
        <v>9</v>
      </c>
      <c r="C93" s="18" t="s">
        <v>190</v>
      </c>
      <c r="D93" s="17">
        <v>4531000</v>
      </c>
      <c r="E93" s="17">
        <v>2528000</v>
      </c>
      <c r="F93" s="17">
        <v>1800000</v>
      </c>
      <c r="G93" s="17">
        <v>1573000</v>
      </c>
      <c r="H93" s="17"/>
      <c r="I93" s="17">
        <v>200060000</v>
      </c>
      <c r="J93" s="17">
        <v>145651000</v>
      </c>
      <c r="K93" s="17">
        <v>139493000</v>
      </c>
      <c r="L93" s="17">
        <v>140758000</v>
      </c>
      <c r="M93" s="17"/>
      <c r="N93" s="17">
        <v>1586433000</v>
      </c>
      <c r="O93" s="17">
        <v>1239967000</v>
      </c>
      <c r="P93" s="17">
        <v>860852000</v>
      </c>
      <c r="Q93" s="17">
        <v>855375000</v>
      </c>
      <c r="R93" s="17"/>
      <c r="S93" s="17">
        <v>59871000</v>
      </c>
      <c r="T93" s="17">
        <v>19264000</v>
      </c>
      <c r="U93" s="17">
        <v>2901000</v>
      </c>
      <c r="V93" s="17">
        <v>3084000</v>
      </c>
      <c r="W93" s="17"/>
      <c r="X93" s="17">
        <v>-40440000</v>
      </c>
      <c r="Y93" s="17">
        <v>-107058000</v>
      </c>
      <c r="Z93" s="17">
        <v>-482398000</v>
      </c>
      <c r="AA93" s="17">
        <v>-491937000</v>
      </c>
      <c r="AB93" s="17"/>
      <c r="AC93" s="17">
        <v>37131000</v>
      </c>
      <c r="AD93" s="17">
        <v>39011000</v>
      </c>
      <c r="AE93" s="17">
        <v>39847000</v>
      </c>
      <c r="AF93" s="17">
        <v>41096000</v>
      </c>
      <c r="AG93" s="17"/>
      <c r="AH93" s="17">
        <v>1891175000</v>
      </c>
      <c r="AI93" s="17">
        <v>1513531000</v>
      </c>
      <c r="AJ93" s="17">
        <v>1483105000</v>
      </c>
      <c r="AK93" s="17">
        <v>1487191000</v>
      </c>
      <c r="AL93" s="17"/>
      <c r="AM93" s="17">
        <v>331119000</v>
      </c>
      <c r="AN93" s="17">
        <v>506271000</v>
      </c>
      <c r="AO93" s="17">
        <v>486713000</v>
      </c>
      <c r="AP93" s="17">
        <v>2664000</v>
      </c>
      <c r="AQ93" s="17"/>
      <c r="AR93" s="17">
        <v>298564000</v>
      </c>
      <c r="AS93" s="17">
        <v>512586000</v>
      </c>
      <c r="AT93" s="17">
        <v>467907000</v>
      </c>
      <c r="AU93" s="17">
        <v>1235000</v>
      </c>
      <c r="AV93" s="17"/>
      <c r="AW93" s="17"/>
      <c r="AX93" s="17"/>
      <c r="AY93" s="17"/>
      <c r="AZ93" s="17"/>
      <c r="BA93" s="17"/>
      <c r="BB93" s="17">
        <v>34343000</v>
      </c>
      <c r="BC93" s="17">
        <v>41161000</v>
      </c>
      <c r="BD93" s="17">
        <v>23512000</v>
      </c>
      <c r="BE93" s="17">
        <v>9163000</v>
      </c>
      <c r="BF93" s="17"/>
      <c r="BG93" s="17">
        <v>4415000</v>
      </c>
      <c r="BH93" s="17">
        <v>3378000</v>
      </c>
      <c r="BI93" s="17">
        <v>10844000</v>
      </c>
      <c r="BJ93" s="17">
        <v>1085000</v>
      </c>
      <c r="BK93" s="17"/>
      <c r="BL93" s="17">
        <v>9411000</v>
      </c>
      <c r="BM93" s="17">
        <v>29702000</v>
      </c>
      <c r="BN93" s="17">
        <v>22052000</v>
      </c>
      <c r="BO93" s="17">
        <v>4447000</v>
      </c>
      <c r="BP93" s="17"/>
      <c r="BQ93" s="17">
        <v>-6965000</v>
      </c>
      <c r="BR93" s="17">
        <v>-60612000</v>
      </c>
      <c r="BS93" s="17">
        <v>-14221000</v>
      </c>
      <c r="BT93" s="17">
        <v>-9538000</v>
      </c>
      <c r="BU93" s="17"/>
    </row>
    <row r="94" spans="1:73" x14ac:dyDescent="0.25">
      <c r="A94" s="16">
        <v>134</v>
      </c>
      <c r="B94" s="17">
        <v>17</v>
      </c>
      <c r="C94" s="18" t="s">
        <v>190</v>
      </c>
      <c r="D94" s="17">
        <v>1117000</v>
      </c>
      <c r="E94" s="17"/>
      <c r="F94" s="17"/>
      <c r="G94" s="17"/>
      <c r="H94" s="17"/>
      <c r="I94" s="17"/>
      <c r="J94" s="17"/>
      <c r="K94" s="17"/>
      <c r="L94" s="17"/>
      <c r="M94" s="17"/>
      <c r="N94" s="17">
        <v>15372000</v>
      </c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>
        <v>23552000</v>
      </c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</row>
    <row r="95" spans="1:73" x14ac:dyDescent="0.25">
      <c r="A95" s="16">
        <v>135</v>
      </c>
      <c r="B95" s="17">
        <v>20</v>
      </c>
      <c r="C95" s="18" t="s">
        <v>190</v>
      </c>
      <c r="D95" s="17">
        <v>47367000</v>
      </c>
      <c r="E95" s="17">
        <v>39920000</v>
      </c>
      <c r="F95" s="17">
        <v>31682000</v>
      </c>
      <c r="G95" s="17">
        <v>28631000</v>
      </c>
      <c r="H95" s="17">
        <v>307000</v>
      </c>
      <c r="I95" s="17">
        <v>306373000</v>
      </c>
      <c r="J95" s="17">
        <v>245384000</v>
      </c>
      <c r="K95" s="17">
        <v>134874000</v>
      </c>
      <c r="L95" s="17">
        <v>45313000</v>
      </c>
      <c r="M95" s="17">
        <v>33404000</v>
      </c>
      <c r="N95" s="17">
        <v>425434000</v>
      </c>
      <c r="O95" s="17">
        <v>460768000</v>
      </c>
      <c r="P95" s="17">
        <v>672561000</v>
      </c>
      <c r="Q95" s="17">
        <v>720899000</v>
      </c>
      <c r="R95" s="17">
        <v>657093000</v>
      </c>
      <c r="S95" s="17">
        <v>404070000</v>
      </c>
      <c r="T95" s="17">
        <v>78772000</v>
      </c>
      <c r="U95" s="17">
        <v>129246000</v>
      </c>
      <c r="V95" s="17">
        <v>17296000</v>
      </c>
      <c r="W95" s="17">
        <v>898000</v>
      </c>
      <c r="X95" s="17">
        <v>8796000</v>
      </c>
      <c r="Y95" s="17">
        <v>12755000</v>
      </c>
      <c r="Z95" s="17">
        <v>14712000</v>
      </c>
      <c r="AA95" s="17">
        <v>24104000</v>
      </c>
      <c r="AB95" s="17">
        <v>-49618000</v>
      </c>
      <c r="AC95" s="17">
        <v>12198000</v>
      </c>
      <c r="AD95" s="17">
        <v>28028000</v>
      </c>
      <c r="AE95" s="17">
        <v>18528000</v>
      </c>
      <c r="AF95" s="17">
        <v>47759000</v>
      </c>
      <c r="AG95" s="17">
        <v>20988000</v>
      </c>
      <c r="AH95" s="17">
        <v>1169822000</v>
      </c>
      <c r="AI95" s="17">
        <v>786236000</v>
      </c>
      <c r="AJ95" s="17">
        <v>940016000</v>
      </c>
      <c r="AK95" s="17">
        <v>712304000</v>
      </c>
      <c r="AL95" s="17">
        <v>734598000</v>
      </c>
      <c r="AM95" s="17">
        <v>452204000</v>
      </c>
      <c r="AN95" s="17">
        <v>990182000</v>
      </c>
      <c r="AO95" s="17">
        <v>719678000</v>
      </c>
      <c r="AP95" s="17">
        <v>1424541000</v>
      </c>
      <c r="AQ95" s="17">
        <v>486692000</v>
      </c>
      <c r="AR95" s="17">
        <v>308668000</v>
      </c>
      <c r="AS95" s="17">
        <v>902629000</v>
      </c>
      <c r="AT95" s="17">
        <v>640363000</v>
      </c>
      <c r="AU95" s="17">
        <v>1223644000</v>
      </c>
      <c r="AV95" s="17">
        <v>447801000</v>
      </c>
      <c r="AW95" s="17"/>
      <c r="AX95" s="17"/>
      <c r="AY95" s="17"/>
      <c r="AZ95" s="17"/>
      <c r="BA95" s="17"/>
      <c r="BB95" s="17">
        <v>96221000</v>
      </c>
      <c r="BC95" s="17">
        <v>85807000</v>
      </c>
      <c r="BD95" s="17">
        <v>75644000</v>
      </c>
      <c r="BE95" s="17">
        <v>77788000</v>
      </c>
      <c r="BF95" s="17">
        <v>46761000</v>
      </c>
      <c r="BG95" s="17">
        <v>43860000</v>
      </c>
      <c r="BH95" s="17">
        <v>75186000</v>
      </c>
      <c r="BI95" s="17">
        <v>50949000</v>
      </c>
      <c r="BJ95" s="17">
        <v>1214000</v>
      </c>
      <c r="BK95" s="17">
        <v>61596000</v>
      </c>
      <c r="BL95" s="17">
        <v>84057000</v>
      </c>
      <c r="BM95" s="17">
        <v>70377000</v>
      </c>
      <c r="BN95" s="17">
        <v>48356000</v>
      </c>
      <c r="BO95" s="17">
        <v>109430000</v>
      </c>
      <c r="BP95" s="17">
        <v>140956000</v>
      </c>
      <c r="BQ95" s="17">
        <v>4246000</v>
      </c>
      <c r="BR95" s="17">
        <v>3959000</v>
      </c>
      <c r="BS95" s="17">
        <v>2029000</v>
      </c>
      <c r="BT95" s="17">
        <v>9392000</v>
      </c>
      <c r="BU95" s="17">
        <v>-73722000</v>
      </c>
    </row>
    <row r="96" spans="1:73" x14ac:dyDescent="0.25">
      <c r="A96" s="16">
        <v>146</v>
      </c>
      <c r="B96" s="17">
        <v>14</v>
      </c>
      <c r="C96" s="18" t="s">
        <v>190</v>
      </c>
      <c r="D96" s="17">
        <v>8189000</v>
      </c>
      <c r="E96" s="17">
        <v>2210000</v>
      </c>
      <c r="F96" s="17">
        <v>2210000</v>
      </c>
      <c r="G96" s="17">
        <v>2210000</v>
      </c>
      <c r="H96" s="17">
        <v>2210000</v>
      </c>
      <c r="I96" s="17"/>
      <c r="J96" s="17"/>
      <c r="K96" s="17"/>
      <c r="L96" s="17"/>
      <c r="M96" s="17"/>
      <c r="N96" s="17">
        <v>1569788000</v>
      </c>
      <c r="O96" s="17">
        <v>68626000</v>
      </c>
      <c r="P96" s="17">
        <v>67469000</v>
      </c>
      <c r="Q96" s="17">
        <v>75300000</v>
      </c>
      <c r="R96" s="17">
        <v>75300000</v>
      </c>
      <c r="S96" s="17">
        <v>351000</v>
      </c>
      <c r="T96" s="17">
        <v>421000</v>
      </c>
      <c r="U96" s="17">
        <v>421000</v>
      </c>
      <c r="V96" s="17">
        <v>421000</v>
      </c>
      <c r="W96" s="17">
        <v>421000</v>
      </c>
      <c r="X96" s="17">
        <v>-34641000</v>
      </c>
      <c r="Y96" s="17">
        <v>-30224000</v>
      </c>
      <c r="Z96" s="17">
        <v>-28282000</v>
      </c>
      <c r="AA96" s="17">
        <v>-28542000</v>
      </c>
      <c r="AB96" s="17">
        <v>-28542000</v>
      </c>
      <c r="AC96" s="17">
        <v>777000</v>
      </c>
      <c r="AD96" s="17">
        <v>1922000</v>
      </c>
      <c r="AE96" s="17">
        <v>1940000</v>
      </c>
      <c r="AF96" s="17">
        <v>10474000</v>
      </c>
      <c r="AG96" s="17">
        <v>10474000</v>
      </c>
      <c r="AH96" s="17">
        <v>21065000</v>
      </c>
      <c r="AI96" s="17">
        <v>60913000</v>
      </c>
      <c r="AJ96" s="17">
        <v>65488000</v>
      </c>
      <c r="AK96" s="17">
        <v>99649000</v>
      </c>
      <c r="AL96" s="17">
        <v>99649000</v>
      </c>
      <c r="AM96" s="17"/>
      <c r="AN96" s="17">
        <v>54589000</v>
      </c>
      <c r="AO96" s="17">
        <v>7935000</v>
      </c>
      <c r="AP96" s="17"/>
      <c r="AQ96" s="17"/>
      <c r="AR96" s="17"/>
      <c r="AS96" s="17">
        <v>12948000</v>
      </c>
      <c r="AT96" s="17"/>
      <c r="AU96" s="17"/>
      <c r="AV96" s="17"/>
      <c r="AW96" s="17"/>
      <c r="AX96" s="17"/>
      <c r="AY96" s="17"/>
      <c r="AZ96" s="17"/>
      <c r="BA96" s="17"/>
      <c r="BB96" s="17"/>
      <c r="BC96" s="17">
        <v>2082000</v>
      </c>
      <c r="BD96" s="17">
        <v>1735000</v>
      </c>
      <c r="BE96" s="17">
        <v>260000</v>
      </c>
      <c r="BF96" s="17"/>
      <c r="BG96" s="17">
        <v>4943000</v>
      </c>
      <c r="BH96" s="17">
        <v>7289000</v>
      </c>
      <c r="BI96" s="17">
        <v>2000</v>
      </c>
      <c r="BJ96" s="17"/>
      <c r="BK96" s="17"/>
      <c r="BL96" s="17">
        <v>21447000</v>
      </c>
      <c r="BM96" s="17">
        <v>41290000</v>
      </c>
      <c r="BN96" s="17">
        <v>3775000</v>
      </c>
      <c r="BO96" s="17"/>
      <c r="BP96" s="17"/>
      <c r="BQ96" s="17">
        <v>-16504000</v>
      </c>
      <c r="BR96" s="17">
        <v>4416000</v>
      </c>
      <c r="BS96" s="17">
        <v>1942000</v>
      </c>
      <c r="BT96" s="17">
        <v>-260000</v>
      </c>
      <c r="BU96" s="17"/>
    </row>
    <row r="97" spans="1:73" x14ac:dyDescent="0.25">
      <c r="A97" s="16">
        <v>148</v>
      </c>
      <c r="B97" s="17">
        <v>10</v>
      </c>
      <c r="C97" s="18" t="s">
        <v>190</v>
      </c>
      <c r="D97" s="17">
        <v>985000</v>
      </c>
      <c r="E97" s="17">
        <v>959000</v>
      </c>
      <c r="F97" s="17">
        <v>963000</v>
      </c>
      <c r="G97" s="17"/>
      <c r="H97" s="17"/>
      <c r="I97" s="17">
        <v>3000</v>
      </c>
      <c r="J97" s="17">
        <v>27000</v>
      </c>
      <c r="K97" s="17">
        <v>5000</v>
      </c>
      <c r="L97" s="17">
        <v>5000</v>
      </c>
      <c r="M97" s="17">
        <v>5000</v>
      </c>
      <c r="N97" s="17">
        <v>3576000</v>
      </c>
      <c r="O97" s="17">
        <v>2640000</v>
      </c>
      <c r="P97" s="17">
        <v>5502000</v>
      </c>
      <c r="Q97" s="17">
        <v>5386000</v>
      </c>
      <c r="R97" s="17">
        <v>5386000</v>
      </c>
      <c r="S97" s="17"/>
      <c r="T97" s="17"/>
      <c r="U97" s="17">
        <v>2588000</v>
      </c>
      <c r="V97" s="17">
        <v>758000</v>
      </c>
      <c r="W97" s="17">
        <v>170000</v>
      </c>
      <c r="X97" s="17">
        <v>-4705000</v>
      </c>
      <c r="Y97" s="17">
        <v>-4726000</v>
      </c>
      <c r="Z97" s="17">
        <v>-3229000</v>
      </c>
      <c r="AA97" s="17">
        <v>-4133000</v>
      </c>
      <c r="AB97" s="17">
        <v>-5244000</v>
      </c>
      <c r="AC97" s="17">
        <v>6000</v>
      </c>
      <c r="AD97" s="17">
        <v>6000</v>
      </c>
      <c r="AE97" s="17">
        <v>3000</v>
      </c>
      <c r="AF97" s="17">
        <v>3000</v>
      </c>
      <c r="AG97" s="17">
        <v>3000</v>
      </c>
      <c r="AH97" s="17">
        <v>9663000</v>
      </c>
      <c r="AI97" s="17">
        <v>9281000</v>
      </c>
      <c r="AJ97" s="17">
        <v>13263000</v>
      </c>
      <c r="AK97" s="17">
        <v>11272000</v>
      </c>
      <c r="AL97" s="17">
        <v>11795000</v>
      </c>
      <c r="AM97" s="17">
        <v>732000</v>
      </c>
      <c r="AN97" s="17"/>
      <c r="AO97" s="17"/>
      <c r="AP97" s="17"/>
      <c r="AQ97" s="17"/>
      <c r="AR97" s="17">
        <v>1505000</v>
      </c>
      <c r="AS97" s="17"/>
      <c r="AT97" s="17"/>
      <c r="AU97" s="17"/>
      <c r="AV97" s="17"/>
      <c r="AW97" s="17"/>
      <c r="AX97" s="17"/>
      <c r="AY97" s="17"/>
      <c r="AZ97" s="17"/>
      <c r="BA97" s="17"/>
      <c r="BB97" s="17">
        <v>4544000</v>
      </c>
      <c r="BC97" s="17"/>
      <c r="BD97" s="17"/>
      <c r="BE97" s="17"/>
      <c r="BF97" s="17"/>
      <c r="BG97" s="17"/>
      <c r="BH97" s="17"/>
      <c r="BI97" s="17">
        <v>2953000</v>
      </c>
      <c r="BJ97" s="17">
        <v>735000</v>
      </c>
      <c r="BK97" s="17">
        <v>72000</v>
      </c>
      <c r="BL97" s="17"/>
      <c r="BM97" s="17">
        <v>21000</v>
      </c>
      <c r="BN97" s="17">
        <v>1027000</v>
      </c>
      <c r="BO97" s="17">
        <v>1639000</v>
      </c>
      <c r="BP97" s="17">
        <v>1183000</v>
      </c>
      <c r="BQ97" s="17">
        <v>-5317000</v>
      </c>
      <c r="BR97" s="17">
        <v>-21000</v>
      </c>
      <c r="BS97" s="17">
        <v>1497000</v>
      </c>
      <c r="BT97" s="17">
        <v>-904000</v>
      </c>
      <c r="BU97" s="17">
        <v>-1111000</v>
      </c>
    </row>
    <row r="98" spans="1:73" x14ac:dyDescent="0.25">
      <c r="A98" s="16">
        <v>149</v>
      </c>
      <c r="B98" s="17">
        <v>10</v>
      </c>
      <c r="C98" s="18" t="s">
        <v>190</v>
      </c>
      <c r="D98" s="17">
        <v>77823000</v>
      </c>
      <c r="E98" s="17">
        <v>67475000</v>
      </c>
      <c r="F98" s="17">
        <v>60252000</v>
      </c>
      <c r="G98" s="17"/>
      <c r="H98" s="17"/>
      <c r="I98" s="17">
        <v>47831000</v>
      </c>
      <c r="J98" s="17">
        <v>129646000</v>
      </c>
      <c r="K98" s="17">
        <v>137406000</v>
      </c>
      <c r="L98" s="17"/>
      <c r="M98" s="17"/>
      <c r="N98" s="17">
        <v>146883000</v>
      </c>
      <c r="O98" s="17">
        <v>153461000</v>
      </c>
      <c r="P98" s="17">
        <v>121158000</v>
      </c>
      <c r="Q98" s="17"/>
      <c r="R98" s="17"/>
      <c r="S98" s="17">
        <v>84765000</v>
      </c>
      <c r="T98" s="17">
        <v>270000</v>
      </c>
      <c r="U98" s="17">
        <v>14366000</v>
      </c>
      <c r="V98" s="17"/>
      <c r="W98" s="17"/>
      <c r="X98" s="17">
        <v>10234000</v>
      </c>
      <c r="Y98" s="17">
        <v>11203000</v>
      </c>
      <c r="Z98" s="17">
        <v>-10193000</v>
      </c>
      <c r="AA98" s="17"/>
      <c r="AB98" s="17"/>
      <c r="AC98" s="17"/>
      <c r="AD98" s="17">
        <v>5000000</v>
      </c>
      <c r="AE98" s="17">
        <v>10356000</v>
      </c>
      <c r="AF98" s="17"/>
      <c r="AG98" s="17"/>
      <c r="AH98" s="17">
        <v>381872000</v>
      </c>
      <c r="AI98" s="17">
        <v>363825000</v>
      </c>
      <c r="AJ98" s="17">
        <v>364265000</v>
      </c>
      <c r="AK98" s="17"/>
      <c r="AL98" s="17"/>
      <c r="AM98" s="17">
        <v>108518000</v>
      </c>
      <c r="AN98" s="17">
        <v>64312000</v>
      </c>
      <c r="AO98" s="17">
        <v>70949000</v>
      </c>
      <c r="AP98" s="17"/>
      <c r="AQ98" s="17"/>
      <c r="AR98" s="17">
        <v>79898000</v>
      </c>
      <c r="AS98" s="17">
        <v>46716000</v>
      </c>
      <c r="AT98" s="17">
        <v>57278000</v>
      </c>
      <c r="AU98" s="17"/>
      <c r="AV98" s="17"/>
      <c r="AW98" s="17">
        <v>28000</v>
      </c>
      <c r="AX98" s="17">
        <v>111000</v>
      </c>
      <c r="AY98" s="17">
        <v>151000</v>
      </c>
      <c r="AZ98" s="17"/>
      <c r="BA98" s="17"/>
      <c r="BB98" s="17">
        <v>22972000</v>
      </c>
      <c r="BC98" s="17">
        <v>15123000</v>
      </c>
      <c r="BD98" s="17">
        <v>13977000</v>
      </c>
      <c r="BE98" s="17"/>
      <c r="BF98" s="17"/>
      <c r="BG98" s="17">
        <v>52000</v>
      </c>
      <c r="BH98" s="17">
        <v>136000</v>
      </c>
      <c r="BI98" s="17">
        <v>4673000</v>
      </c>
      <c r="BJ98" s="17"/>
      <c r="BK98" s="17"/>
      <c r="BL98" s="17">
        <v>2764000</v>
      </c>
      <c r="BM98" s="17">
        <v>1351000</v>
      </c>
      <c r="BN98" s="17">
        <v>7132000</v>
      </c>
      <c r="BO98" s="17"/>
      <c r="BP98" s="17"/>
      <c r="BQ98" s="17">
        <v>3278000</v>
      </c>
      <c r="BR98" s="17">
        <v>969000</v>
      </c>
      <c r="BS98" s="17">
        <v>-21287000</v>
      </c>
      <c r="BT98" s="17"/>
      <c r="BU98" s="17"/>
    </row>
    <row r="99" spans="1:73" x14ac:dyDescent="0.25">
      <c r="A99" s="16">
        <v>153</v>
      </c>
      <c r="B99" s="17">
        <v>33</v>
      </c>
      <c r="C99" s="18" t="s">
        <v>190</v>
      </c>
      <c r="D99" s="17">
        <v>73047000</v>
      </c>
      <c r="E99" s="17">
        <v>65087000</v>
      </c>
      <c r="F99" s="17">
        <v>43768000</v>
      </c>
      <c r="G99" s="17">
        <v>4860000</v>
      </c>
      <c r="H99" s="17">
        <v>2367000</v>
      </c>
      <c r="I99" s="17">
        <v>1485597000</v>
      </c>
      <c r="J99" s="17">
        <v>1523204000</v>
      </c>
      <c r="K99" s="17">
        <v>1407486000</v>
      </c>
      <c r="L99" s="17">
        <v>594865000</v>
      </c>
      <c r="M99" s="17">
        <v>540043000</v>
      </c>
      <c r="N99" s="17">
        <v>64835000</v>
      </c>
      <c r="O99" s="17">
        <v>36331000</v>
      </c>
      <c r="P99" s="17">
        <v>14310000</v>
      </c>
      <c r="Q99" s="17">
        <v>13401000</v>
      </c>
      <c r="R99" s="17">
        <v>5721000</v>
      </c>
      <c r="S99" s="17">
        <v>5442000</v>
      </c>
      <c r="T99" s="17">
        <v>1727000</v>
      </c>
      <c r="U99" s="17">
        <v>36206000</v>
      </c>
      <c r="V99" s="17">
        <v>78002000</v>
      </c>
      <c r="W99" s="17">
        <v>34352000</v>
      </c>
      <c r="X99" s="17">
        <v>130261000</v>
      </c>
      <c r="Y99" s="17">
        <v>75648000</v>
      </c>
      <c r="Z99" s="17">
        <v>66108000</v>
      </c>
      <c r="AA99" s="17">
        <v>-603343000</v>
      </c>
      <c r="AB99" s="17">
        <v>-714734000</v>
      </c>
      <c r="AC99" s="17">
        <v>37960000</v>
      </c>
      <c r="AD99" s="17">
        <v>37960000</v>
      </c>
      <c r="AE99" s="17">
        <v>37960000</v>
      </c>
      <c r="AF99" s="17">
        <v>37960000</v>
      </c>
      <c r="AG99" s="17">
        <v>37960000</v>
      </c>
      <c r="AH99" s="17">
        <v>1133977000</v>
      </c>
      <c r="AI99" s="17">
        <v>1322447000</v>
      </c>
      <c r="AJ99" s="17">
        <v>1361977000</v>
      </c>
      <c r="AK99" s="17">
        <v>1190049000</v>
      </c>
      <c r="AL99" s="17">
        <v>1193049000</v>
      </c>
      <c r="AM99" s="17">
        <v>597961000</v>
      </c>
      <c r="AN99" s="17">
        <v>24981000</v>
      </c>
      <c r="AO99" s="17">
        <v>17032000</v>
      </c>
      <c r="AP99" s="17">
        <v>24063000</v>
      </c>
      <c r="AQ99" s="17"/>
      <c r="AR99" s="17">
        <v>607223000</v>
      </c>
      <c r="AS99" s="17">
        <v>43333000</v>
      </c>
      <c r="AT99" s="17">
        <v>23040000</v>
      </c>
      <c r="AU99" s="17">
        <v>74534000</v>
      </c>
      <c r="AV99" s="17"/>
      <c r="AW99" s="17"/>
      <c r="AX99" s="17"/>
      <c r="AY99" s="17"/>
      <c r="AZ99" s="17"/>
      <c r="BA99" s="17"/>
      <c r="BB99" s="17"/>
      <c r="BC99" s="17"/>
      <c r="BD99" s="17"/>
      <c r="BE99" s="17"/>
      <c r="BF99" s="17"/>
      <c r="BG99" s="17">
        <v>59796000</v>
      </c>
      <c r="BH99" s="17">
        <v>8719000</v>
      </c>
      <c r="BI99" s="17">
        <v>210770000</v>
      </c>
      <c r="BJ99" s="17">
        <v>288043000</v>
      </c>
      <c r="BK99" s="17">
        <v>62159000</v>
      </c>
      <c r="BL99" s="17">
        <v>88227000</v>
      </c>
      <c r="BM99" s="17">
        <v>28438000</v>
      </c>
      <c r="BN99" s="17">
        <v>214274000</v>
      </c>
      <c r="BO99" s="17">
        <v>907023000</v>
      </c>
      <c r="BP99" s="17">
        <v>173550000</v>
      </c>
      <c r="BQ99" s="17">
        <v>46273000</v>
      </c>
      <c r="BR99" s="17">
        <v>-74722000</v>
      </c>
      <c r="BS99" s="17">
        <v>-9540000</v>
      </c>
      <c r="BT99" s="17">
        <v>-669451000</v>
      </c>
      <c r="BU99" s="17">
        <v>-111391000</v>
      </c>
    </row>
    <row r="100" spans="1:73" x14ac:dyDescent="0.25">
      <c r="A100" s="16">
        <v>158</v>
      </c>
      <c r="B100" s="17">
        <v>16</v>
      </c>
      <c r="C100" s="18" t="s">
        <v>190</v>
      </c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  <c r="BE100" s="17"/>
      <c r="BF100" s="17"/>
      <c r="BG100" s="17"/>
      <c r="BH100" s="17"/>
      <c r="BI100" s="17"/>
      <c r="BJ100" s="17"/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</row>
    <row r="101" spans="1:73" x14ac:dyDescent="0.25">
      <c r="A101" s="16">
        <v>161</v>
      </c>
      <c r="B101" s="17">
        <v>19</v>
      </c>
      <c r="C101" s="18" t="s">
        <v>190</v>
      </c>
      <c r="D101" s="17">
        <v>27000</v>
      </c>
      <c r="E101" s="17"/>
      <c r="F101" s="17"/>
      <c r="G101" s="17"/>
      <c r="H101" s="17"/>
      <c r="I101" s="17">
        <v>8286000</v>
      </c>
      <c r="J101" s="17">
        <v>10419000</v>
      </c>
      <c r="K101" s="17">
        <v>8141000</v>
      </c>
      <c r="L101" s="17">
        <v>8141000</v>
      </c>
      <c r="M101" s="17"/>
      <c r="N101" s="17">
        <v>44082000</v>
      </c>
      <c r="O101" s="17">
        <v>47748000</v>
      </c>
      <c r="P101" s="17">
        <v>36397000</v>
      </c>
      <c r="Q101" s="17">
        <v>36397000</v>
      </c>
      <c r="R101" s="17"/>
      <c r="S101" s="17">
        <v>79000</v>
      </c>
      <c r="T101" s="17">
        <v>277000</v>
      </c>
      <c r="U101" s="17"/>
      <c r="V101" s="17"/>
      <c r="W101" s="17"/>
      <c r="X101" s="17">
        <v>2518000</v>
      </c>
      <c r="Y101" s="17">
        <v>2521000</v>
      </c>
      <c r="Z101" s="17">
        <v>2525000</v>
      </c>
      <c r="AA101" s="17">
        <v>2525000</v>
      </c>
      <c r="AB101" s="17"/>
      <c r="AC101" s="17">
        <v>812000</v>
      </c>
      <c r="AD101" s="17">
        <v>822000</v>
      </c>
      <c r="AE101" s="17">
        <v>836000</v>
      </c>
      <c r="AF101" s="17">
        <v>836000</v>
      </c>
      <c r="AG101" s="17"/>
      <c r="AH101" s="17">
        <v>7896000</v>
      </c>
      <c r="AI101" s="17">
        <v>8658000</v>
      </c>
      <c r="AJ101" s="17">
        <v>8045000</v>
      </c>
      <c r="AK101" s="17">
        <v>8045000</v>
      </c>
      <c r="AL101" s="17"/>
      <c r="AM101" s="17">
        <v>29138000</v>
      </c>
      <c r="AN101" s="17">
        <v>1319000</v>
      </c>
      <c r="AO101" s="17">
        <v>534000</v>
      </c>
      <c r="AP101" s="17"/>
      <c r="AQ101" s="17"/>
      <c r="AR101" s="17">
        <v>21355000</v>
      </c>
      <c r="AS101" s="17">
        <v>962000</v>
      </c>
      <c r="AT101" s="17">
        <v>487000</v>
      </c>
      <c r="AU101" s="17"/>
      <c r="AV101" s="17"/>
      <c r="AW101" s="17"/>
      <c r="AX101" s="17"/>
      <c r="AY101" s="17"/>
      <c r="AZ101" s="17"/>
      <c r="BA101" s="17"/>
      <c r="BB101" s="17">
        <v>5954000</v>
      </c>
      <c r="BC101" s="17">
        <v>299000</v>
      </c>
      <c r="BD101" s="17">
        <v>42000</v>
      </c>
      <c r="BE101" s="17"/>
      <c r="BF101" s="17"/>
      <c r="BG101" s="17">
        <v>258000</v>
      </c>
      <c r="BH101" s="17"/>
      <c r="BI101" s="17"/>
      <c r="BJ101" s="17"/>
      <c r="BK101" s="17"/>
      <c r="BL101" s="17">
        <v>1357000</v>
      </c>
      <c r="BM101" s="17">
        <v>54000</v>
      </c>
      <c r="BN101" s="17"/>
      <c r="BO101" s="17"/>
      <c r="BP101" s="17"/>
      <c r="BQ101" s="17">
        <v>-742000</v>
      </c>
      <c r="BR101" s="17">
        <v>4000</v>
      </c>
      <c r="BS101" s="17">
        <v>4000</v>
      </c>
      <c r="BT101" s="17"/>
      <c r="BU101" s="17"/>
    </row>
    <row r="102" spans="1:73" x14ac:dyDescent="0.25">
      <c r="A102" s="16">
        <v>163</v>
      </c>
      <c r="B102" s="17">
        <v>14</v>
      </c>
      <c r="C102" s="18" t="s">
        <v>190</v>
      </c>
      <c r="D102" s="17">
        <v>10465000</v>
      </c>
      <c r="E102" s="17">
        <v>3848000</v>
      </c>
      <c r="F102" s="17">
        <v>2069000</v>
      </c>
      <c r="G102" s="17">
        <v>1733000</v>
      </c>
      <c r="H102" s="17"/>
      <c r="I102" s="17">
        <v>208480000</v>
      </c>
      <c r="J102" s="17">
        <v>132954000</v>
      </c>
      <c r="K102" s="17">
        <v>2099000</v>
      </c>
      <c r="L102" s="17">
        <v>1469000</v>
      </c>
      <c r="M102" s="17"/>
      <c r="N102" s="17">
        <v>94545000</v>
      </c>
      <c r="O102" s="17">
        <v>98435000</v>
      </c>
      <c r="P102" s="17">
        <v>81078000</v>
      </c>
      <c r="Q102" s="17">
        <v>80325000</v>
      </c>
      <c r="R102" s="17">
        <v>78856000</v>
      </c>
      <c r="S102" s="17">
        <v>61654000</v>
      </c>
      <c r="T102" s="17">
        <v>12000</v>
      </c>
      <c r="U102" s="17">
        <v>39000</v>
      </c>
      <c r="V102" s="17">
        <v>7367000</v>
      </c>
      <c r="W102" s="17">
        <v>3070000</v>
      </c>
      <c r="X102" s="17">
        <v>30490000</v>
      </c>
      <c r="Y102" s="17">
        <v>-11660000</v>
      </c>
      <c r="Z102" s="17">
        <v>-55925000</v>
      </c>
      <c r="AA102" s="17">
        <v>-51435000</v>
      </c>
      <c r="AB102" s="17">
        <v>-45949000</v>
      </c>
      <c r="AC102" s="17">
        <v>411000</v>
      </c>
      <c r="AD102" s="17">
        <v>687000</v>
      </c>
      <c r="AE102" s="17">
        <v>687000</v>
      </c>
      <c r="AF102" s="17">
        <v>687000</v>
      </c>
      <c r="AG102" s="17"/>
      <c r="AH102" s="17">
        <v>340491000</v>
      </c>
      <c r="AI102" s="17">
        <v>244009000</v>
      </c>
      <c r="AJ102" s="17">
        <v>138309000</v>
      </c>
      <c r="AK102" s="17">
        <v>138309000</v>
      </c>
      <c r="AL102" s="17">
        <v>120275000</v>
      </c>
      <c r="AM102" s="17">
        <v>746272000</v>
      </c>
      <c r="AN102" s="17">
        <v>34274000</v>
      </c>
      <c r="AO102" s="17">
        <v>64000</v>
      </c>
      <c r="AP102" s="17"/>
      <c r="AQ102" s="17"/>
      <c r="AR102" s="17">
        <v>794999000</v>
      </c>
      <c r="AS102" s="17">
        <v>42639000</v>
      </c>
      <c r="AT102" s="17"/>
      <c r="AU102" s="17"/>
      <c r="AV102" s="17"/>
      <c r="AW102" s="17"/>
      <c r="AX102" s="17"/>
      <c r="AY102" s="17"/>
      <c r="AZ102" s="17"/>
      <c r="BA102" s="17"/>
      <c r="BB102" s="17">
        <v>66016000</v>
      </c>
      <c r="BC102" s="17">
        <v>25216000</v>
      </c>
      <c r="BD102" s="17">
        <v>3013000</v>
      </c>
      <c r="BE102" s="17"/>
      <c r="BF102" s="17"/>
      <c r="BG102" s="17">
        <v>133020000</v>
      </c>
      <c r="BH102" s="17">
        <v>64168000</v>
      </c>
      <c r="BI102" s="17">
        <v>92261000</v>
      </c>
      <c r="BJ102" s="17">
        <v>14568000</v>
      </c>
      <c r="BK102" s="17">
        <v>4568000</v>
      </c>
      <c r="BL102" s="17">
        <v>11620000</v>
      </c>
      <c r="BM102" s="17">
        <v>71523000</v>
      </c>
      <c r="BN102" s="17">
        <v>133577000</v>
      </c>
      <c r="BO102" s="17">
        <v>14568000</v>
      </c>
      <c r="BP102" s="17">
        <v>4568000</v>
      </c>
      <c r="BQ102" s="17">
        <v>2470000</v>
      </c>
      <c r="BR102" s="17">
        <v>-41616000</v>
      </c>
      <c r="BS102" s="17">
        <v>-44265000</v>
      </c>
      <c r="BT102" s="17"/>
      <c r="BU102" s="17"/>
    </row>
    <row r="103" spans="1:73" x14ac:dyDescent="0.25">
      <c r="A103" s="16">
        <v>164</v>
      </c>
      <c r="B103" s="17">
        <v>17</v>
      </c>
      <c r="C103" s="18" t="s">
        <v>190</v>
      </c>
      <c r="D103" s="17">
        <v>11563000</v>
      </c>
      <c r="E103" s="17">
        <v>8100000</v>
      </c>
      <c r="F103" s="17"/>
      <c r="G103" s="17">
        <v>8100000</v>
      </c>
      <c r="H103" s="17">
        <v>8100000</v>
      </c>
      <c r="I103" s="17">
        <v>113385000</v>
      </c>
      <c r="J103" s="17">
        <v>128094000</v>
      </c>
      <c r="K103" s="17"/>
      <c r="L103" s="17">
        <v>128094000</v>
      </c>
      <c r="M103" s="17">
        <v>128094000</v>
      </c>
      <c r="N103" s="17">
        <v>267386000</v>
      </c>
      <c r="O103" s="17">
        <v>293445000</v>
      </c>
      <c r="P103" s="17"/>
      <c r="Q103" s="17">
        <v>293446000</v>
      </c>
      <c r="R103" s="17">
        <v>293446000</v>
      </c>
      <c r="S103" s="17">
        <v>4623000</v>
      </c>
      <c r="T103" s="17">
        <v>5000</v>
      </c>
      <c r="U103" s="17"/>
      <c r="V103" s="17">
        <v>5000</v>
      </c>
      <c r="W103" s="17">
        <v>5000</v>
      </c>
      <c r="X103" s="17">
        <v>-102934000</v>
      </c>
      <c r="Y103" s="17">
        <v>-102765000</v>
      </c>
      <c r="Z103" s="17">
        <v>-495635000</v>
      </c>
      <c r="AA103" s="17">
        <v>-102765000</v>
      </c>
      <c r="AB103" s="17">
        <v>-102765000</v>
      </c>
      <c r="AC103" s="17"/>
      <c r="AD103" s="17"/>
      <c r="AE103" s="17"/>
      <c r="AF103" s="17"/>
      <c r="AG103" s="17"/>
      <c r="AH103" s="17">
        <v>501181000</v>
      </c>
      <c r="AI103" s="17">
        <v>530709000</v>
      </c>
      <c r="AJ103" s="17">
        <v>494635000</v>
      </c>
      <c r="AK103" s="17">
        <v>530709000</v>
      </c>
      <c r="AL103" s="17">
        <v>530709000</v>
      </c>
      <c r="AM103" s="17">
        <v>634524000</v>
      </c>
      <c r="AN103" s="17">
        <v>151018000</v>
      </c>
      <c r="AO103" s="17"/>
      <c r="AP103" s="17"/>
      <c r="AQ103" s="17"/>
      <c r="AR103" s="17">
        <v>707906000</v>
      </c>
      <c r="AS103" s="17">
        <v>129923000</v>
      </c>
      <c r="AT103" s="17"/>
      <c r="AU103" s="17"/>
      <c r="AV103" s="17"/>
      <c r="AW103" s="17"/>
      <c r="AX103" s="17"/>
      <c r="AY103" s="17"/>
      <c r="AZ103" s="17"/>
      <c r="BA103" s="17"/>
      <c r="BB103" s="17">
        <v>28203000</v>
      </c>
      <c r="BC103" s="17">
        <v>14708000</v>
      </c>
      <c r="BD103" s="17"/>
      <c r="BE103" s="17"/>
      <c r="BF103" s="17"/>
      <c r="BG103" s="17">
        <v>57758000</v>
      </c>
      <c r="BH103" s="17">
        <v>260000</v>
      </c>
      <c r="BI103" s="17"/>
      <c r="BJ103" s="17"/>
      <c r="BK103" s="17"/>
      <c r="BL103" s="17">
        <v>76949000</v>
      </c>
      <c r="BM103" s="17">
        <v>6477000</v>
      </c>
      <c r="BN103" s="17"/>
      <c r="BO103" s="17"/>
      <c r="BP103" s="17"/>
      <c r="BQ103" s="17">
        <v>-124138000</v>
      </c>
      <c r="BR103" s="17">
        <v>169000</v>
      </c>
      <c r="BS103" s="17"/>
      <c r="BT103" s="17"/>
      <c r="BU103" s="17"/>
    </row>
    <row r="104" spans="1:73" x14ac:dyDescent="0.25">
      <c r="A104" s="16">
        <v>173</v>
      </c>
      <c r="B104" s="17">
        <v>9</v>
      </c>
      <c r="C104" s="18" t="s">
        <v>190</v>
      </c>
      <c r="D104" s="17">
        <v>145264000</v>
      </c>
      <c r="E104" s="17">
        <v>80834000</v>
      </c>
      <c r="F104" s="17">
        <v>87015000</v>
      </c>
      <c r="G104" s="17">
        <v>3414000</v>
      </c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>
        <v>2944000</v>
      </c>
      <c r="X104" s="17">
        <v>-110000</v>
      </c>
      <c r="Y104" s="17">
        <v>-65838000</v>
      </c>
      <c r="Z104" s="17">
        <v>-91600000</v>
      </c>
      <c r="AA104" s="17">
        <v>-94440000</v>
      </c>
      <c r="AB104" s="17">
        <v>-93825000</v>
      </c>
      <c r="AC104" s="17"/>
      <c r="AD104" s="17"/>
      <c r="AE104" s="17"/>
      <c r="AF104" s="17"/>
      <c r="AG104" s="17"/>
      <c r="AH104" s="17">
        <v>140987000</v>
      </c>
      <c r="AI104" s="17">
        <v>146662000</v>
      </c>
      <c r="AJ104" s="17">
        <v>181047000</v>
      </c>
      <c r="AK104" s="17">
        <v>121948000</v>
      </c>
      <c r="AL104" s="17">
        <v>120863000</v>
      </c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s="17"/>
      <c r="BE104" s="17"/>
      <c r="BF104" s="17"/>
      <c r="BG104" s="17"/>
      <c r="BH104" s="17"/>
      <c r="BI104" s="17"/>
      <c r="BJ104" s="17">
        <v>83705000</v>
      </c>
      <c r="BK104" s="17">
        <v>4268000</v>
      </c>
      <c r="BL104" s="17"/>
      <c r="BM104" s="17">
        <v>65728000</v>
      </c>
      <c r="BN104" s="17">
        <v>25762000</v>
      </c>
      <c r="BO104" s="17">
        <v>86545000</v>
      </c>
      <c r="BP104" s="17">
        <v>3709000</v>
      </c>
      <c r="BQ104" s="17"/>
      <c r="BR104" s="17">
        <v>-65728000</v>
      </c>
      <c r="BS104" s="17">
        <v>-25762000</v>
      </c>
      <c r="BT104" s="17">
        <v>-2840000</v>
      </c>
      <c r="BU104" s="17">
        <v>615000</v>
      </c>
    </row>
    <row r="105" spans="1:73" x14ac:dyDescent="0.25">
      <c r="A105" s="16">
        <v>184</v>
      </c>
      <c r="B105" s="17">
        <v>20</v>
      </c>
      <c r="C105" s="18" t="s">
        <v>190</v>
      </c>
      <c r="D105" s="17">
        <v>1335000</v>
      </c>
      <c r="E105" s="17">
        <v>945000</v>
      </c>
      <c r="F105" s="17"/>
      <c r="G105" s="17"/>
      <c r="H105" s="17"/>
      <c r="I105" s="17">
        <v>2124000</v>
      </c>
      <c r="J105" s="17">
        <v>1501000</v>
      </c>
      <c r="K105" s="17">
        <v>30000</v>
      </c>
      <c r="L105" s="17">
        <v>1000</v>
      </c>
      <c r="M105" s="17"/>
      <c r="N105" s="17">
        <v>52009000</v>
      </c>
      <c r="O105" s="17">
        <v>48040000</v>
      </c>
      <c r="P105" s="17">
        <v>10366000</v>
      </c>
      <c r="Q105" s="17">
        <v>4544000</v>
      </c>
      <c r="R105" s="17"/>
      <c r="S105" s="17">
        <v>17959000</v>
      </c>
      <c r="T105" s="17">
        <v>4466000</v>
      </c>
      <c r="U105" s="17">
        <v>81000</v>
      </c>
      <c r="V105" s="17"/>
      <c r="W105" s="17">
        <v>10000</v>
      </c>
      <c r="X105" s="17">
        <v>27700000</v>
      </c>
      <c r="Y105" s="17">
        <v>20843000</v>
      </c>
      <c r="Z105" s="17">
        <v>2988000</v>
      </c>
      <c r="AA105" s="17">
        <v>-15911000</v>
      </c>
      <c r="AB105" s="17"/>
      <c r="AC105" s="17"/>
      <c r="AD105" s="17"/>
      <c r="AE105" s="17"/>
      <c r="AF105" s="17"/>
      <c r="AG105" s="17"/>
      <c r="AH105" s="17">
        <v>46233000</v>
      </c>
      <c r="AI105" s="17">
        <v>34575000</v>
      </c>
      <c r="AJ105" s="17">
        <v>8966000</v>
      </c>
      <c r="AK105" s="17">
        <v>20836000</v>
      </c>
      <c r="AL105" s="17"/>
      <c r="AM105" s="17">
        <v>224861000</v>
      </c>
      <c r="AN105" s="17">
        <v>109334000</v>
      </c>
      <c r="AO105" s="17">
        <v>26336000</v>
      </c>
      <c r="AP105" s="17"/>
      <c r="AQ105" s="17"/>
      <c r="AR105" s="17">
        <v>200628000</v>
      </c>
      <c r="AS105" s="17">
        <v>96475000</v>
      </c>
      <c r="AT105" s="17">
        <v>26449000</v>
      </c>
      <c r="AU105" s="17"/>
      <c r="AV105" s="17"/>
      <c r="AW105" s="17"/>
      <c r="AX105" s="17"/>
      <c r="AY105" s="17"/>
      <c r="AZ105" s="17"/>
      <c r="BA105" s="17"/>
      <c r="BB105" s="17">
        <v>23342000</v>
      </c>
      <c r="BC105" s="17">
        <v>18594000</v>
      </c>
      <c r="BD105" s="17">
        <v>14776000</v>
      </c>
      <c r="BE105" s="17">
        <v>782000</v>
      </c>
      <c r="BF105" s="17"/>
      <c r="BG105" s="17">
        <v>2155000</v>
      </c>
      <c r="BH105" s="17">
        <v>5403000</v>
      </c>
      <c r="BI105" s="17">
        <v>3000000</v>
      </c>
      <c r="BJ105" s="17">
        <v>1435000</v>
      </c>
      <c r="BK105" s="17"/>
      <c r="BL105" s="17">
        <v>326000</v>
      </c>
      <c r="BM105" s="17">
        <v>6272000</v>
      </c>
      <c r="BN105" s="17">
        <v>3151000</v>
      </c>
      <c r="BO105" s="17">
        <v>19553000</v>
      </c>
      <c r="BP105" s="17"/>
      <c r="BQ105" s="17">
        <v>2472000</v>
      </c>
      <c r="BR105" s="17">
        <v>-6857000</v>
      </c>
      <c r="BS105" s="17">
        <v>-15040000</v>
      </c>
      <c r="BT105" s="17">
        <v>-18900000</v>
      </c>
      <c r="BU105" s="17"/>
    </row>
    <row r="106" spans="1:73" x14ac:dyDescent="0.25">
      <c r="A106" s="16">
        <v>187</v>
      </c>
      <c r="B106" s="17">
        <v>12</v>
      </c>
      <c r="C106" s="18" t="s">
        <v>190</v>
      </c>
      <c r="D106" s="17"/>
      <c r="E106" s="17"/>
      <c r="F106" s="17"/>
      <c r="G106" s="17"/>
      <c r="H106" s="17"/>
      <c r="I106" s="17">
        <v>615675000</v>
      </c>
      <c r="J106" s="17"/>
      <c r="K106" s="17"/>
      <c r="L106" s="17"/>
      <c r="M106" s="17"/>
      <c r="N106" s="17">
        <v>260945000</v>
      </c>
      <c r="O106" s="17"/>
      <c r="P106" s="17"/>
      <c r="Q106" s="17"/>
      <c r="R106" s="17"/>
      <c r="S106" s="17">
        <v>21107000</v>
      </c>
      <c r="T106" s="17"/>
      <c r="U106" s="17"/>
      <c r="V106" s="17"/>
      <c r="W106" s="17"/>
      <c r="X106" s="17">
        <v>-599914000</v>
      </c>
      <c r="Y106" s="17"/>
      <c r="Z106" s="17"/>
      <c r="AA106" s="17"/>
      <c r="AB106" s="17"/>
      <c r="AC106" s="17">
        <v>116867000</v>
      </c>
      <c r="AD106" s="17"/>
      <c r="AE106" s="17"/>
      <c r="AF106" s="17"/>
      <c r="AG106" s="17"/>
      <c r="AH106" s="17">
        <v>1408081000</v>
      </c>
      <c r="AI106" s="17"/>
      <c r="AJ106" s="17"/>
      <c r="AK106" s="17"/>
      <c r="AL106" s="17"/>
      <c r="AM106" s="17">
        <v>99786000</v>
      </c>
      <c r="AN106" s="17"/>
      <c r="AO106" s="17"/>
      <c r="AP106" s="17"/>
      <c r="AQ106" s="17"/>
      <c r="AR106" s="17">
        <v>118948000</v>
      </c>
      <c r="AS106" s="17"/>
      <c r="AT106" s="17"/>
      <c r="AU106" s="17"/>
      <c r="AV106" s="17"/>
      <c r="AW106" s="17"/>
      <c r="AX106" s="17"/>
      <c r="AY106" s="17"/>
      <c r="AZ106" s="17"/>
      <c r="BA106" s="17"/>
      <c r="BB106" s="17">
        <v>5758000</v>
      </c>
      <c r="BC106" s="17"/>
      <c r="BD106" s="17"/>
      <c r="BE106" s="17"/>
      <c r="BF106" s="17"/>
      <c r="BG106" s="17">
        <v>12736000</v>
      </c>
      <c r="BH106" s="17"/>
      <c r="BI106" s="17"/>
      <c r="BJ106" s="17"/>
      <c r="BK106" s="17"/>
      <c r="BL106" s="17">
        <v>7095000</v>
      </c>
      <c r="BM106" s="17"/>
      <c r="BN106" s="17"/>
      <c r="BO106" s="17"/>
      <c r="BP106" s="17"/>
      <c r="BQ106" s="17">
        <v>-19122000</v>
      </c>
      <c r="BR106" s="17"/>
      <c r="BS106" s="17"/>
      <c r="BT106" s="17"/>
      <c r="BU106" s="17"/>
    </row>
    <row r="107" spans="1:73" x14ac:dyDescent="0.25">
      <c r="A107" s="16">
        <v>220</v>
      </c>
      <c r="B107" s="17">
        <v>22</v>
      </c>
      <c r="C107" s="18" t="s">
        <v>190</v>
      </c>
      <c r="D107" s="17"/>
      <c r="E107" s="17"/>
      <c r="F107" s="17"/>
      <c r="G107" s="17"/>
      <c r="H107" s="17"/>
      <c r="I107" s="17"/>
      <c r="J107" s="17"/>
      <c r="K107" s="17">
        <v>3565000</v>
      </c>
      <c r="L107" s="17">
        <v>2568000</v>
      </c>
      <c r="M107" s="17">
        <v>10000</v>
      </c>
      <c r="N107" s="17"/>
      <c r="O107" s="17">
        <v>2900000</v>
      </c>
      <c r="P107" s="17">
        <v>3295000</v>
      </c>
      <c r="Q107" s="17">
        <v>2873000</v>
      </c>
      <c r="R107" s="17"/>
      <c r="S107" s="17">
        <v>10000</v>
      </c>
      <c r="T107" s="17">
        <v>5140000</v>
      </c>
      <c r="U107" s="17">
        <v>258000</v>
      </c>
      <c r="V107" s="17">
        <v>1229000</v>
      </c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>
        <v>19702000</v>
      </c>
      <c r="AN107" s="17">
        <v>26606000</v>
      </c>
      <c r="AO107" s="17">
        <v>38147000</v>
      </c>
      <c r="AP107" s="17">
        <v>36278000</v>
      </c>
      <c r="AQ107" s="17">
        <v>23678000</v>
      </c>
      <c r="AR107" s="17">
        <v>18376000</v>
      </c>
      <c r="AS107" s="17">
        <v>24809000</v>
      </c>
      <c r="AT107" s="17">
        <v>34870000</v>
      </c>
      <c r="AU107" s="17">
        <v>33857000</v>
      </c>
      <c r="AV107" s="17">
        <v>21982000</v>
      </c>
      <c r="AW107" s="17"/>
      <c r="AX107" s="17"/>
      <c r="AY107" s="17"/>
      <c r="AZ107" s="17"/>
      <c r="BA107" s="17"/>
      <c r="BB107" s="17"/>
      <c r="BC107" s="17"/>
      <c r="BD107" s="17"/>
      <c r="BE107" s="17"/>
      <c r="BF107" s="17"/>
      <c r="BG107" s="17"/>
      <c r="BH107" s="17"/>
      <c r="BI107" s="17"/>
      <c r="BJ107" s="17"/>
      <c r="BK107" s="17"/>
      <c r="BL107" s="17"/>
      <c r="BM107" s="17"/>
      <c r="BN107" s="17"/>
      <c r="BO107" s="17"/>
      <c r="BP107" s="17"/>
      <c r="BQ107" s="17">
        <v>1326000</v>
      </c>
      <c r="BR107" s="17">
        <v>1438000</v>
      </c>
      <c r="BS107" s="17">
        <v>2621000</v>
      </c>
      <c r="BT107" s="17">
        <v>2058000</v>
      </c>
      <c r="BU107" s="17">
        <v>1459000</v>
      </c>
    </row>
    <row r="108" spans="1:73" x14ac:dyDescent="0.25">
      <c r="A108" s="16">
        <v>224</v>
      </c>
      <c r="B108" s="17">
        <v>12</v>
      </c>
      <c r="C108" s="18" t="s">
        <v>190</v>
      </c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>
        <v>11088000</v>
      </c>
      <c r="R108" s="17">
        <v>11088000</v>
      </c>
      <c r="S108" s="17"/>
      <c r="T108" s="17"/>
      <c r="U108" s="17"/>
      <c r="V108" s="17"/>
      <c r="W108" s="17"/>
      <c r="X108" s="17"/>
      <c r="Y108" s="17"/>
      <c r="Z108" s="17"/>
      <c r="AA108" s="17">
        <v>-147546000</v>
      </c>
      <c r="AB108" s="17">
        <v>-147859000</v>
      </c>
      <c r="AC108" s="17"/>
      <c r="AD108" s="17"/>
      <c r="AE108" s="17"/>
      <c r="AF108" s="17"/>
      <c r="AG108" s="17"/>
      <c r="AH108" s="17"/>
      <c r="AI108" s="17"/>
      <c r="AJ108" s="17"/>
      <c r="AK108" s="17">
        <v>158614000</v>
      </c>
      <c r="AL108" s="17">
        <v>158927000</v>
      </c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7"/>
      <c r="BC108" s="17"/>
      <c r="BD108" s="17"/>
      <c r="BE108" s="17"/>
      <c r="BF108" s="17"/>
      <c r="BG108" s="17"/>
      <c r="BH108" s="17"/>
      <c r="BI108" s="17"/>
      <c r="BJ108" s="17"/>
      <c r="BK108" s="17"/>
      <c r="BL108" s="17"/>
      <c r="BM108" s="17"/>
      <c r="BN108" s="17"/>
      <c r="BO108" s="17">
        <v>365000</v>
      </c>
      <c r="BP108" s="17">
        <v>313000</v>
      </c>
      <c r="BQ108" s="17"/>
      <c r="BR108" s="17"/>
      <c r="BS108" s="17"/>
      <c r="BT108" s="17">
        <v>-365000</v>
      </c>
      <c r="BU108" s="17">
        <v>-313000</v>
      </c>
    </row>
    <row r="109" spans="1:73" x14ac:dyDescent="0.25">
      <c r="A109" s="16">
        <v>233</v>
      </c>
      <c r="B109" s="17">
        <v>12</v>
      </c>
      <c r="C109" s="18" t="s">
        <v>190</v>
      </c>
      <c r="D109" s="17">
        <v>6989000</v>
      </c>
      <c r="E109" s="17">
        <v>4316000</v>
      </c>
      <c r="F109" s="17">
        <v>914000</v>
      </c>
      <c r="G109" s="17">
        <v>914000</v>
      </c>
      <c r="H109" s="17">
        <v>148000</v>
      </c>
      <c r="I109" s="17">
        <v>17131000</v>
      </c>
      <c r="J109" s="17">
        <v>21848000</v>
      </c>
      <c r="K109" s="17">
        <v>32292000</v>
      </c>
      <c r="L109" s="17">
        <v>32292000</v>
      </c>
      <c r="M109" s="17"/>
      <c r="N109" s="17">
        <v>19595000</v>
      </c>
      <c r="O109" s="17">
        <v>4732000</v>
      </c>
      <c r="P109" s="17">
        <v>2960000</v>
      </c>
      <c r="Q109" s="17">
        <v>2960000</v>
      </c>
      <c r="R109" s="17">
        <v>50000</v>
      </c>
      <c r="S109" s="17">
        <v>537000</v>
      </c>
      <c r="T109" s="17">
        <v>20000</v>
      </c>
      <c r="U109" s="17">
        <v>38000</v>
      </c>
      <c r="V109" s="17">
        <v>38000</v>
      </c>
      <c r="W109" s="17"/>
      <c r="X109" s="17">
        <v>6869000</v>
      </c>
      <c r="Y109" s="17">
        <v>-1171000</v>
      </c>
      <c r="Z109" s="17">
        <v>-1981000</v>
      </c>
      <c r="AA109" s="17">
        <v>-1981000</v>
      </c>
      <c r="AB109" s="17">
        <v>-17315000</v>
      </c>
      <c r="AC109" s="17">
        <v>3675000</v>
      </c>
      <c r="AD109" s="17">
        <v>2195000</v>
      </c>
      <c r="AE109" s="17">
        <v>1886000</v>
      </c>
      <c r="AF109" s="17">
        <v>1886000</v>
      </c>
      <c r="AG109" s="17"/>
      <c r="AH109" s="17">
        <v>30817000</v>
      </c>
      <c r="AI109" s="17">
        <v>29388000</v>
      </c>
      <c r="AJ109" s="17">
        <v>38271000</v>
      </c>
      <c r="AK109" s="17">
        <v>38271000</v>
      </c>
      <c r="AL109" s="17">
        <v>17503000</v>
      </c>
      <c r="AM109" s="17">
        <v>80722000</v>
      </c>
      <c r="AN109" s="17">
        <v>33995000</v>
      </c>
      <c r="AO109" s="17">
        <v>25334000</v>
      </c>
      <c r="AP109" s="17"/>
      <c r="AQ109" s="17"/>
      <c r="AR109" s="17">
        <v>75038000</v>
      </c>
      <c r="AS109" s="17">
        <v>25719000</v>
      </c>
      <c r="AT109" s="17">
        <v>13125000</v>
      </c>
      <c r="AU109" s="17"/>
      <c r="AV109" s="17"/>
      <c r="AW109" s="17"/>
      <c r="AX109" s="17"/>
      <c r="AY109" s="17"/>
      <c r="AZ109" s="17"/>
      <c r="BA109" s="17"/>
      <c r="BB109" s="17"/>
      <c r="BC109" s="17">
        <v>16897000</v>
      </c>
      <c r="BD109" s="17">
        <v>13171000</v>
      </c>
      <c r="BE109" s="17"/>
      <c r="BF109" s="17"/>
      <c r="BG109" s="17">
        <v>2750000</v>
      </c>
      <c r="BH109" s="17">
        <v>3113000</v>
      </c>
      <c r="BI109" s="17">
        <v>2865000</v>
      </c>
      <c r="BJ109" s="17"/>
      <c r="BK109" s="17">
        <v>88000</v>
      </c>
      <c r="BL109" s="17">
        <v>3618000</v>
      </c>
      <c r="BM109" s="17">
        <v>4308000</v>
      </c>
      <c r="BN109" s="17">
        <v>2641000</v>
      </c>
      <c r="BO109" s="17"/>
      <c r="BP109" s="17">
        <v>95000</v>
      </c>
      <c r="BQ109" s="17">
        <v>3553000</v>
      </c>
      <c r="BR109" s="17">
        <v>-8043000</v>
      </c>
      <c r="BS109" s="17">
        <v>-810000</v>
      </c>
      <c r="BT109" s="17"/>
      <c r="BU109" s="17">
        <v>-7000</v>
      </c>
    </row>
    <row r="110" spans="1:73" x14ac:dyDescent="0.25">
      <c r="A110" s="16">
        <v>236</v>
      </c>
      <c r="B110" s="17">
        <v>17</v>
      </c>
      <c r="C110" s="18" t="s">
        <v>190</v>
      </c>
      <c r="D110" s="17"/>
      <c r="E110" s="17"/>
      <c r="F110" s="17"/>
      <c r="G110" s="17"/>
      <c r="H110" s="17"/>
      <c r="I110" s="17">
        <v>5685000</v>
      </c>
      <c r="J110" s="17"/>
      <c r="K110" s="17"/>
      <c r="L110" s="17"/>
      <c r="M110" s="17"/>
      <c r="N110" s="17">
        <v>17710000</v>
      </c>
      <c r="O110" s="17"/>
      <c r="P110" s="17"/>
      <c r="Q110" s="17"/>
      <c r="R110" s="17"/>
      <c r="S110" s="17">
        <v>128000</v>
      </c>
      <c r="T110" s="17"/>
      <c r="U110" s="17"/>
      <c r="V110" s="17"/>
      <c r="W110" s="17"/>
      <c r="X110" s="17">
        <v>1954000</v>
      </c>
      <c r="Y110" s="17"/>
      <c r="Z110" s="17"/>
      <c r="AA110" s="17"/>
      <c r="AB110" s="17"/>
      <c r="AC110" s="17">
        <v>748000</v>
      </c>
      <c r="AD110" s="17"/>
      <c r="AE110" s="17"/>
      <c r="AF110" s="17"/>
      <c r="AG110" s="17"/>
      <c r="AH110" s="17">
        <v>20707000</v>
      </c>
      <c r="AI110" s="17"/>
      <c r="AJ110" s="17"/>
      <c r="AK110" s="17"/>
      <c r="AL110" s="17"/>
      <c r="AM110" s="17">
        <v>8498000</v>
      </c>
      <c r="AN110" s="17"/>
      <c r="AO110" s="17"/>
      <c r="AP110" s="17"/>
      <c r="AQ110" s="17"/>
      <c r="AR110" s="17">
        <v>8219000</v>
      </c>
      <c r="AS110" s="17"/>
      <c r="AT110" s="17"/>
      <c r="AU110" s="17"/>
      <c r="AV110" s="17"/>
      <c r="AW110" s="17"/>
      <c r="AX110" s="17"/>
      <c r="AY110" s="17"/>
      <c r="AZ110" s="17"/>
      <c r="BA110" s="17"/>
      <c r="BB110" s="17"/>
      <c r="BC110" s="17"/>
      <c r="BD110" s="17"/>
      <c r="BE110" s="17"/>
      <c r="BF110" s="17"/>
      <c r="BG110" s="17">
        <v>1599000</v>
      </c>
      <c r="BH110" s="17"/>
      <c r="BI110" s="17"/>
      <c r="BJ110" s="17"/>
      <c r="BK110" s="17"/>
      <c r="BL110" s="17">
        <v>1408000</v>
      </c>
      <c r="BM110" s="17"/>
      <c r="BN110" s="17"/>
      <c r="BO110" s="17"/>
      <c r="BP110" s="17"/>
      <c r="BQ110" s="17">
        <v>348000</v>
      </c>
      <c r="BR110" s="17"/>
      <c r="BS110" s="17"/>
      <c r="BT110" s="17"/>
      <c r="BU110" s="17"/>
    </row>
    <row r="111" spans="1:73" x14ac:dyDescent="0.25">
      <c r="A111" s="16">
        <v>237</v>
      </c>
      <c r="B111" s="17">
        <v>15</v>
      </c>
      <c r="C111" s="18" t="s">
        <v>190</v>
      </c>
      <c r="D111" s="17">
        <v>4186000</v>
      </c>
      <c r="E111" s="17">
        <v>3841000</v>
      </c>
      <c r="F111" s="17">
        <v>3496000</v>
      </c>
      <c r="G111" s="17"/>
      <c r="H111" s="17">
        <v>2806000</v>
      </c>
      <c r="I111" s="17">
        <v>17495000</v>
      </c>
      <c r="J111" s="17">
        <v>13555000</v>
      </c>
      <c r="K111" s="17"/>
      <c r="L111" s="17"/>
      <c r="M111" s="17"/>
      <c r="N111" s="17">
        <v>76541000</v>
      </c>
      <c r="O111" s="17">
        <v>67482000</v>
      </c>
      <c r="P111" s="17">
        <v>79115000</v>
      </c>
      <c r="Q111" s="17"/>
      <c r="R111" s="17">
        <v>51219000</v>
      </c>
      <c r="S111" s="17">
        <v>140000</v>
      </c>
      <c r="T111" s="17">
        <v>568000</v>
      </c>
      <c r="U111" s="17">
        <v>8000</v>
      </c>
      <c r="V111" s="17"/>
      <c r="W111" s="17"/>
      <c r="X111" s="17"/>
      <c r="Y111" s="17"/>
      <c r="Z111" s="17"/>
      <c r="AA111" s="17"/>
      <c r="AB111" s="17"/>
      <c r="AC111" s="17">
        <v>683000</v>
      </c>
      <c r="AD111" s="17">
        <v>3175000</v>
      </c>
      <c r="AE111" s="17">
        <v>3192000</v>
      </c>
      <c r="AF111" s="17"/>
      <c r="AG111" s="17">
        <v>2487000</v>
      </c>
      <c r="AH111" s="17">
        <v>88254000</v>
      </c>
      <c r="AI111" s="17">
        <v>72491000</v>
      </c>
      <c r="AJ111" s="17">
        <v>69490000</v>
      </c>
      <c r="AK111" s="17"/>
      <c r="AL111" s="17">
        <v>55121000</v>
      </c>
      <c r="AM111" s="17">
        <v>204466000</v>
      </c>
      <c r="AN111" s="17">
        <v>7476000</v>
      </c>
      <c r="AO111" s="17">
        <v>3447000</v>
      </c>
      <c r="AP111" s="17"/>
      <c r="AQ111" s="17">
        <v>405000</v>
      </c>
      <c r="AR111" s="17">
        <v>200876000</v>
      </c>
      <c r="AS111" s="17">
        <v>4184000</v>
      </c>
      <c r="AT111" s="17">
        <v>5606000</v>
      </c>
      <c r="AU111" s="17"/>
      <c r="AV111" s="17">
        <v>738000</v>
      </c>
      <c r="AW111" s="17"/>
      <c r="AX111" s="17"/>
      <c r="AY111" s="17"/>
      <c r="AZ111" s="17"/>
      <c r="BA111" s="17"/>
      <c r="BB111" s="17"/>
      <c r="BC111" s="17"/>
      <c r="BD111" s="17"/>
      <c r="BE111" s="17"/>
      <c r="BF111" s="17"/>
      <c r="BG111" s="17">
        <v>3748000</v>
      </c>
      <c r="BH111" s="17">
        <v>1360000</v>
      </c>
      <c r="BI111" s="17">
        <v>3634000</v>
      </c>
      <c r="BJ111" s="17"/>
      <c r="BK111" s="17"/>
      <c r="BL111" s="17">
        <v>4427000</v>
      </c>
      <c r="BM111" s="17">
        <v>4137000</v>
      </c>
      <c r="BN111" s="17">
        <v>1160000</v>
      </c>
      <c r="BO111" s="17"/>
      <c r="BP111" s="17">
        <v>8384000</v>
      </c>
      <c r="BQ111" s="17">
        <v>2480000</v>
      </c>
      <c r="BR111" s="17">
        <v>355000</v>
      </c>
      <c r="BS111" s="17">
        <v>115000</v>
      </c>
      <c r="BT111" s="17"/>
      <c r="BU111" s="17">
        <v>-8717000</v>
      </c>
    </row>
    <row r="112" spans="1:73" x14ac:dyDescent="0.25">
      <c r="A112" s="16">
        <v>123</v>
      </c>
      <c r="B112" s="17">
        <v>11</v>
      </c>
      <c r="C112" s="18" t="s">
        <v>511</v>
      </c>
      <c r="D112" s="17">
        <v>15772000</v>
      </c>
      <c r="E112" s="17">
        <v>10916000</v>
      </c>
      <c r="F112" s="17"/>
      <c r="G112" s="17"/>
      <c r="H112" s="17"/>
      <c r="I112" s="17">
        <v>39496000</v>
      </c>
      <c r="J112" s="17">
        <v>21614000</v>
      </c>
      <c r="K112" s="17">
        <v>22239000</v>
      </c>
      <c r="L112" s="17">
        <v>22239000</v>
      </c>
      <c r="M112" s="17"/>
      <c r="N112" s="17">
        <v>14383000</v>
      </c>
      <c r="O112" s="17">
        <v>6871000</v>
      </c>
      <c r="P112" s="17">
        <v>4814000</v>
      </c>
      <c r="Q112" s="17">
        <v>4814000</v>
      </c>
      <c r="R112" s="17"/>
      <c r="S112" s="17">
        <v>196000</v>
      </c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>
        <v>67774000</v>
      </c>
      <c r="AI112" s="17">
        <v>43027000</v>
      </c>
      <c r="AJ112" s="17">
        <v>47274000</v>
      </c>
      <c r="AK112" s="17">
        <v>47274000</v>
      </c>
      <c r="AL112" s="17">
        <v>48359000</v>
      </c>
      <c r="AM112" s="17">
        <v>53646000</v>
      </c>
      <c r="AN112" s="17">
        <v>53158000</v>
      </c>
      <c r="AO112" s="17">
        <v>14475000</v>
      </c>
      <c r="AP112" s="17"/>
      <c r="AQ112" s="17"/>
      <c r="AR112" s="17">
        <v>58593000</v>
      </c>
      <c r="AS112" s="17">
        <v>55990000</v>
      </c>
      <c r="AT112" s="17">
        <v>3497000</v>
      </c>
      <c r="AU112" s="17"/>
      <c r="AV112" s="17"/>
      <c r="AW112" s="17"/>
      <c r="AX112" s="17"/>
      <c r="AY112" s="17"/>
      <c r="AZ112" s="17"/>
      <c r="BA112" s="17"/>
      <c r="BB112" s="17"/>
      <c r="BC112" s="17"/>
      <c r="BD112" s="17"/>
      <c r="BE112" s="17"/>
      <c r="BF112" s="17"/>
      <c r="BG112" s="17">
        <v>5799000</v>
      </c>
      <c r="BH112" s="17">
        <v>3069000</v>
      </c>
      <c r="BI112" s="17"/>
      <c r="BJ112" s="17"/>
      <c r="BK112" s="17"/>
      <c r="BL112" s="17">
        <v>679000</v>
      </c>
      <c r="BM112" s="17">
        <v>5936000</v>
      </c>
      <c r="BN112" s="17">
        <v>14848000</v>
      </c>
      <c r="BO112" s="17"/>
      <c r="BP112" s="17"/>
      <c r="BQ112" s="17">
        <v>29000</v>
      </c>
      <c r="BR112" s="17">
        <v>-5699000</v>
      </c>
      <c r="BS112" s="17">
        <v>-3870000</v>
      </c>
      <c r="BT112" s="17"/>
      <c r="BU112" s="17"/>
    </row>
    <row r="113" spans="1:73" x14ac:dyDescent="0.25">
      <c r="A113" s="16">
        <v>190</v>
      </c>
      <c r="B113" s="17">
        <v>6</v>
      </c>
      <c r="C113" s="18" t="s">
        <v>674</v>
      </c>
      <c r="D113" s="17">
        <v>2615000</v>
      </c>
      <c r="E113" s="17">
        <v>230279000</v>
      </c>
      <c r="F113" s="17">
        <v>487200000</v>
      </c>
      <c r="G113" s="17">
        <v>230915000</v>
      </c>
      <c r="H113" s="17">
        <v>121550000</v>
      </c>
      <c r="I113" s="17">
        <v>825000</v>
      </c>
      <c r="J113" s="17">
        <v>3806321000</v>
      </c>
      <c r="K113" s="17">
        <v>10360362000</v>
      </c>
      <c r="L113" s="17">
        <v>9088150000</v>
      </c>
      <c r="M113" s="17">
        <v>9081928000</v>
      </c>
      <c r="N113" s="17">
        <v>163635000</v>
      </c>
      <c r="O113" s="17">
        <v>1357321000</v>
      </c>
      <c r="P113" s="17">
        <v>4055627000</v>
      </c>
      <c r="Q113" s="17">
        <v>1544859000</v>
      </c>
      <c r="R113" s="17">
        <v>1490337000</v>
      </c>
      <c r="S113" s="17">
        <v>110771000</v>
      </c>
      <c r="T113" s="17">
        <v>205680000</v>
      </c>
      <c r="U113" s="17">
        <v>56513000</v>
      </c>
      <c r="V113" s="17">
        <v>21679000</v>
      </c>
      <c r="W113" s="17">
        <v>15804000</v>
      </c>
      <c r="X113" s="17">
        <v>12517000</v>
      </c>
      <c r="Y113" s="17">
        <v>17492000</v>
      </c>
      <c r="Z113" s="17">
        <v>119177000</v>
      </c>
      <c r="AA113" s="17">
        <v>-735386000</v>
      </c>
      <c r="AB113" s="17">
        <v>-862380000</v>
      </c>
      <c r="AC113" s="17"/>
      <c r="AD113" s="17"/>
      <c r="AE113" s="17">
        <v>5000000</v>
      </c>
      <c r="AF113" s="17"/>
      <c r="AG113" s="17"/>
      <c r="AH113" s="17">
        <v>288802000</v>
      </c>
      <c r="AI113" s="17">
        <v>5561856000</v>
      </c>
      <c r="AJ113" s="17">
        <v>14572226000</v>
      </c>
      <c r="AK113" s="17">
        <v>11742541000</v>
      </c>
      <c r="AL113" s="17">
        <v>11800443000</v>
      </c>
      <c r="AM113" s="17">
        <v>477768000</v>
      </c>
      <c r="AN113" s="17">
        <v>1581781000</v>
      </c>
      <c r="AO113" s="17">
        <v>5713885000</v>
      </c>
      <c r="AP113" s="17">
        <v>4231423000</v>
      </c>
      <c r="AQ113" s="17">
        <v>45214000</v>
      </c>
      <c r="AR113" s="17">
        <v>423271000</v>
      </c>
      <c r="AS113" s="17">
        <v>1395104000</v>
      </c>
      <c r="AT113" s="17">
        <v>5134236000</v>
      </c>
      <c r="AU113" s="17">
        <v>4712567000</v>
      </c>
      <c r="AV113" s="17">
        <v>51857000</v>
      </c>
      <c r="AW113" s="17"/>
      <c r="AX113" s="17"/>
      <c r="AY113" s="17"/>
      <c r="AZ113" s="17"/>
      <c r="BA113" s="17"/>
      <c r="BB113" s="17">
        <v>51100000</v>
      </c>
      <c r="BC113" s="17">
        <v>175987000</v>
      </c>
      <c r="BD113" s="17">
        <v>495777000</v>
      </c>
      <c r="BE113" s="17">
        <v>409365000</v>
      </c>
      <c r="BF113" s="17">
        <v>279203000</v>
      </c>
      <c r="BG113" s="17">
        <v>16079000</v>
      </c>
      <c r="BH113" s="17">
        <v>10289000</v>
      </c>
      <c r="BI113" s="17">
        <v>216548000</v>
      </c>
      <c r="BJ113" s="17">
        <v>224640000</v>
      </c>
      <c r="BK113" s="17">
        <v>222129000</v>
      </c>
      <c r="BL113" s="17">
        <v>3484000</v>
      </c>
      <c r="BM113" s="17">
        <v>13701000</v>
      </c>
      <c r="BN113" s="17">
        <v>245168000</v>
      </c>
      <c r="BO113" s="17">
        <v>395644000</v>
      </c>
      <c r="BP113" s="17">
        <v>167618000</v>
      </c>
      <c r="BQ113" s="17">
        <v>12466000</v>
      </c>
      <c r="BR113" s="17">
        <v>4975000</v>
      </c>
      <c r="BS113" s="17">
        <v>58825000</v>
      </c>
      <c r="BT113" s="17">
        <v>-854563000</v>
      </c>
      <c r="BU113" s="17">
        <v>-126994000</v>
      </c>
    </row>
    <row r="114" spans="1:73" x14ac:dyDescent="0.25">
      <c r="A114" s="16">
        <v>19</v>
      </c>
      <c r="B114" s="17">
        <v>10</v>
      </c>
      <c r="C114" s="18" t="s">
        <v>239</v>
      </c>
      <c r="D114" s="17">
        <v>3482000</v>
      </c>
      <c r="E114" s="17">
        <v>2370000</v>
      </c>
      <c r="F114" s="17"/>
      <c r="G114" s="17"/>
      <c r="H114" s="17"/>
      <c r="I114" s="17">
        <v>30835000</v>
      </c>
      <c r="J114" s="17"/>
      <c r="K114" s="17"/>
      <c r="L114" s="17"/>
      <c r="M114" s="17"/>
      <c r="N114" s="17">
        <v>44545000</v>
      </c>
      <c r="O114" s="17">
        <v>28830000</v>
      </c>
      <c r="P114" s="17"/>
      <c r="Q114" s="17">
        <v>87109000</v>
      </c>
      <c r="R114" s="17">
        <v>87109000</v>
      </c>
      <c r="S114" s="17">
        <v>49000</v>
      </c>
      <c r="T114" s="17">
        <v>1393000</v>
      </c>
      <c r="U114" s="17"/>
      <c r="V114" s="17">
        <v>71000</v>
      </c>
      <c r="W114" s="17"/>
      <c r="X114" s="17"/>
      <c r="Y114" s="17"/>
      <c r="Z114" s="17"/>
      <c r="AA114" s="17"/>
      <c r="AB114" s="17"/>
      <c r="AC114" s="17">
        <v>7666000</v>
      </c>
      <c r="AD114" s="17">
        <v>12737000</v>
      </c>
      <c r="AE114" s="17"/>
      <c r="AF114" s="17"/>
      <c r="AG114" s="17"/>
      <c r="AH114" s="17">
        <v>62883000</v>
      </c>
      <c r="AI114" s="17">
        <v>38187000</v>
      </c>
      <c r="AJ114" s="17"/>
      <c r="AK114" s="17">
        <v>219371000</v>
      </c>
      <c r="AL114" s="17">
        <v>219371000</v>
      </c>
      <c r="AM114" s="17">
        <v>179332000</v>
      </c>
      <c r="AN114" s="17">
        <v>35387000</v>
      </c>
      <c r="AO114" s="17"/>
      <c r="AP114" s="17"/>
      <c r="AQ114" s="17"/>
      <c r="AR114" s="17">
        <v>156342000</v>
      </c>
      <c r="AS114" s="17">
        <v>80269000</v>
      </c>
      <c r="AT114" s="17"/>
      <c r="AU114" s="17"/>
      <c r="AV114" s="17"/>
      <c r="AW114" s="17"/>
      <c r="AX114" s="17"/>
      <c r="AY114" s="17"/>
      <c r="AZ114" s="17"/>
      <c r="BA114" s="17"/>
      <c r="BB114" s="17"/>
      <c r="BC114" s="17"/>
      <c r="BD114" s="17"/>
      <c r="BE114" s="17"/>
      <c r="BF114" s="17"/>
      <c r="BG114" s="17">
        <v>2785000</v>
      </c>
      <c r="BH114" s="17">
        <v>56949000</v>
      </c>
      <c r="BI114" s="17"/>
      <c r="BJ114" s="17"/>
      <c r="BK114" s="17"/>
      <c r="BL114" s="17">
        <v>2754000</v>
      </c>
      <c r="BM114" s="17">
        <v>36917000</v>
      </c>
      <c r="BN114" s="17"/>
      <c r="BO114" s="17">
        <v>203000</v>
      </c>
      <c r="BP114" s="17"/>
      <c r="BQ114" s="17">
        <v>2385000</v>
      </c>
      <c r="BR114" s="17">
        <v>-26692000</v>
      </c>
      <c r="BS114" s="17"/>
      <c r="BT114" s="17">
        <v>-203000</v>
      </c>
      <c r="BU114" s="17"/>
    </row>
    <row r="115" spans="1:73" x14ac:dyDescent="0.25">
      <c r="A115" s="16">
        <v>59</v>
      </c>
      <c r="B115" s="17">
        <v>12</v>
      </c>
      <c r="C115" s="18" t="s">
        <v>239</v>
      </c>
      <c r="D115" s="17">
        <v>26759000</v>
      </c>
      <c r="E115" s="17"/>
      <c r="F115" s="17"/>
      <c r="G115" s="17"/>
      <c r="H115" s="17"/>
      <c r="I115" s="17">
        <v>158854000</v>
      </c>
      <c r="J115" s="17"/>
      <c r="K115" s="17"/>
      <c r="L115" s="17"/>
      <c r="M115" s="17"/>
      <c r="N115" s="17">
        <v>22998000</v>
      </c>
      <c r="O115" s="17"/>
      <c r="P115" s="17">
        <v>203384000</v>
      </c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>
        <v>1227000</v>
      </c>
      <c r="AD115" s="17"/>
      <c r="AE115" s="17"/>
      <c r="AF115" s="17"/>
      <c r="AG115" s="17"/>
      <c r="AH115" s="17">
        <v>188131000</v>
      </c>
      <c r="AI115" s="17"/>
      <c r="AJ115" s="17">
        <v>203374000</v>
      </c>
      <c r="AK115" s="17"/>
      <c r="AL115" s="17"/>
      <c r="AM115" s="17">
        <v>78483000</v>
      </c>
      <c r="AN115" s="17"/>
      <c r="AO115" s="17"/>
      <c r="AP115" s="17"/>
      <c r="AQ115" s="17"/>
      <c r="AR115" s="17">
        <v>77338000</v>
      </c>
      <c r="AS115" s="17"/>
      <c r="AT115" s="17">
        <v>188756000</v>
      </c>
      <c r="AU115" s="17"/>
      <c r="AV115" s="17"/>
      <c r="AW115" s="17"/>
      <c r="AX115" s="17"/>
      <c r="AY115" s="17"/>
      <c r="AZ115" s="17"/>
      <c r="BA115" s="17"/>
      <c r="BB115" s="17"/>
      <c r="BC115" s="17"/>
      <c r="BD115" s="17"/>
      <c r="BE115" s="17"/>
      <c r="BF115" s="17"/>
      <c r="BG115" s="17"/>
      <c r="BH115" s="17"/>
      <c r="BI115" s="17"/>
      <c r="BJ115" s="17"/>
      <c r="BK115" s="17"/>
      <c r="BL115" s="17">
        <v>82000</v>
      </c>
      <c r="BM115" s="17"/>
      <c r="BN115" s="17">
        <v>239000</v>
      </c>
      <c r="BO115" s="17"/>
      <c r="BP115" s="17"/>
      <c r="BQ115" s="17">
        <v>677000</v>
      </c>
      <c r="BR115" s="17"/>
      <c r="BS115" s="17">
        <v>-203374000</v>
      </c>
      <c r="BT115" s="17"/>
      <c r="BU115" s="17"/>
    </row>
    <row r="116" spans="1:73" x14ac:dyDescent="0.25">
      <c r="A116" s="16">
        <v>70</v>
      </c>
      <c r="B116" s="17">
        <v>18</v>
      </c>
      <c r="C116" s="18" t="s">
        <v>239</v>
      </c>
      <c r="D116" s="17">
        <v>10599000</v>
      </c>
      <c r="E116" s="17"/>
      <c r="F116" s="17"/>
      <c r="G116" s="17"/>
      <c r="H116" s="17"/>
      <c r="I116" s="17">
        <v>125000</v>
      </c>
      <c r="J116" s="17">
        <v>125000</v>
      </c>
      <c r="K116" s="17"/>
      <c r="L116" s="17"/>
      <c r="M116" s="17"/>
      <c r="N116" s="17">
        <v>44866000</v>
      </c>
      <c r="O116" s="17">
        <v>26182000</v>
      </c>
      <c r="P116" s="17">
        <v>23576000</v>
      </c>
      <c r="Q116" s="17">
        <v>21068000</v>
      </c>
      <c r="R116" s="17">
        <v>9611000</v>
      </c>
      <c r="S116" s="17">
        <v>858000</v>
      </c>
      <c r="T116" s="17">
        <v>5029000</v>
      </c>
      <c r="U116" s="17">
        <v>3432000</v>
      </c>
      <c r="V116" s="17">
        <v>2663000</v>
      </c>
      <c r="W116" s="17">
        <v>2014000</v>
      </c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>
        <v>96515000</v>
      </c>
      <c r="AI116" s="17">
        <v>80043000</v>
      </c>
      <c r="AJ116" s="17">
        <v>79335000</v>
      </c>
      <c r="AK116" s="17">
        <v>79333000</v>
      </c>
      <c r="AL116" s="17">
        <v>75414000</v>
      </c>
      <c r="AM116" s="17"/>
      <c r="AN116" s="17">
        <v>8314000</v>
      </c>
      <c r="AO116" s="17"/>
      <c r="AP116" s="17"/>
      <c r="AQ116" s="17"/>
      <c r="AR116" s="17"/>
      <c r="AS116" s="17">
        <v>8433000</v>
      </c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17"/>
      <c r="BF116" s="17"/>
      <c r="BG116" s="17">
        <v>242000</v>
      </c>
      <c r="BH116" s="17">
        <v>17055000</v>
      </c>
      <c r="BI116" s="17">
        <v>6000</v>
      </c>
      <c r="BJ116" s="17">
        <v>1716000</v>
      </c>
      <c r="BK116" s="17">
        <v>10630000</v>
      </c>
      <c r="BL116" s="17">
        <v>66491000</v>
      </c>
      <c r="BM116" s="17">
        <v>19047000</v>
      </c>
      <c r="BN116" s="17">
        <v>3626000</v>
      </c>
      <c r="BO116" s="17">
        <v>4988000</v>
      </c>
      <c r="BP116" s="17">
        <v>18817000</v>
      </c>
      <c r="BQ116" s="17">
        <v>-66249000</v>
      </c>
      <c r="BR116" s="17">
        <v>-2111000</v>
      </c>
      <c r="BS116" s="17">
        <v>-3620000</v>
      </c>
      <c r="BT116" s="17">
        <v>-3272000</v>
      </c>
      <c r="BU116" s="17">
        <v>-8187000</v>
      </c>
    </row>
    <row r="117" spans="1:73" x14ac:dyDescent="0.25">
      <c r="A117" s="16">
        <v>113</v>
      </c>
      <c r="B117" s="17">
        <v>25</v>
      </c>
      <c r="C117" s="18" t="s">
        <v>239</v>
      </c>
      <c r="D117" s="17">
        <v>3951000</v>
      </c>
      <c r="E117" s="17">
        <v>83000</v>
      </c>
      <c r="F117" s="17">
        <v>83000</v>
      </c>
      <c r="G117" s="17"/>
      <c r="H117" s="17"/>
      <c r="I117" s="17"/>
      <c r="J117" s="17"/>
      <c r="K117" s="17"/>
      <c r="L117" s="17"/>
      <c r="M117" s="17"/>
      <c r="N117" s="17">
        <v>1156000</v>
      </c>
      <c r="O117" s="17">
        <v>1044000</v>
      </c>
      <c r="P117" s="17">
        <v>1156000</v>
      </c>
      <c r="Q117" s="17">
        <v>2645000</v>
      </c>
      <c r="R117" s="17">
        <v>2764000</v>
      </c>
      <c r="S117" s="17">
        <v>1749000</v>
      </c>
      <c r="T117" s="17">
        <v>2382000</v>
      </c>
      <c r="U117" s="17">
        <v>3195000</v>
      </c>
      <c r="V117" s="17">
        <v>648000</v>
      </c>
      <c r="W117" s="17">
        <v>194000</v>
      </c>
      <c r="X117" s="17">
        <v>-56245000</v>
      </c>
      <c r="Y117" s="17">
        <v>-48412000</v>
      </c>
      <c r="Z117" s="17">
        <v>-47278000</v>
      </c>
      <c r="AA117" s="17">
        <v>-46389000</v>
      </c>
      <c r="AB117" s="17">
        <v>-46354000</v>
      </c>
      <c r="AC117" s="17">
        <v>730000</v>
      </c>
      <c r="AD117" s="17"/>
      <c r="AE117" s="17"/>
      <c r="AF117" s="17"/>
      <c r="AG117" s="17"/>
      <c r="AH117" s="17">
        <v>53115000</v>
      </c>
      <c r="AI117" s="17">
        <v>51911000</v>
      </c>
      <c r="AJ117" s="17">
        <v>51702000</v>
      </c>
      <c r="AK117" s="17">
        <v>49672000</v>
      </c>
      <c r="AL117" s="17">
        <v>49302000</v>
      </c>
      <c r="AM117" s="17">
        <v>3796000</v>
      </c>
      <c r="AN117" s="17">
        <v>4081000</v>
      </c>
      <c r="AO117" s="17">
        <v>1780000</v>
      </c>
      <c r="AP117" s="17"/>
      <c r="AQ117" s="17">
        <v>370000</v>
      </c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>
        <v>2406000</v>
      </c>
      <c r="BC117" s="17">
        <v>1038000</v>
      </c>
      <c r="BD117" s="17">
        <v>679000</v>
      </c>
      <c r="BE117" s="17">
        <v>454000</v>
      </c>
      <c r="BF117" s="17">
        <v>308000</v>
      </c>
      <c r="BG117" s="17"/>
      <c r="BH117" s="17"/>
      <c r="BI117" s="17"/>
      <c r="BJ117" s="17">
        <v>1362000</v>
      </c>
      <c r="BK117" s="17"/>
      <c r="BL117" s="17">
        <v>46000</v>
      </c>
      <c r="BM117" s="17">
        <v>33000</v>
      </c>
      <c r="BN117" s="17">
        <v>37000</v>
      </c>
      <c r="BO117" s="17">
        <v>19000</v>
      </c>
      <c r="BP117" s="17">
        <v>27000</v>
      </c>
      <c r="BQ117" s="17">
        <v>1142000</v>
      </c>
      <c r="BR117" s="17">
        <v>3114000</v>
      </c>
      <c r="BS117" s="17">
        <v>1134000</v>
      </c>
      <c r="BT117" s="17">
        <v>889000</v>
      </c>
      <c r="BU117" s="17">
        <v>35000</v>
      </c>
    </row>
    <row r="118" spans="1:73" x14ac:dyDescent="0.25">
      <c r="A118" s="16">
        <v>143</v>
      </c>
      <c r="B118" s="17">
        <v>24</v>
      </c>
      <c r="C118" s="18" t="s">
        <v>239</v>
      </c>
      <c r="D118" s="17">
        <v>48124000</v>
      </c>
      <c r="E118" s="17">
        <v>20543000</v>
      </c>
      <c r="F118" s="17"/>
      <c r="G118" s="17"/>
      <c r="H118" s="17"/>
      <c r="I118" s="17">
        <v>65181000</v>
      </c>
      <c r="J118" s="17">
        <v>65062000</v>
      </c>
      <c r="K118" s="17"/>
      <c r="L118" s="17"/>
      <c r="M118" s="17"/>
      <c r="N118" s="17">
        <v>701623000</v>
      </c>
      <c r="O118" s="17">
        <v>837385000</v>
      </c>
      <c r="P118" s="17">
        <v>211119000</v>
      </c>
      <c r="Q118" s="17">
        <v>9034000</v>
      </c>
      <c r="R118" s="17"/>
      <c r="S118" s="17">
        <v>117000</v>
      </c>
      <c r="T118" s="17">
        <v>448210000</v>
      </c>
      <c r="U118" s="17">
        <v>40333000</v>
      </c>
      <c r="V118" s="17">
        <v>13156000</v>
      </c>
      <c r="W118" s="17">
        <v>6177000</v>
      </c>
      <c r="X118" s="17">
        <v>-656597000</v>
      </c>
      <c r="Y118" s="17">
        <v>-982109000</v>
      </c>
      <c r="Z118" s="17">
        <v>-1624920000</v>
      </c>
      <c r="AA118" s="17">
        <v>-1915989000</v>
      </c>
      <c r="AB118" s="17">
        <v>-1928141000</v>
      </c>
      <c r="AC118" s="17">
        <v>256710000</v>
      </c>
      <c r="AD118" s="17">
        <v>1290000</v>
      </c>
      <c r="AE118" s="17"/>
      <c r="AF118" s="17">
        <v>21845000</v>
      </c>
      <c r="AG118" s="17">
        <v>21845000</v>
      </c>
      <c r="AH118" s="17">
        <v>1506149000</v>
      </c>
      <c r="AI118" s="17">
        <v>2713378000</v>
      </c>
      <c r="AJ118" s="17">
        <v>1876312000</v>
      </c>
      <c r="AK118" s="17">
        <v>1916274000</v>
      </c>
      <c r="AL118" s="17">
        <v>1912413000</v>
      </c>
      <c r="AM118" s="17">
        <v>352000</v>
      </c>
      <c r="AN118" s="17"/>
      <c r="AO118" s="17"/>
      <c r="AP118" s="17"/>
      <c r="AQ118" s="17"/>
      <c r="AR118" s="17">
        <v>3519000</v>
      </c>
      <c r="AS118" s="17"/>
      <c r="AT118" s="17"/>
      <c r="AU118" s="17"/>
      <c r="AV118" s="17"/>
      <c r="AW118" s="17"/>
      <c r="AX118" s="17"/>
      <c r="AY118" s="17"/>
      <c r="AZ118" s="17"/>
      <c r="BA118" s="17"/>
      <c r="BB118" s="17">
        <v>47132000</v>
      </c>
      <c r="BC118" s="17">
        <v>36389000</v>
      </c>
      <c r="BD118" s="17">
        <v>22592000</v>
      </c>
      <c r="BE118" s="17">
        <v>2540000</v>
      </c>
      <c r="BF118" s="17">
        <v>3144000</v>
      </c>
      <c r="BG118" s="17">
        <v>25244000</v>
      </c>
      <c r="BH118" s="17">
        <v>1020322000</v>
      </c>
      <c r="BI118" s="17">
        <v>24641000</v>
      </c>
      <c r="BJ118" s="17">
        <v>2257000</v>
      </c>
      <c r="BK118" s="17">
        <v>33000</v>
      </c>
      <c r="BL118" s="17">
        <v>67365000</v>
      </c>
      <c r="BM118" s="17">
        <v>1347541000</v>
      </c>
      <c r="BN118" s="17">
        <v>31135000</v>
      </c>
      <c r="BO118" s="17">
        <v>290786000</v>
      </c>
      <c r="BP118" s="17">
        <v>9041000</v>
      </c>
      <c r="BQ118" s="17">
        <v>-69369000</v>
      </c>
      <c r="BR118" s="17">
        <v>-325512000</v>
      </c>
      <c r="BS118" s="17">
        <v>-29086000</v>
      </c>
      <c r="BT118" s="17">
        <v>-291069000</v>
      </c>
      <c r="BU118" s="17">
        <v>-12152000</v>
      </c>
    </row>
    <row r="119" spans="1:73" x14ac:dyDescent="0.25">
      <c r="A119" s="16">
        <v>159</v>
      </c>
      <c r="B119" s="17">
        <v>17</v>
      </c>
      <c r="C119" s="18" t="s">
        <v>239</v>
      </c>
      <c r="D119" s="17">
        <v>1682000</v>
      </c>
      <c r="E119" s="17"/>
      <c r="F119" s="17">
        <v>1940000</v>
      </c>
      <c r="G119" s="17"/>
      <c r="H119" s="17"/>
      <c r="I119" s="17"/>
      <c r="J119" s="17"/>
      <c r="K119" s="17"/>
      <c r="L119" s="17"/>
      <c r="M119" s="17"/>
      <c r="N119" s="17">
        <v>25448000</v>
      </c>
      <c r="O119" s="17">
        <v>20127000</v>
      </c>
      <c r="P119" s="17">
        <v>7782000</v>
      </c>
      <c r="Q119" s="17">
        <v>7536000</v>
      </c>
      <c r="R119" s="17"/>
      <c r="S119" s="17"/>
      <c r="T119" s="17">
        <v>137000</v>
      </c>
      <c r="U119" s="17"/>
      <c r="V119" s="17">
        <v>714000</v>
      </c>
      <c r="W119" s="17"/>
      <c r="X119" s="17">
        <v>-10539000</v>
      </c>
      <c r="Y119" s="17">
        <v>-27656000</v>
      </c>
      <c r="Z119" s="17">
        <v>-39714000</v>
      </c>
      <c r="AA119" s="17">
        <v>-40230000</v>
      </c>
      <c r="AB119" s="17"/>
      <c r="AC119" s="17"/>
      <c r="AD119" s="17"/>
      <c r="AE119" s="17"/>
      <c r="AF119" s="17"/>
      <c r="AG119" s="17"/>
      <c r="AH119" s="17">
        <v>49815000</v>
      </c>
      <c r="AI119" s="17">
        <v>47909000</v>
      </c>
      <c r="AJ119" s="17">
        <v>49425000</v>
      </c>
      <c r="AK119" s="17">
        <v>48469000</v>
      </c>
      <c r="AL119" s="17"/>
      <c r="AM119" s="17">
        <v>251000</v>
      </c>
      <c r="AN119" s="17">
        <v>4186000</v>
      </c>
      <c r="AO119" s="17">
        <v>35000</v>
      </c>
      <c r="AP119" s="17">
        <v>2334000</v>
      </c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7">
        <v>725000</v>
      </c>
      <c r="BD119" s="17">
        <v>694000</v>
      </c>
      <c r="BE119" s="17">
        <v>849000</v>
      </c>
      <c r="BF119" s="17"/>
      <c r="BG119" s="17"/>
      <c r="BH119" s="17"/>
      <c r="BI119" s="17"/>
      <c r="BJ119" s="17">
        <v>66000</v>
      </c>
      <c r="BK119" s="17"/>
      <c r="BL119" s="17">
        <v>4701000</v>
      </c>
      <c r="BM119" s="17">
        <v>20257000</v>
      </c>
      <c r="BN119" s="17">
        <v>11398000</v>
      </c>
      <c r="BO119" s="17">
        <v>1976000</v>
      </c>
      <c r="BP119" s="17"/>
      <c r="BQ119" s="17">
        <v>-4454000</v>
      </c>
      <c r="BR119" s="17">
        <v>-17117000</v>
      </c>
      <c r="BS119" s="17">
        <v>-12058000</v>
      </c>
      <c r="BT119" s="17">
        <v>-516000</v>
      </c>
      <c r="BU119" s="17"/>
    </row>
    <row r="120" spans="1:73" x14ac:dyDescent="0.25">
      <c r="A120" s="16">
        <v>185</v>
      </c>
      <c r="B120" s="17">
        <v>12</v>
      </c>
      <c r="C120" s="18" t="s">
        <v>239</v>
      </c>
      <c r="D120" s="17">
        <v>48641000</v>
      </c>
      <c r="E120" s="17">
        <v>1306000</v>
      </c>
      <c r="F120" s="17"/>
      <c r="G120" s="17"/>
      <c r="H120" s="17"/>
      <c r="I120" s="17">
        <v>55030000</v>
      </c>
      <c r="J120" s="17">
        <v>3547000</v>
      </c>
      <c r="K120" s="17"/>
      <c r="L120" s="17"/>
      <c r="M120" s="17"/>
      <c r="N120" s="17">
        <v>90314000</v>
      </c>
      <c r="O120" s="17">
        <v>55053000</v>
      </c>
      <c r="P120" s="17"/>
      <c r="Q120" s="17"/>
      <c r="R120" s="17"/>
      <c r="S120" s="17">
        <v>2061000</v>
      </c>
      <c r="T120" s="17">
        <v>2728000</v>
      </c>
      <c r="U120" s="17"/>
      <c r="V120" s="17"/>
      <c r="W120" s="17"/>
      <c r="X120" s="17"/>
      <c r="Y120" s="17"/>
      <c r="Z120" s="17"/>
      <c r="AA120" s="17"/>
      <c r="AB120" s="17"/>
      <c r="AC120" s="17">
        <v>54583000</v>
      </c>
      <c r="AD120" s="17">
        <v>82073000</v>
      </c>
      <c r="AE120" s="17"/>
      <c r="AF120" s="17"/>
      <c r="AG120" s="17"/>
      <c r="AH120" s="17">
        <v>91447000</v>
      </c>
      <c r="AI120" s="17">
        <v>143321000</v>
      </c>
      <c r="AJ120" s="17"/>
      <c r="AK120" s="17"/>
      <c r="AL120" s="17"/>
      <c r="AM120" s="17">
        <v>604340000</v>
      </c>
      <c r="AN120" s="17">
        <v>143934000</v>
      </c>
      <c r="AO120" s="17"/>
      <c r="AP120" s="17"/>
      <c r="AQ120" s="17"/>
      <c r="AR120" s="17">
        <v>594214000</v>
      </c>
      <c r="AS120" s="17">
        <v>203338000</v>
      </c>
      <c r="AT120" s="17"/>
      <c r="AU120" s="17"/>
      <c r="AV120" s="17"/>
      <c r="AW120" s="17"/>
      <c r="AX120" s="17"/>
      <c r="AY120" s="17"/>
      <c r="AZ120" s="17"/>
      <c r="BA120" s="17"/>
      <c r="BB120" s="17"/>
      <c r="BC120" s="17"/>
      <c r="BD120" s="17"/>
      <c r="BE120" s="17"/>
      <c r="BF120" s="17"/>
      <c r="BG120" s="17">
        <v>44245000</v>
      </c>
      <c r="BH120" s="17">
        <v>54372000</v>
      </c>
      <c r="BI120" s="17"/>
      <c r="BJ120" s="17"/>
      <c r="BK120" s="17"/>
      <c r="BL120" s="17">
        <v>55963000</v>
      </c>
      <c r="BM120" s="17">
        <v>122949000</v>
      </c>
      <c r="BN120" s="17"/>
      <c r="BO120" s="17"/>
      <c r="BP120" s="17"/>
      <c r="BQ120" s="17">
        <v>-7005000</v>
      </c>
      <c r="BR120" s="17">
        <v>-128100000</v>
      </c>
      <c r="BS120" s="17"/>
      <c r="BT120" s="17"/>
      <c r="BU120" s="17"/>
    </row>
    <row r="121" spans="1:73" x14ac:dyDescent="0.25">
      <c r="A121" s="16">
        <v>170</v>
      </c>
      <c r="B121" s="17">
        <v>33</v>
      </c>
      <c r="C121" s="18" t="s">
        <v>623</v>
      </c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  <c r="BA121" s="17"/>
      <c r="BB121" s="17"/>
      <c r="BC121" s="17"/>
      <c r="BD121" s="17"/>
      <c r="BE121" s="17"/>
      <c r="BF121" s="17"/>
      <c r="BG121" s="17"/>
      <c r="BH121" s="17"/>
      <c r="BI121" s="17"/>
      <c r="BJ121" s="17"/>
      <c r="BK121" s="17"/>
      <c r="BL121" s="17"/>
      <c r="BM121" s="17"/>
      <c r="BN121" s="17"/>
      <c r="BO121" s="17"/>
      <c r="BP121" s="17"/>
      <c r="BQ121" s="17"/>
      <c r="BR121" s="17"/>
      <c r="BS121" s="17"/>
      <c r="BT121" s="17"/>
      <c r="BU121" s="17"/>
    </row>
    <row r="122" spans="1:73" x14ac:dyDescent="0.25">
      <c r="A122" s="16">
        <v>168</v>
      </c>
      <c r="B122" s="17">
        <v>27</v>
      </c>
      <c r="C122" s="18" t="s">
        <v>618</v>
      </c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  <c r="BA122" s="17"/>
      <c r="BB122" s="17"/>
      <c r="BC122" s="17"/>
      <c r="BD122" s="17"/>
      <c r="BE122" s="17"/>
      <c r="BF122" s="17"/>
      <c r="BG122" s="17"/>
      <c r="BH122" s="17"/>
      <c r="BI122" s="17"/>
      <c r="BJ122" s="17"/>
      <c r="BK122" s="17"/>
      <c r="BL122" s="17"/>
      <c r="BM122" s="17"/>
      <c r="BN122" s="17"/>
      <c r="BO122" s="17"/>
      <c r="BP122" s="17"/>
      <c r="BQ122" s="17"/>
      <c r="BR122" s="17"/>
      <c r="BS122" s="17"/>
      <c r="BT122" s="17"/>
      <c r="BU122" s="17"/>
    </row>
    <row r="123" spans="1:73" x14ac:dyDescent="0.25">
      <c r="A123" s="16">
        <v>26</v>
      </c>
      <c r="B123" s="17">
        <v>21</v>
      </c>
      <c r="C123" s="18" t="s">
        <v>258</v>
      </c>
      <c r="D123" s="17"/>
      <c r="E123" s="17">
        <v>31840000</v>
      </c>
      <c r="F123" s="17">
        <v>4113000</v>
      </c>
      <c r="G123" s="17">
        <v>2211000</v>
      </c>
      <c r="H123" s="17"/>
      <c r="I123" s="17"/>
      <c r="J123" s="17"/>
      <c r="K123" s="17"/>
      <c r="L123" s="17"/>
      <c r="M123" s="17"/>
      <c r="N123" s="17"/>
      <c r="O123" s="17">
        <v>420000</v>
      </c>
      <c r="P123" s="17">
        <v>33866000</v>
      </c>
      <c r="Q123" s="17">
        <v>6164000</v>
      </c>
      <c r="R123" s="17">
        <v>79710000</v>
      </c>
      <c r="S123" s="17"/>
      <c r="T123" s="17">
        <v>81000</v>
      </c>
      <c r="U123" s="17">
        <v>4143000</v>
      </c>
      <c r="V123" s="17">
        <v>5384000</v>
      </c>
      <c r="W123" s="17">
        <v>6028000</v>
      </c>
      <c r="X123" s="17"/>
      <c r="Y123" s="17">
        <v>-57662000</v>
      </c>
      <c r="Z123" s="17">
        <v>-47274000</v>
      </c>
      <c r="AA123" s="17">
        <v>-54707000</v>
      </c>
      <c r="AB123" s="17">
        <v>13300000</v>
      </c>
      <c r="AC123" s="17"/>
      <c r="AD123" s="17"/>
      <c r="AE123" s="17"/>
      <c r="AF123" s="17"/>
      <c r="AG123" s="17"/>
      <c r="AH123" s="17"/>
      <c r="AI123" s="17">
        <v>89993000</v>
      </c>
      <c r="AJ123" s="17">
        <v>89385000</v>
      </c>
      <c r="AK123" s="17">
        <v>68455000</v>
      </c>
      <c r="AL123" s="17">
        <v>72428000</v>
      </c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7"/>
      <c r="BC123" s="17"/>
      <c r="BD123" s="17"/>
      <c r="BE123" s="17"/>
      <c r="BF123" s="17"/>
      <c r="BG123" s="17"/>
      <c r="BH123" s="17"/>
      <c r="BI123" s="17"/>
      <c r="BJ123" s="17"/>
      <c r="BK123" s="17"/>
      <c r="BL123" s="17"/>
      <c r="BM123" s="17"/>
      <c r="BN123" s="17"/>
      <c r="BO123" s="17"/>
      <c r="BP123" s="17"/>
      <c r="BQ123" s="17"/>
      <c r="BR123" s="17"/>
      <c r="BS123" s="17"/>
      <c r="BT123" s="17"/>
      <c r="BU123" s="17"/>
    </row>
    <row r="124" spans="1:73" x14ac:dyDescent="0.25">
      <c r="A124" s="16">
        <v>182</v>
      </c>
      <c r="B124" s="17">
        <v>10</v>
      </c>
      <c r="C124" s="18" t="s">
        <v>653</v>
      </c>
      <c r="D124" s="17">
        <v>472000</v>
      </c>
      <c r="E124" s="17">
        <v>374000</v>
      </c>
      <c r="F124" s="17">
        <v>237000</v>
      </c>
      <c r="G124" s="17">
        <v>110000</v>
      </c>
      <c r="H124" s="17">
        <v>110000</v>
      </c>
      <c r="I124" s="17">
        <v>3543000</v>
      </c>
      <c r="J124" s="17">
        <v>92000</v>
      </c>
      <c r="K124" s="17"/>
      <c r="L124" s="17"/>
      <c r="M124" s="17"/>
      <c r="N124" s="17">
        <v>26794000</v>
      </c>
      <c r="O124" s="17">
        <v>20134000</v>
      </c>
      <c r="P124" s="17">
        <v>19375000</v>
      </c>
      <c r="Q124" s="17"/>
      <c r="R124" s="17"/>
      <c r="S124" s="17">
        <v>6121000</v>
      </c>
      <c r="T124" s="17">
        <v>7000</v>
      </c>
      <c r="U124" s="17"/>
      <c r="V124" s="17">
        <v>11901000</v>
      </c>
      <c r="W124" s="17">
        <v>11219000</v>
      </c>
      <c r="X124" s="17">
        <v>8372000</v>
      </c>
      <c r="Y124" s="17">
        <v>-25141000</v>
      </c>
      <c r="Z124" s="17">
        <v>-49909000</v>
      </c>
      <c r="AA124" s="17">
        <v>-35120000</v>
      </c>
      <c r="AB124" s="17">
        <v>-35802000</v>
      </c>
      <c r="AC124" s="17">
        <v>458000</v>
      </c>
      <c r="AD124" s="17">
        <v>1270000</v>
      </c>
      <c r="AE124" s="17">
        <v>1880000</v>
      </c>
      <c r="AF124" s="17"/>
      <c r="AG124" s="17"/>
      <c r="AH124" s="17">
        <v>28435000</v>
      </c>
      <c r="AI124" s="17">
        <v>44763000</v>
      </c>
      <c r="AJ124" s="17">
        <v>67923000</v>
      </c>
      <c r="AK124" s="17">
        <v>47116000</v>
      </c>
      <c r="AL124" s="17">
        <v>47116000</v>
      </c>
      <c r="AM124" s="17">
        <v>153814000</v>
      </c>
      <c r="AN124" s="17">
        <v>174156000</v>
      </c>
      <c r="AO124" s="17">
        <v>17799000</v>
      </c>
      <c r="AP124" s="17"/>
      <c r="AQ124" s="17"/>
      <c r="AR124" s="17">
        <v>151099000</v>
      </c>
      <c r="AS124" s="17">
        <v>198862000</v>
      </c>
      <c r="AT124" s="17">
        <v>41900000</v>
      </c>
      <c r="AU124" s="17"/>
      <c r="AV124" s="17"/>
      <c r="AW124" s="17"/>
      <c r="AX124" s="17"/>
      <c r="AY124" s="17"/>
      <c r="AZ124" s="17"/>
      <c r="BA124" s="17"/>
      <c r="BB124" s="17"/>
      <c r="BC124" s="17"/>
      <c r="BD124" s="17"/>
      <c r="BE124" s="17"/>
      <c r="BF124" s="17"/>
      <c r="BG124" s="17">
        <v>3455000</v>
      </c>
      <c r="BH124" s="17">
        <v>672000</v>
      </c>
      <c r="BI124" s="17"/>
      <c r="BJ124" s="17"/>
      <c r="BK124" s="17"/>
      <c r="BL124" s="17">
        <v>4362000</v>
      </c>
      <c r="BM124" s="17">
        <v>6090000</v>
      </c>
      <c r="BN124" s="17">
        <v>653000</v>
      </c>
      <c r="BO124" s="17"/>
      <c r="BP124" s="17"/>
      <c r="BQ124" s="17">
        <v>1451000</v>
      </c>
      <c r="BR124" s="17">
        <v>-30135000</v>
      </c>
      <c r="BS124" s="17">
        <v>-24768000</v>
      </c>
      <c r="BT124" s="17"/>
      <c r="BU124" s="17"/>
    </row>
    <row r="125" spans="1:73" x14ac:dyDescent="0.25">
      <c r="A125" s="16">
        <v>191</v>
      </c>
      <c r="B125" s="17">
        <v>24</v>
      </c>
      <c r="C125" s="18" t="s">
        <v>653</v>
      </c>
      <c r="D125" s="17">
        <v>4907000</v>
      </c>
      <c r="E125" s="17">
        <v>4539000</v>
      </c>
      <c r="F125" s="17">
        <v>4458000</v>
      </c>
      <c r="G125" s="17">
        <v>4378000</v>
      </c>
      <c r="H125" s="17"/>
      <c r="I125" s="17"/>
      <c r="J125" s="17"/>
      <c r="K125" s="17"/>
      <c r="L125" s="17"/>
      <c r="M125" s="17"/>
      <c r="N125" s="17">
        <v>700000</v>
      </c>
      <c r="O125" s="17">
        <v>881000</v>
      </c>
      <c r="P125" s="17">
        <v>15759000</v>
      </c>
      <c r="Q125" s="17">
        <v>15259000</v>
      </c>
      <c r="R125" s="17"/>
      <c r="S125" s="17"/>
      <c r="T125" s="17"/>
      <c r="U125" s="17"/>
      <c r="V125" s="17"/>
      <c r="W125" s="17"/>
      <c r="X125" s="17">
        <v>-47470000</v>
      </c>
      <c r="Y125" s="17">
        <v>-49431000</v>
      </c>
      <c r="Z125" s="17">
        <v>-32336000</v>
      </c>
      <c r="AA125" s="17">
        <v>-38944000</v>
      </c>
      <c r="AB125" s="17"/>
      <c r="AC125" s="17">
        <v>2258000</v>
      </c>
      <c r="AD125" s="17">
        <v>4278000</v>
      </c>
      <c r="AE125" s="17"/>
      <c r="AF125" s="17"/>
      <c r="AG125" s="17"/>
      <c r="AH125" s="17">
        <v>39204000</v>
      </c>
      <c r="AI125" s="17">
        <v>38958000</v>
      </c>
      <c r="AJ125" s="17">
        <v>36963000</v>
      </c>
      <c r="AK125" s="17">
        <v>27150000</v>
      </c>
      <c r="AL125" s="17"/>
      <c r="AM125" s="17">
        <v>6618000</v>
      </c>
      <c r="AN125" s="17">
        <v>216000</v>
      </c>
      <c r="AO125" s="17">
        <v>261000</v>
      </c>
      <c r="AP125" s="17">
        <v>283000</v>
      </c>
      <c r="AQ125" s="17"/>
      <c r="AR125" s="17">
        <v>6690000</v>
      </c>
      <c r="AS125" s="17"/>
      <c r="AT125" s="17">
        <v>81000</v>
      </c>
      <c r="AU125" s="17"/>
      <c r="AV125" s="17"/>
      <c r="AW125" s="17"/>
      <c r="AX125" s="17"/>
      <c r="AY125" s="17">
        <v>949000</v>
      </c>
      <c r="AZ125" s="17">
        <v>255000</v>
      </c>
      <c r="BA125" s="17"/>
      <c r="BB125" s="17">
        <v>6651000</v>
      </c>
      <c r="BC125" s="17">
        <v>324000</v>
      </c>
      <c r="BD125" s="17"/>
      <c r="BE125" s="17"/>
      <c r="BF125" s="17"/>
      <c r="BG125" s="17">
        <v>11737000</v>
      </c>
      <c r="BH125" s="17">
        <v>1976000</v>
      </c>
      <c r="BI125" s="17">
        <v>1159000</v>
      </c>
      <c r="BJ125" s="17"/>
      <c r="BK125" s="17"/>
      <c r="BL125" s="17">
        <v>21222000</v>
      </c>
      <c r="BM125" s="17">
        <v>729000</v>
      </c>
      <c r="BN125" s="17">
        <v>1061000</v>
      </c>
      <c r="BO125" s="17"/>
      <c r="BP125" s="17"/>
      <c r="BQ125" s="17">
        <v>-19486000</v>
      </c>
      <c r="BR125" s="17">
        <v>-1961000</v>
      </c>
      <c r="BS125" s="17">
        <v>-2692000</v>
      </c>
      <c r="BT125" s="17">
        <v>-1993000</v>
      </c>
      <c r="BU125" s="17"/>
    </row>
    <row r="126" spans="1:73" ht="26.25" x14ac:dyDescent="0.25">
      <c r="A126" s="16">
        <v>186</v>
      </c>
      <c r="B126" s="17">
        <v>13</v>
      </c>
      <c r="C126" s="18" t="s">
        <v>663</v>
      </c>
      <c r="D126" s="17">
        <v>3009000</v>
      </c>
      <c r="E126" s="17">
        <v>2177000</v>
      </c>
      <c r="F126" s="17"/>
      <c r="G126" s="17"/>
      <c r="H126" s="17"/>
      <c r="I126" s="17">
        <v>415000</v>
      </c>
      <c r="J126" s="17"/>
      <c r="K126" s="17"/>
      <c r="L126" s="17"/>
      <c r="M126" s="17"/>
      <c r="N126" s="17">
        <v>14719000</v>
      </c>
      <c r="O126" s="17">
        <v>15025000</v>
      </c>
      <c r="P126" s="17">
        <v>15100000</v>
      </c>
      <c r="Q126" s="17"/>
      <c r="R126" s="17"/>
      <c r="S126" s="17">
        <v>38000</v>
      </c>
      <c r="T126" s="17">
        <v>191000</v>
      </c>
      <c r="U126" s="17">
        <v>43000</v>
      </c>
      <c r="V126" s="17"/>
      <c r="W126" s="17"/>
      <c r="X126" s="17">
        <v>-6169000</v>
      </c>
      <c r="Y126" s="17">
        <v>-6427000</v>
      </c>
      <c r="Z126" s="17">
        <v>-6723000</v>
      </c>
      <c r="AA126" s="17">
        <v>-7742000</v>
      </c>
      <c r="AB126" s="17"/>
      <c r="AC126" s="17">
        <v>3330000</v>
      </c>
      <c r="AD126" s="17">
        <v>2860000</v>
      </c>
      <c r="AE126" s="17">
        <v>2810000</v>
      </c>
      <c r="AF126" s="17">
        <v>7732000</v>
      </c>
      <c r="AG126" s="17"/>
      <c r="AH126" s="17">
        <v>21054000</v>
      </c>
      <c r="AI126" s="17">
        <v>20960000</v>
      </c>
      <c r="AJ126" s="17">
        <v>19633000</v>
      </c>
      <c r="AK126" s="17"/>
      <c r="AL126" s="17"/>
      <c r="AM126" s="17">
        <v>8321000</v>
      </c>
      <c r="AN126" s="17">
        <v>1250000</v>
      </c>
      <c r="AO126" s="17">
        <v>498000</v>
      </c>
      <c r="AP126" s="17"/>
      <c r="AQ126" s="17"/>
      <c r="AR126" s="17">
        <v>8428000</v>
      </c>
      <c r="AS126" s="17"/>
      <c r="AT126" s="17">
        <v>1076000</v>
      </c>
      <c r="AU126" s="17"/>
      <c r="AV126" s="17"/>
      <c r="AW126" s="17">
        <v>6074000</v>
      </c>
      <c r="AX126" s="17">
        <v>767000</v>
      </c>
      <c r="AY126" s="17">
        <v>247000</v>
      </c>
      <c r="AZ126" s="17"/>
      <c r="BA126" s="17"/>
      <c r="BB126" s="17">
        <v>4738000</v>
      </c>
      <c r="BC126" s="17">
        <v>62000</v>
      </c>
      <c r="BD126" s="17"/>
      <c r="BE126" s="17"/>
      <c r="BF126" s="17"/>
      <c r="BG126" s="17"/>
      <c r="BH126" s="17"/>
      <c r="BI126" s="17">
        <v>916000</v>
      </c>
      <c r="BJ126" s="17"/>
      <c r="BK126" s="17"/>
      <c r="BL126" s="17">
        <v>225000</v>
      </c>
      <c r="BM126" s="17">
        <v>679000</v>
      </c>
      <c r="BN126" s="17">
        <v>387000</v>
      </c>
      <c r="BO126" s="17"/>
      <c r="BP126" s="17"/>
      <c r="BQ126" s="17">
        <v>-10955000</v>
      </c>
      <c r="BR126" s="17">
        <v>-258000</v>
      </c>
      <c r="BS126" s="17">
        <v>-296000</v>
      </c>
      <c r="BT126" s="17"/>
      <c r="BU126" s="17"/>
    </row>
    <row r="127" spans="1:73" x14ac:dyDescent="0.25">
      <c r="A127" s="16">
        <v>4</v>
      </c>
      <c r="B127" s="17">
        <v>16</v>
      </c>
      <c r="C127" s="18" t="s">
        <v>195</v>
      </c>
      <c r="D127" s="17">
        <v>145248000</v>
      </c>
      <c r="E127" s="17">
        <v>139450000</v>
      </c>
      <c r="F127" s="17">
        <v>39450000</v>
      </c>
      <c r="G127" s="17">
        <v>37369000</v>
      </c>
      <c r="H127" s="17">
        <v>1729000</v>
      </c>
      <c r="I127" s="17">
        <v>97044000</v>
      </c>
      <c r="J127" s="17">
        <v>86265000</v>
      </c>
      <c r="K127" s="17">
        <v>37090000</v>
      </c>
      <c r="L127" s="17">
        <v>20135000</v>
      </c>
      <c r="M127" s="17"/>
      <c r="N127" s="17">
        <v>52891000</v>
      </c>
      <c r="O127" s="17">
        <v>6886000</v>
      </c>
      <c r="P127" s="17">
        <v>4250000</v>
      </c>
      <c r="Q127" s="17">
        <v>4058000</v>
      </c>
      <c r="R127" s="17"/>
      <c r="S127" s="17">
        <v>129000</v>
      </c>
      <c r="T127" s="17">
        <v>4897000</v>
      </c>
      <c r="U127" s="17">
        <v>39000</v>
      </c>
      <c r="V127" s="17"/>
      <c r="W127" s="17"/>
      <c r="X127" s="17">
        <v>40964000</v>
      </c>
      <c r="Y127" s="17">
        <v>38451000</v>
      </c>
      <c r="Z127" s="17">
        <v>35389000</v>
      </c>
      <c r="AA127" s="17">
        <v>33294000</v>
      </c>
      <c r="AB127" s="17"/>
      <c r="AC127" s="17">
        <v>63168000</v>
      </c>
      <c r="AD127" s="17">
        <v>63934000</v>
      </c>
      <c r="AE127" s="17">
        <v>13934000</v>
      </c>
      <c r="AF127" s="17"/>
      <c r="AG127" s="17"/>
      <c r="AH127" s="17">
        <v>115901000</v>
      </c>
      <c r="AI127" s="17">
        <v>63954000</v>
      </c>
      <c r="AJ127" s="17">
        <v>257000</v>
      </c>
      <c r="AK127" s="17">
        <v>540000</v>
      </c>
      <c r="AL127" s="17"/>
      <c r="AM127" s="17">
        <v>142462000</v>
      </c>
      <c r="AN127" s="17">
        <v>127106000</v>
      </c>
      <c r="AO127" s="17">
        <v>73187000</v>
      </c>
      <c r="AP127" s="17">
        <v>27932000</v>
      </c>
      <c r="AQ127" s="17"/>
      <c r="AR127" s="17">
        <v>153041000</v>
      </c>
      <c r="AS127" s="17">
        <v>143906000</v>
      </c>
      <c r="AT127" s="17">
        <v>76047000</v>
      </c>
      <c r="AU127" s="17">
        <v>29663000</v>
      </c>
      <c r="AV127" s="17"/>
      <c r="AW127" s="17"/>
      <c r="AX127" s="17"/>
      <c r="AY127" s="17"/>
      <c r="AZ127" s="17"/>
      <c r="BA127" s="17"/>
      <c r="BB127" s="17"/>
      <c r="BC127" s="17"/>
      <c r="BD127" s="17"/>
      <c r="BE127" s="17"/>
      <c r="BF127" s="17"/>
      <c r="BG127" s="17">
        <v>22842000</v>
      </c>
      <c r="BH127" s="17">
        <v>21920000</v>
      </c>
      <c r="BI127" s="17"/>
      <c r="BJ127" s="17"/>
      <c r="BK127" s="17"/>
      <c r="BL127" s="17">
        <v>16961000</v>
      </c>
      <c r="BM127" s="17">
        <v>5543000</v>
      </c>
      <c r="BN127" s="17">
        <v>202000</v>
      </c>
      <c r="BO127" s="17">
        <v>364000</v>
      </c>
      <c r="BP127" s="17"/>
      <c r="BQ127" s="17">
        <v>-13130000</v>
      </c>
      <c r="BR127" s="17">
        <v>-2513000</v>
      </c>
      <c r="BS127" s="17">
        <v>-3062000</v>
      </c>
      <c r="BT127" s="17">
        <v>-2095000</v>
      </c>
      <c r="BU127" s="17"/>
    </row>
    <row r="128" spans="1:73" x14ac:dyDescent="0.25">
      <c r="A128" s="16">
        <v>91</v>
      </c>
      <c r="B128" s="17">
        <v>33</v>
      </c>
      <c r="C128" s="18" t="s">
        <v>195</v>
      </c>
      <c r="D128" s="17">
        <v>374303000</v>
      </c>
      <c r="E128" s="17">
        <v>354156000</v>
      </c>
      <c r="F128" s="17">
        <v>337254000</v>
      </c>
      <c r="G128" s="17">
        <v>241143000</v>
      </c>
      <c r="H128" s="17">
        <v>120881000</v>
      </c>
      <c r="I128" s="17">
        <v>78127000</v>
      </c>
      <c r="J128" s="17">
        <v>68695000</v>
      </c>
      <c r="K128" s="17">
        <v>104474000</v>
      </c>
      <c r="L128" s="17">
        <v>14662000</v>
      </c>
      <c r="M128" s="17">
        <v>10017000</v>
      </c>
      <c r="N128" s="17">
        <v>34633000</v>
      </c>
      <c r="O128" s="17">
        <v>3552000</v>
      </c>
      <c r="P128" s="17">
        <v>6165000</v>
      </c>
      <c r="Q128" s="17">
        <v>1564000</v>
      </c>
      <c r="R128" s="17">
        <v>398000</v>
      </c>
      <c r="S128" s="17">
        <v>134000</v>
      </c>
      <c r="T128" s="17">
        <v>1242000</v>
      </c>
      <c r="U128" s="17">
        <v>306000</v>
      </c>
      <c r="V128" s="17">
        <v>1298000</v>
      </c>
      <c r="W128" s="17">
        <v>20895000</v>
      </c>
      <c r="X128" s="17">
        <v>131155000</v>
      </c>
      <c r="Y128" s="17">
        <v>98337000</v>
      </c>
      <c r="Z128" s="17">
        <v>108430000</v>
      </c>
      <c r="AA128" s="17">
        <v>-356628000</v>
      </c>
      <c r="AB128" s="17">
        <v>-449501000</v>
      </c>
      <c r="AC128" s="17">
        <v>78760000</v>
      </c>
      <c r="AD128" s="17">
        <v>55446000</v>
      </c>
      <c r="AE128" s="17">
        <v>55446000</v>
      </c>
      <c r="AF128" s="17"/>
      <c r="AG128" s="17"/>
      <c r="AH128" s="17">
        <v>203050000</v>
      </c>
      <c r="AI128" s="17">
        <v>194916000</v>
      </c>
      <c r="AJ128" s="17">
        <v>205382000</v>
      </c>
      <c r="AK128" s="17">
        <v>357090000</v>
      </c>
      <c r="AL128" s="17">
        <v>343454000</v>
      </c>
      <c r="AM128" s="17">
        <v>131908000</v>
      </c>
      <c r="AN128" s="17">
        <v>115565000</v>
      </c>
      <c r="AO128" s="17">
        <v>57798000</v>
      </c>
      <c r="AP128" s="17">
        <v>17191000</v>
      </c>
      <c r="AQ128" s="17">
        <v>2700000</v>
      </c>
      <c r="AR128" s="17">
        <v>125976000</v>
      </c>
      <c r="AS128" s="17">
        <v>152127000</v>
      </c>
      <c r="AT128" s="17">
        <v>44797000</v>
      </c>
      <c r="AU128" s="17">
        <v>11687000</v>
      </c>
      <c r="AV128" s="17"/>
      <c r="AW128" s="17"/>
      <c r="AX128" s="17"/>
      <c r="AY128" s="17"/>
      <c r="AZ128" s="17"/>
      <c r="BA128" s="17"/>
      <c r="BB128" s="17"/>
      <c r="BC128" s="17"/>
      <c r="BD128" s="17">
        <v>2504000</v>
      </c>
      <c r="BE128" s="17">
        <v>1462000</v>
      </c>
      <c r="BF128" s="17"/>
      <c r="BG128" s="17">
        <v>18727000</v>
      </c>
      <c r="BH128" s="17">
        <v>13054000</v>
      </c>
      <c r="BI128" s="17"/>
      <c r="BJ128" s="17">
        <v>2100000</v>
      </c>
      <c r="BK128" s="17">
        <v>32696000</v>
      </c>
      <c r="BL128" s="17">
        <v>1302000</v>
      </c>
      <c r="BM128" s="17">
        <v>8189000</v>
      </c>
      <c r="BN128" s="17">
        <v>405000</v>
      </c>
      <c r="BO128" s="17">
        <v>493000</v>
      </c>
      <c r="BP128" s="17">
        <v>145130000</v>
      </c>
      <c r="BQ128" s="17">
        <v>-1138000</v>
      </c>
      <c r="BR128" s="17">
        <v>-32817000</v>
      </c>
      <c r="BS128" s="17">
        <v>10092000</v>
      </c>
      <c r="BT128" s="17">
        <v>5649000</v>
      </c>
      <c r="BU128" s="17">
        <v>-109734000</v>
      </c>
    </row>
    <row r="129" spans="1:73" x14ac:dyDescent="0.25">
      <c r="A129" s="16">
        <v>231</v>
      </c>
      <c r="B129" s="17">
        <v>32</v>
      </c>
      <c r="C129" s="18" t="s">
        <v>195</v>
      </c>
      <c r="D129" s="17">
        <v>204008000</v>
      </c>
      <c r="E129" s="17"/>
      <c r="F129" s="17"/>
      <c r="G129" s="17"/>
      <c r="H129" s="17"/>
      <c r="I129" s="17">
        <v>39471000</v>
      </c>
      <c r="J129" s="17"/>
      <c r="K129" s="17"/>
      <c r="L129" s="17"/>
      <c r="M129" s="17"/>
      <c r="N129" s="17">
        <v>4544000</v>
      </c>
      <c r="O129" s="17"/>
      <c r="P129" s="17"/>
      <c r="Q129" s="17"/>
      <c r="R129" s="17"/>
      <c r="S129" s="17">
        <v>203000</v>
      </c>
      <c r="T129" s="17"/>
      <c r="U129" s="17"/>
      <c r="V129" s="17"/>
      <c r="W129" s="17"/>
      <c r="X129" s="17">
        <v>8487000</v>
      </c>
      <c r="Y129" s="17"/>
      <c r="Z129" s="17"/>
      <c r="AA129" s="17"/>
      <c r="AB129" s="17"/>
      <c r="AC129" s="17">
        <v>13901000</v>
      </c>
      <c r="AD129" s="17"/>
      <c r="AE129" s="17"/>
      <c r="AF129" s="17"/>
      <c r="AG129" s="17"/>
      <c r="AH129" s="17">
        <v>18328000</v>
      </c>
      <c r="AI129" s="17"/>
      <c r="AJ129" s="17"/>
      <c r="AK129" s="17"/>
      <c r="AL129" s="17"/>
      <c r="AM129" s="17">
        <v>38285000</v>
      </c>
      <c r="AN129" s="17"/>
      <c r="AO129" s="17">
        <v>12630000</v>
      </c>
      <c r="AP129" s="17">
        <v>10856000</v>
      </c>
      <c r="AQ129" s="17"/>
      <c r="AR129" s="17">
        <v>44257000</v>
      </c>
      <c r="AS129" s="17"/>
      <c r="AT129" s="17">
        <v>13388000</v>
      </c>
      <c r="AU129" s="17">
        <v>8930000</v>
      </c>
      <c r="AV129" s="17"/>
      <c r="AW129" s="17"/>
      <c r="AX129" s="17"/>
      <c r="AY129" s="17"/>
      <c r="AZ129" s="17"/>
      <c r="BA129" s="17"/>
      <c r="BB129" s="17"/>
      <c r="BC129" s="17"/>
      <c r="BD129" s="17">
        <v>599000</v>
      </c>
      <c r="BE129" s="17">
        <v>1914000</v>
      </c>
      <c r="BF129" s="17"/>
      <c r="BG129" s="17">
        <v>7113000</v>
      </c>
      <c r="BH129" s="17"/>
      <c r="BI129" s="17">
        <v>1402000</v>
      </c>
      <c r="BJ129" s="17"/>
      <c r="BK129" s="17"/>
      <c r="BL129" s="17">
        <v>1034000</v>
      </c>
      <c r="BM129" s="17"/>
      <c r="BN129" s="17">
        <v>45000</v>
      </c>
      <c r="BO129" s="17">
        <v>12000</v>
      </c>
      <c r="BP129" s="17"/>
      <c r="BQ129" s="17">
        <v>-1452000</v>
      </c>
      <c r="BR129" s="17"/>
      <c r="BS129" s="17"/>
      <c r="BT129" s="17"/>
      <c r="BU129" s="17"/>
    </row>
    <row r="130" spans="1:73" x14ac:dyDescent="0.25">
      <c r="A130" s="16">
        <v>46</v>
      </c>
      <c r="B130" s="17">
        <v>13</v>
      </c>
      <c r="C130" s="18" t="s">
        <v>312</v>
      </c>
      <c r="D130" s="17">
        <v>68214000</v>
      </c>
      <c r="E130" s="17">
        <v>43248000</v>
      </c>
      <c r="F130" s="17">
        <v>29472000</v>
      </c>
      <c r="G130" s="17">
        <v>1716000</v>
      </c>
      <c r="H130" s="17"/>
      <c r="I130" s="17">
        <v>377184000</v>
      </c>
      <c r="J130" s="17">
        <v>472036000</v>
      </c>
      <c r="K130" s="17">
        <v>4345000</v>
      </c>
      <c r="L130" s="17"/>
      <c r="M130" s="17"/>
      <c r="N130" s="17">
        <v>102352000</v>
      </c>
      <c r="O130" s="17">
        <v>91462000</v>
      </c>
      <c r="P130" s="17">
        <v>60234000</v>
      </c>
      <c r="Q130" s="17">
        <v>51880000</v>
      </c>
      <c r="R130" s="17">
        <v>33032000</v>
      </c>
      <c r="S130" s="17">
        <v>9000</v>
      </c>
      <c r="T130" s="17">
        <v>20621000</v>
      </c>
      <c r="U130" s="17">
        <v>2902000</v>
      </c>
      <c r="V130" s="17">
        <v>1780000</v>
      </c>
      <c r="W130" s="17">
        <v>5295000</v>
      </c>
      <c r="X130" s="17">
        <v>35371000</v>
      </c>
      <c r="Y130" s="17">
        <v>40893000</v>
      </c>
      <c r="Z130" s="17">
        <v>-443877000</v>
      </c>
      <c r="AA130" s="17">
        <v>-467940000</v>
      </c>
      <c r="AB130" s="17">
        <v>-468411000</v>
      </c>
      <c r="AC130" s="17">
        <v>176311000</v>
      </c>
      <c r="AD130" s="17">
        <v>164861000</v>
      </c>
      <c r="AE130" s="17">
        <v>146170000</v>
      </c>
      <c r="AF130" s="17">
        <v>143745000</v>
      </c>
      <c r="AG130" s="17">
        <v>143745000</v>
      </c>
      <c r="AH130" s="17">
        <v>182248000</v>
      </c>
      <c r="AI130" s="17">
        <v>327937000</v>
      </c>
      <c r="AJ130" s="17">
        <v>322834000</v>
      </c>
      <c r="AK130" s="17">
        <v>338823000</v>
      </c>
      <c r="AL130" s="17">
        <v>345461000</v>
      </c>
      <c r="AM130" s="17">
        <v>423926000</v>
      </c>
      <c r="AN130" s="17">
        <v>445677000</v>
      </c>
      <c r="AO130" s="17">
        <v>358122000</v>
      </c>
      <c r="AP130" s="17">
        <v>80198000</v>
      </c>
      <c r="AQ130" s="17"/>
      <c r="AR130" s="17">
        <v>354131000</v>
      </c>
      <c r="AS130" s="17">
        <v>388142000</v>
      </c>
      <c r="AT130" s="17">
        <v>317784000</v>
      </c>
      <c r="AU130" s="17">
        <v>101215000</v>
      </c>
      <c r="AV130" s="17">
        <v>238000</v>
      </c>
      <c r="AW130" s="17"/>
      <c r="AX130" s="17"/>
      <c r="AY130" s="17"/>
      <c r="AZ130" s="17"/>
      <c r="BA130" s="17"/>
      <c r="BB130" s="17">
        <v>69637000</v>
      </c>
      <c r="BC130" s="17">
        <v>50219000</v>
      </c>
      <c r="BD130" s="17">
        <v>44506000</v>
      </c>
      <c r="BE130" s="17">
        <v>22556000</v>
      </c>
      <c r="BF130" s="17">
        <v>504000</v>
      </c>
      <c r="BG130" s="17">
        <v>104063000</v>
      </c>
      <c r="BH130" s="17">
        <v>159054000</v>
      </c>
      <c r="BI130" s="17">
        <v>60587000</v>
      </c>
      <c r="BJ130" s="17">
        <v>57442000</v>
      </c>
      <c r="BK130" s="17">
        <v>28081000</v>
      </c>
      <c r="BL130" s="17">
        <v>73278000</v>
      </c>
      <c r="BM130" s="17">
        <v>137538000</v>
      </c>
      <c r="BN130" s="17">
        <v>521656000</v>
      </c>
      <c r="BO130" s="17">
        <v>36022000</v>
      </c>
      <c r="BP130" s="17">
        <v>27810000</v>
      </c>
      <c r="BQ130" s="17">
        <v>3982000</v>
      </c>
      <c r="BR130" s="17">
        <v>5522000</v>
      </c>
      <c r="BS130" s="17">
        <v>-484770000</v>
      </c>
      <c r="BT130" s="17">
        <v>-24063000</v>
      </c>
      <c r="BU130" s="17">
        <v>-471000</v>
      </c>
    </row>
    <row r="131" spans="1:73" x14ac:dyDescent="0.25">
      <c r="A131" s="16">
        <v>244</v>
      </c>
      <c r="B131" s="17">
        <v>19</v>
      </c>
      <c r="C131" s="18" t="s">
        <v>312</v>
      </c>
      <c r="D131" s="17">
        <v>96000</v>
      </c>
      <c r="E131" s="17">
        <v>96000</v>
      </c>
      <c r="F131" s="17"/>
      <c r="G131" s="17"/>
      <c r="H131" s="17"/>
      <c r="I131" s="17">
        <v>19673000</v>
      </c>
      <c r="J131" s="17">
        <v>19673000</v>
      </c>
      <c r="K131" s="17"/>
      <c r="L131" s="17"/>
      <c r="M131" s="17"/>
      <c r="N131" s="17">
        <v>12776000</v>
      </c>
      <c r="O131" s="17">
        <v>12596000</v>
      </c>
      <c r="P131" s="17"/>
      <c r="Q131" s="17"/>
      <c r="R131" s="17"/>
      <c r="S131" s="17"/>
      <c r="T131" s="17">
        <v>2225000</v>
      </c>
      <c r="U131" s="17"/>
      <c r="V131" s="17"/>
      <c r="W131" s="17"/>
      <c r="X131" s="17">
        <v>-3264000</v>
      </c>
      <c r="Y131" s="17">
        <v>-4963000</v>
      </c>
      <c r="Z131" s="17"/>
      <c r="AA131" s="17"/>
      <c r="AB131" s="17"/>
      <c r="AC131" s="17"/>
      <c r="AD131" s="17"/>
      <c r="AE131" s="17"/>
      <c r="AF131" s="17"/>
      <c r="AG131" s="17"/>
      <c r="AH131" s="17">
        <v>35799000</v>
      </c>
      <c r="AI131" s="17">
        <v>39543000</v>
      </c>
      <c r="AJ131" s="17"/>
      <c r="AK131" s="17"/>
      <c r="AL131" s="17"/>
      <c r="AM131" s="17"/>
      <c r="AN131" s="17">
        <v>133000</v>
      </c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  <c r="BA131" s="17"/>
      <c r="BB131" s="17"/>
      <c r="BC131" s="17"/>
      <c r="BD131" s="17"/>
      <c r="BE131" s="17"/>
      <c r="BF131" s="17"/>
      <c r="BG131" s="17"/>
      <c r="BH131" s="17"/>
      <c r="BI131" s="17"/>
      <c r="BJ131" s="17"/>
      <c r="BK131" s="17"/>
      <c r="BL131" s="17">
        <v>355000</v>
      </c>
      <c r="BM131" s="17">
        <v>1699000</v>
      </c>
      <c r="BN131" s="17"/>
      <c r="BO131" s="17"/>
      <c r="BP131" s="17"/>
      <c r="BQ131" s="17">
        <v>-355000</v>
      </c>
      <c r="BR131" s="17">
        <v>-1566000</v>
      </c>
      <c r="BS131" s="17"/>
      <c r="BT131" s="17"/>
      <c r="BU131" s="17"/>
    </row>
    <row r="132" spans="1:73" x14ac:dyDescent="0.25">
      <c r="A132" s="16">
        <v>177</v>
      </c>
      <c r="B132" s="17">
        <v>13</v>
      </c>
      <c r="C132" s="18" t="s">
        <v>641</v>
      </c>
      <c r="D132" s="17"/>
      <c r="E132" s="17"/>
      <c r="F132" s="17"/>
      <c r="G132" s="17"/>
      <c r="H132" s="17"/>
      <c r="I132" s="17">
        <v>34484000</v>
      </c>
      <c r="J132" s="17">
        <v>34484000</v>
      </c>
      <c r="K132" s="17">
        <v>34484000</v>
      </c>
      <c r="L132" s="17">
        <v>34484000</v>
      </c>
      <c r="M132" s="17"/>
      <c r="N132" s="17">
        <v>10960000</v>
      </c>
      <c r="O132" s="17">
        <v>10601000</v>
      </c>
      <c r="P132" s="17">
        <v>10601000</v>
      </c>
      <c r="Q132" s="17">
        <v>10601000</v>
      </c>
      <c r="R132" s="17"/>
      <c r="S132" s="17"/>
      <c r="T132" s="17"/>
      <c r="U132" s="17"/>
      <c r="V132" s="17"/>
      <c r="W132" s="17"/>
      <c r="X132" s="17"/>
      <c r="Y132" s="17">
        <v>2092000</v>
      </c>
      <c r="Z132" s="17">
        <v>2092000</v>
      </c>
      <c r="AA132" s="17">
        <v>2092000</v>
      </c>
      <c r="AB132" s="17"/>
      <c r="AC132" s="17"/>
      <c r="AD132" s="17"/>
      <c r="AE132" s="17"/>
      <c r="AF132" s="17"/>
      <c r="AG132" s="17"/>
      <c r="AH132" s="17">
        <v>42991000</v>
      </c>
      <c r="AI132" s="17">
        <v>42991000</v>
      </c>
      <c r="AJ132" s="17">
        <v>42991000</v>
      </c>
      <c r="AK132" s="17">
        <v>42991000</v>
      </c>
      <c r="AL132" s="17"/>
      <c r="AM132" s="17"/>
      <c r="AN132" s="17"/>
      <c r="AO132" s="17"/>
      <c r="AP132" s="17"/>
      <c r="AQ132" s="17"/>
      <c r="AR132" s="17">
        <v>358000</v>
      </c>
      <c r="AS132" s="17"/>
      <c r="AT132" s="17"/>
      <c r="AU132" s="17"/>
      <c r="AV132" s="17"/>
      <c r="AW132" s="17"/>
      <c r="AX132" s="17"/>
      <c r="AY132" s="17"/>
      <c r="AZ132" s="17"/>
      <c r="BA132" s="17"/>
      <c r="BB132" s="17"/>
      <c r="BC132" s="17">
        <v>347000</v>
      </c>
      <c r="BD132" s="17"/>
      <c r="BE132" s="17"/>
      <c r="BF132" s="17"/>
      <c r="BG132" s="17"/>
      <c r="BH132" s="17"/>
      <c r="BI132" s="17"/>
      <c r="BJ132" s="17"/>
      <c r="BK132" s="17"/>
      <c r="BL132" s="17">
        <v>147000</v>
      </c>
      <c r="BM132" s="17">
        <v>3000</v>
      </c>
      <c r="BN132" s="17"/>
      <c r="BO132" s="17"/>
      <c r="BP132" s="17"/>
      <c r="BQ132" s="17">
        <v>-505000</v>
      </c>
      <c r="BR132" s="17">
        <v>-350000</v>
      </c>
      <c r="BS132" s="17"/>
      <c r="BT132" s="17"/>
      <c r="BU132" s="17"/>
    </row>
    <row r="133" spans="1:73" x14ac:dyDescent="0.25">
      <c r="A133" s="16">
        <v>165</v>
      </c>
      <c r="B133" s="17">
        <v>24</v>
      </c>
      <c r="C133" s="18" t="s">
        <v>611</v>
      </c>
      <c r="D133" s="17">
        <v>16028000</v>
      </c>
      <c r="E133" s="17">
        <v>13392000</v>
      </c>
      <c r="F133" s="17">
        <v>10398000</v>
      </c>
      <c r="G133" s="17">
        <v>9607000</v>
      </c>
      <c r="H133" s="17"/>
      <c r="I133" s="17">
        <v>208752000</v>
      </c>
      <c r="J133" s="17">
        <v>266863000</v>
      </c>
      <c r="K133" s="17">
        <v>327812000</v>
      </c>
      <c r="L133" s="17">
        <v>208249000</v>
      </c>
      <c r="M133" s="17"/>
      <c r="N133" s="17">
        <v>92096000</v>
      </c>
      <c r="O133" s="17">
        <v>134668000</v>
      </c>
      <c r="P133" s="17">
        <v>74841000</v>
      </c>
      <c r="Q133" s="17">
        <v>115066000</v>
      </c>
      <c r="R133" s="17"/>
      <c r="S133" s="17">
        <v>15898000</v>
      </c>
      <c r="T133" s="17">
        <v>205000</v>
      </c>
      <c r="U133" s="17">
        <v>39000</v>
      </c>
      <c r="V133" s="17">
        <v>210000</v>
      </c>
      <c r="W133" s="17"/>
      <c r="X133" s="17">
        <v>25632000</v>
      </c>
      <c r="Y133" s="17">
        <v>27439000</v>
      </c>
      <c r="Z133" s="17"/>
      <c r="AA133" s="17"/>
      <c r="AB133" s="17"/>
      <c r="AC133" s="17">
        <v>278000</v>
      </c>
      <c r="AD133" s="17">
        <v>18609000</v>
      </c>
      <c r="AE133" s="17">
        <v>32246000</v>
      </c>
      <c r="AF133" s="17">
        <v>44596000</v>
      </c>
      <c r="AG133" s="17"/>
      <c r="AH133" s="17">
        <v>181381000</v>
      </c>
      <c r="AI133" s="17">
        <v>233729000</v>
      </c>
      <c r="AJ133" s="17">
        <v>229641000</v>
      </c>
      <c r="AK133" s="17">
        <v>297366000</v>
      </c>
      <c r="AL133" s="17"/>
      <c r="AM133" s="17">
        <v>362112000</v>
      </c>
      <c r="AN133" s="17">
        <v>282951000</v>
      </c>
      <c r="AO133" s="17">
        <v>143601000</v>
      </c>
      <c r="AP133" s="17">
        <v>122828000</v>
      </c>
      <c r="AQ133" s="17"/>
      <c r="AR133" s="17">
        <v>287425000</v>
      </c>
      <c r="AS133" s="17">
        <v>223123000</v>
      </c>
      <c r="AT133" s="17">
        <v>150744000</v>
      </c>
      <c r="AU133" s="17">
        <v>137983000</v>
      </c>
      <c r="AV133" s="17"/>
      <c r="AW133" s="17"/>
      <c r="AX133" s="17"/>
      <c r="AY133" s="17"/>
      <c r="AZ133" s="17"/>
      <c r="BA133" s="17"/>
      <c r="BB133" s="17">
        <v>22091000</v>
      </c>
      <c r="BC133" s="17">
        <v>40044000</v>
      </c>
      <c r="BD133" s="17"/>
      <c r="BE133" s="17"/>
      <c r="BF133" s="17"/>
      <c r="BG133" s="17">
        <v>28357000</v>
      </c>
      <c r="BH133" s="17">
        <v>20828000</v>
      </c>
      <c r="BI133" s="17">
        <v>41069000</v>
      </c>
      <c r="BJ133" s="17">
        <v>74954000</v>
      </c>
      <c r="BK133" s="17"/>
      <c r="BL133" s="17">
        <v>70191000</v>
      </c>
      <c r="BM133" s="17">
        <v>28371000</v>
      </c>
      <c r="BN133" s="17">
        <v>26349000</v>
      </c>
      <c r="BO133" s="17">
        <v>82200000</v>
      </c>
      <c r="BP133" s="17"/>
      <c r="BQ133" s="17">
        <v>2505000</v>
      </c>
      <c r="BR133" s="17">
        <v>1807000</v>
      </c>
      <c r="BS133" s="17">
        <v>-5525000</v>
      </c>
      <c r="BT133" s="17">
        <v>-21316000</v>
      </c>
      <c r="BU133" s="17"/>
    </row>
    <row r="134" spans="1:73" x14ac:dyDescent="0.25">
      <c r="A134" s="16">
        <v>219</v>
      </c>
      <c r="B134" s="17">
        <v>23</v>
      </c>
      <c r="C134" s="18" t="s">
        <v>740</v>
      </c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  <c r="BA134" s="17"/>
      <c r="BB134" s="17"/>
      <c r="BC134" s="17"/>
      <c r="BD134" s="17"/>
      <c r="BE134" s="17"/>
      <c r="BF134" s="17"/>
      <c r="BG134" s="17"/>
      <c r="BH134" s="17"/>
      <c r="BI134" s="17"/>
      <c r="BJ134" s="17"/>
      <c r="BK134" s="17"/>
      <c r="BL134" s="17"/>
      <c r="BM134" s="17"/>
      <c r="BN134" s="17"/>
      <c r="BO134" s="17"/>
      <c r="BP134" s="17"/>
      <c r="BQ134" s="17"/>
      <c r="BR134" s="17"/>
      <c r="BS134" s="17"/>
      <c r="BT134" s="17"/>
      <c r="BU134" s="17"/>
    </row>
    <row r="135" spans="1:73" ht="26.25" x14ac:dyDescent="0.25">
      <c r="A135" s="16">
        <v>174</v>
      </c>
      <c r="B135" s="17">
        <v>8</v>
      </c>
      <c r="C135" s="18" t="s">
        <v>633</v>
      </c>
      <c r="D135" s="17">
        <v>202000</v>
      </c>
      <c r="E135" s="17"/>
      <c r="F135" s="17"/>
      <c r="G135" s="17"/>
      <c r="H135" s="17"/>
      <c r="I135" s="17">
        <v>401000</v>
      </c>
      <c r="J135" s="17">
        <v>554000</v>
      </c>
      <c r="K135" s="17">
        <v>155000</v>
      </c>
      <c r="L135" s="17">
        <v>288000</v>
      </c>
      <c r="M135" s="17">
        <v>83000</v>
      </c>
      <c r="N135" s="17">
        <v>8950000</v>
      </c>
      <c r="O135" s="17">
        <v>14014000</v>
      </c>
      <c r="P135" s="17">
        <v>20416000</v>
      </c>
      <c r="Q135" s="17">
        <v>21284000</v>
      </c>
      <c r="R135" s="17">
        <v>9015000</v>
      </c>
      <c r="S135" s="17">
        <v>791000</v>
      </c>
      <c r="T135" s="17">
        <v>15000</v>
      </c>
      <c r="U135" s="17">
        <v>37000</v>
      </c>
      <c r="V135" s="17">
        <v>40000</v>
      </c>
      <c r="W135" s="17">
        <v>34000</v>
      </c>
      <c r="X135" s="17"/>
      <c r="Y135" s="17"/>
      <c r="Z135" s="17"/>
      <c r="AA135" s="17"/>
      <c r="AB135" s="17"/>
      <c r="AC135" s="17">
        <v>1069000</v>
      </c>
      <c r="AD135" s="17">
        <v>582000</v>
      </c>
      <c r="AE135" s="17">
        <v>2484000</v>
      </c>
      <c r="AF135" s="17">
        <v>532000</v>
      </c>
      <c r="AG135" s="17"/>
      <c r="AH135" s="17">
        <v>9265000</v>
      </c>
      <c r="AI135" s="17">
        <v>13992000</v>
      </c>
      <c r="AJ135" s="17">
        <v>18114000</v>
      </c>
      <c r="AK135" s="17">
        <v>19266000</v>
      </c>
      <c r="AL135" s="17">
        <v>32545000</v>
      </c>
      <c r="AM135" s="17">
        <v>21637000</v>
      </c>
      <c r="AN135" s="17">
        <v>28299000</v>
      </c>
      <c r="AO135" s="17">
        <v>33294000</v>
      </c>
      <c r="AP135" s="17">
        <v>35753000</v>
      </c>
      <c r="AQ135" s="17">
        <v>38477000</v>
      </c>
      <c r="AR135" s="17">
        <v>21065000</v>
      </c>
      <c r="AS135" s="17">
        <v>27654000</v>
      </c>
      <c r="AT135" s="17">
        <v>32476000</v>
      </c>
      <c r="AU135" s="17">
        <v>35174000</v>
      </c>
      <c r="AV135" s="17">
        <v>45125000</v>
      </c>
      <c r="AW135" s="17"/>
      <c r="AX135" s="17"/>
      <c r="AY135" s="17"/>
      <c r="AZ135" s="17"/>
      <c r="BA135" s="17"/>
      <c r="BB135" s="17"/>
      <c r="BC135" s="17"/>
      <c r="BD135" s="17"/>
      <c r="BE135" s="17"/>
      <c r="BF135" s="17"/>
      <c r="BG135" s="17"/>
      <c r="BH135" s="17">
        <v>384000</v>
      </c>
      <c r="BI135" s="17">
        <v>728000</v>
      </c>
      <c r="BJ135" s="17">
        <v>853000</v>
      </c>
      <c r="BK135" s="17">
        <v>271000</v>
      </c>
      <c r="BL135" s="17">
        <v>224000</v>
      </c>
      <c r="BM135" s="17">
        <v>328000</v>
      </c>
      <c r="BN135" s="17">
        <v>825000</v>
      </c>
      <c r="BO135" s="17">
        <v>1096000</v>
      </c>
      <c r="BP135" s="17">
        <v>1242000</v>
      </c>
      <c r="BQ135" s="17">
        <v>348000</v>
      </c>
      <c r="BR135" s="17">
        <v>701000</v>
      </c>
      <c r="BS135" s="17">
        <v>381000</v>
      </c>
      <c r="BT135" s="17">
        <v>86000</v>
      </c>
      <c r="BU135" s="17">
        <v>-7987000</v>
      </c>
    </row>
    <row r="136" spans="1:73" ht="26.25" x14ac:dyDescent="0.25">
      <c r="A136" s="16">
        <v>180</v>
      </c>
      <c r="B136" s="17">
        <v>8</v>
      </c>
      <c r="C136" s="18" t="s">
        <v>633</v>
      </c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>
        <v>11824000</v>
      </c>
      <c r="O136" s="17">
        <v>16219000</v>
      </c>
      <c r="P136" s="17">
        <v>21921000</v>
      </c>
      <c r="Q136" s="17">
        <v>18039000</v>
      </c>
      <c r="R136" s="17">
        <v>16053000</v>
      </c>
      <c r="S136" s="17">
        <v>40000</v>
      </c>
      <c r="T136" s="17">
        <v>11000</v>
      </c>
      <c r="U136" s="17"/>
      <c r="V136" s="17"/>
      <c r="W136" s="17"/>
      <c r="X136" s="17">
        <v>-19743000</v>
      </c>
      <c r="Y136" s="17">
        <v>-23081000</v>
      </c>
      <c r="Z136" s="17">
        <v>-25069000</v>
      </c>
      <c r="AA136" s="17">
        <v>-38172000</v>
      </c>
      <c r="AB136" s="17">
        <v>-37908000</v>
      </c>
      <c r="AC136" s="17"/>
      <c r="AD136" s="17"/>
      <c r="AE136" s="17"/>
      <c r="AF136" s="17"/>
      <c r="AG136" s="17"/>
      <c r="AH136" s="17">
        <v>31597000</v>
      </c>
      <c r="AI136" s="17">
        <v>39301000</v>
      </c>
      <c r="AJ136" s="17">
        <v>46980000</v>
      </c>
      <c r="AK136" s="17">
        <v>56201000</v>
      </c>
      <c r="AL136" s="17">
        <v>53951000</v>
      </c>
      <c r="AM136" s="17">
        <v>14179000</v>
      </c>
      <c r="AN136" s="17">
        <v>18338000</v>
      </c>
      <c r="AO136" s="17">
        <v>19955000</v>
      </c>
      <c r="AP136" s="17">
        <v>3612000</v>
      </c>
      <c r="AQ136" s="17">
        <v>1696000</v>
      </c>
      <c r="AR136" s="17">
        <v>17943000</v>
      </c>
      <c r="AS136" s="17">
        <v>19408000</v>
      </c>
      <c r="AT136" s="17">
        <v>19655000</v>
      </c>
      <c r="AU136" s="17">
        <v>11928000</v>
      </c>
      <c r="AV136" s="17"/>
      <c r="AW136" s="17"/>
      <c r="AX136" s="17"/>
      <c r="AY136" s="17"/>
      <c r="AZ136" s="17"/>
      <c r="BA136" s="17"/>
      <c r="BB136" s="17">
        <v>1905000</v>
      </c>
      <c r="BC136" s="17">
        <v>2550000</v>
      </c>
      <c r="BD136" s="17">
        <v>4052000</v>
      </c>
      <c r="BE136" s="17">
        <v>2581000</v>
      </c>
      <c r="BF136" s="17">
        <v>1484000</v>
      </c>
      <c r="BG136" s="17">
        <v>323000</v>
      </c>
      <c r="BH136" s="17">
        <v>1318000</v>
      </c>
      <c r="BI136" s="17">
        <v>2421000</v>
      </c>
      <c r="BJ136" s="17">
        <v>9000</v>
      </c>
      <c r="BK136" s="17"/>
      <c r="BL136" s="17">
        <v>651000</v>
      </c>
      <c r="BM136" s="17">
        <v>886000</v>
      </c>
      <c r="BN136" s="17">
        <v>493000</v>
      </c>
      <c r="BO136" s="17">
        <v>2179000</v>
      </c>
      <c r="BP136" s="17"/>
      <c r="BQ136" s="17">
        <v>-6118000</v>
      </c>
      <c r="BR136" s="17">
        <v>-3338000</v>
      </c>
      <c r="BS136" s="17">
        <v>-1988000</v>
      </c>
      <c r="BT136" s="17">
        <v>-13103000</v>
      </c>
      <c r="BU136" s="17">
        <v>180000</v>
      </c>
    </row>
    <row r="137" spans="1:73" ht="26.25" x14ac:dyDescent="0.25">
      <c r="A137" s="16">
        <v>243</v>
      </c>
      <c r="B137" s="17">
        <v>10</v>
      </c>
      <c r="C137" s="18" t="s">
        <v>633</v>
      </c>
      <c r="D137" s="17">
        <v>9686000</v>
      </c>
      <c r="E137" s="17">
        <v>7751000</v>
      </c>
      <c r="F137" s="17">
        <v>8190000</v>
      </c>
      <c r="G137" s="17"/>
      <c r="H137" s="17"/>
      <c r="I137" s="17">
        <v>212000</v>
      </c>
      <c r="J137" s="17">
        <v>21000</v>
      </c>
      <c r="K137" s="17">
        <v>57000</v>
      </c>
      <c r="L137" s="17">
        <v>127000</v>
      </c>
      <c r="M137" s="17"/>
      <c r="N137" s="17">
        <v>29619000</v>
      </c>
      <c r="O137" s="17">
        <v>39966000</v>
      </c>
      <c r="P137" s="17">
        <v>34538000</v>
      </c>
      <c r="Q137" s="17">
        <v>38924000</v>
      </c>
      <c r="R137" s="17">
        <v>17999000</v>
      </c>
      <c r="S137" s="17">
        <v>480000</v>
      </c>
      <c r="T137" s="17">
        <v>532000</v>
      </c>
      <c r="U137" s="17">
        <v>358000</v>
      </c>
      <c r="V137" s="17">
        <v>1219000</v>
      </c>
      <c r="W137" s="17">
        <v>543000</v>
      </c>
      <c r="X137" s="17"/>
      <c r="Y137" s="17">
        <v>-33851000</v>
      </c>
      <c r="Z137" s="17">
        <v>-32430000</v>
      </c>
      <c r="AA137" s="17">
        <v>-33833000</v>
      </c>
      <c r="AB137" s="17">
        <v>-34669000</v>
      </c>
      <c r="AC137" s="17"/>
      <c r="AD137" s="17"/>
      <c r="AE137" s="17"/>
      <c r="AF137" s="17"/>
      <c r="AG137" s="17"/>
      <c r="AH137" s="17">
        <v>41334000</v>
      </c>
      <c r="AI137" s="17">
        <v>58209000</v>
      </c>
      <c r="AJ137" s="17">
        <v>51636000</v>
      </c>
      <c r="AK137" s="17">
        <v>55047000</v>
      </c>
      <c r="AL137" s="17">
        <v>53201000</v>
      </c>
      <c r="AM137" s="17">
        <v>13932000</v>
      </c>
      <c r="AN137" s="17">
        <v>12163000</v>
      </c>
      <c r="AO137" s="17">
        <v>11995000</v>
      </c>
      <c r="AP137" s="17">
        <v>10249000</v>
      </c>
      <c r="AQ137" s="17"/>
      <c r="AR137" s="17">
        <v>21014000</v>
      </c>
      <c r="AS137" s="17">
        <v>555000</v>
      </c>
      <c r="AT137" s="17">
        <v>637000</v>
      </c>
      <c r="AU137" s="17">
        <v>230000</v>
      </c>
      <c r="AV137" s="17"/>
      <c r="AW137" s="17"/>
      <c r="AX137" s="17"/>
      <c r="AY137" s="17"/>
      <c r="AZ137" s="17"/>
      <c r="BA137" s="17"/>
      <c r="BB137" s="17"/>
      <c r="BC137" s="17">
        <v>18849000</v>
      </c>
      <c r="BD137" s="17">
        <v>21535000</v>
      </c>
      <c r="BE137" s="17">
        <v>8822000</v>
      </c>
      <c r="BF137" s="17">
        <v>1513000</v>
      </c>
      <c r="BG137" s="17"/>
      <c r="BH137" s="17">
        <v>1000</v>
      </c>
      <c r="BI137" s="17"/>
      <c r="BJ137" s="17"/>
      <c r="BK137" s="17"/>
      <c r="BL137" s="17">
        <v>8057000</v>
      </c>
      <c r="BM137" s="17">
        <v>57000</v>
      </c>
      <c r="BN137" s="17">
        <v>1581000</v>
      </c>
      <c r="BO137" s="17">
        <v>2916000</v>
      </c>
      <c r="BP137" s="17">
        <v>8906000</v>
      </c>
      <c r="BQ137" s="17">
        <v>-15139000</v>
      </c>
      <c r="BR137" s="17">
        <v>-7297000</v>
      </c>
      <c r="BS137" s="17">
        <v>-11758000</v>
      </c>
      <c r="BT137" s="17">
        <v>-1719000</v>
      </c>
      <c r="BU137" s="17">
        <v>-10419000</v>
      </c>
    </row>
    <row r="138" spans="1:73" x14ac:dyDescent="0.25">
      <c r="A138" s="16">
        <v>66</v>
      </c>
      <c r="B138" s="17">
        <v>18</v>
      </c>
      <c r="C138" s="18" t="s">
        <v>363</v>
      </c>
      <c r="D138" s="17">
        <v>993000</v>
      </c>
      <c r="E138" s="17">
        <v>887000</v>
      </c>
      <c r="F138" s="17">
        <v>785000</v>
      </c>
      <c r="G138" s="17"/>
      <c r="H138" s="17"/>
      <c r="I138" s="17">
        <v>6862000</v>
      </c>
      <c r="J138" s="17">
        <v>2296000</v>
      </c>
      <c r="K138" s="17">
        <v>1273000</v>
      </c>
      <c r="L138" s="17"/>
      <c r="M138" s="17"/>
      <c r="N138" s="17">
        <v>263633000</v>
      </c>
      <c r="O138" s="17">
        <v>279857000</v>
      </c>
      <c r="P138" s="17">
        <v>268396000</v>
      </c>
      <c r="Q138" s="17"/>
      <c r="R138" s="17"/>
      <c r="S138" s="17">
        <v>222000</v>
      </c>
      <c r="T138" s="17">
        <v>27000</v>
      </c>
      <c r="U138" s="17">
        <v>3000</v>
      </c>
      <c r="V138" s="17"/>
      <c r="W138" s="17"/>
      <c r="X138" s="17">
        <v>21650000</v>
      </c>
      <c r="Y138" s="17">
        <v>20505000</v>
      </c>
      <c r="Z138" s="17">
        <v>23360000</v>
      </c>
      <c r="AA138" s="17"/>
      <c r="AB138" s="17"/>
      <c r="AC138" s="17">
        <v>4357000</v>
      </c>
      <c r="AD138" s="17">
        <v>16916000</v>
      </c>
      <c r="AE138" s="17">
        <v>7747000</v>
      </c>
      <c r="AF138" s="17"/>
      <c r="AG138" s="17"/>
      <c r="AH138" s="17">
        <v>350116000</v>
      </c>
      <c r="AI138" s="17">
        <v>358907000</v>
      </c>
      <c r="AJ138" s="17">
        <v>352614000</v>
      </c>
      <c r="AK138" s="17"/>
      <c r="AL138" s="17"/>
      <c r="AM138" s="17">
        <v>220278000</v>
      </c>
      <c r="AN138" s="17">
        <v>104175000</v>
      </c>
      <c r="AO138" s="17">
        <v>31925000</v>
      </c>
      <c r="AP138" s="17"/>
      <c r="AQ138" s="17"/>
      <c r="AR138" s="17">
        <v>171167000</v>
      </c>
      <c r="AS138" s="17">
        <v>63181000</v>
      </c>
      <c r="AT138" s="17">
        <v>7160000</v>
      </c>
      <c r="AU138" s="17"/>
      <c r="AV138" s="17"/>
      <c r="AW138" s="17"/>
      <c r="AX138" s="17"/>
      <c r="AY138" s="17"/>
      <c r="AZ138" s="17"/>
      <c r="BA138" s="17"/>
      <c r="BB138" s="17">
        <v>42852000</v>
      </c>
      <c r="BC138" s="17">
        <v>36759000</v>
      </c>
      <c r="BD138" s="17">
        <v>18499000</v>
      </c>
      <c r="BE138" s="17"/>
      <c r="BF138" s="17"/>
      <c r="BG138" s="17">
        <v>17126000</v>
      </c>
      <c r="BH138" s="17">
        <v>5754000</v>
      </c>
      <c r="BI138" s="17">
        <v>7721000</v>
      </c>
      <c r="BJ138" s="17"/>
      <c r="BK138" s="17"/>
      <c r="BL138" s="17">
        <v>19099000</v>
      </c>
      <c r="BM138" s="17">
        <v>13739000</v>
      </c>
      <c r="BN138" s="17">
        <v>9127000</v>
      </c>
      <c r="BO138" s="17"/>
      <c r="BP138" s="17"/>
      <c r="BQ138" s="17">
        <v>5109000</v>
      </c>
      <c r="BR138" s="17">
        <v>-1145000</v>
      </c>
      <c r="BS138" s="17">
        <v>2855000</v>
      </c>
      <c r="BT138" s="17"/>
      <c r="BU138" s="17"/>
    </row>
    <row r="139" spans="1:73" x14ac:dyDescent="0.25">
      <c r="A139" s="16">
        <v>90</v>
      </c>
      <c r="B139" s="17">
        <v>5</v>
      </c>
      <c r="C139" s="18" t="s">
        <v>363</v>
      </c>
      <c r="D139" s="17">
        <v>1487000</v>
      </c>
      <c r="E139" s="17">
        <v>1200000</v>
      </c>
      <c r="F139" s="17">
        <v>913000</v>
      </c>
      <c r="G139" s="17">
        <v>5320000</v>
      </c>
      <c r="H139" s="17">
        <v>2797000</v>
      </c>
      <c r="I139" s="17">
        <v>17743000</v>
      </c>
      <c r="J139" s="17">
        <v>168287000</v>
      </c>
      <c r="K139" s="17">
        <v>236688000</v>
      </c>
      <c r="L139" s="17">
        <v>124090000</v>
      </c>
      <c r="M139" s="17">
        <v>13640000</v>
      </c>
      <c r="N139" s="17">
        <v>52115000</v>
      </c>
      <c r="O139" s="17">
        <v>149659000</v>
      </c>
      <c r="P139" s="17">
        <v>1000000</v>
      </c>
      <c r="Q139" s="17">
        <v>6914000</v>
      </c>
      <c r="R139" s="17">
        <v>131742000</v>
      </c>
      <c r="S139" s="17">
        <v>416000</v>
      </c>
      <c r="T139" s="17">
        <v>12459000</v>
      </c>
      <c r="U139" s="17">
        <v>7404000</v>
      </c>
      <c r="V139" s="17">
        <v>12074000</v>
      </c>
      <c r="W139" s="17">
        <v>436000</v>
      </c>
      <c r="X139" s="17">
        <v>3114000</v>
      </c>
      <c r="Y139" s="17">
        <v>3515000</v>
      </c>
      <c r="Z139" s="17">
        <v>4740000</v>
      </c>
      <c r="AA139" s="17">
        <v>7216000</v>
      </c>
      <c r="AB139" s="17">
        <v>12627000</v>
      </c>
      <c r="AC139" s="17"/>
      <c r="AD139" s="17"/>
      <c r="AE139" s="17"/>
      <c r="AF139" s="17"/>
      <c r="AG139" s="17"/>
      <c r="AH139" s="17">
        <v>17935000</v>
      </c>
      <c r="AI139" s="17">
        <v>180586000</v>
      </c>
      <c r="AJ139" s="17">
        <v>199453000</v>
      </c>
      <c r="AK139" s="17">
        <v>126287000</v>
      </c>
      <c r="AL139" s="17">
        <v>136295000</v>
      </c>
      <c r="AM139" s="17">
        <v>44333000</v>
      </c>
      <c r="AN139" s="17">
        <v>102261000</v>
      </c>
      <c r="AO139" s="17">
        <v>211994000</v>
      </c>
      <c r="AP139" s="17">
        <v>325800000</v>
      </c>
      <c r="AQ139" s="17">
        <v>47524000</v>
      </c>
      <c r="AR139" s="17">
        <v>37152000</v>
      </c>
      <c r="AS139" s="17">
        <v>50912000</v>
      </c>
      <c r="AT139" s="17">
        <v>117149000</v>
      </c>
      <c r="AU139" s="17">
        <v>216388000</v>
      </c>
      <c r="AV139" s="17">
        <v>11419000</v>
      </c>
      <c r="AW139" s="17"/>
      <c r="AX139" s="17"/>
      <c r="AY139" s="17"/>
      <c r="AZ139" s="17"/>
      <c r="BA139" s="17"/>
      <c r="BB139" s="17">
        <v>6274000</v>
      </c>
      <c r="BC139" s="17">
        <v>46795000</v>
      </c>
      <c r="BD139" s="17">
        <v>96712000</v>
      </c>
      <c r="BE139" s="17">
        <v>103251000</v>
      </c>
      <c r="BF139" s="17">
        <v>36299000</v>
      </c>
      <c r="BG139" s="17">
        <v>29291000</v>
      </c>
      <c r="BH139" s="17">
        <v>7933000</v>
      </c>
      <c r="BI139" s="17">
        <v>6682000</v>
      </c>
      <c r="BJ139" s="17">
        <v>3792000</v>
      </c>
      <c r="BK139" s="17">
        <v>676000</v>
      </c>
      <c r="BL139" s="17">
        <v>26306000</v>
      </c>
      <c r="BM139" s="17">
        <v>11985000</v>
      </c>
      <c r="BN139" s="17">
        <v>3285000</v>
      </c>
      <c r="BO139" s="17">
        <v>6858000</v>
      </c>
      <c r="BP139" s="17">
        <v>128000</v>
      </c>
      <c r="BQ139" s="17">
        <v>3114000</v>
      </c>
      <c r="BR139" s="17">
        <v>402000</v>
      </c>
      <c r="BS139" s="17">
        <v>1224000</v>
      </c>
      <c r="BT139" s="17">
        <v>2476000</v>
      </c>
      <c r="BU139" s="17">
        <v>283000</v>
      </c>
    </row>
    <row r="140" spans="1:73" x14ac:dyDescent="0.25">
      <c r="A140" s="16">
        <v>223</v>
      </c>
      <c r="B140" s="17">
        <v>33</v>
      </c>
      <c r="C140" s="18" t="s">
        <v>363</v>
      </c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>
        <v>103968000</v>
      </c>
      <c r="O140" s="17">
        <v>103968000</v>
      </c>
      <c r="P140" s="17">
        <v>103968000</v>
      </c>
      <c r="Q140" s="17"/>
      <c r="R140" s="17"/>
      <c r="S140" s="17">
        <v>304000</v>
      </c>
      <c r="T140" s="17"/>
      <c r="U140" s="17"/>
      <c r="V140" s="17"/>
      <c r="W140" s="17"/>
      <c r="X140" s="17">
        <v>-257912000</v>
      </c>
      <c r="Y140" s="17">
        <v>-258469000</v>
      </c>
      <c r="Z140" s="17"/>
      <c r="AA140" s="17"/>
      <c r="AB140" s="17"/>
      <c r="AC140" s="17">
        <v>16000</v>
      </c>
      <c r="AD140" s="17">
        <v>16000</v>
      </c>
      <c r="AE140" s="17"/>
      <c r="AF140" s="17"/>
      <c r="AG140" s="17"/>
      <c r="AH140" s="17">
        <v>323919000</v>
      </c>
      <c r="AI140" s="17">
        <v>323919000</v>
      </c>
      <c r="AJ140" s="17">
        <v>348673000</v>
      </c>
      <c r="AK140" s="17"/>
      <c r="AL140" s="17"/>
      <c r="AM140" s="17">
        <v>525000</v>
      </c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  <c r="BA140" s="17"/>
      <c r="BB140" s="17">
        <v>7353000</v>
      </c>
      <c r="BC140" s="17"/>
      <c r="BD140" s="17"/>
      <c r="BE140" s="17"/>
      <c r="BF140" s="17"/>
      <c r="BG140" s="17">
        <v>1021000</v>
      </c>
      <c r="BH140" s="17"/>
      <c r="BI140" s="17"/>
      <c r="BJ140" s="17"/>
      <c r="BK140" s="17"/>
      <c r="BL140" s="17">
        <v>50337000</v>
      </c>
      <c r="BM140" s="17"/>
      <c r="BN140" s="17"/>
      <c r="BO140" s="17"/>
      <c r="BP140" s="17"/>
      <c r="BQ140" s="17">
        <v>-57564000</v>
      </c>
      <c r="BR140" s="17"/>
      <c r="BS140" s="17"/>
      <c r="BT140" s="17"/>
      <c r="BU140" s="17"/>
    </row>
    <row r="141" spans="1:73" x14ac:dyDescent="0.25">
      <c r="A141" s="16">
        <v>242</v>
      </c>
      <c r="B141" s="17">
        <v>10</v>
      </c>
      <c r="C141" s="18" t="s">
        <v>363</v>
      </c>
      <c r="D141" s="17">
        <v>41000</v>
      </c>
      <c r="E141" s="17"/>
      <c r="F141" s="17"/>
      <c r="G141" s="17"/>
      <c r="H141" s="17"/>
      <c r="I141" s="17">
        <v>14000</v>
      </c>
      <c r="J141" s="17">
        <v>8000</v>
      </c>
      <c r="K141" s="17"/>
      <c r="L141" s="17"/>
      <c r="M141" s="17"/>
      <c r="N141" s="17">
        <v>1000000</v>
      </c>
      <c r="O141" s="17">
        <v>2104000</v>
      </c>
      <c r="P141" s="17"/>
      <c r="Q141" s="17"/>
      <c r="R141" s="17"/>
      <c r="S141" s="17">
        <v>207000</v>
      </c>
      <c r="T141" s="17"/>
      <c r="U141" s="17"/>
      <c r="V141" s="17"/>
      <c r="W141" s="17"/>
      <c r="X141" s="17">
        <v>2824000</v>
      </c>
      <c r="Y141" s="17"/>
      <c r="Z141" s="17"/>
      <c r="AA141" s="17"/>
      <c r="AB141" s="17"/>
      <c r="AC141" s="17"/>
      <c r="AD141" s="17"/>
      <c r="AE141" s="17"/>
      <c r="AF141" s="17"/>
      <c r="AG141" s="17"/>
      <c r="AH141" s="17">
        <v>471000</v>
      </c>
      <c r="AI141" s="17">
        <v>4923000</v>
      </c>
      <c r="AJ141" s="17"/>
      <c r="AK141" s="17"/>
      <c r="AL141" s="17"/>
      <c r="AM141" s="17">
        <v>7456000</v>
      </c>
      <c r="AN141" s="17">
        <v>6240000</v>
      </c>
      <c r="AO141" s="17"/>
      <c r="AP141" s="17"/>
      <c r="AQ141" s="17"/>
      <c r="AR141" s="17">
        <v>301000</v>
      </c>
      <c r="AS141" s="17">
        <v>5505000</v>
      </c>
      <c r="AT141" s="17"/>
      <c r="AU141" s="17"/>
      <c r="AV141" s="17"/>
      <c r="AW141" s="17"/>
      <c r="AX141" s="17"/>
      <c r="AY141" s="17"/>
      <c r="AZ141" s="17"/>
      <c r="BA141" s="17"/>
      <c r="BB141" s="17">
        <v>4878000</v>
      </c>
      <c r="BC141" s="17"/>
      <c r="BD141" s="17"/>
      <c r="BE141" s="17"/>
      <c r="BF141" s="17"/>
      <c r="BG141" s="17">
        <v>698000</v>
      </c>
      <c r="BH141" s="17">
        <v>4180000</v>
      </c>
      <c r="BI141" s="17"/>
      <c r="BJ141" s="17"/>
      <c r="BK141" s="17"/>
      <c r="BL141" s="17">
        <v>4210000</v>
      </c>
      <c r="BM141" s="17">
        <v>7956000</v>
      </c>
      <c r="BN141" s="17"/>
      <c r="BO141" s="17"/>
      <c r="BP141" s="17"/>
      <c r="BQ141" s="17">
        <v>-1277000</v>
      </c>
      <c r="BR141" s="17">
        <v>-3295000</v>
      </c>
      <c r="BS141" s="17"/>
      <c r="BT141" s="17"/>
      <c r="BU141" s="17"/>
    </row>
    <row r="142" spans="1:73" x14ac:dyDescent="0.25">
      <c r="A142" s="16">
        <v>145</v>
      </c>
      <c r="B142" s="17">
        <v>32</v>
      </c>
      <c r="C142" s="18" t="s">
        <v>566</v>
      </c>
      <c r="D142" s="17"/>
      <c r="E142" s="17"/>
      <c r="F142" s="17"/>
      <c r="G142" s="17"/>
      <c r="H142" s="17"/>
      <c r="I142" s="17">
        <v>768772000</v>
      </c>
      <c r="J142" s="17">
        <v>726400000</v>
      </c>
      <c r="K142" s="17">
        <v>768395000</v>
      </c>
      <c r="L142" s="17">
        <v>683468000</v>
      </c>
      <c r="M142" s="17">
        <v>681868000</v>
      </c>
      <c r="N142" s="17">
        <v>84353000</v>
      </c>
      <c r="O142" s="17">
        <v>82488000</v>
      </c>
      <c r="P142" s="17">
        <v>77636000</v>
      </c>
      <c r="Q142" s="17">
        <v>8011000</v>
      </c>
      <c r="R142" s="17">
        <v>6493000</v>
      </c>
      <c r="S142" s="17">
        <v>49326000</v>
      </c>
      <c r="T142" s="17">
        <v>35583000</v>
      </c>
      <c r="U142" s="17">
        <v>23980000</v>
      </c>
      <c r="V142" s="17">
        <v>25393000</v>
      </c>
      <c r="W142" s="17">
        <v>21727000</v>
      </c>
      <c r="X142" s="17">
        <v>-1366127000</v>
      </c>
      <c r="Y142" s="17">
        <v>-1300573000</v>
      </c>
      <c r="Z142" s="17">
        <v>-538095000</v>
      </c>
      <c r="AA142" s="17">
        <v>-364560000</v>
      </c>
      <c r="AB142" s="17">
        <v>-370236000</v>
      </c>
      <c r="AC142" s="17"/>
      <c r="AD142" s="17"/>
      <c r="AE142" s="17"/>
      <c r="AF142" s="17"/>
      <c r="AG142" s="17"/>
      <c r="AH142" s="17">
        <v>1384830000</v>
      </c>
      <c r="AI142" s="17">
        <v>1347200000</v>
      </c>
      <c r="AJ142" s="17">
        <v>1346450000</v>
      </c>
      <c r="AK142" s="17">
        <v>1015789000</v>
      </c>
      <c r="AL142" s="17">
        <v>1014206000</v>
      </c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  <c r="BA142" s="17"/>
      <c r="BB142" s="17"/>
      <c r="BC142" s="17"/>
      <c r="BD142" s="17"/>
      <c r="BE142" s="17"/>
      <c r="BF142" s="17"/>
      <c r="BG142" s="17">
        <v>321592000</v>
      </c>
      <c r="BH142" s="17">
        <v>95355000</v>
      </c>
      <c r="BI142" s="17">
        <v>24252000</v>
      </c>
      <c r="BJ142" s="17">
        <v>348559000</v>
      </c>
      <c r="BK142" s="17">
        <v>61685000</v>
      </c>
      <c r="BL142" s="17">
        <v>198688000</v>
      </c>
      <c r="BM142" s="17">
        <v>115706000</v>
      </c>
      <c r="BN142" s="17">
        <v>48920000</v>
      </c>
      <c r="BO142" s="17">
        <v>155838000</v>
      </c>
      <c r="BP142" s="17">
        <v>48431000</v>
      </c>
      <c r="BQ142" s="17">
        <v>110596000</v>
      </c>
      <c r="BR142" s="17">
        <v>-17944000</v>
      </c>
      <c r="BS142" s="17">
        <v>-19070000</v>
      </c>
      <c r="BT142" s="17">
        <v>173535000</v>
      </c>
      <c r="BU142" s="17">
        <v>13017000</v>
      </c>
    </row>
    <row r="143" spans="1:73" x14ac:dyDescent="0.25">
      <c r="A143" s="16">
        <v>117</v>
      </c>
      <c r="B143" s="17">
        <v>33</v>
      </c>
      <c r="C143" s="18" t="s">
        <v>494</v>
      </c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  <c r="BA143" s="17"/>
      <c r="BB143" s="17"/>
      <c r="BC143" s="17"/>
      <c r="BD143" s="17"/>
      <c r="BE143" s="17"/>
      <c r="BF143" s="17"/>
      <c r="BG143" s="17"/>
      <c r="BH143" s="17"/>
      <c r="BI143" s="17"/>
      <c r="BJ143" s="17"/>
      <c r="BK143" s="17"/>
      <c r="BL143" s="17"/>
      <c r="BM143" s="17"/>
      <c r="BN143" s="17"/>
      <c r="BO143" s="17"/>
      <c r="BP143" s="17"/>
      <c r="BQ143" s="17"/>
      <c r="BR143" s="17"/>
      <c r="BS143" s="17"/>
      <c r="BT143" s="17"/>
      <c r="BU143" s="17"/>
    </row>
    <row r="144" spans="1:73" x14ac:dyDescent="0.25">
      <c r="A144" s="16">
        <v>130</v>
      </c>
      <c r="B144" s="17">
        <v>19</v>
      </c>
      <c r="C144" s="18" t="s">
        <v>530</v>
      </c>
      <c r="D144" s="17">
        <v>204394000</v>
      </c>
      <c r="E144" s="17">
        <v>234901000</v>
      </c>
      <c r="F144" s="17">
        <v>249993000</v>
      </c>
      <c r="G144" s="17">
        <v>228250000</v>
      </c>
      <c r="H144" s="17">
        <v>230775000</v>
      </c>
      <c r="I144" s="17">
        <v>94295000</v>
      </c>
      <c r="J144" s="17">
        <v>91441000</v>
      </c>
      <c r="K144" s="17">
        <v>89224000</v>
      </c>
      <c r="L144" s="17">
        <v>13402000</v>
      </c>
      <c r="M144" s="17">
        <v>13448000</v>
      </c>
      <c r="N144" s="17">
        <v>61951000</v>
      </c>
      <c r="O144" s="17">
        <v>32302000</v>
      </c>
      <c r="P144" s="17">
        <v>20738000</v>
      </c>
      <c r="Q144" s="17">
        <v>14327000</v>
      </c>
      <c r="R144" s="17">
        <v>9479000</v>
      </c>
      <c r="S144" s="17">
        <v>608000</v>
      </c>
      <c r="T144" s="17">
        <v>34000</v>
      </c>
      <c r="U144" s="17">
        <v>60000</v>
      </c>
      <c r="V144" s="17">
        <v>141000</v>
      </c>
      <c r="W144" s="17">
        <v>388000</v>
      </c>
      <c r="X144" s="17"/>
      <c r="Y144" s="17"/>
      <c r="Z144" s="17"/>
      <c r="AA144" s="17"/>
      <c r="AB144" s="17"/>
      <c r="AC144" s="17">
        <v>5992000</v>
      </c>
      <c r="AD144" s="17">
        <v>3628000</v>
      </c>
      <c r="AE144" s="17">
        <v>2633000</v>
      </c>
      <c r="AF144" s="17">
        <v>6190000</v>
      </c>
      <c r="AG144" s="17">
        <v>6190000</v>
      </c>
      <c r="AH144" s="17">
        <v>97223000</v>
      </c>
      <c r="AI144" s="17">
        <v>96756000</v>
      </c>
      <c r="AJ144" s="17">
        <v>119116000</v>
      </c>
      <c r="AK144" s="17">
        <v>125752000</v>
      </c>
      <c r="AL144" s="17">
        <v>121455000</v>
      </c>
      <c r="AM144" s="17">
        <v>138837000</v>
      </c>
      <c r="AN144" s="17">
        <v>220483000</v>
      </c>
      <c r="AO144" s="17">
        <v>130263000</v>
      </c>
      <c r="AP144" s="17">
        <v>22878000</v>
      </c>
      <c r="AQ144" s="17">
        <v>37875000</v>
      </c>
      <c r="AR144" s="17">
        <v>101638000</v>
      </c>
      <c r="AS144" s="17">
        <v>191581000</v>
      </c>
      <c r="AT144" s="17">
        <v>120129000</v>
      </c>
      <c r="AU144" s="17">
        <v>31402000</v>
      </c>
      <c r="AV144" s="17">
        <v>37047000</v>
      </c>
      <c r="AW144" s="17"/>
      <c r="AX144" s="17"/>
      <c r="AY144" s="17"/>
      <c r="AZ144" s="17"/>
      <c r="BA144" s="17"/>
      <c r="BB144" s="17"/>
      <c r="BC144" s="17"/>
      <c r="BD144" s="17"/>
      <c r="BE144" s="17"/>
      <c r="BF144" s="17"/>
      <c r="BG144" s="17">
        <v>473000</v>
      </c>
      <c r="BH144" s="17">
        <v>5119000</v>
      </c>
      <c r="BI144" s="17">
        <v>18546000</v>
      </c>
      <c r="BJ144" s="17">
        <v>6365000</v>
      </c>
      <c r="BK144" s="17">
        <v>11390000</v>
      </c>
      <c r="BL144" s="17">
        <v>25553000</v>
      </c>
      <c r="BM144" s="17">
        <v>12876000</v>
      </c>
      <c r="BN144" s="17">
        <v>29846000</v>
      </c>
      <c r="BO144" s="17">
        <v>101565000</v>
      </c>
      <c r="BP144" s="17">
        <v>9586000</v>
      </c>
      <c r="BQ144" s="17">
        <v>2131000</v>
      </c>
      <c r="BR144" s="17">
        <v>4206000</v>
      </c>
      <c r="BS144" s="17">
        <v>-14665000</v>
      </c>
      <c r="BT144" s="17">
        <v>-113428000</v>
      </c>
      <c r="BU144" s="17">
        <v>2269000</v>
      </c>
    </row>
    <row r="145" spans="1:73" ht="26.25" x14ac:dyDescent="0.25">
      <c r="A145" s="16">
        <v>34</v>
      </c>
      <c r="B145" s="17">
        <v>32</v>
      </c>
      <c r="C145" s="18" t="s">
        <v>280</v>
      </c>
      <c r="D145" s="17">
        <v>17859000</v>
      </c>
      <c r="E145" s="17">
        <v>18951000</v>
      </c>
      <c r="F145" s="17">
        <v>18439000</v>
      </c>
      <c r="G145" s="17">
        <v>7032000</v>
      </c>
      <c r="H145" s="17">
        <v>5000000</v>
      </c>
      <c r="I145" s="17">
        <v>17782000</v>
      </c>
      <c r="J145" s="17">
        <v>23633000</v>
      </c>
      <c r="K145" s="17">
        <v>21195000</v>
      </c>
      <c r="L145" s="17">
        <v>17384000</v>
      </c>
      <c r="M145" s="17">
        <v>6572000</v>
      </c>
      <c r="N145" s="17">
        <v>15230000</v>
      </c>
      <c r="O145" s="17">
        <v>17533000</v>
      </c>
      <c r="P145" s="17">
        <v>17823000</v>
      </c>
      <c r="Q145" s="17">
        <v>21236000</v>
      </c>
      <c r="R145" s="17">
        <v>9860000</v>
      </c>
      <c r="S145" s="17">
        <v>680000</v>
      </c>
      <c r="T145" s="17">
        <v>531000</v>
      </c>
      <c r="U145" s="17">
        <v>952000</v>
      </c>
      <c r="V145" s="17">
        <v>4503000</v>
      </c>
      <c r="W145" s="17">
        <v>5000</v>
      </c>
      <c r="X145" s="17">
        <v>13319000</v>
      </c>
      <c r="Y145" s="17">
        <v>7503000</v>
      </c>
      <c r="Z145" s="17">
        <v>11112000</v>
      </c>
      <c r="AA145" s="17">
        <v>20728000</v>
      </c>
      <c r="AB145" s="17">
        <v>-10709000</v>
      </c>
      <c r="AC145" s="17">
        <v>17133000</v>
      </c>
      <c r="AD145" s="17">
        <v>21535000</v>
      </c>
      <c r="AE145" s="17">
        <v>20350000</v>
      </c>
      <c r="AF145" s="17"/>
      <c r="AG145" s="17">
        <v>600000</v>
      </c>
      <c r="AH145" s="17">
        <v>16644000</v>
      </c>
      <c r="AI145" s="17">
        <v>30308000</v>
      </c>
      <c r="AJ145" s="17">
        <v>18827000</v>
      </c>
      <c r="AK145" s="17">
        <v>37492000</v>
      </c>
      <c r="AL145" s="17">
        <v>41617000</v>
      </c>
      <c r="AM145" s="17">
        <v>216598000</v>
      </c>
      <c r="AN145" s="17">
        <v>214968000</v>
      </c>
      <c r="AO145" s="17">
        <v>250085000</v>
      </c>
      <c r="AP145" s="17">
        <v>225730000</v>
      </c>
      <c r="AQ145" s="17">
        <v>196323000</v>
      </c>
      <c r="AR145" s="17">
        <v>157762000</v>
      </c>
      <c r="AS145" s="17">
        <v>156090000</v>
      </c>
      <c r="AT145" s="17">
        <v>168221000</v>
      </c>
      <c r="AU145" s="17">
        <v>151356000</v>
      </c>
      <c r="AV145" s="17">
        <v>127467000</v>
      </c>
      <c r="AW145" s="17">
        <v>50217000</v>
      </c>
      <c r="AX145" s="17">
        <v>48146000</v>
      </c>
      <c r="AY145" s="17">
        <v>65227000</v>
      </c>
      <c r="AZ145" s="17">
        <v>78154000</v>
      </c>
      <c r="BA145" s="17">
        <v>90199000</v>
      </c>
      <c r="BB145" s="17">
        <v>17516000</v>
      </c>
      <c r="BC145" s="17">
        <v>17876000</v>
      </c>
      <c r="BD145" s="17">
        <v>19346000</v>
      </c>
      <c r="BE145" s="17">
        <v>19516000</v>
      </c>
      <c r="BF145" s="17">
        <v>19123000</v>
      </c>
      <c r="BG145" s="17">
        <v>208000</v>
      </c>
      <c r="BH145" s="17">
        <v>89000</v>
      </c>
      <c r="BI145" s="17">
        <v>715000</v>
      </c>
      <c r="BJ145" s="17">
        <v>37618000</v>
      </c>
      <c r="BK145" s="17">
        <v>5492000</v>
      </c>
      <c r="BL145" s="17">
        <v>652000</v>
      </c>
      <c r="BM145" s="17">
        <v>754000</v>
      </c>
      <c r="BN145" s="17">
        <v>2903000</v>
      </c>
      <c r="BO145" s="17">
        <v>13624000</v>
      </c>
      <c r="BP145" s="17">
        <v>1207000</v>
      </c>
      <c r="BQ145" s="17">
        <v>-9781000</v>
      </c>
      <c r="BR145" s="17">
        <v>-8211000</v>
      </c>
      <c r="BS145" s="17">
        <v>-3249000</v>
      </c>
      <c r="BT145" s="17">
        <v>398000</v>
      </c>
      <c r="BU145" s="17">
        <v>-28690000</v>
      </c>
    </row>
    <row r="146" spans="1:73" ht="26.25" x14ac:dyDescent="0.25">
      <c r="A146" s="16">
        <v>189</v>
      </c>
      <c r="B146" s="17">
        <v>11</v>
      </c>
      <c r="C146" s="18" t="s">
        <v>671</v>
      </c>
      <c r="D146" s="17"/>
      <c r="E146" s="17">
        <v>20193000</v>
      </c>
      <c r="F146" s="17">
        <v>88866000</v>
      </c>
      <c r="G146" s="17">
        <v>75134000</v>
      </c>
      <c r="H146" s="17">
        <v>14777000</v>
      </c>
      <c r="I146" s="17">
        <v>167779000</v>
      </c>
      <c r="J146" s="17">
        <v>215355000</v>
      </c>
      <c r="K146" s="17">
        <v>418226000</v>
      </c>
      <c r="L146" s="17">
        <v>428400000</v>
      </c>
      <c r="M146" s="17">
        <v>197505000</v>
      </c>
      <c r="N146" s="17">
        <v>262385000</v>
      </c>
      <c r="O146" s="17">
        <v>311189000</v>
      </c>
      <c r="P146" s="17">
        <v>139567000</v>
      </c>
      <c r="Q146" s="17">
        <v>34203000</v>
      </c>
      <c r="R146" s="17">
        <v>276564000</v>
      </c>
      <c r="S146" s="17">
        <v>10977000</v>
      </c>
      <c r="T146" s="17">
        <v>9282000</v>
      </c>
      <c r="U146" s="17">
        <v>152000</v>
      </c>
      <c r="V146" s="17">
        <v>5587000</v>
      </c>
      <c r="W146" s="17">
        <v>651000</v>
      </c>
      <c r="X146" s="17">
        <v>15107000</v>
      </c>
      <c r="Y146" s="17">
        <v>37319000</v>
      </c>
      <c r="Z146" s="17">
        <v>44425000</v>
      </c>
      <c r="AA146" s="17">
        <v>41620000</v>
      </c>
      <c r="AB146" s="17">
        <v>23651000</v>
      </c>
      <c r="AC146" s="17">
        <v>520000</v>
      </c>
      <c r="AD146" s="17">
        <v>30591000</v>
      </c>
      <c r="AE146" s="17">
        <v>116819000</v>
      </c>
      <c r="AF146" s="17">
        <v>147176000</v>
      </c>
      <c r="AG146" s="17">
        <v>144164000</v>
      </c>
      <c r="AH146" s="17">
        <v>370172000</v>
      </c>
      <c r="AI146" s="17">
        <v>438169000</v>
      </c>
      <c r="AJ146" s="17">
        <v>432899000</v>
      </c>
      <c r="AK146" s="17">
        <v>437857000</v>
      </c>
      <c r="AL146" s="17">
        <v>828597000</v>
      </c>
      <c r="AM146" s="17">
        <v>715641000</v>
      </c>
      <c r="AN146" s="17">
        <v>1029745000</v>
      </c>
      <c r="AO146" s="17">
        <v>893503000</v>
      </c>
      <c r="AP146" s="17">
        <v>725914000</v>
      </c>
      <c r="AQ146" s="17">
        <v>449610000</v>
      </c>
      <c r="AR146" s="17">
        <v>617689000</v>
      </c>
      <c r="AS146" s="17">
        <v>892281000</v>
      </c>
      <c r="AT146" s="17">
        <v>764087000</v>
      </c>
      <c r="AU146" s="17">
        <v>647917000</v>
      </c>
      <c r="AV146" s="17">
        <v>499362000</v>
      </c>
      <c r="AW146" s="17">
        <v>54360000</v>
      </c>
      <c r="AX146" s="17">
        <v>61162000</v>
      </c>
      <c r="AY146" s="17">
        <v>53069000</v>
      </c>
      <c r="AZ146" s="17">
        <v>23403000</v>
      </c>
      <c r="BA146" s="17">
        <v>3623000</v>
      </c>
      <c r="BB146" s="17">
        <v>28818000</v>
      </c>
      <c r="BC146" s="17">
        <v>53241000</v>
      </c>
      <c r="BD146" s="17">
        <v>39194000</v>
      </c>
      <c r="BE146" s="17">
        <v>30927000</v>
      </c>
      <c r="BF146" s="17">
        <v>28582000</v>
      </c>
      <c r="BG146" s="17">
        <v>430748000</v>
      </c>
      <c r="BH146" s="17">
        <v>351668000</v>
      </c>
      <c r="BI146" s="17">
        <v>306631000</v>
      </c>
      <c r="BJ146" s="17">
        <v>44633000</v>
      </c>
      <c r="BK146" s="17">
        <v>93463000</v>
      </c>
      <c r="BL146" s="17">
        <v>428806000</v>
      </c>
      <c r="BM146" s="17">
        <v>339043000</v>
      </c>
      <c r="BN146" s="17">
        <v>315605000</v>
      </c>
      <c r="BO146" s="17">
        <v>48883000</v>
      </c>
      <c r="BP146" s="17">
        <v>22510000</v>
      </c>
      <c r="BQ146" s="17">
        <v>7931000</v>
      </c>
      <c r="BR146" s="17">
        <v>22212000</v>
      </c>
      <c r="BS146" s="17">
        <v>7107000</v>
      </c>
      <c r="BT146" s="17">
        <v>-2805000</v>
      </c>
      <c r="BU146" s="17">
        <v>-17970000</v>
      </c>
    </row>
    <row r="147" spans="1:73" x14ac:dyDescent="0.25">
      <c r="A147" s="16">
        <v>52</v>
      </c>
      <c r="B147" s="17">
        <v>8</v>
      </c>
      <c r="C147" s="18" t="s">
        <v>328</v>
      </c>
      <c r="D147" s="17">
        <v>52000</v>
      </c>
      <c r="E147" s="17">
        <v>13000</v>
      </c>
      <c r="F147" s="17"/>
      <c r="G147" s="17"/>
      <c r="H147" s="17"/>
      <c r="I147" s="17"/>
      <c r="J147" s="17"/>
      <c r="K147" s="17"/>
      <c r="L147" s="17"/>
      <c r="M147" s="17"/>
      <c r="N147" s="17">
        <v>38950000</v>
      </c>
      <c r="O147" s="17">
        <v>37778000</v>
      </c>
      <c r="P147" s="17"/>
      <c r="Q147" s="17"/>
      <c r="R147" s="17"/>
      <c r="S147" s="17"/>
      <c r="T147" s="17"/>
      <c r="U147" s="17"/>
      <c r="V147" s="17"/>
      <c r="W147" s="17"/>
      <c r="X147" s="17">
        <v>-5657000</v>
      </c>
      <c r="Y147" s="17">
        <v>-8630000</v>
      </c>
      <c r="Z147" s="17"/>
      <c r="AA147" s="17"/>
      <c r="AB147" s="17"/>
      <c r="AC147" s="17"/>
      <c r="AD147" s="17"/>
      <c r="AE147" s="17"/>
      <c r="AF147" s="17"/>
      <c r="AG147" s="17"/>
      <c r="AH147" s="17">
        <v>49677000</v>
      </c>
      <c r="AI147" s="17">
        <v>49512000</v>
      </c>
      <c r="AJ147" s="17"/>
      <c r="AK147" s="17"/>
      <c r="AL147" s="17"/>
      <c r="AM147" s="17">
        <v>43793000</v>
      </c>
      <c r="AN147" s="17"/>
      <c r="AO147" s="17"/>
      <c r="AP147" s="17"/>
      <c r="AQ147" s="17"/>
      <c r="AR147" s="17">
        <v>21380000</v>
      </c>
      <c r="AS147" s="17"/>
      <c r="AT147" s="17"/>
      <c r="AU147" s="17"/>
      <c r="AV147" s="17"/>
      <c r="AW147" s="17">
        <v>34288000</v>
      </c>
      <c r="AX147" s="17">
        <v>724000</v>
      </c>
      <c r="AY147" s="17"/>
      <c r="AZ147" s="17"/>
      <c r="BA147" s="17"/>
      <c r="BB147" s="17">
        <v>1418000</v>
      </c>
      <c r="BC147" s="17"/>
      <c r="BD147" s="17"/>
      <c r="BE147" s="17"/>
      <c r="BF147" s="17"/>
      <c r="BG147" s="17">
        <v>1000</v>
      </c>
      <c r="BH147" s="17">
        <v>334000</v>
      </c>
      <c r="BI147" s="17"/>
      <c r="BJ147" s="17"/>
      <c r="BK147" s="17"/>
      <c r="BL147" s="17">
        <v>193000</v>
      </c>
      <c r="BM147" s="17">
        <v>34000</v>
      </c>
      <c r="BN147" s="17"/>
      <c r="BO147" s="17"/>
      <c r="BP147" s="17"/>
      <c r="BQ147" s="17">
        <v>-10762000</v>
      </c>
      <c r="BR147" s="17">
        <v>-2973000</v>
      </c>
      <c r="BS147" s="17"/>
      <c r="BT147" s="17"/>
      <c r="BU147" s="17"/>
    </row>
    <row r="148" spans="1:73" x14ac:dyDescent="0.25">
      <c r="A148" s="16">
        <v>155</v>
      </c>
      <c r="B148" s="17">
        <v>8</v>
      </c>
      <c r="C148" s="18" t="s">
        <v>328</v>
      </c>
      <c r="D148" s="17">
        <v>23954000</v>
      </c>
      <c r="E148" s="17"/>
      <c r="F148" s="17"/>
      <c r="G148" s="17"/>
      <c r="H148" s="17"/>
      <c r="I148" s="17">
        <v>171994000</v>
      </c>
      <c r="J148" s="17"/>
      <c r="K148" s="17"/>
      <c r="L148" s="17"/>
      <c r="M148" s="17"/>
      <c r="N148" s="17">
        <v>96293000</v>
      </c>
      <c r="O148" s="17"/>
      <c r="P148" s="17"/>
      <c r="Q148" s="17"/>
      <c r="R148" s="17"/>
      <c r="S148" s="17">
        <v>5716000</v>
      </c>
      <c r="T148" s="17"/>
      <c r="U148" s="17"/>
      <c r="V148" s="17"/>
      <c r="W148" s="17"/>
      <c r="X148" s="17">
        <v>29015000</v>
      </c>
      <c r="Y148" s="17"/>
      <c r="Z148" s="17"/>
      <c r="AA148" s="17"/>
      <c r="AB148" s="17"/>
      <c r="AC148" s="17">
        <v>8848000</v>
      </c>
      <c r="AD148" s="17"/>
      <c r="AE148" s="17"/>
      <c r="AF148" s="17"/>
      <c r="AG148" s="17"/>
      <c r="AH148" s="17">
        <v>238275000</v>
      </c>
      <c r="AI148" s="17"/>
      <c r="AJ148" s="17"/>
      <c r="AK148" s="17"/>
      <c r="AL148" s="17"/>
      <c r="AM148" s="17">
        <v>474621000</v>
      </c>
      <c r="AN148" s="17"/>
      <c r="AO148" s="17"/>
      <c r="AP148" s="17"/>
      <c r="AQ148" s="17"/>
      <c r="AR148" s="17">
        <v>456035000</v>
      </c>
      <c r="AS148" s="17"/>
      <c r="AT148" s="17"/>
      <c r="AU148" s="17"/>
      <c r="AV148" s="17"/>
      <c r="AW148" s="17"/>
      <c r="AX148" s="17"/>
      <c r="AY148" s="17"/>
      <c r="AZ148" s="17"/>
      <c r="BA148" s="17"/>
      <c r="BB148" s="17">
        <v>16745000</v>
      </c>
      <c r="BC148" s="17"/>
      <c r="BD148" s="17"/>
      <c r="BE148" s="17"/>
      <c r="BF148" s="17"/>
      <c r="BG148" s="17">
        <v>1826000</v>
      </c>
      <c r="BH148" s="17"/>
      <c r="BI148" s="17"/>
      <c r="BJ148" s="17"/>
      <c r="BK148" s="17"/>
      <c r="BL148" s="17">
        <v>99000</v>
      </c>
      <c r="BM148" s="17"/>
      <c r="BN148" s="17"/>
      <c r="BO148" s="17"/>
      <c r="BP148" s="17"/>
      <c r="BQ148" s="17">
        <v>2803000</v>
      </c>
      <c r="BR148" s="17"/>
      <c r="BS148" s="17"/>
      <c r="BT148" s="17"/>
      <c r="BU148" s="17"/>
    </row>
    <row r="149" spans="1:73" x14ac:dyDescent="0.25">
      <c r="A149" s="16">
        <v>239</v>
      </c>
      <c r="B149" s="17">
        <v>13</v>
      </c>
      <c r="C149" s="18" t="s">
        <v>788</v>
      </c>
      <c r="D149" s="17">
        <v>2695000</v>
      </c>
      <c r="E149" s="17">
        <v>6217000</v>
      </c>
      <c r="F149" s="17"/>
      <c r="G149" s="17"/>
      <c r="H149" s="17"/>
      <c r="I149" s="17">
        <v>44714000</v>
      </c>
      <c r="J149" s="17">
        <v>45381000</v>
      </c>
      <c r="K149" s="17"/>
      <c r="L149" s="17"/>
      <c r="M149" s="17"/>
      <c r="N149" s="17">
        <v>61801000</v>
      </c>
      <c r="O149" s="17">
        <v>72481000</v>
      </c>
      <c r="P149" s="17"/>
      <c r="Q149" s="17"/>
      <c r="R149" s="17"/>
      <c r="S149" s="17">
        <v>797000</v>
      </c>
      <c r="T149" s="17">
        <v>1015000</v>
      </c>
      <c r="U149" s="17"/>
      <c r="V149" s="17"/>
      <c r="W149" s="17"/>
      <c r="X149" s="17"/>
      <c r="Y149" s="17"/>
      <c r="Z149" s="17"/>
      <c r="AA149" s="17"/>
      <c r="AB149" s="17"/>
      <c r="AC149" s="17">
        <v>14963000</v>
      </c>
      <c r="AD149" s="17">
        <v>9269000</v>
      </c>
      <c r="AE149" s="17"/>
      <c r="AF149" s="17"/>
      <c r="AG149" s="17"/>
      <c r="AH149" s="17">
        <v>76181000</v>
      </c>
      <c r="AI149" s="17">
        <v>98639000</v>
      </c>
      <c r="AJ149" s="17"/>
      <c r="AK149" s="17"/>
      <c r="AL149" s="17"/>
      <c r="AM149" s="17">
        <v>269813000</v>
      </c>
      <c r="AN149" s="17">
        <v>402296000</v>
      </c>
      <c r="AO149" s="17"/>
      <c r="AP149" s="17"/>
      <c r="AQ149" s="17"/>
      <c r="AR149" s="17">
        <v>279093000</v>
      </c>
      <c r="AS149" s="17">
        <v>396093000</v>
      </c>
      <c r="AT149" s="17"/>
      <c r="AU149" s="17"/>
      <c r="AV149" s="17"/>
      <c r="AW149" s="17"/>
      <c r="AX149" s="17"/>
      <c r="AY149" s="17"/>
      <c r="AZ149" s="17"/>
      <c r="BA149" s="17"/>
      <c r="BB149" s="17"/>
      <c r="BC149" s="17"/>
      <c r="BD149" s="17"/>
      <c r="BE149" s="17"/>
      <c r="BF149" s="17"/>
      <c r="BG149" s="17">
        <v>21684000</v>
      </c>
      <c r="BH149" s="17">
        <v>17098000</v>
      </c>
      <c r="BI149" s="17"/>
      <c r="BJ149" s="17"/>
      <c r="BK149" s="17"/>
      <c r="BL149" s="17">
        <v>9171000</v>
      </c>
      <c r="BM149" s="17">
        <v>19211000</v>
      </c>
      <c r="BN149" s="17"/>
      <c r="BO149" s="17"/>
      <c r="BP149" s="17"/>
      <c r="BQ149" s="17">
        <v>335000</v>
      </c>
      <c r="BR149" s="17">
        <v>494000</v>
      </c>
      <c r="BS149" s="17"/>
      <c r="BT149" s="17"/>
      <c r="BU149" s="17"/>
    </row>
    <row r="150" spans="1:73" x14ac:dyDescent="0.25">
      <c r="A150" s="16">
        <v>94</v>
      </c>
      <c r="B150" s="17">
        <v>13</v>
      </c>
      <c r="C150" s="18" t="s">
        <v>436</v>
      </c>
      <c r="D150" s="17">
        <v>3624804000</v>
      </c>
      <c r="E150" s="17">
        <v>7068000</v>
      </c>
      <c r="F150" s="17">
        <v>49000</v>
      </c>
      <c r="G150" s="17">
        <v>49000</v>
      </c>
      <c r="H150" s="17">
        <v>49000</v>
      </c>
      <c r="I150" s="17">
        <v>450077000</v>
      </c>
      <c r="J150" s="17">
        <v>382318000</v>
      </c>
      <c r="K150" s="17"/>
      <c r="L150" s="17"/>
      <c r="M150" s="17"/>
      <c r="N150" s="17"/>
      <c r="O150" s="17"/>
      <c r="P150" s="17">
        <v>252117000</v>
      </c>
      <c r="Q150" s="17">
        <v>251186000</v>
      </c>
      <c r="R150" s="17">
        <v>1675000</v>
      </c>
      <c r="S150" s="17"/>
      <c r="T150" s="17">
        <v>71571000</v>
      </c>
      <c r="U150" s="17">
        <v>74771000</v>
      </c>
      <c r="V150" s="17"/>
      <c r="W150" s="17"/>
      <c r="X150" s="17">
        <v>-3467255000</v>
      </c>
      <c r="Y150" s="17">
        <v>-4065423000</v>
      </c>
      <c r="Z150" s="17">
        <v>-894107000</v>
      </c>
      <c r="AA150" s="17">
        <v>-1420229000</v>
      </c>
      <c r="AB150" s="17">
        <v>-1729194000</v>
      </c>
      <c r="AC150" s="17">
        <v>698978000</v>
      </c>
      <c r="AD150" s="17">
        <v>698978000</v>
      </c>
      <c r="AE150" s="17"/>
      <c r="AF150" s="17"/>
      <c r="AG150" s="17"/>
      <c r="AH150" s="17">
        <v>838584000</v>
      </c>
      <c r="AI150" s="17">
        <v>826583000</v>
      </c>
      <c r="AJ150" s="17">
        <v>1221177000</v>
      </c>
      <c r="AK150" s="17">
        <v>1671489000</v>
      </c>
      <c r="AL150" s="17">
        <v>1730943000</v>
      </c>
      <c r="AM150" s="17">
        <v>1893000</v>
      </c>
      <c r="AN150" s="17"/>
      <c r="AO150" s="17"/>
      <c r="AP150" s="17"/>
      <c r="AQ150" s="17"/>
      <c r="AR150" s="17">
        <v>24991000</v>
      </c>
      <c r="AS150" s="17"/>
      <c r="AT150" s="17"/>
      <c r="AU150" s="17"/>
      <c r="AV150" s="17"/>
      <c r="AW150" s="17"/>
      <c r="AX150" s="17"/>
      <c r="AY150" s="17"/>
      <c r="AZ150" s="17"/>
      <c r="BA150" s="17"/>
      <c r="BB150" s="17"/>
      <c r="BC150" s="17"/>
      <c r="BD150" s="17"/>
      <c r="BE150" s="17"/>
      <c r="BF150" s="17"/>
      <c r="BG150" s="17">
        <v>338849000</v>
      </c>
      <c r="BH150" s="17">
        <v>1727137000</v>
      </c>
      <c r="BI150" s="17">
        <v>116000</v>
      </c>
      <c r="BJ150" s="17"/>
      <c r="BK150" s="17"/>
      <c r="BL150" s="17">
        <v>771022000</v>
      </c>
      <c r="BM150" s="17">
        <v>3551869000</v>
      </c>
      <c r="BN150" s="17">
        <v>4455000</v>
      </c>
      <c r="BO150" s="17"/>
      <c r="BP150" s="17"/>
      <c r="BQ150" s="17">
        <v>-539334000</v>
      </c>
      <c r="BR150" s="17">
        <v>-1824731000</v>
      </c>
      <c r="BS150" s="17">
        <v>-4339000</v>
      </c>
      <c r="BT150" s="17"/>
      <c r="BU150" s="17"/>
    </row>
    <row r="151" spans="1:73" x14ac:dyDescent="0.25">
      <c r="A151" s="16">
        <v>84</v>
      </c>
      <c r="B151" s="17">
        <v>25</v>
      </c>
      <c r="C151" s="18" t="s">
        <v>409</v>
      </c>
      <c r="D151" s="17">
        <v>159990000</v>
      </c>
      <c r="E151" s="17">
        <v>159678000</v>
      </c>
      <c r="F151" s="17">
        <v>64000</v>
      </c>
      <c r="G151" s="17">
        <v>64000</v>
      </c>
      <c r="H151" s="17">
        <v>64000</v>
      </c>
      <c r="I151" s="17">
        <v>57139000</v>
      </c>
      <c r="J151" s="17">
        <v>36717000</v>
      </c>
      <c r="K151" s="17">
        <v>28240000</v>
      </c>
      <c r="L151" s="17">
        <v>24874000</v>
      </c>
      <c r="M151" s="17">
        <v>4245000</v>
      </c>
      <c r="N151" s="17">
        <v>558738000</v>
      </c>
      <c r="O151" s="17">
        <v>509638000</v>
      </c>
      <c r="P151" s="17">
        <v>452620000</v>
      </c>
      <c r="Q151" s="17">
        <v>236132000</v>
      </c>
      <c r="R151" s="17">
        <v>76854000</v>
      </c>
      <c r="S151" s="17">
        <v>32000</v>
      </c>
      <c r="T151" s="17">
        <v>32000</v>
      </c>
      <c r="U151" s="17">
        <v>32000</v>
      </c>
      <c r="V151" s="17">
        <v>122000</v>
      </c>
      <c r="W151" s="17">
        <v>208000</v>
      </c>
      <c r="X151" s="17">
        <v>-5063307000</v>
      </c>
      <c r="Y151" s="17">
        <v>-5084850000</v>
      </c>
      <c r="Z151" s="17">
        <v>-5139023000</v>
      </c>
      <c r="AA151" s="17">
        <v>-4639525000</v>
      </c>
      <c r="AB151" s="17">
        <v>-4781947000</v>
      </c>
      <c r="AC151" s="17">
        <v>90026000</v>
      </c>
      <c r="AD151" s="17">
        <v>90026000</v>
      </c>
      <c r="AE151" s="17">
        <v>90026000</v>
      </c>
      <c r="AF151" s="17">
        <v>90026000</v>
      </c>
      <c r="AG151" s="17">
        <v>90026000</v>
      </c>
      <c r="AH151" s="17">
        <v>5495479000</v>
      </c>
      <c r="AI151" s="17">
        <v>5437254000</v>
      </c>
      <c r="AJ151" s="17">
        <v>5260474000</v>
      </c>
      <c r="AK151" s="17">
        <v>4535288000</v>
      </c>
      <c r="AL151" s="17">
        <v>4491727000</v>
      </c>
      <c r="AM151" s="17">
        <v>492000</v>
      </c>
      <c r="AN151" s="17">
        <v>11438000</v>
      </c>
      <c r="AO151" s="17">
        <v>3478000</v>
      </c>
      <c r="AP151" s="17">
        <v>350000</v>
      </c>
      <c r="AQ151" s="17">
        <v>9411000</v>
      </c>
      <c r="AR151" s="17">
        <v>1819000</v>
      </c>
      <c r="AS151" s="17">
        <v>25205000</v>
      </c>
      <c r="AT151" s="17">
        <v>8476000</v>
      </c>
      <c r="AU151" s="17">
        <v>3366000</v>
      </c>
      <c r="AV151" s="17">
        <v>19275000</v>
      </c>
      <c r="AW151" s="17"/>
      <c r="AX151" s="17"/>
      <c r="AY151" s="17"/>
      <c r="AZ151" s="17"/>
      <c r="BA151" s="17"/>
      <c r="BB151" s="17"/>
      <c r="BC151" s="17"/>
      <c r="BD151" s="17"/>
      <c r="BE151" s="17"/>
      <c r="BF151" s="17"/>
      <c r="BG151" s="17">
        <v>16000</v>
      </c>
      <c r="BH151" s="17">
        <v>67804000</v>
      </c>
      <c r="BI151" s="17">
        <v>133088000</v>
      </c>
      <c r="BJ151" s="17">
        <v>519141000</v>
      </c>
      <c r="BK151" s="17">
        <v>199963000</v>
      </c>
      <c r="BL151" s="17">
        <v>8221000</v>
      </c>
      <c r="BM151" s="17">
        <v>31620000</v>
      </c>
      <c r="BN151" s="17">
        <v>158127000</v>
      </c>
      <c r="BO151" s="17">
        <v>16627000</v>
      </c>
      <c r="BP151" s="17">
        <v>332520000</v>
      </c>
      <c r="BQ151" s="17">
        <v>-43714000</v>
      </c>
      <c r="BR151" s="17">
        <v>-21543000</v>
      </c>
      <c r="BS151" s="17">
        <v>-54173000</v>
      </c>
      <c r="BT151" s="17">
        <v>499498000</v>
      </c>
      <c r="BU151" s="17">
        <v>-142422000</v>
      </c>
    </row>
    <row r="152" spans="1:73" x14ac:dyDescent="0.25">
      <c r="A152" s="16">
        <v>144</v>
      </c>
      <c r="B152" s="17">
        <v>24</v>
      </c>
      <c r="C152" s="18" t="s">
        <v>563</v>
      </c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>
        <v>99845000</v>
      </c>
      <c r="O152" s="17">
        <v>99845000</v>
      </c>
      <c r="P152" s="17">
        <v>81785000</v>
      </c>
      <c r="Q152" s="17">
        <v>81785000</v>
      </c>
      <c r="R152" s="17">
        <v>33970000</v>
      </c>
      <c r="S152" s="17"/>
      <c r="T152" s="17"/>
      <c r="U152" s="17">
        <v>570000</v>
      </c>
      <c r="V152" s="17"/>
      <c r="W152" s="17">
        <v>1716000</v>
      </c>
      <c r="X152" s="17"/>
      <c r="Y152" s="17"/>
      <c r="Z152" s="17">
        <v>-17500000</v>
      </c>
      <c r="AA152" s="17">
        <v>-17500000</v>
      </c>
      <c r="AB152" s="17">
        <v>-64169000</v>
      </c>
      <c r="AC152" s="17"/>
      <c r="AD152" s="17"/>
      <c r="AE152" s="17"/>
      <c r="AF152" s="17"/>
      <c r="AG152" s="17"/>
      <c r="AH152" s="17">
        <v>99845000</v>
      </c>
      <c r="AI152" s="17">
        <v>99845000</v>
      </c>
      <c r="AJ152" s="17">
        <v>99845000</v>
      </c>
      <c r="AK152" s="17">
        <v>99845000</v>
      </c>
      <c r="AL152" s="17">
        <v>99845000</v>
      </c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  <c r="BA152" s="17"/>
      <c r="BB152" s="17"/>
      <c r="BC152" s="17"/>
      <c r="BD152" s="17"/>
      <c r="BE152" s="17"/>
      <c r="BF152" s="17"/>
      <c r="BG152" s="17"/>
      <c r="BH152" s="17">
        <v>100000</v>
      </c>
      <c r="BI152" s="17"/>
      <c r="BJ152" s="17"/>
      <c r="BK152" s="17"/>
      <c r="BL152" s="17"/>
      <c r="BM152" s="17">
        <v>100000</v>
      </c>
      <c r="BN152" s="17"/>
      <c r="BO152" s="17"/>
      <c r="BP152" s="17"/>
      <c r="BQ152" s="17"/>
      <c r="BR152" s="17"/>
      <c r="BS152" s="17"/>
      <c r="BT152" s="17"/>
      <c r="BU152" s="17"/>
    </row>
    <row r="153" spans="1:73" ht="26.25" x14ac:dyDescent="0.25">
      <c r="A153" s="16">
        <v>140</v>
      </c>
      <c r="B153" s="17">
        <v>19</v>
      </c>
      <c r="C153" s="18" t="s">
        <v>552</v>
      </c>
      <c r="D153" s="17">
        <v>123000</v>
      </c>
      <c r="E153" s="17">
        <v>111000</v>
      </c>
      <c r="F153" s="17"/>
      <c r="G153" s="17"/>
      <c r="H153" s="17"/>
      <c r="I153" s="17">
        <v>118000</v>
      </c>
      <c r="J153" s="17">
        <v>145000</v>
      </c>
      <c r="K153" s="17">
        <v>18000</v>
      </c>
      <c r="L153" s="17"/>
      <c r="M153" s="17"/>
      <c r="N153" s="17">
        <v>10494000</v>
      </c>
      <c r="O153" s="17">
        <v>10240000</v>
      </c>
      <c r="P153" s="17">
        <v>9187000</v>
      </c>
      <c r="Q153" s="17">
        <v>8671000</v>
      </c>
      <c r="R153" s="17">
        <v>8384000</v>
      </c>
      <c r="S153" s="17">
        <v>1264000</v>
      </c>
      <c r="T153" s="17">
        <v>1530000</v>
      </c>
      <c r="U153" s="17">
        <v>214000</v>
      </c>
      <c r="V153" s="17">
        <v>247000</v>
      </c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>
        <v>7919000</v>
      </c>
      <c r="AI153" s="17">
        <v>9845000</v>
      </c>
      <c r="AJ153" s="17">
        <v>9735000</v>
      </c>
      <c r="AK153" s="17">
        <v>10175000</v>
      </c>
      <c r="AL153" s="17">
        <v>10885000</v>
      </c>
      <c r="AM153" s="17">
        <v>8533000</v>
      </c>
      <c r="AN153" s="17">
        <v>8419000</v>
      </c>
      <c r="AO153" s="17">
        <v>4817000</v>
      </c>
      <c r="AP153" s="17"/>
      <c r="AQ153" s="17"/>
      <c r="AR153" s="17">
        <v>9497000</v>
      </c>
      <c r="AS153" s="17">
        <v>9665000</v>
      </c>
      <c r="AT153" s="17">
        <v>5545000</v>
      </c>
      <c r="AU153" s="17"/>
      <c r="AV153" s="17"/>
      <c r="AW153" s="17"/>
      <c r="AX153" s="17"/>
      <c r="AY153" s="17"/>
      <c r="AZ153" s="17"/>
      <c r="BA153" s="17"/>
      <c r="BB153" s="17"/>
      <c r="BC153" s="17"/>
      <c r="BD153" s="17"/>
      <c r="BE153" s="17"/>
      <c r="BF153" s="17"/>
      <c r="BG153" s="17">
        <v>2502000</v>
      </c>
      <c r="BH153" s="17">
        <v>68000</v>
      </c>
      <c r="BI153" s="17">
        <v>932000</v>
      </c>
      <c r="BJ153" s="17"/>
      <c r="BK153" s="17"/>
      <c r="BL153" s="17">
        <v>840000</v>
      </c>
      <c r="BM153" s="17">
        <v>902000</v>
      </c>
      <c r="BN153" s="17">
        <v>1120000</v>
      </c>
      <c r="BO153" s="17">
        <v>941000</v>
      </c>
      <c r="BP153" s="17">
        <v>376000</v>
      </c>
      <c r="BQ153" s="17">
        <v>610000</v>
      </c>
      <c r="BR153" s="17">
        <v>-2167000</v>
      </c>
      <c r="BS153" s="17">
        <v>-1002000</v>
      </c>
      <c r="BT153" s="17">
        <v>-941000</v>
      </c>
      <c r="BU153" s="17">
        <v>-376000</v>
      </c>
    </row>
    <row r="154" spans="1:73" x14ac:dyDescent="0.25">
      <c r="A154" s="16">
        <v>73</v>
      </c>
      <c r="B154" s="17">
        <v>10</v>
      </c>
      <c r="C154" s="18" t="s">
        <v>381</v>
      </c>
      <c r="D154" s="17">
        <v>10574000</v>
      </c>
      <c r="E154" s="17">
        <v>17238000</v>
      </c>
      <c r="F154" s="17">
        <v>18787000</v>
      </c>
      <c r="G154" s="17">
        <v>11262000</v>
      </c>
      <c r="H154" s="17"/>
      <c r="I154" s="17">
        <v>1557000</v>
      </c>
      <c r="J154" s="17">
        <v>30496000</v>
      </c>
      <c r="K154" s="17">
        <v>109059000</v>
      </c>
      <c r="L154" s="17">
        <v>339000</v>
      </c>
      <c r="M154" s="17"/>
      <c r="N154" s="17">
        <v>39987000</v>
      </c>
      <c r="O154" s="17">
        <v>167621000</v>
      </c>
      <c r="P154" s="17">
        <v>392877000</v>
      </c>
      <c r="Q154" s="17">
        <v>55923000</v>
      </c>
      <c r="R154" s="17"/>
      <c r="S154" s="17">
        <v>18985000</v>
      </c>
      <c r="T154" s="17">
        <v>1133000</v>
      </c>
      <c r="U154" s="17">
        <v>421000</v>
      </c>
      <c r="V154" s="17">
        <v>1553000</v>
      </c>
      <c r="W154" s="17"/>
      <c r="X154" s="17"/>
      <c r="Y154" s="17"/>
      <c r="Z154" s="17"/>
      <c r="AA154" s="17"/>
      <c r="AB154" s="17"/>
      <c r="AC154" s="17">
        <v>447000</v>
      </c>
      <c r="AD154" s="17">
        <v>1282000</v>
      </c>
      <c r="AE154" s="17">
        <v>4001000</v>
      </c>
      <c r="AF154" s="17">
        <v>7116000</v>
      </c>
      <c r="AG154" s="17"/>
      <c r="AH154" s="17">
        <v>61678000</v>
      </c>
      <c r="AI154" s="17">
        <v>94245000</v>
      </c>
      <c r="AJ154" s="17">
        <v>202879000</v>
      </c>
      <c r="AK154" s="17">
        <v>10895000</v>
      </c>
      <c r="AL154" s="17"/>
      <c r="AM154" s="17">
        <v>103441000</v>
      </c>
      <c r="AN154" s="17">
        <v>134381000</v>
      </c>
      <c r="AO154" s="17">
        <v>260155000</v>
      </c>
      <c r="AP154" s="17">
        <v>505987000</v>
      </c>
      <c r="AQ154" s="17"/>
      <c r="AR154" s="17">
        <v>103077000</v>
      </c>
      <c r="AS154" s="17">
        <v>102004000</v>
      </c>
      <c r="AT154" s="17">
        <v>265371000</v>
      </c>
      <c r="AU154" s="17">
        <v>506028000</v>
      </c>
      <c r="AV154" s="17"/>
      <c r="AW154" s="17"/>
      <c r="AX154" s="17"/>
      <c r="AY154" s="17"/>
      <c r="AZ154" s="17"/>
      <c r="BA154" s="17"/>
      <c r="BB154" s="17"/>
      <c r="BC154" s="17"/>
      <c r="BD154" s="17"/>
      <c r="BE154" s="17"/>
      <c r="BF154" s="17"/>
      <c r="BG154" s="17"/>
      <c r="BH154" s="17">
        <v>93000</v>
      </c>
      <c r="BI154" s="17">
        <v>5367000</v>
      </c>
      <c r="BJ154" s="17">
        <v>882000</v>
      </c>
      <c r="BK154" s="17"/>
      <c r="BL154" s="17">
        <v>379000</v>
      </c>
      <c r="BM154" s="17">
        <v>975000</v>
      </c>
      <c r="BN154" s="17">
        <v>8412000</v>
      </c>
      <c r="BO154" s="17">
        <v>393000</v>
      </c>
      <c r="BP154" s="17"/>
      <c r="BQ154" s="17">
        <v>-15000</v>
      </c>
      <c r="BR154" s="17">
        <v>38504000</v>
      </c>
      <c r="BS154" s="17">
        <v>-10726000</v>
      </c>
      <c r="BT154" s="17">
        <v>358000</v>
      </c>
      <c r="BU154" s="17"/>
    </row>
    <row r="155" spans="1:73" x14ac:dyDescent="0.25">
      <c r="A155" s="16">
        <v>171</v>
      </c>
      <c r="B155" s="17">
        <v>7</v>
      </c>
      <c r="C155" s="18" t="s">
        <v>381</v>
      </c>
      <c r="D155" s="17">
        <v>33394000</v>
      </c>
      <c r="E155" s="17">
        <v>31358000</v>
      </c>
      <c r="F155" s="17">
        <v>26657000</v>
      </c>
      <c r="G155" s="17">
        <v>20250000</v>
      </c>
      <c r="H155" s="17">
        <v>16818000</v>
      </c>
      <c r="I155" s="17">
        <v>2051000</v>
      </c>
      <c r="J155" s="17">
        <v>15551000</v>
      </c>
      <c r="K155" s="17">
        <v>2702000</v>
      </c>
      <c r="L155" s="17">
        <v>13585000</v>
      </c>
      <c r="M155" s="17">
        <v>34248000</v>
      </c>
      <c r="N155" s="17">
        <v>20336000</v>
      </c>
      <c r="O155" s="17">
        <v>22002000</v>
      </c>
      <c r="P155" s="17">
        <v>52027000</v>
      </c>
      <c r="Q155" s="17">
        <v>48873000</v>
      </c>
      <c r="R155" s="17">
        <v>208511000</v>
      </c>
      <c r="S155" s="17">
        <v>5902000</v>
      </c>
      <c r="T155" s="17">
        <v>352000</v>
      </c>
      <c r="U155" s="17">
        <v>11103000</v>
      </c>
      <c r="V155" s="17">
        <v>850000</v>
      </c>
      <c r="W155" s="17">
        <v>542000</v>
      </c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>
        <v>30977000</v>
      </c>
      <c r="AI155" s="17">
        <v>29636000</v>
      </c>
      <c r="AJ155" s="17">
        <v>51184000</v>
      </c>
      <c r="AK155" s="17">
        <v>30249000</v>
      </c>
      <c r="AL155" s="17">
        <v>189291000</v>
      </c>
      <c r="AM155" s="17">
        <v>97070000</v>
      </c>
      <c r="AN155" s="17">
        <v>65882000</v>
      </c>
      <c r="AO155" s="17">
        <v>117063000</v>
      </c>
      <c r="AP155" s="17">
        <v>67012000</v>
      </c>
      <c r="AQ155" s="17">
        <v>252902000</v>
      </c>
      <c r="AR155" s="17">
        <v>72267000</v>
      </c>
      <c r="AS155" s="17">
        <v>57126000</v>
      </c>
      <c r="AT155" s="17">
        <v>100015000</v>
      </c>
      <c r="AU155" s="17">
        <v>62208000</v>
      </c>
      <c r="AV155" s="17">
        <v>271463000</v>
      </c>
      <c r="AW155" s="17"/>
      <c r="AX155" s="17"/>
      <c r="AY155" s="17"/>
      <c r="AZ155" s="17"/>
      <c r="BA155" s="17"/>
      <c r="BB155" s="17"/>
      <c r="BC155" s="17"/>
      <c r="BD155" s="17"/>
      <c r="BE155" s="17"/>
      <c r="BF155" s="17"/>
      <c r="BG155" s="17">
        <v>1000</v>
      </c>
      <c r="BH155" s="17">
        <v>3633000</v>
      </c>
      <c r="BI155" s="17">
        <v>1032000</v>
      </c>
      <c r="BJ155" s="17">
        <v>1445000</v>
      </c>
      <c r="BK155" s="17">
        <v>4126000</v>
      </c>
      <c r="BL155" s="17">
        <v>1156000</v>
      </c>
      <c r="BM155" s="17">
        <v>6649000</v>
      </c>
      <c r="BN155" s="17">
        <v>2448000</v>
      </c>
      <c r="BO155" s="17">
        <v>1797000</v>
      </c>
      <c r="BP155" s="17">
        <v>5209000</v>
      </c>
      <c r="BQ155" s="17">
        <v>19017000</v>
      </c>
      <c r="BR155" s="17">
        <v>4787000</v>
      </c>
      <c r="BS155" s="17">
        <v>16938000</v>
      </c>
      <c r="BT155" s="17">
        <v>116000</v>
      </c>
      <c r="BU155" s="17">
        <v>-27297000</v>
      </c>
    </row>
    <row r="156" spans="1:73" x14ac:dyDescent="0.25">
      <c r="A156" s="16">
        <v>14</v>
      </c>
      <c r="B156" s="17">
        <v>23</v>
      </c>
      <c r="C156" s="18" t="s">
        <v>225</v>
      </c>
      <c r="D156" s="17">
        <v>194000</v>
      </c>
      <c r="E156" s="17"/>
      <c r="F156" s="17"/>
      <c r="G156" s="17"/>
      <c r="H156" s="17"/>
      <c r="I156" s="17">
        <v>123000</v>
      </c>
      <c r="J156" s="17">
        <v>46000</v>
      </c>
      <c r="K156" s="17"/>
      <c r="L156" s="17"/>
      <c r="M156" s="17"/>
      <c r="N156" s="17">
        <v>10358000</v>
      </c>
      <c r="O156" s="17">
        <v>845000</v>
      </c>
      <c r="P156" s="17">
        <v>2699000</v>
      </c>
      <c r="Q156" s="17">
        <v>1754000</v>
      </c>
      <c r="R156" s="17">
        <v>2815000</v>
      </c>
      <c r="S156" s="17">
        <v>169000</v>
      </c>
      <c r="T156" s="17">
        <v>20000</v>
      </c>
      <c r="U156" s="17">
        <v>1161000</v>
      </c>
      <c r="V156" s="17">
        <v>159000</v>
      </c>
      <c r="W156" s="17">
        <v>776000</v>
      </c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>
        <v>7033000</v>
      </c>
      <c r="AI156" s="17">
        <v>301000</v>
      </c>
      <c r="AJ156" s="17">
        <v>6860000</v>
      </c>
      <c r="AK156" s="17">
        <v>10886000</v>
      </c>
      <c r="AL156" s="17">
        <v>7119000</v>
      </c>
      <c r="AM156" s="17">
        <v>13019000</v>
      </c>
      <c r="AN156" s="17">
        <v>8442000</v>
      </c>
      <c r="AO156" s="17">
        <v>2278000</v>
      </c>
      <c r="AP156" s="17">
        <v>419000</v>
      </c>
      <c r="AQ156" s="17"/>
      <c r="AR156" s="17">
        <v>11699000</v>
      </c>
      <c r="AS156" s="17">
        <v>8123000</v>
      </c>
      <c r="AT156" s="17">
        <v>2121000</v>
      </c>
      <c r="AU156" s="17">
        <v>652000</v>
      </c>
      <c r="AV156" s="17">
        <v>523000</v>
      </c>
      <c r="AW156" s="17"/>
      <c r="AX156" s="17"/>
      <c r="AY156" s="17"/>
      <c r="AZ156" s="17"/>
      <c r="BA156" s="17"/>
      <c r="BB156" s="17"/>
      <c r="BC156" s="17"/>
      <c r="BD156" s="17"/>
      <c r="BE156" s="17"/>
      <c r="BF156" s="17"/>
      <c r="BG156" s="17">
        <v>94000</v>
      </c>
      <c r="BH156" s="17"/>
      <c r="BI156" s="17"/>
      <c r="BJ156" s="17"/>
      <c r="BK156" s="17">
        <v>6203000</v>
      </c>
      <c r="BL156" s="17">
        <v>214000</v>
      </c>
      <c r="BM156" s="17">
        <v>3493000</v>
      </c>
      <c r="BN156" s="17">
        <v>3767000</v>
      </c>
      <c r="BO156" s="17">
        <v>5740000</v>
      </c>
      <c r="BP156" s="17">
        <v>5680000</v>
      </c>
      <c r="BQ156" s="17">
        <v>960000</v>
      </c>
      <c r="BR156" s="17">
        <v>-3221000</v>
      </c>
      <c r="BS156" s="17">
        <v>-3610000</v>
      </c>
      <c r="BT156" s="17">
        <v>-5973000</v>
      </c>
      <c r="BU156" s="17"/>
    </row>
    <row r="157" spans="1:73" ht="26.25" x14ac:dyDescent="0.25">
      <c r="A157" s="16">
        <v>93</v>
      </c>
      <c r="B157" s="17">
        <v>32</v>
      </c>
      <c r="C157" s="18" t="s">
        <v>433</v>
      </c>
      <c r="D157" s="17">
        <v>1551000</v>
      </c>
      <c r="E157" s="17">
        <v>4480000</v>
      </c>
      <c r="F157" s="17">
        <v>2155000</v>
      </c>
      <c r="G157" s="17">
        <v>1200000</v>
      </c>
      <c r="H157" s="17"/>
      <c r="I157" s="17">
        <v>250358000</v>
      </c>
      <c r="J157" s="17">
        <v>217253000</v>
      </c>
      <c r="K157" s="17">
        <v>123074000</v>
      </c>
      <c r="L157" s="17">
        <v>310000</v>
      </c>
      <c r="M157" s="17"/>
      <c r="N157" s="17">
        <v>52258000</v>
      </c>
      <c r="O157" s="17">
        <v>43419000</v>
      </c>
      <c r="P157" s="17">
        <v>99736000</v>
      </c>
      <c r="Q157" s="17">
        <v>74650000</v>
      </c>
      <c r="R157" s="17"/>
      <c r="S157" s="17">
        <v>4404000</v>
      </c>
      <c r="T157" s="17">
        <v>7540000</v>
      </c>
      <c r="U157" s="17">
        <v>1600000</v>
      </c>
      <c r="V157" s="17">
        <v>334000</v>
      </c>
      <c r="W157" s="17"/>
      <c r="X157" s="17"/>
      <c r="Y157" s="17"/>
      <c r="Z157" s="17"/>
      <c r="AA157" s="17"/>
      <c r="AB157" s="17"/>
      <c r="AC157" s="17">
        <v>45035000</v>
      </c>
      <c r="AD157" s="17">
        <v>31095000</v>
      </c>
      <c r="AE157" s="17">
        <v>1375000</v>
      </c>
      <c r="AF157" s="17">
        <v>1377000</v>
      </c>
      <c r="AG157" s="17"/>
      <c r="AH157" s="17">
        <v>170181000</v>
      </c>
      <c r="AI157" s="17">
        <v>146128000</v>
      </c>
      <c r="AJ157" s="17">
        <v>128399000</v>
      </c>
      <c r="AK157" s="17">
        <v>185824000</v>
      </c>
      <c r="AL157" s="17"/>
      <c r="AM157" s="17">
        <v>319376000</v>
      </c>
      <c r="AN157" s="17">
        <v>324907000</v>
      </c>
      <c r="AO157" s="17">
        <v>371634000</v>
      </c>
      <c r="AP157" s="17">
        <v>6275000</v>
      </c>
      <c r="AQ157" s="17"/>
      <c r="AR157" s="17">
        <v>306854000</v>
      </c>
      <c r="AS157" s="17">
        <v>324505000</v>
      </c>
      <c r="AT157" s="17">
        <v>351997000</v>
      </c>
      <c r="AU157" s="17">
        <v>115651000</v>
      </c>
      <c r="AV157" s="17"/>
      <c r="AW157" s="17"/>
      <c r="AX157" s="17"/>
      <c r="AY157" s="17"/>
      <c r="AZ157" s="17"/>
      <c r="BA157" s="17"/>
      <c r="BB157" s="17"/>
      <c r="BC157" s="17"/>
      <c r="BD157" s="17"/>
      <c r="BE157" s="17"/>
      <c r="BF157" s="17"/>
      <c r="BG157" s="17">
        <v>3370000</v>
      </c>
      <c r="BH157" s="17">
        <v>19517000</v>
      </c>
      <c r="BI157" s="17">
        <v>6528000</v>
      </c>
      <c r="BJ157" s="17">
        <v>403000</v>
      </c>
      <c r="BK157" s="17"/>
      <c r="BL157" s="17">
        <v>3509000</v>
      </c>
      <c r="BM157" s="17">
        <v>14435000</v>
      </c>
      <c r="BN157" s="17">
        <v>24106000</v>
      </c>
      <c r="BO157" s="17">
        <v>97326000</v>
      </c>
      <c r="BP157" s="17"/>
      <c r="BQ157" s="17">
        <v>9143000</v>
      </c>
      <c r="BR157" s="17">
        <v>2045000</v>
      </c>
      <c r="BS157" s="17">
        <v>1273000</v>
      </c>
      <c r="BT157" s="17">
        <v>-207771000</v>
      </c>
      <c r="BU157" s="17"/>
    </row>
    <row r="158" spans="1:73" x14ac:dyDescent="0.25">
      <c r="A158" s="16">
        <v>232</v>
      </c>
      <c r="B158" s="17">
        <v>8</v>
      </c>
      <c r="C158" s="18" t="s">
        <v>771</v>
      </c>
      <c r="D158" s="17">
        <v>16663000</v>
      </c>
      <c r="E158" s="17">
        <v>16663000</v>
      </c>
      <c r="F158" s="17">
        <v>11038000</v>
      </c>
      <c r="G158" s="17">
        <v>11038000</v>
      </c>
      <c r="H158" s="17">
        <v>4364000</v>
      </c>
      <c r="I158" s="17">
        <v>7752000</v>
      </c>
      <c r="J158" s="17">
        <v>4546000</v>
      </c>
      <c r="K158" s="17">
        <v>4546000</v>
      </c>
      <c r="L158" s="17">
        <v>4546000</v>
      </c>
      <c r="M158" s="17"/>
      <c r="N158" s="17"/>
      <c r="O158" s="17"/>
      <c r="P158" s="17">
        <v>8000000</v>
      </c>
      <c r="Q158" s="17">
        <v>7702000</v>
      </c>
      <c r="R158" s="17"/>
      <c r="S158" s="17">
        <v>278000</v>
      </c>
      <c r="T158" s="17">
        <v>589000</v>
      </c>
      <c r="U158" s="17">
        <v>1513000</v>
      </c>
      <c r="V158" s="17">
        <v>1971000</v>
      </c>
      <c r="W158" s="17">
        <v>962000</v>
      </c>
      <c r="X158" s="17">
        <v>695000</v>
      </c>
      <c r="Y158" s="17"/>
      <c r="Z158" s="17">
        <v>939000</v>
      </c>
      <c r="AA158" s="17">
        <v>939000</v>
      </c>
      <c r="AB158" s="17">
        <v>-18992000</v>
      </c>
      <c r="AC158" s="17"/>
      <c r="AD158" s="17"/>
      <c r="AE158" s="17"/>
      <c r="AF158" s="17"/>
      <c r="AG158" s="17"/>
      <c r="AH158" s="17">
        <v>9615000</v>
      </c>
      <c r="AI158" s="17">
        <v>16747000</v>
      </c>
      <c r="AJ158" s="17">
        <v>19107000</v>
      </c>
      <c r="AK158" s="17">
        <v>19257000</v>
      </c>
      <c r="AL158" s="17">
        <v>19257000</v>
      </c>
      <c r="AM158" s="17">
        <v>69621000</v>
      </c>
      <c r="AN158" s="17">
        <v>79151000</v>
      </c>
      <c r="AO158" s="17">
        <v>30202000</v>
      </c>
      <c r="AP158" s="17"/>
      <c r="AQ158" s="17"/>
      <c r="AR158" s="17">
        <v>68911000</v>
      </c>
      <c r="AS158" s="17">
        <v>78957000</v>
      </c>
      <c r="AT158" s="17">
        <v>28998000</v>
      </c>
      <c r="AU158" s="17"/>
      <c r="AV158" s="17"/>
      <c r="AW158" s="17">
        <v>15000</v>
      </c>
      <c r="AX158" s="17"/>
      <c r="AY158" s="17"/>
      <c r="AZ158" s="17"/>
      <c r="BA158" s="17"/>
      <c r="BB158" s="17"/>
      <c r="BC158" s="17"/>
      <c r="BD158" s="17"/>
      <c r="BE158" s="17"/>
      <c r="BF158" s="17"/>
      <c r="BG158" s="17"/>
      <c r="BH158" s="17"/>
      <c r="BI158" s="17"/>
      <c r="BJ158" s="17"/>
      <c r="BK158" s="17"/>
      <c r="BL158" s="17"/>
      <c r="BM158" s="17"/>
      <c r="BN158" s="17">
        <v>30000</v>
      </c>
      <c r="BO158" s="17"/>
      <c r="BP158" s="17"/>
      <c r="BQ158" s="17">
        <v>834000</v>
      </c>
      <c r="BR158" s="17">
        <v>233000</v>
      </c>
      <c r="BS158" s="17">
        <v>939000</v>
      </c>
      <c r="BT158" s="17"/>
      <c r="BU158" s="17"/>
    </row>
    <row r="159" spans="1:73" x14ac:dyDescent="0.25">
      <c r="A159" s="16">
        <v>111</v>
      </c>
      <c r="B159" s="17">
        <v>10</v>
      </c>
      <c r="C159" s="18" t="s">
        <v>478</v>
      </c>
      <c r="D159" s="17">
        <v>3337000</v>
      </c>
      <c r="E159" s="17">
        <v>2847000</v>
      </c>
      <c r="F159" s="17">
        <v>1942000</v>
      </c>
      <c r="G159" s="17"/>
      <c r="H159" s="17"/>
      <c r="I159" s="17">
        <v>15102000</v>
      </c>
      <c r="J159" s="17">
        <v>12985000</v>
      </c>
      <c r="K159" s="17">
        <v>8935000</v>
      </c>
      <c r="L159" s="17"/>
      <c r="M159" s="17"/>
      <c r="N159" s="17">
        <v>3721000</v>
      </c>
      <c r="O159" s="17">
        <v>2345000</v>
      </c>
      <c r="P159" s="17">
        <v>1159000</v>
      </c>
      <c r="Q159" s="17"/>
      <c r="R159" s="17"/>
      <c r="S159" s="17">
        <v>68000</v>
      </c>
      <c r="T159" s="17">
        <v>163000</v>
      </c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>
        <v>472000</v>
      </c>
      <c r="AI159" s="17">
        <v>398000</v>
      </c>
      <c r="AJ159" s="17">
        <v>217000</v>
      </c>
      <c r="AK159" s="17"/>
      <c r="AL159" s="17"/>
      <c r="AM159" s="17">
        <v>47641000</v>
      </c>
      <c r="AN159" s="17">
        <v>17932000</v>
      </c>
      <c r="AO159" s="17">
        <v>8944000</v>
      </c>
      <c r="AP159" s="17"/>
      <c r="AQ159" s="17"/>
      <c r="AR159" s="17">
        <v>45881000</v>
      </c>
      <c r="AS159" s="17">
        <v>17736000</v>
      </c>
      <c r="AT159" s="17">
        <v>8913000</v>
      </c>
      <c r="AU159" s="17"/>
      <c r="AV159" s="17"/>
      <c r="AW159" s="17"/>
      <c r="AX159" s="17"/>
      <c r="AY159" s="17"/>
      <c r="AZ159" s="17"/>
      <c r="BA159" s="17"/>
      <c r="BB159" s="17"/>
      <c r="BC159" s="17"/>
      <c r="BD159" s="17"/>
      <c r="BE159" s="17"/>
      <c r="BF159" s="17"/>
      <c r="BG159" s="17">
        <v>5099000</v>
      </c>
      <c r="BH159" s="17">
        <v>115000</v>
      </c>
      <c r="BI159" s="17">
        <v>68000</v>
      </c>
      <c r="BJ159" s="17"/>
      <c r="BK159" s="17"/>
      <c r="BL159" s="17">
        <v>6563000</v>
      </c>
      <c r="BM159" s="17">
        <v>73000</v>
      </c>
      <c r="BN159" s="17">
        <v>42000</v>
      </c>
      <c r="BO159" s="17"/>
      <c r="BP159" s="17"/>
      <c r="BQ159" s="17">
        <v>237000</v>
      </c>
      <c r="BR159" s="17">
        <v>191000</v>
      </c>
      <c r="BS159" s="17">
        <v>46000</v>
      </c>
      <c r="BT159" s="17"/>
      <c r="BU159" s="17"/>
    </row>
    <row r="160" spans="1:73" x14ac:dyDescent="0.25">
      <c r="A160" s="16">
        <v>152</v>
      </c>
      <c r="B160" s="17">
        <v>28</v>
      </c>
      <c r="C160" s="18" t="s">
        <v>478</v>
      </c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  <c r="BA160" s="17"/>
      <c r="BB160" s="17"/>
      <c r="BC160" s="17"/>
      <c r="BD160" s="17"/>
      <c r="BE160" s="17"/>
      <c r="BF160" s="17"/>
      <c r="BG160" s="17"/>
      <c r="BH160" s="17"/>
      <c r="BI160" s="17"/>
      <c r="BJ160" s="17"/>
      <c r="BK160" s="17"/>
      <c r="BL160" s="17"/>
      <c r="BM160" s="17"/>
      <c r="BN160" s="17"/>
      <c r="BO160" s="17"/>
      <c r="BP160" s="17"/>
      <c r="BQ160" s="17"/>
      <c r="BR160" s="17"/>
      <c r="BS160" s="17"/>
      <c r="BT160" s="17"/>
      <c r="BU160" s="17"/>
    </row>
    <row r="161" spans="1:73" x14ac:dyDescent="0.25">
      <c r="A161" s="16">
        <v>179</v>
      </c>
      <c r="B161" s="17">
        <v>6</v>
      </c>
      <c r="C161" s="18" t="s">
        <v>478</v>
      </c>
      <c r="D161" s="17"/>
      <c r="E161" s="17"/>
      <c r="F161" s="17"/>
      <c r="G161" s="17"/>
      <c r="H161" s="17"/>
      <c r="I161" s="17">
        <v>15571000</v>
      </c>
      <c r="J161" s="17">
        <v>20628000</v>
      </c>
      <c r="K161" s="17">
        <v>27963000</v>
      </c>
      <c r="L161" s="17">
        <v>30786000</v>
      </c>
      <c r="M161" s="17"/>
      <c r="N161" s="17">
        <v>5485000</v>
      </c>
      <c r="O161" s="17">
        <v>5033000</v>
      </c>
      <c r="P161" s="17">
        <v>7187000</v>
      </c>
      <c r="Q161" s="17">
        <v>47270000</v>
      </c>
      <c r="R161" s="17">
        <v>3713000</v>
      </c>
      <c r="S161" s="17">
        <v>292000</v>
      </c>
      <c r="T161" s="17">
        <v>61000</v>
      </c>
      <c r="U161" s="17">
        <v>26000</v>
      </c>
      <c r="V161" s="17">
        <v>28000</v>
      </c>
      <c r="W161" s="17"/>
      <c r="X161" s="17"/>
      <c r="Y161" s="17"/>
      <c r="Z161" s="17"/>
      <c r="AA161" s="17"/>
      <c r="AB161" s="17">
        <v>-45302000</v>
      </c>
      <c r="AC161" s="17">
        <v>4416000</v>
      </c>
      <c r="AD161" s="17">
        <v>7733000</v>
      </c>
      <c r="AE161" s="17">
        <v>7816000</v>
      </c>
      <c r="AF161" s="17"/>
      <c r="AG161" s="17"/>
      <c r="AH161" s="17">
        <v>16236000</v>
      </c>
      <c r="AI161" s="17">
        <v>17120000</v>
      </c>
      <c r="AJ161" s="17">
        <v>25885000</v>
      </c>
      <c r="AK161" s="17">
        <v>77031000</v>
      </c>
      <c r="AL161" s="17">
        <v>49214000</v>
      </c>
      <c r="AM161" s="17">
        <v>247757000</v>
      </c>
      <c r="AN161" s="17">
        <v>209672000</v>
      </c>
      <c r="AO161" s="17">
        <v>64554000</v>
      </c>
      <c r="AP161" s="17">
        <v>45681000</v>
      </c>
      <c r="AQ161" s="17">
        <v>26329000</v>
      </c>
      <c r="AR161" s="17">
        <v>244479000</v>
      </c>
      <c r="AS161" s="17">
        <v>207252000</v>
      </c>
      <c r="AT161" s="17">
        <v>63358000</v>
      </c>
      <c r="AU161" s="17">
        <v>45671000</v>
      </c>
      <c r="AV161" s="17">
        <v>69961000</v>
      </c>
      <c r="AW161" s="17"/>
      <c r="AX161" s="17"/>
      <c r="AY161" s="17"/>
      <c r="AZ161" s="17"/>
      <c r="BA161" s="17"/>
      <c r="BB161" s="17"/>
      <c r="BC161" s="17"/>
      <c r="BD161" s="17"/>
      <c r="BE161" s="17"/>
      <c r="BF161" s="17">
        <v>2703000</v>
      </c>
      <c r="BG161" s="17">
        <v>707000</v>
      </c>
      <c r="BH161" s="17">
        <v>113000</v>
      </c>
      <c r="BI161" s="17">
        <v>303000</v>
      </c>
      <c r="BJ161" s="17">
        <v>1377000</v>
      </c>
      <c r="BK161" s="17"/>
      <c r="BL161" s="17">
        <v>735000</v>
      </c>
      <c r="BM161" s="17">
        <v>1260000</v>
      </c>
      <c r="BN161" s="17">
        <v>945000</v>
      </c>
      <c r="BO161" s="17">
        <v>1313000</v>
      </c>
      <c r="BP161" s="17"/>
      <c r="BQ161" s="17">
        <v>2502000</v>
      </c>
      <c r="BR161" s="17">
        <v>174000</v>
      </c>
      <c r="BS161" s="17">
        <v>126000</v>
      </c>
      <c r="BT161" s="17">
        <v>47000</v>
      </c>
      <c r="BU161" s="17">
        <v>-46335000</v>
      </c>
    </row>
    <row r="162" spans="1:73" x14ac:dyDescent="0.25">
      <c r="A162" s="16">
        <v>48</v>
      </c>
      <c r="B162" s="17">
        <v>8</v>
      </c>
      <c r="C162" s="18" t="s">
        <v>318</v>
      </c>
      <c r="D162" s="17">
        <v>4203000</v>
      </c>
      <c r="E162" s="17">
        <v>3693000</v>
      </c>
      <c r="F162" s="17"/>
      <c r="G162" s="17"/>
      <c r="H162" s="17"/>
      <c r="I162" s="17"/>
      <c r="J162" s="17">
        <v>2198000</v>
      </c>
      <c r="K162" s="17">
        <v>377000</v>
      </c>
      <c r="L162" s="17"/>
      <c r="M162" s="17"/>
      <c r="N162" s="17">
        <v>16046000</v>
      </c>
      <c r="O162" s="17">
        <v>14658000</v>
      </c>
      <c r="P162" s="17">
        <v>12788000</v>
      </c>
      <c r="Q162" s="17">
        <v>10801000</v>
      </c>
      <c r="R162" s="17">
        <v>9278000</v>
      </c>
      <c r="S162" s="17">
        <v>1747000</v>
      </c>
      <c r="T162" s="17">
        <v>2443000</v>
      </c>
      <c r="U162" s="17">
        <v>5533000</v>
      </c>
      <c r="V162" s="17">
        <v>1973000</v>
      </c>
      <c r="W162" s="17">
        <v>1505000</v>
      </c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>
        <v>20970000</v>
      </c>
      <c r="AI162" s="17">
        <v>26390000</v>
      </c>
      <c r="AJ162" s="17">
        <v>27723000</v>
      </c>
      <c r="AK162" s="17">
        <v>24353000</v>
      </c>
      <c r="AL162" s="17">
        <v>22915000</v>
      </c>
      <c r="AM162" s="17">
        <v>41465000</v>
      </c>
      <c r="AN162" s="17">
        <v>36536000</v>
      </c>
      <c r="AO162" s="17">
        <v>35701000</v>
      </c>
      <c r="AP162" s="17"/>
      <c r="AQ162" s="17"/>
      <c r="AR162" s="17">
        <v>41229000</v>
      </c>
      <c r="AS162" s="17">
        <v>42476000</v>
      </c>
      <c r="AT162" s="17">
        <v>37707000</v>
      </c>
      <c r="AU162" s="17">
        <v>2322000</v>
      </c>
      <c r="AV162" s="17"/>
      <c r="AW162" s="17"/>
      <c r="AX162" s="17"/>
      <c r="AY162" s="17"/>
      <c r="AZ162" s="17"/>
      <c r="BA162" s="17"/>
      <c r="BB162" s="17"/>
      <c r="BC162" s="17"/>
      <c r="BD162" s="17"/>
      <c r="BE162" s="17"/>
      <c r="BF162" s="17"/>
      <c r="BG162" s="17">
        <v>12000</v>
      </c>
      <c r="BH162" s="17"/>
      <c r="BI162" s="17"/>
      <c r="BJ162" s="17">
        <v>168000</v>
      </c>
      <c r="BK162" s="17"/>
      <c r="BL162" s="17">
        <v>82000</v>
      </c>
      <c r="BM162" s="17">
        <v>52000</v>
      </c>
      <c r="BN162" s="17">
        <v>3224000</v>
      </c>
      <c r="BO162" s="17">
        <v>376000</v>
      </c>
      <c r="BP162" s="17">
        <v>538000</v>
      </c>
      <c r="BQ162" s="17">
        <v>-95000</v>
      </c>
      <c r="BR162" s="17">
        <v>-5992000</v>
      </c>
      <c r="BS162" s="17">
        <v>-5519000</v>
      </c>
      <c r="BT162" s="17">
        <v>-2554000</v>
      </c>
      <c r="BU162" s="17">
        <v>-553000</v>
      </c>
    </row>
    <row r="163" spans="1:73" x14ac:dyDescent="0.25">
      <c r="A163" s="16">
        <v>50</v>
      </c>
      <c r="B163" s="17">
        <v>19</v>
      </c>
      <c r="C163" s="18" t="s">
        <v>318</v>
      </c>
      <c r="D163" s="17"/>
      <c r="E163" s="17">
        <v>2173000</v>
      </c>
      <c r="F163" s="17">
        <v>3433000</v>
      </c>
      <c r="G163" s="17"/>
      <c r="H163" s="17"/>
      <c r="I163" s="17"/>
      <c r="J163" s="17">
        <v>25000</v>
      </c>
      <c r="K163" s="17">
        <v>65000</v>
      </c>
      <c r="L163" s="17"/>
      <c r="M163" s="17"/>
      <c r="N163" s="17">
        <v>1400000</v>
      </c>
      <c r="O163" s="17"/>
      <c r="P163" s="17">
        <v>2093000</v>
      </c>
      <c r="Q163" s="17"/>
      <c r="R163" s="17"/>
      <c r="S163" s="17">
        <v>22000</v>
      </c>
      <c r="T163" s="17"/>
      <c r="U163" s="17">
        <v>47000</v>
      </c>
      <c r="V163" s="17"/>
      <c r="W163" s="17"/>
      <c r="X163" s="17">
        <v>-1459000</v>
      </c>
      <c r="Y163" s="17">
        <v>-117000</v>
      </c>
      <c r="Z163" s="17">
        <v>-3283000</v>
      </c>
      <c r="AA163" s="17"/>
      <c r="AB163" s="17"/>
      <c r="AC163" s="17"/>
      <c r="AD163" s="17"/>
      <c r="AE163" s="17"/>
      <c r="AF163" s="17"/>
      <c r="AG163" s="17"/>
      <c r="AH163" s="17">
        <v>2782000</v>
      </c>
      <c r="AI163" s="17">
        <v>42000</v>
      </c>
      <c r="AJ163" s="17">
        <v>5183000</v>
      </c>
      <c r="AK163" s="17"/>
      <c r="AL163" s="17"/>
      <c r="AM163" s="17">
        <v>763000</v>
      </c>
      <c r="AN163" s="17"/>
      <c r="AO163" s="17">
        <v>6332000</v>
      </c>
      <c r="AP163" s="17"/>
      <c r="AQ163" s="17"/>
      <c r="AR163" s="17">
        <v>710000</v>
      </c>
      <c r="AS163" s="17"/>
      <c r="AT163" s="17">
        <v>7768000</v>
      </c>
      <c r="AU163" s="17"/>
      <c r="AV163" s="17"/>
      <c r="AW163" s="17"/>
      <c r="AX163" s="17"/>
      <c r="AY163" s="17"/>
      <c r="AZ163" s="17"/>
      <c r="BA163" s="17"/>
      <c r="BB163" s="17"/>
      <c r="BC163" s="17"/>
      <c r="BD163" s="17">
        <v>2048000</v>
      </c>
      <c r="BE163" s="17"/>
      <c r="BF163" s="17"/>
      <c r="BG163" s="17">
        <v>166000</v>
      </c>
      <c r="BH163" s="17"/>
      <c r="BI163" s="17">
        <v>1157000</v>
      </c>
      <c r="BJ163" s="17"/>
      <c r="BK163" s="17"/>
      <c r="BL163" s="17">
        <v>16000</v>
      </c>
      <c r="BM163" s="17"/>
      <c r="BN163" s="17">
        <v>544000</v>
      </c>
      <c r="BO163" s="17"/>
      <c r="BP163" s="17"/>
      <c r="BQ163" s="17">
        <v>203000</v>
      </c>
      <c r="BR163" s="17"/>
      <c r="BS163" s="17">
        <v>-3284000</v>
      </c>
      <c r="BT163" s="17"/>
      <c r="BU163" s="17"/>
    </row>
    <row r="164" spans="1:73" x14ac:dyDescent="0.25">
      <c r="A164" s="16">
        <v>76</v>
      </c>
      <c r="B164" s="17">
        <v>9</v>
      </c>
      <c r="C164" s="18" t="s">
        <v>318</v>
      </c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>
        <v>7771000</v>
      </c>
      <c r="O164" s="17">
        <v>15581000</v>
      </c>
      <c r="P164" s="17">
        <v>15475000</v>
      </c>
      <c r="Q164" s="17"/>
      <c r="R164" s="17"/>
      <c r="S164" s="17"/>
      <c r="T164" s="17">
        <v>3023000</v>
      </c>
      <c r="U164" s="17">
        <v>787000</v>
      </c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>
        <v>35592000</v>
      </c>
      <c r="AI164" s="17">
        <v>49725000</v>
      </c>
      <c r="AJ164" s="17">
        <v>48063000</v>
      </c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  <c r="BA164" s="17"/>
      <c r="BB164" s="17"/>
      <c r="BC164" s="17"/>
      <c r="BD164" s="17"/>
      <c r="BE164" s="17"/>
      <c r="BF164" s="17"/>
      <c r="BG164" s="17"/>
      <c r="BH164" s="17"/>
      <c r="BI164" s="17"/>
      <c r="BJ164" s="17"/>
      <c r="BK164" s="17"/>
      <c r="BL164" s="17">
        <v>8595000</v>
      </c>
      <c r="BM164" s="17">
        <v>949000</v>
      </c>
      <c r="BN164" s="17">
        <v>680000</v>
      </c>
      <c r="BO164" s="17"/>
      <c r="BP164" s="17"/>
      <c r="BQ164" s="17">
        <v>-8595000</v>
      </c>
      <c r="BR164" s="17">
        <v>-949000</v>
      </c>
      <c r="BS164" s="17">
        <v>-680000</v>
      </c>
      <c r="BT164" s="17"/>
      <c r="BU164" s="17"/>
    </row>
    <row r="165" spans="1:73" x14ac:dyDescent="0.25">
      <c r="A165" s="16">
        <v>87</v>
      </c>
      <c r="B165" s="17">
        <v>11</v>
      </c>
      <c r="C165" s="18" t="s">
        <v>318</v>
      </c>
      <c r="D165" s="17">
        <v>103000</v>
      </c>
      <c r="E165" s="17">
        <v>103000</v>
      </c>
      <c r="F165" s="17">
        <v>103000</v>
      </c>
      <c r="G165" s="17">
        <v>103000</v>
      </c>
      <c r="H165" s="17">
        <v>103000</v>
      </c>
      <c r="I165" s="17"/>
      <c r="J165" s="17"/>
      <c r="K165" s="17"/>
      <c r="L165" s="17"/>
      <c r="M165" s="17"/>
      <c r="N165" s="17">
        <v>24187000</v>
      </c>
      <c r="O165" s="17">
        <v>22198000</v>
      </c>
      <c r="P165" s="17">
        <v>7356000</v>
      </c>
      <c r="Q165" s="17">
        <v>6881000</v>
      </c>
      <c r="R165" s="17">
        <v>6881000</v>
      </c>
      <c r="S165" s="17"/>
      <c r="T165" s="17">
        <v>2641000</v>
      </c>
      <c r="U165" s="17">
        <v>3232000</v>
      </c>
      <c r="V165" s="17">
        <v>2197000</v>
      </c>
      <c r="W165" s="17">
        <v>2197000</v>
      </c>
      <c r="X165" s="17">
        <v>-38594000</v>
      </c>
      <c r="Y165" s="17">
        <v>-39359000</v>
      </c>
      <c r="Z165" s="17">
        <v>-40199000</v>
      </c>
      <c r="AA165" s="17">
        <v>-40559000</v>
      </c>
      <c r="AB165" s="17">
        <v>-40559000</v>
      </c>
      <c r="AC165" s="17"/>
      <c r="AD165" s="17"/>
      <c r="AE165" s="17"/>
      <c r="AF165" s="17"/>
      <c r="AG165" s="17"/>
      <c r="AH165" s="17">
        <v>69219000</v>
      </c>
      <c r="AI165" s="17">
        <v>70636000</v>
      </c>
      <c r="AJ165" s="17">
        <v>57225000</v>
      </c>
      <c r="AK165" s="17">
        <v>56075000</v>
      </c>
      <c r="AL165" s="17">
        <v>56075000</v>
      </c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  <c r="BA165" s="17"/>
      <c r="BB165" s="17"/>
      <c r="BC165" s="17"/>
      <c r="BD165" s="17"/>
      <c r="BE165" s="17"/>
      <c r="BF165" s="17"/>
      <c r="BG165" s="17"/>
      <c r="BH165" s="17"/>
      <c r="BI165" s="17"/>
      <c r="BJ165" s="17"/>
      <c r="BK165" s="17"/>
      <c r="BL165" s="17">
        <v>2791000</v>
      </c>
      <c r="BM165" s="17">
        <v>765000</v>
      </c>
      <c r="BN165" s="17">
        <v>840000</v>
      </c>
      <c r="BO165" s="17">
        <v>360000</v>
      </c>
      <c r="BP165" s="17"/>
      <c r="BQ165" s="17">
        <v>-2780000</v>
      </c>
      <c r="BR165" s="17">
        <v>-765000</v>
      </c>
      <c r="BS165" s="17">
        <v>-840000</v>
      </c>
      <c r="BT165" s="17">
        <v>-360000</v>
      </c>
      <c r="BU165" s="17"/>
    </row>
    <row r="166" spans="1:73" x14ac:dyDescent="0.25">
      <c r="A166" s="16">
        <v>99</v>
      </c>
      <c r="B166" s="17">
        <v>14</v>
      </c>
      <c r="C166" s="18" t="s">
        <v>318</v>
      </c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>
        <v>70626000</v>
      </c>
      <c r="O166" s="17">
        <v>111667000</v>
      </c>
      <c r="P166" s="17">
        <v>120998000</v>
      </c>
      <c r="Q166" s="17">
        <v>117837000</v>
      </c>
      <c r="R166" s="17">
        <v>115394000</v>
      </c>
      <c r="S166" s="17">
        <v>100000</v>
      </c>
      <c r="T166" s="17">
        <v>455000</v>
      </c>
      <c r="U166" s="17"/>
      <c r="V166" s="17">
        <v>40000</v>
      </c>
      <c r="W166" s="17"/>
      <c r="X166" s="17">
        <v>1063000</v>
      </c>
      <c r="Y166" s="17">
        <v>1159000</v>
      </c>
      <c r="Z166" s="17">
        <v>-801000</v>
      </c>
      <c r="AA166" s="17">
        <v>-2310000</v>
      </c>
      <c r="AB166" s="17">
        <v>-3569000</v>
      </c>
      <c r="AC166" s="17"/>
      <c r="AD166" s="17"/>
      <c r="AE166" s="17"/>
      <c r="AF166" s="17"/>
      <c r="AG166" s="17"/>
      <c r="AH166" s="17">
        <v>69653000</v>
      </c>
      <c r="AI166" s="17">
        <v>110953000</v>
      </c>
      <c r="AJ166" s="17">
        <v>121789000</v>
      </c>
      <c r="AK166" s="17">
        <v>120177000</v>
      </c>
      <c r="AL166" s="17">
        <v>118953000</v>
      </c>
      <c r="AM166" s="17"/>
      <c r="AN166" s="17"/>
      <c r="AO166" s="17">
        <v>56137000</v>
      </c>
      <c r="AP166" s="17">
        <v>161000</v>
      </c>
      <c r="AQ166" s="17"/>
      <c r="AR166" s="17"/>
      <c r="AS166" s="17"/>
      <c r="AT166" s="17">
        <v>57653000</v>
      </c>
      <c r="AU166" s="17"/>
      <c r="AV166" s="17"/>
      <c r="AW166" s="17"/>
      <c r="AX166" s="17"/>
      <c r="AY166" s="17"/>
      <c r="AZ166" s="17"/>
      <c r="BA166" s="17">
        <v>1231000</v>
      </c>
      <c r="BB166" s="17"/>
      <c r="BC166" s="17"/>
      <c r="BD166" s="17"/>
      <c r="BE166" s="17">
        <v>1701000</v>
      </c>
      <c r="BF166" s="17"/>
      <c r="BG166" s="17"/>
      <c r="BH166" s="17"/>
      <c r="BI166" s="17"/>
      <c r="BJ166" s="17">
        <v>62000</v>
      </c>
      <c r="BK166" s="17"/>
      <c r="BL166" s="17"/>
      <c r="BM166" s="17"/>
      <c r="BN166" s="17"/>
      <c r="BO166" s="17"/>
      <c r="BP166" s="17">
        <v>28000</v>
      </c>
      <c r="BQ166" s="17"/>
      <c r="BR166" s="17"/>
      <c r="BS166" s="17">
        <v>-1960000</v>
      </c>
      <c r="BT166" s="17">
        <v>-1509000</v>
      </c>
      <c r="BU166" s="17">
        <v>-1259000</v>
      </c>
    </row>
    <row r="167" spans="1:73" x14ac:dyDescent="0.25">
      <c r="A167" s="16">
        <v>196</v>
      </c>
      <c r="B167" s="17">
        <v>17</v>
      </c>
      <c r="C167" s="18" t="s">
        <v>318</v>
      </c>
      <c r="D167" s="17">
        <v>290000</v>
      </c>
      <c r="E167" s="17">
        <v>379000</v>
      </c>
      <c r="F167" s="17">
        <v>275000</v>
      </c>
      <c r="G167" s="17">
        <v>205000</v>
      </c>
      <c r="H167" s="17"/>
      <c r="I167" s="17">
        <v>759000</v>
      </c>
      <c r="J167" s="17">
        <v>799000</v>
      </c>
      <c r="K167" s="17">
        <v>744000</v>
      </c>
      <c r="L167" s="17">
        <v>890000</v>
      </c>
      <c r="M167" s="17"/>
      <c r="N167" s="17">
        <v>86022000</v>
      </c>
      <c r="O167" s="17">
        <v>94228000</v>
      </c>
      <c r="P167" s="17">
        <v>104618000</v>
      </c>
      <c r="Q167" s="17">
        <v>114957000</v>
      </c>
      <c r="R167" s="17">
        <v>109720000</v>
      </c>
      <c r="S167" s="17">
        <v>5754000</v>
      </c>
      <c r="T167" s="17">
        <v>7169000</v>
      </c>
      <c r="U167" s="17">
        <v>1631000</v>
      </c>
      <c r="V167" s="17">
        <v>5131000</v>
      </c>
      <c r="W167" s="17">
        <v>521000</v>
      </c>
      <c r="X167" s="17">
        <v>30730000</v>
      </c>
      <c r="Y167" s="17">
        <v>31314000</v>
      </c>
      <c r="Z167" s="17">
        <v>26254000</v>
      </c>
      <c r="AA167" s="17">
        <v>31801000</v>
      </c>
      <c r="AB167" s="17">
        <v>36021000</v>
      </c>
      <c r="AC167" s="17"/>
      <c r="AD167" s="17"/>
      <c r="AE167" s="17"/>
      <c r="AF167" s="17"/>
      <c r="AG167" s="17"/>
      <c r="AH167" s="17">
        <v>61677000</v>
      </c>
      <c r="AI167" s="17">
        <v>70875000</v>
      </c>
      <c r="AJ167" s="17">
        <v>80632000</v>
      </c>
      <c r="AK167" s="17">
        <v>88972000</v>
      </c>
      <c r="AL167" s="17">
        <v>73791000</v>
      </c>
      <c r="AM167" s="17">
        <v>84766000</v>
      </c>
      <c r="AN167" s="17">
        <v>93628000</v>
      </c>
      <c r="AO167" s="17">
        <v>89782000</v>
      </c>
      <c r="AP167" s="17">
        <v>91452000</v>
      </c>
      <c r="AQ167" s="17">
        <v>41343000</v>
      </c>
      <c r="AR167" s="17">
        <v>83691000</v>
      </c>
      <c r="AS167" s="17">
        <v>90452000</v>
      </c>
      <c r="AT167" s="17">
        <v>93431000</v>
      </c>
      <c r="AU167" s="17">
        <v>82987000</v>
      </c>
      <c r="AV167" s="17">
        <v>42953000</v>
      </c>
      <c r="AW167" s="17"/>
      <c r="AX167" s="17"/>
      <c r="AY167" s="17"/>
      <c r="AZ167" s="17"/>
      <c r="BA167" s="17"/>
      <c r="BB167" s="17"/>
      <c r="BC167" s="17"/>
      <c r="BD167" s="17"/>
      <c r="BE167" s="17"/>
      <c r="BF167" s="17"/>
      <c r="BG167" s="17">
        <v>182000</v>
      </c>
      <c r="BH167" s="17">
        <v>290000</v>
      </c>
      <c r="BI167" s="17">
        <v>2988000</v>
      </c>
      <c r="BJ167" s="17">
        <v>163000</v>
      </c>
      <c r="BK167" s="17">
        <v>10977000</v>
      </c>
      <c r="BL167" s="17">
        <v>11598000</v>
      </c>
      <c r="BM167" s="17">
        <v>967000</v>
      </c>
      <c r="BN167" s="17">
        <v>2205000</v>
      </c>
      <c r="BO167" s="17">
        <v>656000</v>
      </c>
      <c r="BP167" s="17">
        <v>3461000</v>
      </c>
      <c r="BQ167" s="17">
        <v>-12395000</v>
      </c>
      <c r="BR167" s="17">
        <v>-12000</v>
      </c>
      <c r="BS167" s="17">
        <v>-5291000</v>
      </c>
      <c r="BT167" s="17">
        <v>5547000</v>
      </c>
      <c r="BU167" s="17">
        <v>4197000</v>
      </c>
    </row>
    <row r="168" spans="1:73" x14ac:dyDescent="0.25">
      <c r="A168" s="16">
        <v>35</v>
      </c>
      <c r="B168" s="17">
        <v>11</v>
      </c>
      <c r="C168" s="18" t="s">
        <v>283</v>
      </c>
      <c r="D168" s="17">
        <v>247619000</v>
      </c>
      <c r="E168" s="17">
        <v>191808000</v>
      </c>
      <c r="F168" s="17">
        <v>139776000</v>
      </c>
      <c r="G168" s="17">
        <v>85782000</v>
      </c>
      <c r="H168" s="17">
        <v>18233000</v>
      </c>
      <c r="I168" s="17">
        <v>1349000</v>
      </c>
      <c r="J168" s="17">
        <v>6232000</v>
      </c>
      <c r="K168" s="17">
        <v>9154000</v>
      </c>
      <c r="L168" s="17">
        <v>9551000</v>
      </c>
      <c r="M168" s="17">
        <v>12243000</v>
      </c>
      <c r="N168" s="17">
        <v>72924000</v>
      </c>
      <c r="O168" s="17">
        <v>66020000</v>
      </c>
      <c r="P168" s="17">
        <v>82965000</v>
      </c>
      <c r="Q168" s="17">
        <v>88021000</v>
      </c>
      <c r="R168" s="17">
        <v>104238000</v>
      </c>
      <c r="S168" s="17">
        <v>3456000</v>
      </c>
      <c r="T168" s="17">
        <v>45000</v>
      </c>
      <c r="U168" s="17">
        <v>451000</v>
      </c>
      <c r="V168" s="17">
        <v>2317000</v>
      </c>
      <c r="W168" s="17">
        <v>911000</v>
      </c>
      <c r="X168" s="17">
        <v>-44549000</v>
      </c>
      <c r="Y168" s="17">
        <v>-147258000</v>
      </c>
      <c r="Z168" s="17">
        <v>-265903000</v>
      </c>
      <c r="AA168" s="17">
        <v>-334990000</v>
      </c>
      <c r="AB168" s="17">
        <v>-430391000</v>
      </c>
      <c r="AC168" s="17">
        <v>60220000</v>
      </c>
      <c r="AD168" s="17">
        <v>49690000</v>
      </c>
      <c r="AE168" s="17">
        <v>50603000</v>
      </c>
      <c r="AF168" s="17">
        <v>53670000</v>
      </c>
      <c r="AG168" s="17">
        <v>56738000</v>
      </c>
      <c r="AH168" s="17">
        <v>156856000</v>
      </c>
      <c r="AI168" s="17">
        <v>298359000</v>
      </c>
      <c r="AJ168" s="17">
        <v>467767000</v>
      </c>
      <c r="AK168" s="17">
        <v>554691000</v>
      </c>
      <c r="AL168" s="17">
        <v>655643000</v>
      </c>
      <c r="AM168" s="17">
        <v>244739000</v>
      </c>
      <c r="AN168" s="17">
        <v>255891000</v>
      </c>
      <c r="AO168" s="17">
        <v>258582000</v>
      </c>
      <c r="AP168" s="17">
        <v>307611000</v>
      </c>
      <c r="AQ168" s="17">
        <v>324873000</v>
      </c>
      <c r="AR168" s="17">
        <v>274263000</v>
      </c>
      <c r="AS168" s="17">
        <v>308378000</v>
      </c>
      <c r="AT168" s="17">
        <v>326204000</v>
      </c>
      <c r="AU168" s="17">
        <v>339553000</v>
      </c>
      <c r="AV168" s="17">
        <v>347822000</v>
      </c>
      <c r="AW168" s="17"/>
      <c r="AX168" s="17"/>
      <c r="AY168" s="17"/>
      <c r="AZ168" s="17"/>
      <c r="BA168" s="17"/>
      <c r="BB168" s="17">
        <v>33392000</v>
      </c>
      <c r="BC168" s="17">
        <v>41399000</v>
      </c>
      <c r="BD168" s="17">
        <v>47627000</v>
      </c>
      <c r="BE168" s="17">
        <v>27723000</v>
      </c>
      <c r="BF168" s="17">
        <v>26732000</v>
      </c>
      <c r="BG168" s="17">
        <v>2398000</v>
      </c>
      <c r="BH168" s="17">
        <v>10691000</v>
      </c>
      <c r="BI168" s="17">
        <v>28236000</v>
      </c>
      <c r="BJ168" s="17">
        <v>29873000</v>
      </c>
      <c r="BK168" s="17">
        <v>30007000</v>
      </c>
      <c r="BL168" s="17">
        <v>2600000</v>
      </c>
      <c r="BM168" s="17">
        <v>41244000</v>
      </c>
      <c r="BN168" s="17">
        <v>56149000</v>
      </c>
      <c r="BO168" s="17">
        <v>50585000</v>
      </c>
      <c r="BP168" s="17">
        <v>133445000</v>
      </c>
      <c r="BQ168" s="17">
        <v>-52709000</v>
      </c>
      <c r="BR168" s="17">
        <v>-102684000</v>
      </c>
      <c r="BS168" s="17">
        <v>-116829000</v>
      </c>
      <c r="BT168" s="17">
        <v>-69061000</v>
      </c>
      <c r="BU168" s="17">
        <v>-98184000</v>
      </c>
    </row>
    <row r="169" spans="1:73" x14ac:dyDescent="0.25">
      <c r="A169" s="16">
        <v>12</v>
      </c>
      <c r="B169" s="17">
        <v>14</v>
      </c>
      <c r="C169" s="18" t="s">
        <v>219</v>
      </c>
      <c r="D169" s="17">
        <v>5370000</v>
      </c>
      <c r="E169" s="17">
        <v>5211000</v>
      </c>
      <c r="F169" s="17">
        <v>5211000</v>
      </c>
      <c r="G169" s="17"/>
      <c r="H169" s="17"/>
      <c r="I169" s="17">
        <v>117299000</v>
      </c>
      <c r="J169" s="17">
        <v>9222000</v>
      </c>
      <c r="K169" s="17">
        <v>9222000</v>
      </c>
      <c r="L169" s="17"/>
      <c r="M169" s="17"/>
      <c r="N169" s="17">
        <v>221006000</v>
      </c>
      <c r="O169" s="17">
        <v>9993000</v>
      </c>
      <c r="P169" s="17">
        <v>9993000</v>
      </c>
      <c r="Q169" s="17">
        <v>558775000</v>
      </c>
      <c r="R169" s="17">
        <v>558552000</v>
      </c>
      <c r="S169" s="17">
        <v>5000</v>
      </c>
      <c r="T169" s="17"/>
      <c r="U169" s="17"/>
      <c r="V169" s="17">
        <v>64000</v>
      </c>
      <c r="W169" s="17"/>
      <c r="X169" s="17">
        <v>48872000</v>
      </c>
      <c r="Y169" s="17">
        <v>11310000</v>
      </c>
      <c r="Z169" s="17">
        <v>11310000</v>
      </c>
      <c r="AA169" s="17">
        <v>21353000</v>
      </c>
      <c r="AB169" s="17"/>
      <c r="AC169" s="17">
        <v>312000</v>
      </c>
      <c r="AD169" s="17"/>
      <c r="AE169" s="17"/>
      <c r="AF169" s="17"/>
      <c r="AG169" s="17"/>
      <c r="AH169" s="17">
        <v>298536000</v>
      </c>
      <c r="AI169" s="17">
        <v>13702000</v>
      </c>
      <c r="AJ169" s="17">
        <v>13702000</v>
      </c>
      <c r="AK169" s="17">
        <v>537476000</v>
      </c>
      <c r="AL169" s="17">
        <v>813193000</v>
      </c>
      <c r="AM169" s="17">
        <v>410640000</v>
      </c>
      <c r="AN169" s="17">
        <v>373997000</v>
      </c>
      <c r="AO169" s="17"/>
      <c r="AP169" s="17"/>
      <c r="AQ169" s="17"/>
      <c r="AR169" s="17">
        <v>373837000</v>
      </c>
      <c r="AS169" s="17">
        <v>401691000</v>
      </c>
      <c r="AT169" s="17"/>
      <c r="AU169" s="17"/>
      <c r="AV169" s="17"/>
      <c r="AW169" s="17">
        <v>416000</v>
      </c>
      <c r="AX169" s="17">
        <v>410000</v>
      </c>
      <c r="AY169" s="17"/>
      <c r="AZ169" s="17"/>
      <c r="BA169" s="17"/>
      <c r="BB169" s="17">
        <v>27391000</v>
      </c>
      <c r="BC169" s="17">
        <v>1608000</v>
      </c>
      <c r="BD169" s="17"/>
      <c r="BE169" s="17"/>
      <c r="BF169" s="17"/>
      <c r="BG169" s="17">
        <v>182000</v>
      </c>
      <c r="BH169" s="17">
        <v>72000</v>
      </c>
      <c r="BI169" s="17"/>
      <c r="BJ169" s="17"/>
      <c r="BK169" s="17"/>
      <c r="BL169" s="17">
        <v>2164000</v>
      </c>
      <c r="BM169" s="17">
        <v>7922000</v>
      </c>
      <c r="BN169" s="17"/>
      <c r="BO169" s="17"/>
      <c r="BP169" s="17">
        <v>335000</v>
      </c>
      <c r="BQ169" s="17">
        <v>6908000</v>
      </c>
      <c r="BR169" s="17">
        <v>-37562000</v>
      </c>
      <c r="BS169" s="17"/>
      <c r="BT169" s="17"/>
      <c r="BU169" s="17">
        <v>-335000</v>
      </c>
    </row>
    <row r="170" spans="1:73" ht="26.25" x14ac:dyDescent="0.25">
      <c r="A170" s="16">
        <v>68</v>
      </c>
      <c r="B170" s="17">
        <v>32</v>
      </c>
      <c r="C170" s="18" t="s">
        <v>368</v>
      </c>
      <c r="D170" s="17">
        <v>589997000</v>
      </c>
      <c r="E170" s="17">
        <v>494802000</v>
      </c>
      <c r="F170" s="17">
        <v>422323000</v>
      </c>
      <c r="G170" s="17">
        <v>387692000</v>
      </c>
      <c r="H170" s="17">
        <v>10615000</v>
      </c>
      <c r="I170" s="17">
        <v>1673508000</v>
      </c>
      <c r="J170" s="17">
        <v>1963695000</v>
      </c>
      <c r="K170" s="17">
        <v>245363000</v>
      </c>
      <c r="L170" s="17">
        <v>159076000</v>
      </c>
      <c r="M170" s="17">
        <v>7669000</v>
      </c>
      <c r="N170" s="17">
        <v>3724817000</v>
      </c>
      <c r="O170" s="17">
        <v>3570973000</v>
      </c>
      <c r="P170" s="17">
        <v>828243000</v>
      </c>
      <c r="Q170" s="17">
        <v>269907000</v>
      </c>
      <c r="R170" s="17">
        <v>10320000</v>
      </c>
      <c r="S170" s="17">
        <v>985693000</v>
      </c>
      <c r="T170" s="17">
        <v>212800000</v>
      </c>
      <c r="U170" s="17">
        <v>27516000</v>
      </c>
      <c r="V170" s="17">
        <v>15304000</v>
      </c>
      <c r="W170" s="17">
        <v>1077222000</v>
      </c>
      <c r="X170" s="17">
        <v>54565000</v>
      </c>
      <c r="Y170" s="17">
        <v>-329752000</v>
      </c>
      <c r="Z170" s="17">
        <v>-5050335000</v>
      </c>
      <c r="AA170" s="17">
        <v>-6091493000</v>
      </c>
      <c r="AB170" s="17">
        <v>-5369159000</v>
      </c>
      <c r="AC170" s="17">
        <v>1825794000</v>
      </c>
      <c r="AD170" s="17">
        <v>1798475000</v>
      </c>
      <c r="AE170" s="17">
        <v>7908589000</v>
      </c>
      <c r="AF170" s="17">
        <v>8016737000</v>
      </c>
      <c r="AG170" s="17">
        <v>6871908000</v>
      </c>
      <c r="AH170" s="17">
        <v>1347623000</v>
      </c>
      <c r="AI170" s="17">
        <v>1317181000</v>
      </c>
      <c r="AJ170" s="17">
        <v>1036971000</v>
      </c>
      <c r="AK170" s="17">
        <v>997694000</v>
      </c>
      <c r="AL170" s="17">
        <v>556008000</v>
      </c>
      <c r="AM170" s="17">
        <v>6781526000</v>
      </c>
      <c r="AN170" s="17">
        <v>5038130000</v>
      </c>
      <c r="AO170" s="17">
        <v>2423842000</v>
      </c>
      <c r="AP170" s="17">
        <v>792282000</v>
      </c>
      <c r="AQ170" s="17">
        <v>287543000</v>
      </c>
      <c r="AR170" s="17">
        <v>5122392000</v>
      </c>
      <c r="AS170" s="17">
        <v>4884794000</v>
      </c>
      <c r="AT170" s="17">
        <v>2373095000</v>
      </c>
      <c r="AU170" s="17">
        <v>1144419000</v>
      </c>
      <c r="AV170" s="17">
        <v>408691000</v>
      </c>
      <c r="AW170" s="17">
        <v>208641000</v>
      </c>
      <c r="AX170" s="17">
        <v>183925000</v>
      </c>
      <c r="AY170" s="17">
        <v>79464000</v>
      </c>
      <c r="AZ170" s="17">
        <v>43000</v>
      </c>
      <c r="BA170" s="17"/>
      <c r="BB170" s="17">
        <v>446465000</v>
      </c>
      <c r="BC170" s="17">
        <v>474491000</v>
      </c>
      <c r="BD170" s="17">
        <v>300405000</v>
      </c>
      <c r="BE170" s="17">
        <v>258703000</v>
      </c>
      <c r="BF170" s="17">
        <v>129521000</v>
      </c>
      <c r="BG170" s="17">
        <v>510310000</v>
      </c>
      <c r="BH170" s="17">
        <v>307599000</v>
      </c>
      <c r="BI170" s="17">
        <v>223599000</v>
      </c>
      <c r="BJ170" s="17">
        <v>441429000</v>
      </c>
      <c r="BK170" s="17">
        <v>5425388000</v>
      </c>
      <c r="BL170" s="17">
        <v>1235372000</v>
      </c>
      <c r="BM170" s="17">
        <v>388839000</v>
      </c>
      <c r="BN170" s="17">
        <v>4922171000</v>
      </c>
      <c r="BO170" s="17">
        <v>1085817000</v>
      </c>
      <c r="BP170" s="17">
        <v>4480512000</v>
      </c>
      <c r="BQ170" s="17">
        <v>-286338000</v>
      </c>
      <c r="BR170" s="17">
        <v>-384316000</v>
      </c>
      <c r="BS170" s="17">
        <v>-4047547000</v>
      </c>
      <c r="BT170" s="17">
        <v>-1041164000</v>
      </c>
      <c r="BU170" s="17">
        <v>563013000</v>
      </c>
    </row>
    <row r="171" spans="1:73" x14ac:dyDescent="0.25">
      <c r="A171" s="16">
        <v>116</v>
      </c>
      <c r="B171" s="17">
        <v>12</v>
      </c>
      <c r="C171" s="18" t="s">
        <v>491</v>
      </c>
      <c r="D171" s="17">
        <v>2636000</v>
      </c>
      <c r="E171" s="17">
        <v>1455000</v>
      </c>
      <c r="F171" s="17">
        <v>2550000</v>
      </c>
      <c r="G171" s="17">
        <v>2550000</v>
      </c>
      <c r="H171" s="17">
        <v>2350000</v>
      </c>
      <c r="I171" s="17">
        <v>10717000</v>
      </c>
      <c r="J171" s="17">
        <v>6491000</v>
      </c>
      <c r="K171" s="17">
        <v>11893000</v>
      </c>
      <c r="L171" s="17">
        <v>11893000</v>
      </c>
      <c r="M171" s="17">
        <v>11893000</v>
      </c>
      <c r="N171" s="17">
        <v>7496000</v>
      </c>
      <c r="O171" s="17">
        <v>14884000</v>
      </c>
      <c r="P171" s="17">
        <v>14573000</v>
      </c>
      <c r="Q171" s="17">
        <v>13694000</v>
      </c>
      <c r="R171" s="17">
        <v>13694000</v>
      </c>
      <c r="S171" s="17">
        <v>306000</v>
      </c>
      <c r="T171" s="17">
        <v>3670000</v>
      </c>
      <c r="U171" s="17">
        <v>214000</v>
      </c>
      <c r="V171" s="17">
        <v>4000</v>
      </c>
      <c r="W171" s="17">
        <v>4000</v>
      </c>
      <c r="X171" s="17">
        <v>-20441000</v>
      </c>
      <c r="Y171" s="17">
        <v>-25339000</v>
      </c>
      <c r="Z171" s="17">
        <v>-22951000</v>
      </c>
      <c r="AA171" s="17">
        <v>-23017000</v>
      </c>
      <c r="AB171" s="17">
        <v>-23602000</v>
      </c>
      <c r="AC171" s="17"/>
      <c r="AD171" s="17"/>
      <c r="AE171" s="17">
        <v>150000</v>
      </c>
      <c r="AF171" s="17">
        <v>150000</v>
      </c>
      <c r="AG171" s="17">
        <v>150000</v>
      </c>
      <c r="AH171" s="17">
        <v>22474000</v>
      </c>
      <c r="AI171" s="17">
        <v>27861000</v>
      </c>
      <c r="AJ171" s="17">
        <v>19876000</v>
      </c>
      <c r="AK171" s="17">
        <v>18852000</v>
      </c>
      <c r="AL171" s="17">
        <v>19237000</v>
      </c>
      <c r="AM171" s="17">
        <v>63111000</v>
      </c>
      <c r="AN171" s="17">
        <v>85212000</v>
      </c>
      <c r="AO171" s="17">
        <v>64795000</v>
      </c>
      <c r="AP171" s="17"/>
      <c r="AQ171" s="17"/>
      <c r="AR171" s="17">
        <v>53122000</v>
      </c>
      <c r="AS171" s="17">
        <v>72261000</v>
      </c>
      <c r="AT171" s="17">
        <v>52381000</v>
      </c>
      <c r="AU171" s="17"/>
      <c r="AV171" s="17"/>
      <c r="AW171" s="17"/>
      <c r="AX171" s="17"/>
      <c r="AY171" s="17">
        <v>4957000</v>
      </c>
      <c r="AZ171" s="17"/>
      <c r="BA171" s="17"/>
      <c r="BB171" s="17">
        <v>11962000</v>
      </c>
      <c r="BC171" s="17">
        <v>14013000</v>
      </c>
      <c r="BD171" s="17">
        <v>4417000</v>
      </c>
      <c r="BE171" s="17"/>
      <c r="BF171" s="17"/>
      <c r="BG171" s="17">
        <v>2208000</v>
      </c>
      <c r="BH171" s="17"/>
      <c r="BI171" s="17">
        <v>1049000</v>
      </c>
      <c r="BJ171" s="17"/>
      <c r="BK171" s="17"/>
      <c r="BL171" s="17">
        <v>698000</v>
      </c>
      <c r="BM171" s="17">
        <v>3602000</v>
      </c>
      <c r="BN171" s="17">
        <v>1120000</v>
      </c>
      <c r="BO171" s="17">
        <v>67000</v>
      </c>
      <c r="BP171" s="17">
        <v>585000</v>
      </c>
      <c r="BQ171" s="17">
        <v>-464000</v>
      </c>
      <c r="BR171" s="17">
        <v>-4899000</v>
      </c>
      <c r="BS171" s="17">
        <v>2397000</v>
      </c>
      <c r="BT171" s="17">
        <v>-67000</v>
      </c>
      <c r="BU171" s="17">
        <v>-585000</v>
      </c>
    </row>
    <row r="172" spans="1:73" x14ac:dyDescent="0.25">
      <c r="A172" s="16">
        <v>62</v>
      </c>
      <c r="B172" s="17">
        <v>22</v>
      </c>
      <c r="C172" s="18" t="s">
        <v>352</v>
      </c>
      <c r="D172" s="17">
        <v>61711000</v>
      </c>
      <c r="E172" s="17"/>
      <c r="F172" s="17"/>
      <c r="G172" s="17"/>
      <c r="H172" s="17"/>
      <c r="I172" s="17"/>
      <c r="J172" s="17">
        <v>74820000</v>
      </c>
      <c r="K172" s="17">
        <v>20489000</v>
      </c>
      <c r="L172" s="17">
        <v>61311000</v>
      </c>
      <c r="M172" s="17"/>
      <c r="N172" s="17">
        <v>422401000</v>
      </c>
      <c r="O172" s="17">
        <v>467823000</v>
      </c>
      <c r="P172" s="17">
        <v>152057000</v>
      </c>
      <c r="Q172" s="17">
        <v>709751000</v>
      </c>
      <c r="R172" s="17"/>
      <c r="S172" s="17"/>
      <c r="T172" s="17">
        <v>19295000</v>
      </c>
      <c r="U172" s="17">
        <v>17229000</v>
      </c>
      <c r="V172" s="17">
        <v>2563000</v>
      </c>
      <c r="W172" s="17">
        <v>392000</v>
      </c>
      <c r="X172" s="17">
        <v>-4890693000</v>
      </c>
      <c r="Y172" s="17">
        <v>-4879651000</v>
      </c>
      <c r="Z172" s="17">
        <v>-5013694000</v>
      </c>
      <c r="AA172" s="17">
        <v>-4953254000</v>
      </c>
      <c r="AB172" s="17">
        <v>-3832947000</v>
      </c>
      <c r="AC172" s="17">
        <v>905267000</v>
      </c>
      <c r="AD172" s="17">
        <v>905267000</v>
      </c>
      <c r="AE172" s="17">
        <v>905267000</v>
      </c>
      <c r="AF172" s="17">
        <v>905267000</v>
      </c>
      <c r="AG172" s="17"/>
      <c r="AH172" s="17">
        <v>4462418000</v>
      </c>
      <c r="AI172" s="17">
        <v>4527727000</v>
      </c>
      <c r="AJ172" s="17">
        <v>4280995000</v>
      </c>
      <c r="AK172" s="17">
        <v>4816006000</v>
      </c>
      <c r="AL172" s="17">
        <v>3832339000</v>
      </c>
      <c r="AM172" s="17"/>
      <c r="AN172" s="17"/>
      <c r="AO172" s="17">
        <v>366000</v>
      </c>
      <c r="AP172" s="17"/>
      <c r="AQ172" s="17"/>
      <c r="AR172" s="17"/>
      <c r="AS172" s="17"/>
      <c r="AT172" s="17">
        <v>293000</v>
      </c>
      <c r="AU172" s="17"/>
      <c r="AV172" s="17"/>
      <c r="AW172" s="17"/>
      <c r="AX172" s="17"/>
      <c r="AY172" s="17"/>
      <c r="AZ172" s="17"/>
      <c r="BA172" s="17"/>
      <c r="BB172" s="17"/>
      <c r="BC172" s="17">
        <v>80000</v>
      </c>
      <c r="BD172" s="17">
        <v>9000</v>
      </c>
      <c r="BE172" s="17">
        <v>351000</v>
      </c>
      <c r="BF172" s="17"/>
      <c r="BG172" s="17"/>
      <c r="BH172" s="17">
        <v>3146000</v>
      </c>
      <c r="BI172" s="17">
        <v>18017000</v>
      </c>
      <c r="BJ172" s="17">
        <v>5941000</v>
      </c>
      <c r="BK172" s="17"/>
      <c r="BL172" s="17"/>
      <c r="BM172" s="17">
        <v>2963000</v>
      </c>
      <c r="BN172" s="17">
        <v>151292000</v>
      </c>
      <c r="BO172" s="17">
        <v>7677000</v>
      </c>
      <c r="BP172" s="17"/>
      <c r="BQ172" s="17"/>
      <c r="BR172" s="17">
        <v>82000</v>
      </c>
      <c r="BS172" s="17">
        <v>-134043000</v>
      </c>
      <c r="BT172" s="17">
        <v>-2052000</v>
      </c>
      <c r="BU172" s="17"/>
    </row>
    <row r="173" spans="1:73" x14ac:dyDescent="0.25">
      <c r="A173" s="16">
        <v>136</v>
      </c>
      <c r="B173" s="17">
        <v>23</v>
      </c>
      <c r="C173" s="18" t="s">
        <v>352</v>
      </c>
      <c r="D173" s="17">
        <v>85092000</v>
      </c>
      <c r="E173" s="17"/>
      <c r="F173" s="17"/>
      <c r="G173" s="17"/>
      <c r="H173" s="17"/>
      <c r="I173" s="17"/>
      <c r="J173" s="17"/>
      <c r="K173" s="17"/>
      <c r="L173" s="17"/>
      <c r="M173" s="17"/>
      <c r="N173" s="17">
        <v>6070000</v>
      </c>
      <c r="O173" s="17"/>
      <c r="P173" s="17"/>
      <c r="Q173" s="17">
        <v>821000</v>
      </c>
      <c r="R173" s="17">
        <v>590000</v>
      </c>
      <c r="S173" s="17"/>
      <c r="T173" s="17">
        <v>17687000</v>
      </c>
      <c r="U173" s="17">
        <v>23682000</v>
      </c>
      <c r="V173" s="17">
        <v>17943000</v>
      </c>
      <c r="W173" s="17">
        <v>1830000</v>
      </c>
      <c r="X173" s="17">
        <v>-266774000</v>
      </c>
      <c r="Y173" s="17">
        <v>-341287000</v>
      </c>
      <c r="Z173" s="17">
        <v>-353213000</v>
      </c>
      <c r="AA173" s="17">
        <v>-335335000</v>
      </c>
      <c r="AB173" s="17">
        <v>-341560000</v>
      </c>
      <c r="AC173" s="17">
        <v>152487000</v>
      </c>
      <c r="AD173" s="17">
        <v>152487000</v>
      </c>
      <c r="AE173" s="17">
        <v>152487000</v>
      </c>
      <c r="AF173" s="17">
        <v>152487000</v>
      </c>
      <c r="AG173" s="17">
        <v>152487000</v>
      </c>
      <c r="AH173" s="17">
        <v>5051000</v>
      </c>
      <c r="AI173" s="17">
        <v>6088000</v>
      </c>
      <c r="AJ173" s="17">
        <v>26429000</v>
      </c>
      <c r="AK173" s="17">
        <v>3632000</v>
      </c>
      <c r="AL173" s="17">
        <v>2336000</v>
      </c>
      <c r="AM173" s="17"/>
      <c r="AN173" s="17"/>
      <c r="AO173" s="17">
        <v>800000</v>
      </c>
      <c r="AP173" s="17">
        <v>1340000</v>
      </c>
      <c r="AQ173" s="17">
        <v>1748000</v>
      </c>
      <c r="AR173" s="17"/>
      <c r="AS173" s="17"/>
      <c r="AT173" s="17"/>
      <c r="AU173" s="17"/>
      <c r="AV173" s="17"/>
      <c r="AW173" s="17"/>
      <c r="AX173" s="17"/>
      <c r="AY173" s="17"/>
      <c r="AZ173" s="17"/>
      <c r="BA173" s="17"/>
      <c r="BB173" s="17">
        <v>657000</v>
      </c>
      <c r="BC173" s="17">
        <v>741000</v>
      </c>
      <c r="BD173" s="17">
        <v>5281000</v>
      </c>
      <c r="BE173" s="17">
        <v>1150000</v>
      </c>
      <c r="BF173" s="17">
        <v>2103000</v>
      </c>
      <c r="BG173" s="17">
        <v>81000</v>
      </c>
      <c r="BH173" s="17">
        <v>17778000</v>
      </c>
      <c r="BI173" s="17">
        <v>31790000</v>
      </c>
      <c r="BJ173" s="17"/>
      <c r="BK173" s="17">
        <v>2053000</v>
      </c>
      <c r="BL173" s="17">
        <v>215519000</v>
      </c>
      <c r="BM173" s="17">
        <v>91550000</v>
      </c>
      <c r="BN173" s="17">
        <v>39235000</v>
      </c>
      <c r="BO173" s="17">
        <v>617000</v>
      </c>
      <c r="BP173" s="17">
        <v>7760000</v>
      </c>
      <c r="BQ173" s="17">
        <v>-216095000</v>
      </c>
      <c r="BR173" s="17">
        <v>-74513000</v>
      </c>
      <c r="BS173" s="17">
        <v>-11926000</v>
      </c>
      <c r="BT173" s="17">
        <v>-427000</v>
      </c>
      <c r="BU173" s="17">
        <v>-5496000</v>
      </c>
    </row>
    <row r="174" spans="1:73" x14ac:dyDescent="0.25">
      <c r="A174" s="16">
        <v>157</v>
      </c>
      <c r="B174" s="17">
        <v>23</v>
      </c>
      <c r="C174" s="18" t="s">
        <v>595</v>
      </c>
      <c r="D174" s="17">
        <v>171460000</v>
      </c>
      <c r="E174" s="17">
        <v>133699000</v>
      </c>
      <c r="F174" s="17">
        <v>153009000</v>
      </c>
      <c r="G174" s="17">
        <v>113517000</v>
      </c>
      <c r="H174" s="17">
        <v>84912000</v>
      </c>
      <c r="I174" s="17">
        <v>253338000</v>
      </c>
      <c r="J174" s="17">
        <v>321752000</v>
      </c>
      <c r="K174" s="17">
        <v>266434000</v>
      </c>
      <c r="L174" s="17">
        <v>370302000</v>
      </c>
      <c r="M174" s="17">
        <v>244419000</v>
      </c>
      <c r="N174" s="17">
        <v>451618000</v>
      </c>
      <c r="O174" s="17">
        <v>670895000</v>
      </c>
      <c r="P174" s="17">
        <v>221296000</v>
      </c>
      <c r="Q174" s="17">
        <v>162334000</v>
      </c>
      <c r="R174" s="17">
        <v>269190000</v>
      </c>
      <c r="S174" s="17">
        <v>31361000</v>
      </c>
      <c r="T174" s="17">
        <v>720000</v>
      </c>
      <c r="U174" s="17">
        <v>48000</v>
      </c>
      <c r="V174" s="17">
        <v>15451000</v>
      </c>
      <c r="W174" s="17">
        <v>12291000</v>
      </c>
      <c r="X174" s="17">
        <v>-39553000</v>
      </c>
      <c r="Y174" s="17">
        <v>-25956000</v>
      </c>
      <c r="Z174" s="17">
        <v>-645547000</v>
      </c>
      <c r="AA174" s="17">
        <v>-675513000</v>
      </c>
      <c r="AB174" s="17">
        <v>-640973000</v>
      </c>
      <c r="AC174" s="17">
        <v>15629000</v>
      </c>
      <c r="AD174" s="17">
        <v>214814000</v>
      </c>
      <c r="AE174" s="17">
        <v>160190000</v>
      </c>
      <c r="AF174" s="17">
        <v>159508000</v>
      </c>
      <c r="AG174" s="17">
        <v>158989000</v>
      </c>
      <c r="AH174" s="17">
        <v>285837000</v>
      </c>
      <c r="AI174" s="17">
        <v>594866000</v>
      </c>
      <c r="AJ174" s="17">
        <v>868366000</v>
      </c>
      <c r="AK174" s="17">
        <v>928311000</v>
      </c>
      <c r="AL174" s="17">
        <v>953651000</v>
      </c>
      <c r="AM174" s="17">
        <v>1562762000</v>
      </c>
      <c r="AN174" s="17">
        <v>1628832000</v>
      </c>
      <c r="AO174" s="17">
        <v>675007000</v>
      </c>
      <c r="AP174" s="17">
        <v>538838000</v>
      </c>
      <c r="AQ174" s="17">
        <v>908559000</v>
      </c>
      <c r="AR174" s="17">
        <v>1450564000</v>
      </c>
      <c r="AS174" s="17">
        <v>1483319000</v>
      </c>
      <c r="AT174" s="17">
        <v>952715000</v>
      </c>
      <c r="AU174" s="17">
        <v>458001000</v>
      </c>
      <c r="AV174" s="17">
        <v>801416000</v>
      </c>
      <c r="AW174" s="17">
        <v>177000</v>
      </c>
      <c r="AX174" s="17"/>
      <c r="AY174" s="17">
        <v>89000</v>
      </c>
      <c r="AZ174" s="17">
        <v>159000</v>
      </c>
      <c r="BA174" s="17">
        <v>34000</v>
      </c>
      <c r="BB174" s="17">
        <v>49005000</v>
      </c>
      <c r="BC174" s="17">
        <v>53580000</v>
      </c>
      <c r="BD174" s="17">
        <v>62313000</v>
      </c>
      <c r="BE174" s="17">
        <v>51201000</v>
      </c>
      <c r="BF174" s="17">
        <v>45438000</v>
      </c>
      <c r="BG174" s="17">
        <v>605251000</v>
      </c>
      <c r="BH174" s="17">
        <v>356243000</v>
      </c>
      <c r="BI174" s="17">
        <v>102790000</v>
      </c>
      <c r="BJ174" s="17">
        <v>28504000</v>
      </c>
      <c r="BK174" s="17">
        <v>35918000</v>
      </c>
      <c r="BL174" s="17">
        <v>619090000</v>
      </c>
      <c r="BM174" s="17">
        <v>375791000</v>
      </c>
      <c r="BN174" s="17">
        <v>89949000</v>
      </c>
      <c r="BO174" s="17">
        <v>51287000</v>
      </c>
      <c r="BP174" s="17">
        <v>133443000</v>
      </c>
      <c r="BQ174" s="17">
        <v>8165000</v>
      </c>
      <c r="BR174" s="17">
        <v>14191000</v>
      </c>
      <c r="BS174" s="17">
        <v>-321622000</v>
      </c>
      <c r="BT174" s="17">
        <v>-29966000</v>
      </c>
      <c r="BU174" s="17">
        <v>-34975000</v>
      </c>
    </row>
    <row r="175" spans="1:73" ht="26.25" x14ac:dyDescent="0.25">
      <c r="A175" s="16">
        <v>15</v>
      </c>
      <c r="B175" s="17">
        <v>16</v>
      </c>
      <c r="C175" s="18" t="s">
        <v>228</v>
      </c>
      <c r="D175" s="17"/>
      <c r="E175" s="17"/>
      <c r="F175" s="17"/>
      <c r="G175" s="17">
        <v>10892000</v>
      </c>
      <c r="H175" s="17">
        <v>1035000</v>
      </c>
      <c r="I175" s="17"/>
      <c r="J175" s="17"/>
      <c r="K175" s="17"/>
      <c r="L175" s="17"/>
      <c r="M175" s="17"/>
      <c r="N175" s="17"/>
      <c r="O175" s="17"/>
      <c r="P175" s="17"/>
      <c r="Q175" s="17">
        <v>888701000</v>
      </c>
      <c r="R175" s="17">
        <v>9500000</v>
      </c>
      <c r="S175" s="17"/>
      <c r="T175" s="17"/>
      <c r="U175" s="17"/>
      <c r="V175" s="17"/>
      <c r="W175" s="17">
        <v>7195000</v>
      </c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>
        <v>275426000</v>
      </c>
      <c r="AL175" s="17">
        <v>335830000</v>
      </c>
      <c r="AM175" s="17"/>
      <c r="AN175" s="17"/>
      <c r="AO175" s="17"/>
      <c r="AP175" s="17">
        <v>12856000</v>
      </c>
      <c r="AQ175" s="17">
        <v>2197000</v>
      </c>
      <c r="AR175" s="17"/>
      <c r="AS175" s="17"/>
      <c r="AT175" s="17"/>
      <c r="AU175" s="17">
        <v>15128000</v>
      </c>
      <c r="AV175" s="17">
        <v>16468000</v>
      </c>
      <c r="AW175" s="17"/>
      <c r="AX175" s="17"/>
      <c r="AY175" s="17"/>
      <c r="AZ175" s="17"/>
      <c r="BA175" s="17"/>
      <c r="BB175" s="17"/>
      <c r="BC175" s="17"/>
      <c r="BD175" s="17"/>
      <c r="BE175" s="17"/>
      <c r="BF175" s="17"/>
      <c r="BG175" s="17"/>
      <c r="BH175" s="17"/>
      <c r="BI175" s="17"/>
      <c r="BJ175" s="17"/>
      <c r="BK175" s="17">
        <v>10015000</v>
      </c>
      <c r="BL175" s="17"/>
      <c r="BM175" s="17"/>
      <c r="BN175" s="17"/>
      <c r="BO175" s="17">
        <v>2479000</v>
      </c>
      <c r="BP175" s="17">
        <v>938377000</v>
      </c>
      <c r="BQ175" s="17"/>
      <c r="BR175" s="17"/>
      <c r="BS175" s="17"/>
      <c r="BT175" s="17">
        <v>-4751000</v>
      </c>
      <c r="BU175" s="17">
        <v>-942633000</v>
      </c>
    </row>
    <row r="176" spans="1:73" ht="26.25" x14ac:dyDescent="0.25">
      <c r="A176" s="16">
        <v>101</v>
      </c>
      <c r="B176" s="17">
        <v>14</v>
      </c>
      <c r="C176" s="18" t="s">
        <v>228</v>
      </c>
      <c r="D176" s="17">
        <v>12598000</v>
      </c>
      <c r="E176" s="17">
        <v>7011000</v>
      </c>
      <c r="F176" s="17">
        <v>6674000</v>
      </c>
      <c r="G176" s="17">
        <v>5123000</v>
      </c>
      <c r="H176" s="17"/>
      <c r="I176" s="17">
        <v>4594000</v>
      </c>
      <c r="J176" s="17">
        <v>4322000</v>
      </c>
      <c r="K176" s="17">
        <v>6478000</v>
      </c>
      <c r="L176" s="17">
        <v>6884000</v>
      </c>
      <c r="M176" s="17"/>
      <c r="N176" s="17">
        <v>31382000</v>
      </c>
      <c r="O176" s="17">
        <v>9147000</v>
      </c>
      <c r="P176" s="17">
        <v>22384000</v>
      </c>
      <c r="Q176" s="17">
        <v>23457000</v>
      </c>
      <c r="R176" s="17">
        <v>11929000</v>
      </c>
      <c r="S176" s="17">
        <v>481000</v>
      </c>
      <c r="T176" s="17"/>
      <c r="U176" s="17">
        <v>1583000</v>
      </c>
      <c r="V176" s="17">
        <v>53000</v>
      </c>
      <c r="W176" s="17"/>
      <c r="X176" s="17">
        <v>30299000</v>
      </c>
      <c r="Y176" s="17">
        <v>30535000</v>
      </c>
      <c r="Z176" s="17">
        <v>21479000</v>
      </c>
      <c r="AA176" s="17">
        <v>18080000</v>
      </c>
      <c r="AB176" s="17">
        <v>-650900000</v>
      </c>
      <c r="AC176" s="17"/>
      <c r="AD176" s="17"/>
      <c r="AE176" s="17"/>
      <c r="AF176" s="17">
        <v>2423000</v>
      </c>
      <c r="AG176" s="17"/>
      <c r="AH176" s="17">
        <v>19319000</v>
      </c>
      <c r="AI176" s="17">
        <v>6635000</v>
      </c>
      <c r="AJ176" s="17">
        <v>11503000</v>
      </c>
      <c r="AK176" s="17">
        <v>12863000</v>
      </c>
      <c r="AL176" s="17"/>
      <c r="AM176" s="17">
        <v>70741000</v>
      </c>
      <c r="AN176" s="17">
        <v>27859000</v>
      </c>
      <c r="AO176" s="17">
        <v>16115000</v>
      </c>
      <c r="AP176" s="17">
        <v>30494000</v>
      </c>
      <c r="AQ176" s="17"/>
      <c r="AR176" s="17">
        <v>52459000</v>
      </c>
      <c r="AS176" s="17">
        <v>16038000</v>
      </c>
      <c r="AT176" s="17">
        <v>1118000</v>
      </c>
      <c r="AU176" s="17">
        <v>12055000</v>
      </c>
      <c r="AV176" s="17"/>
      <c r="AW176" s="17"/>
      <c r="AX176" s="17"/>
      <c r="AY176" s="17">
        <v>660000</v>
      </c>
      <c r="AZ176" s="17">
        <v>1300000</v>
      </c>
      <c r="BA176" s="17"/>
      <c r="BB176" s="17">
        <v>23188000</v>
      </c>
      <c r="BC176" s="17">
        <v>3835000</v>
      </c>
      <c r="BD176" s="17">
        <v>30837000</v>
      </c>
      <c r="BE176" s="17">
        <v>15407000</v>
      </c>
      <c r="BF176" s="17"/>
      <c r="BG176" s="17">
        <v>26373000</v>
      </c>
      <c r="BH176" s="17">
        <v>1921000</v>
      </c>
      <c r="BI176" s="17">
        <v>7675000</v>
      </c>
      <c r="BJ176" s="17"/>
      <c r="BK176" s="17"/>
      <c r="BL176" s="17">
        <v>18336000</v>
      </c>
      <c r="BM176" s="17">
        <v>6288000</v>
      </c>
      <c r="BN176" s="17">
        <v>2668000</v>
      </c>
      <c r="BO176" s="17">
        <v>3466000</v>
      </c>
      <c r="BP176" s="17"/>
      <c r="BQ176" s="17">
        <v>2284000</v>
      </c>
      <c r="BR176" s="17">
        <v>236000</v>
      </c>
      <c r="BS176" s="17">
        <v>-11494000</v>
      </c>
      <c r="BT176" s="17">
        <v>-1734000</v>
      </c>
      <c r="BU176" s="17"/>
    </row>
    <row r="177" spans="1:73" x14ac:dyDescent="0.25">
      <c r="A177" s="16">
        <v>125</v>
      </c>
      <c r="B177" s="17">
        <v>13</v>
      </c>
      <c r="C177" s="18" t="s">
        <v>517</v>
      </c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>
        <v>8278000</v>
      </c>
      <c r="O177" s="17">
        <v>8248000</v>
      </c>
      <c r="P177" s="17">
        <v>8248000</v>
      </c>
      <c r="Q177" s="17">
        <v>8248000</v>
      </c>
      <c r="R177" s="17">
        <v>8248000</v>
      </c>
      <c r="S177" s="17">
        <v>570000</v>
      </c>
      <c r="T177" s="17"/>
      <c r="U177" s="17"/>
      <c r="V177" s="17"/>
      <c r="W177" s="17"/>
      <c r="X177" s="17">
        <v>-13997000</v>
      </c>
      <c r="Y177" s="17">
        <v>-14285000</v>
      </c>
      <c r="Z177" s="17">
        <v>-14285000</v>
      </c>
      <c r="AA177" s="17">
        <v>-14285000</v>
      </c>
      <c r="AB177" s="17">
        <v>-14285000</v>
      </c>
      <c r="AC177" s="17"/>
      <c r="AD177" s="17"/>
      <c r="AE177" s="17"/>
      <c r="AF177" s="17"/>
      <c r="AG177" s="17"/>
      <c r="AH177" s="17">
        <v>25628000</v>
      </c>
      <c r="AI177" s="17">
        <v>25389000</v>
      </c>
      <c r="AJ177" s="17">
        <v>25389000</v>
      </c>
      <c r="AK177" s="17">
        <v>25389000</v>
      </c>
      <c r="AL177" s="17">
        <v>25389000</v>
      </c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>
        <v>360000</v>
      </c>
      <c r="AX177" s="17">
        <v>360000</v>
      </c>
      <c r="AY177" s="17"/>
      <c r="AZ177" s="17"/>
      <c r="BA177" s="17"/>
      <c r="BB177" s="17"/>
      <c r="BC177" s="17"/>
      <c r="BD177" s="17">
        <v>360000</v>
      </c>
      <c r="BE177" s="17"/>
      <c r="BF177" s="17"/>
      <c r="BG177" s="17"/>
      <c r="BH177" s="17"/>
      <c r="BI177" s="17"/>
      <c r="BJ177" s="17"/>
      <c r="BK177" s="17"/>
      <c r="BL177" s="17">
        <v>986000</v>
      </c>
      <c r="BM177" s="17"/>
      <c r="BN177" s="17"/>
      <c r="BO177" s="17"/>
      <c r="BP177" s="17"/>
      <c r="BQ177" s="17">
        <v>-1427000</v>
      </c>
      <c r="BR177" s="17">
        <v>-288000</v>
      </c>
      <c r="BS177" s="17">
        <v>-360000</v>
      </c>
      <c r="BT177" s="17"/>
      <c r="BU177" s="17"/>
    </row>
    <row r="178" spans="1:73" ht="26.25" x14ac:dyDescent="0.25">
      <c r="A178" s="16">
        <v>227</v>
      </c>
      <c r="B178" s="17">
        <v>23</v>
      </c>
      <c r="C178" s="18" t="s">
        <v>758</v>
      </c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  <c r="BA178" s="17"/>
      <c r="BB178" s="17"/>
      <c r="BC178" s="17"/>
      <c r="BD178" s="17"/>
      <c r="BE178" s="17"/>
      <c r="BF178" s="17"/>
      <c r="BG178" s="17"/>
      <c r="BH178" s="17"/>
      <c r="BI178" s="17"/>
      <c r="BJ178" s="17"/>
      <c r="BK178" s="17"/>
      <c r="BL178" s="17"/>
      <c r="BM178" s="17"/>
      <c r="BN178" s="17"/>
      <c r="BO178" s="17"/>
      <c r="BP178" s="17"/>
      <c r="BQ178" s="17"/>
      <c r="BR178" s="17"/>
      <c r="BS178" s="17"/>
      <c r="BT178" s="17"/>
      <c r="BU178" s="17"/>
    </row>
    <row r="179" spans="1:73" x14ac:dyDescent="0.25">
      <c r="A179" s="16">
        <v>80</v>
      </c>
      <c r="B179" s="17">
        <v>15</v>
      </c>
      <c r="C179" s="18" t="s">
        <v>399</v>
      </c>
      <c r="D179" s="17">
        <v>53882000</v>
      </c>
      <c r="E179" s="17">
        <v>175642000</v>
      </c>
      <c r="F179" s="17">
        <v>195577000</v>
      </c>
      <c r="G179" s="17">
        <v>333466000</v>
      </c>
      <c r="H179" s="17">
        <v>303046000</v>
      </c>
      <c r="I179" s="17">
        <v>26524000</v>
      </c>
      <c r="J179" s="17">
        <v>43961000</v>
      </c>
      <c r="K179" s="17">
        <v>95507000</v>
      </c>
      <c r="L179" s="17">
        <v>134907000</v>
      </c>
      <c r="M179" s="17">
        <v>23307000</v>
      </c>
      <c r="N179" s="17">
        <v>20654000</v>
      </c>
      <c r="O179" s="17">
        <v>35584000</v>
      </c>
      <c r="P179" s="17">
        <v>15237000</v>
      </c>
      <c r="Q179" s="17">
        <v>69272000</v>
      </c>
      <c r="R179" s="17">
        <v>111728000</v>
      </c>
      <c r="S179" s="17">
        <v>105000</v>
      </c>
      <c r="T179" s="17">
        <v>127000</v>
      </c>
      <c r="U179" s="17">
        <v>292000</v>
      </c>
      <c r="V179" s="17">
        <v>1524000</v>
      </c>
      <c r="W179" s="17">
        <v>1000</v>
      </c>
      <c r="X179" s="17">
        <v>8353000</v>
      </c>
      <c r="Y179" s="17">
        <v>10913000</v>
      </c>
      <c r="Z179" s="17">
        <v>21913000</v>
      </c>
      <c r="AA179" s="17">
        <v>24381000</v>
      </c>
      <c r="AB179" s="17">
        <v>-145222000</v>
      </c>
      <c r="AC179" s="17">
        <v>12707000</v>
      </c>
      <c r="AD179" s="17">
        <v>140343000</v>
      </c>
      <c r="AE179" s="17">
        <v>1158000</v>
      </c>
      <c r="AF179" s="17">
        <v>7702000</v>
      </c>
      <c r="AG179" s="17">
        <v>12747000</v>
      </c>
      <c r="AH179" s="17">
        <v>74124000</v>
      </c>
      <c r="AI179" s="17">
        <v>97869000</v>
      </c>
      <c r="AJ179" s="17">
        <v>139388000</v>
      </c>
      <c r="AK179" s="17">
        <v>209782000</v>
      </c>
      <c r="AL179" s="17">
        <v>302264000</v>
      </c>
      <c r="AM179" s="17">
        <v>98235000</v>
      </c>
      <c r="AN179" s="17">
        <v>118347000</v>
      </c>
      <c r="AO179" s="17">
        <v>225414000</v>
      </c>
      <c r="AP179" s="17">
        <v>204459000</v>
      </c>
      <c r="AQ179" s="17">
        <v>30181000</v>
      </c>
      <c r="AR179" s="17">
        <v>83284000</v>
      </c>
      <c r="AS179" s="17">
        <v>91221000</v>
      </c>
      <c r="AT179" s="17">
        <v>183550000</v>
      </c>
      <c r="AU179" s="17">
        <v>173359000</v>
      </c>
      <c r="AV179" s="17">
        <v>51401000</v>
      </c>
      <c r="AW179" s="17">
        <v>4272000</v>
      </c>
      <c r="AX179" s="17"/>
      <c r="AY179" s="17"/>
      <c r="AZ179" s="17"/>
      <c r="BA179" s="17"/>
      <c r="BB179" s="17">
        <v>6671000</v>
      </c>
      <c r="BC179" s="17">
        <v>15874000</v>
      </c>
      <c r="BD179" s="17">
        <v>13592000</v>
      </c>
      <c r="BE179" s="17">
        <v>9114000</v>
      </c>
      <c r="BF179" s="17">
        <v>13806000</v>
      </c>
      <c r="BG179" s="17">
        <v>1591000</v>
      </c>
      <c r="BH179" s="17">
        <v>683000</v>
      </c>
      <c r="BI179" s="17">
        <v>1749000</v>
      </c>
      <c r="BJ179" s="17">
        <v>5537000</v>
      </c>
      <c r="BK179" s="17">
        <v>53915000</v>
      </c>
      <c r="BL179" s="17">
        <v>1090000</v>
      </c>
      <c r="BM179" s="17">
        <v>2491000</v>
      </c>
      <c r="BN179" s="17">
        <v>1737000</v>
      </c>
      <c r="BO179" s="17">
        <v>7056000</v>
      </c>
      <c r="BP179" s="17">
        <v>178810000</v>
      </c>
      <c r="BQ179" s="17">
        <v>4410000</v>
      </c>
      <c r="BR179" s="17">
        <v>2547000</v>
      </c>
      <c r="BS179" s="17">
        <v>11001000</v>
      </c>
      <c r="BT179" s="17">
        <v>2467000</v>
      </c>
      <c r="BU179" s="17">
        <v>-169604000</v>
      </c>
    </row>
    <row r="180" spans="1:73" x14ac:dyDescent="0.25">
      <c r="A180" s="16">
        <v>47</v>
      </c>
      <c r="B180" s="17">
        <v>19</v>
      </c>
      <c r="C180" s="18" t="s">
        <v>315</v>
      </c>
      <c r="D180" s="17">
        <v>49759000</v>
      </c>
      <c r="E180" s="17"/>
      <c r="F180" s="17"/>
      <c r="G180" s="17"/>
      <c r="H180" s="17"/>
      <c r="I180" s="17">
        <v>984000</v>
      </c>
      <c r="J180" s="17"/>
      <c r="K180" s="17"/>
      <c r="L180" s="17"/>
      <c r="M180" s="17"/>
      <c r="N180" s="17">
        <v>16961000</v>
      </c>
      <c r="O180" s="17"/>
      <c r="P180" s="17"/>
      <c r="Q180" s="17"/>
      <c r="R180" s="17"/>
      <c r="S180" s="17"/>
      <c r="T180" s="17"/>
      <c r="U180" s="17"/>
      <c r="V180" s="17"/>
      <c r="W180" s="17"/>
      <c r="X180" s="17">
        <v>56586000</v>
      </c>
      <c r="Y180" s="17"/>
      <c r="Z180" s="17"/>
      <c r="AA180" s="17"/>
      <c r="AB180" s="17"/>
      <c r="AC180" s="17">
        <v>2813000</v>
      </c>
      <c r="AD180" s="17"/>
      <c r="AE180" s="17"/>
      <c r="AF180" s="17"/>
      <c r="AG180" s="17"/>
      <c r="AH180" s="17">
        <v>8295000</v>
      </c>
      <c r="AI180" s="17"/>
      <c r="AJ180" s="17"/>
      <c r="AK180" s="17"/>
      <c r="AL180" s="17"/>
      <c r="AM180" s="17">
        <v>3834000</v>
      </c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  <c r="BA180" s="17"/>
      <c r="BB180" s="17">
        <v>4405000</v>
      </c>
      <c r="BC180" s="17"/>
      <c r="BD180" s="17"/>
      <c r="BE180" s="17"/>
      <c r="BF180" s="17"/>
      <c r="BG180" s="17">
        <v>690000</v>
      </c>
      <c r="BH180" s="17"/>
      <c r="BI180" s="17"/>
      <c r="BJ180" s="17"/>
      <c r="BK180" s="17"/>
      <c r="BL180" s="17"/>
      <c r="BM180" s="17"/>
      <c r="BN180" s="17"/>
      <c r="BO180" s="17"/>
      <c r="BP180" s="17"/>
      <c r="BQ180" s="17">
        <v>95000</v>
      </c>
      <c r="BR180" s="17"/>
      <c r="BS180" s="17"/>
      <c r="BT180" s="17"/>
      <c r="BU180" s="17"/>
    </row>
    <row r="181" spans="1:73" x14ac:dyDescent="0.25">
      <c r="A181" s="16">
        <v>79</v>
      </c>
      <c r="B181" s="17">
        <v>32</v>
      </c>
      <c r="C181" s="18" t="s">
        <v>396</v>
      </c>
      <c r="D181" s="17">
        <v>50332000</v>
      </c>
      <c r="E181" s="17">
        <v>21264000</v>
      </c>
      <c r="F181" s="17">
        <v>8123000</v>
      </c>
      <c r="G181" s="17"/>
      <c r="H181" s="17"/>
      <c r="I181" s="17">
        <v>56451000</v>
      </c>
      <c r="J181" s="17">
        <v>39145000</v>
      </c>
      <c r="K181" s="17">
        <v>117000</v>
      </c>
      <c r="L181" s="17"/>
      <c r="M181" s="17"/>
      <c r="N181" s="17">
        <v>177539000</v>
      </c>
      <c r="O181" s="17">
        <v>182346000</v>
      </c>
      <c r="P181" s="17">
        <v>188389000</v>
      </c>
      <c r="Q181" s="17"/>
      <c r="R181" s="17"/>
      <c r="S181" s="17"/>
      <c r="T181" s="17">
        <v>5571000</v>
      </c>
      <c r="U181" s="17">
        <v>2784000</v>
      </c>
      <c r="V181" s="17"/>
      <c r="W181" s="17"/>
      <c r="X181" s="17">
        <v>-2589000</v>
      </c>
      <c r="Y181" s="17">
        <v>-24177000</v>
      </c>
      <c r="Z181" s="17"/>
      <c r="AA181" s="17"/>
      <c r="AB181" s="17"/>
      <c r="AC181" s="17"/>
      <c r="AD181" s="17"/>
      <c r="AE181" s="17"/>
      <c r="AF181" s="17"/>
      <c r="AG181" s="17"/>
      <c r="AH181" s="17">
        <v>151357000</v>
      </c>
      <c r="AI181" s="17">
        <v>176993000</v>
      </c>
      <c r="AJ181" s="17">
        <v>180031000</v>
      </c>
      <c r="AK181" s="17"/>
      <c r="AL181" s="17"/>
      <c r="AM181" s="17">
        <v>53701000</v>
      </c>
      <c r="AN181" s="17">
        <v>4554000</v>
      </c>
      <c r="AO181" s="17"/>
      <c r="AP181" s="17"/>
      <c r="AQ181" s="17"/>
      <c r="AR181" s="17">
        <v>57483000</v>
      </c>
      <c r="AS181" s="17">
        <v>14610000</v>
      </c>
      <c r="AT181" s="17">
        <v>4351000</v>
      </c>
      <c r="AU181" s="17"/>
      <c r="AV181" s="17"/>
      <c r="AW181" s="17"/>
      <c r="AX181" s="17"/>
      <c r="AY181" s="17"/>
      <c r="AZ181" s="17"/>
      <c r="BA181" s="17"/>
      <c r="BB181" s="17">
        <v>5913000</v>
      </c>
      <c r="BC181" s="17">
        <v>16653000</v>
      </c>
      <c r="BD181" s="17"/>
      <c r="BE181" s="17"/>
      <c r="BF181" s="17"/>
      <c r="BG181" s="17">
        <v>67955000</v>
      </c>
      <c r="BH181" s="17">
        <v>24768000</v>
      </c>
      <c r="BI181" s="17">
        <v>67600000</v>
      </c>
      <c r="BJ181" s="17"/>
      <c r="BK181" s="17"/>
      <c r="BL181" s="17">
        <v>60231000</v>
      </c>
      <c r="BM181" s="17">
        <v>29095000</v>
      </c>
      <c r="BN181" s="17">
        <v>92202000</v>
      </c>
      <c r="BO181" s="17"/>
      <c r="BP181" s="17"/>
      <c r="BQ181" s="17">
        <v>-2589000</v>
      </c>
      <c r="BR181" s="17">
        <v>-21588000</v>
      </c>
      <c r="BS181" s="17">
        <v>-35419000</v>
      </c>
      <c r="BT181" s="17"/>
      <c r="BU181" s="17"/>
    </row>
    <row r="182" spans="1:73" x14ac:dyDescent="0.25">
      <c r="A182" s="16">
        <v>247</v>
      </c>
      <c r="B182" s="17">
        <v>17</v>
      </c>
      <c r="C182" s="18" t="s">
        <v>396</v>
      </c>
      <c r="D182" s="17">
        <v>20000</v>
      </c>
      <c r="E182" s="17"/>
      <c r="F182" s="17">
        <v>3624000</v>
      </c>
      <c r="G182" s="17"/>
      <c r="H182" s="17"/>
      <c r="I182" s="17">
        <v>1070000</v>
      </c>
      <c r="J182" s="17">
        <v>936000</v>
      </c>
      <c r="K182" s="17">
        <v>2524000</v>
      </c>
      <c r="L182" s="17">
        <v>5078000</v>
      </c>
      <c r="M182" s="17">
        <v>5078000</v>
      </c>
      <c r="N182" s="17">
        <v>176000</v>
      </c>
      <c r="O182" s="17">
        <v>676000</v>
      </c>
      <c r="P182" s="17">
        <v>9800000</v>
      </c>
      <c r="Q182" s="17">
        <v>16715000</v>
      </c>
      <c r="R182" s="17">
        <v>16715000</v>
      </c>
      <c r="S182" s="17">
        <v>17000</v>
      </c>
      <c r="T182" s="17">
        <v>41000</v>
      </c>
      <c r="U182" s="17">
        <v>833000</v>
      </c>
      <c r="V182" s="17">
        <v>6000</v>
      </c>
      <c r="W182" s="17"/>
      <c r="X182" s="17">
        <v>721000</v>
      </c>
      <c r="Y182" s="17"/>
      <c r="Z182" s="17">
        <v>1092000</v>
      </c>
      <c r="AA182" s="17">
        <v>-1991000</v>
      </c>
      <c r="AB182" s="17">
        <v>15209000</v>
      </c>
      <c r="AC182" s="17">
        <v>20000</v>
      </c>
      <c r="AD182" s="17"/>
      <c r="AE182" s="17">
        <v>986000</v>
      </c>
      <c r="AF182" s="17"/>
      <c r="AG182" s="17"/>
      <c r="AH182" s="17">
        <v>562000</v>
      </c>
      <c r="AI182" s="17">
        <v>740000</v>
      </c>
      <c r="AJ182" s="17">
        <v>14673000</v>
      </c>
      <c r="AK182" s="17">
        <v>19192000</v>
      </c>
      <c r="AL182" s="17">
        <v>6554000</v>
      </c>
      <c r="AM182" s="17">
        <v>20224000</v>
      </c>
      <c r="AN182" s="17">
        <v>8992000</v>
      </c>
      <c r="AO182" s="17">
        <v>14372000</v>
      </c>
      <c r="AP182" s="17">
        <v>9246000</v>
      </c>
      <c r="AQ182" s="17"/>
      <c r="AR182" s="17">
        <v>17254000</v>
      </c>
      <c r="AS182" s="17">
        <v>8753000</v>
      </c>
      <c r="AT182" s="17">
        <v>12516000</v>
      </c>
      <c r="AU182" s="17">
        <v>8408000</v>
      </c>
      <c r="AV182" s="17"/>
      <c r="AW182" s="17"/>
      <c r="AX182" s="17"/>
      <c r="AY182" s="17"/>
      <c r="AZ182" s="17"/>
      <c r="BA182" s="17"/>
      <c r="BB182" s="17">
        <v>2639000</v>
      </c>
      <c r="BC182" s="17"/>
      <c r="BD182" s="17">
        <v>1619000</v>
      </c>
      <c r="BE182" s="17">
        <v>1060000</v>
      </c>
      <c r="BF182" s="17"/>
      <c r="BG182" s="17"/>
      <c r="BH182" s="17"/>
      <c r="BI182" s="17">
        <v>3000</v>
      </c>
      <c r="BJ182" s="17">
        <v>309000</v>
      </c>
      <c r="BK182" s="17"/>
      <c r="BL182" s="17">
        <v>22000</v>
      </c>
      <c r="BM182" s="17">
        <v>35000</v>
      </c>
      <c r="BN182" s="17">
        <v>41000</v>
      </c>
      <c r="BO182" s="17">
        <v>552000</v>
      </c>
      <c r="BP182" s="17"/>
      <c r="BQ182" s="17">
        <v>247000</v>
      </c>
      <c r="BR182" s="17">
        <v>162000</v>
      </c>
      <c r="BS182" s="17">
        <v>159000</v>
      </c>
      <c r="BT182" s="17">
        <v>-485000</v>
      </c>
      <c r="BU182" s="17"/>
    </row>
    <row r="183" spans="1:73" ht="26.25" x14ac:dyDescent="0.25">
      <c r="A183" s="16">
        <v>141</v>
      </c>
      <c r="B183" s="17">
        <v>20</v>
      </c>
      <c r="C183" s="18" t="s">
        <v>555</v>
      </c>
      <c r="D183" s="17">
        <v>162460000</v>
      </c>
      <c r="E183" s="17">
        <v>69396000</v>
      </c>
      <c r="F183" s="17">
        <v>20029000</v>
      </c>
      <c r="G183" s="17"/>
      <c r="H183" s="17"/>
      <c r="I183" s="17">
        <v>8850000</v>
      </c>
      <c r="J183" s="17">
        <v>13568000</v>
      </c>
      <c r="K183" s="17">
        <v>8330000</v>
      </c>
      <c r="L183" s="17"/>
      <c r="M183" s="17"/>
      <c r="N183" s="17">
        <v>98715000</v>
      </c>
      <c r="O183" s="17">
        <v>18075000</v>
      </c>
      <c r="P183" s="17">
        <v>25024000</v>
      </c>
      <c r="Q183" s="17">
        <v>20018000</v>
      </c>
      <c r="R183" s="17">
        <v>15350000</v>
      </c>
      <c r="S183" s="17">
        <v>7248000</v>
      </c>
      <c r="T183" s="17">
        <v>70704000</v>
      </c>
      <c r="U183" s="17">
        <v>8085000</v>
      </c>
      <c r="V183" s="17"/>
      <c r="W183" s="17"/>
      <c r="X183" s="17">
        <v>-169276000</v>
      </c>
      <c r="Y183" s="17">
        <v>-211216000</v>
      </c>
      <c r="Z183" s="17">
        <v>-188407000</v>
      </c>
      <c r="AA183" s="17">
        <v>-189302000</v>
      </c>
      <c r="AB183" s="17">
        <v>-190990000</v>
      </c>
      <c r="AC183" s="17">
        <v>1007000</v>
      </c>
      <c r="AD183" s="17"/>
      <c r="AE183" s="17"/>
      <c r="AF183" s="17"/>
      <c r="AG183" s="17"/>
      <c r="AH183" s="17">
        <v>449048000</v>
      </c>
      <c r="AI183" s="17">
        <v>383069000</v>
      </c>
      <c r="AJ183" s="17">
        <v>249874000</v>
      </c>
      <c r="AK183" s="17">
        <v>209310000</v>
      </c>
      <c r="AL183" s="17">
        <v>206330000</v>
      </c>
      <c r="AM183" s="17">
        <v>96367000</v>
      </c>
      <c r="AN183" s="17">
        <v>73590000</v>
      </c>
      <c r="AO183" s="17">
        <v>49400000</v>
      </c>
      <c r="AP183" s="17">
        <v>17170000</v>
      </c>
      <c r="AQ183" s="17"/>
      <c r="AR183" s="17">
        <v>168350000</v>
      </c>
      <c r="AS183" s="17">
        <v>97193000</v>
      </c>
      <c r="AT183" s="17">
        <v>68463000</v>
      </c>
      <c r="AU183" s="17">
        <v>3092000</v>
      </c>
      <c r="AV183" s="17"/>
      <c r="AW183" s="17"/>
      <c r="AX183" s="17"/>
      <c r="AY183" s="17"/>
      <c r="AZ183" s="17"/>
      <c r="BA183" s="17"/>
      <c r="BB183" s="17">
        <v>18042000</v>
      </c>
      <c r="BC183" s="17">
        <v>14859000</v>
      </c>
      <c r="BD183" s="17">
        <v>11161000</v>
      </c>
      <c r="BE183" s="17">
        <v>6683000</v>
      </c>
      <c r="BF183" s="17">
        <v>801000</v>
      </c>
      <c r="BG183" s="17">
        <v>63244000</v>
      </c>
      <c r="BH183" s="17">
        <v>22566000</v>
      </c>
      <c r="BI183" s="17">
        <v>92144000</v>
      </c>
      <c r="BJ183" s="17">
        <v>1206000</v>
      </c>
      <c r="BK183" s="17">
        <v>15798000</v>
      </c>
      <c r="BL183" s="17">
        <v>49946000</v>
      </c>
      <c r="BM183" s="17">
        <v>26035000</v>
      </c>
      <c r="BN183" s="17">
        <v>39056000</v>
      </c>
      <c r="BO183" s="17">
        <v>9496000</v>
      </c>
      <c r="BP183" s="17">
        <v>16685000</v>
      </c>
      <c r="BQ183" s="17">
        <v>-76613000</v>
      </c>
      <c r="BR183" s="17">
        <v>-41940000</v>
      </c>
      <c r="BS183" s="17">
        <v>22809000</v>
      </c>
      <c r="BT183" s="17">
        <v>-895000</v>
      </c>
      <c r="BU183" s="17">
        <v>-1688000</v>
      </c>
    </row>
    <row r="184" spans="1:73" ht="26.25" x14ac:dyDescent="0.25">
      <c r="A184" s="16">
        <v>228</v>
      </c>
      <c r="B184" s="17">
        <v>11</v>
      </c>
      <c r="C184" s="18" t="s">
        <v>555</v>
      </c>
      <c r="D184" s="17">
        <v>2569000</v>
      </c>
      <c r="E184" s="17">
        <v>20092000</v>
      </c>
      <c r="F184" s="17">
        <v>81416000</v>
      </c>
      <c r="G184" s="17">
        <v>122222000</v>
      </c>
      <c r="H184" s="17">
        <v>117775000</v>
      </c>
      <c r="I184" s="17">
        <v>2205000</v>
      </c>
      <c r="J184" s="17">
        <v>2446000</v>
      </c>
      <c r="K184" s="17">
        <v>1865000</v>
      </c>
      <c r="L184" s="17">
        <v>1865000</v>
      </c>
      <c r="M184" s="17">
        <v>484000</v>
      </c>
      <c r="N184" s="17">
        <v>4850000</v>
      </c>
      <c r="O184" s="17">
        <v>20953000</v>
      </c>
      <c r="P184" s="17">
        <v>9544000</v>
      </c>
      <c r="Q184" s="17">
        <v>3894000</v>
      </c>
      <c r="R184" s="17">
        <v>27349000</v>
      </c>
      <c r="S184" s="17"/>
      <c r="T184" s="17"/>
      <c r="U184" s="17">
        <v>38000</v>
      </c>
      <c r="V184" s="17">
        <v>99000</v>
      </c>
      <c r="W184" s="17">
        <v>6170000</v>
      </c>
      <c r="X184" s="17">
        <v>-14972000</v>
      </c>
      <c r="Y184" s="17">
        <v>-1153000</v>
      </c>
      <c r="Z184" s="17">
        <v>-823000</v>
      </c>
      <c r="AA184" s="17">
        <v>-13535000</v>
      </c>
      <c r="AB184" s="17">
        <v>-13535000</v>
      </c>
      <c r="AC184" s="17"/>
      <c r="AD184" s="17"/>
      <c r="AE184" s="17"/>
      <c r="AF184" s="17"/>
      <c r="AG184" s="17"/>
      <c r="AH184" s="17">
        <v>61243000</v>
      </c>
      <c r="AI184" s="17">
        <v>81291000</v>
      </c>
      <c r="AJ184" s="17">
        <v>127549000</v>
      </c>
      <c r="AK184" s="17">
        <v>176288000</v>
      </c>
      <c r="AL184" s="17">
        <v>145210000</v>
      </c>
      <c r="AM184" s="17">
        <v>16143000</v>
      </c>
      <c r="AN184" s="17">
        <v>94852000</v>
      </c>
      <c r="AO184" s="17">
        <v>81051000</v>
      </c>
      <c r="AP184" s="17">
        <v>34724000</v>
      </c>
      <c r="AQ184" s="17">
        <v>80325000</v>
      </c>
      <c r="AR184" s="17">
        <v>25859000</v>
      </c>
      <c r="AS184" s="17">
        <v>97347000</v>
      </c>
      <c r="AT184" s="17">
        <v>81849000</v>
      </c>
      <c r="AU184" s="17">
        <v>48259000</v>
      </c>
      <c r="AV184" s="17">
        <v>81673000</v>
      </c>
      <c r="AW184" s="17"/>
      <c r="AX184" s="17"/>
      <c r="AY184" s="17"/>
      <c r="AZ184" s="17"/>
      <c r="BA184" s="17"/>
      <c r="BB184" s="17">
        <v>5125000</v>
      </c>
      <c r="BC184" s="17"/>
      <c r="BD184" s="17"/>
      <c r="BE184" s="17"/>
      <c r="BF184" s="17"/>
      <c r="BG184" s="17">
        <v>9000</v>
      </c>
      <c r="BH184" s="17">
        <v>1902000</v>
      </c>
      <c r="BI184" s="17"/>
      <c r="BJ184" s="17"/>
      <c r="BK184" s="17">
        <v>42230000</v>
      </c>
      <c r="BL184" s="17">
        <v>140000</v>
      </c>
      <c r="BM184" s="17">
        <v>560000</v>
      </c>
      <c r="BN184" s="17"/>
      <c r="BO184" s="17"/>
      <c r="BP184" s="17">
        <v>40882000</v>
      </c>
      <c r="BQ184" s="17">
        <v>-14972000</v>
      </c>
      <c r="BR184" s="17">
        <v>-1153000</v>
      </c>
      <c r="BS184" s="17">
        <v>-798000</v>
      </c>
      <c r="BT184" s="17">
        <v>-13535000</v>
      </c>
      <c r="BU184" s="17"/>
    </row>
    <row r="185" spans="1:73" ht="26.25" x14ac:dyDescent="0.25">
      <c r="A185" s="16">
        <v>246</v>
      </c>
      <c r="B185" s="17">
        <v>11</v>
      </c>
      <c r="C185" s="18" t="s">
        <v>555</v>
      </c>
      <c r="D185" s="17">
        <v>27794000</v>
      </c>
      <c r="E185" s="17">
        <v>27794000</v>
      </c>
      <c r="F185" s="17">
        <v>28844000</v>
      </c>
      <c r="G185" s="17"/>
      <c r="H185" s="17"/>
      <c r="I185" s="17"/>
      <c r="J185" s="17"/>
      <c r="K185" s="17"/>
      <c r="L185" s="17"/>
      <c r="M185" s="17"/>
      <c r="N185" s="17">
        <v>33210000</v>
      </c>
      <c r="O185" s="17">
        <v>33210000</v>
      </c>
      <c r="P185" s="17">
        <v>35636000</v>
      </c>
      <c r="Q185" s="17"/>
      <c r="R185" s="17"/>
      <c r="S185" s="17">
        <v>333000</v>
      </c>
      <c r="T185" s="17">
        <v>2000</v>
      </c>
      <c r="U185" s="17">
        <v>1000</v>
      </c>
      <c r="V185" s="17"/>
      <c r="W185" s="17"/>
      <c r="X185" s="17">
        <v>-8177000</v>
      </c>
      <c r="Y185" s="17">
        <v>-2152000</v>
      </c>
      <c r="Z185" s="17">
        <v>-478000</v>
      </c>
      <c r="AA185" s="17"/>
      <c r="AB185" s="17"/>
      <c r="AC185" s="17"/>
      <c r="AD185" s="17"/>
      <c r="AE185" s="17"/>
      <c r="AF185" s="17"/>
      <c r="AG185" s="17"/>
      <c r="AH185" s="17">
        <v>22861000</v>
      </c>
      <c r="AI185" s="17">
        <v>16505000</v>
      </c>
      <c r="AJ185" s="17">
        <v>18306000</v>
      </c>
      <c r="AK185" s="17"/>
      <c r="AL185" s="17"/>
      <c r="AM185" s="17">
        <v>12403000</v>
      </c>
      <c r="AN185" s="17">
        <v>18263000</v>
      </c>
      <c r="AO185" s="17">
        <v>16711000</v>
      </c>
      <c r="AP185" s="17"/>
      <c r="AQ185" s="17"/>
      <c r="AR185" s="17">
        <v>18450000</v>
      </c>
      <c r="AS185" s="17">
        <v>18393000</v>
      </c>
      <c r="AT185" s="17">
        <v>17189000</v>
      </c>
      <c r="AU185" s="17"/>
      <c r="AV185" s="17"/>
      <c r="AW185" s="17"/>
      <c r="AX185" s="17"/>
      <c r="AY185" s="17"/>
      <c r="AZ185" s="17"/>
      <c r="BA185" s="17"/>
      <c r="BB185" s="17">
        <v>2130000</v>
      </c>
      <c r="BC185" s="17">
        <v>1950000</v>
      </c>
      <c r="BD185" s="17"/>
      <c r="BE185" s="17"/>
      <c r="BF185" s="17"/>
      <c r="BG185" s="17"/>
      <c r="BH185" s="17">
        <v>178000</v>
      </c>
      <c r="BI185" s="17"/>
      <c r="BJ185" s="17"/>
      <c r="BK185" s="17"/>
      <c r="BL185" s="17"/>
      <c r="BM185" s="17">
        <v>250000</v>
      </c>
      <c r="BN185" s="17"/>
      <c r="BO185" s="17"/>
      <c r="BP185" s="17"/>
      <c r="BQ185" s="17">
        <v>-8177000</v>
      </c>
      <c r="BR185" s="17">
        <v>-2152000</v>
      </c>
      <c r="BS185" s="17">
        <v>-478000</v>
      </c>
      <c r="BT185" s="17"/>
      <c r="BU185" s="17"/>
    </row>
    <row r="186" spans="1:73" ht="26.25" x14ac:dyDescent="0.25">
      <c r="A186" s="16">
        <v>251</v>
      </c>
      <c r="B186" s="17">
        <v>11</v>
      </c>
      <c r="C186" s="18" t="s">
        <v>555</v>
      </c>
      <c r="D186" s="17">
        <v>4157000</v>
      </c>
      <c r="E186" s="17">
        <v>4103000</v>
      </c>
      <c r="F186" s="17">
        <v>24554000</v>
      </c>
      <c r="G186" s="17">
        <v>6212000</v>
      </c>
      <c r="H186" s="17"/>
      <c r="I186" s="17">
        <v>10694000</v>
      </c>
      <c r="J186" s="17">
        <v>15496000</v>
      </c>
      <c r="K186" s="17">
        <v>19720000</v>
      </c>
      <c r="L186" s="17">
        <v>20620000</v>
      </c>
      <c r="M186" s="17"/>
      <c r="N186" s="17">
        <v>5240000</v>
      </c>
      <c r="O186" s="17">
        <v>6599000</v>
      </c>
      <c r="P186" s="17">
        <v>6483000</v>
      </c>
      <c r="Q186" s="17">
        <v>7286000</v>
      </c>
      <c r="R186" s="17"/>
      <c r="S186" s="17">
        <v>4000</v>
      </c>
      <c r="T186" s="17">
        <v>182000</v>
      </c>
      <c r="U186" s="17">
        <v>468000</v>
      </c>
      <c r="V186" s="17">
        <v>60000</v>
      </c>
      <c r="W186" s="17"/>
      <c r="X186" s="17">
        <v>-3411000</v>
      </c>
      <c r="Y186" s="17">
        <v>-3045000</v>
      </c>
      <c r="Z186" s="17">
        <v>-2891000</v>
      </c>
      <c r="AA186" s="17">
        <v>-12812000</v>
      </c>
      <c r="AB186" s="17"/>
      <c r="AC186" s="17"/>
      <c r="AD186" s="17"/>
      <c r="AE186" s="17"/>
      <c r="AF186" s="17">
        <v>13000</v>
      </c>
      <c r="AG186" s="17"/>
      <c r="AH186" s="17">
        <v>20115000</v>
      </c>
      <c r="AI186" s="17">
        <v>30472000</v>
      </c>
      <c r="AJ186" s="17">
        <v>38656000</v>
      </c>
      <c r="AK186" s="17">
        <v>50598000</v>
      </c>
      <c r="AL186" s="17"/>
      <c r="AM186" s="17">
        <v>12651000</v>
      </c>
      <c r="AN186" s="17">
        <v>20804000</v>
      </c>
      <c r="AO186" s="17">
        <v>21528000</v>
      </c>
      <c r="AP186" s="17">
        <v>14834000</v>
      </c>
      <c r="AQ186" s="17"/>
      <c r="AR186" s="17">
        <v>9321000</v>
      </c>
      <c r="AS186" s="17">
        <v>16259000</v>
      </c>
      <c r="AT186" s="17">
        <v>18180000</v>
      </c>
      <c r="AU186" s="17">
        <v>20678000</v>
      </c>
      <c r="AV186" s="17"/>
      <c r="AW186" s="17"/>
      <c r="AX186" s="17"/>
      <c r="AY186" s="17"/>
      <c r="AZ186" s="17"/>
      <c r="BA186" s="17"/>
      <c r="BB186" s="17">
        <v>3609000</v>
      </c>
      <c r="BC186" s="17">
        <v>2870000</v>
      </c>
      <c r="BD186" s="17">
        <v>2924000</v>
      </c>
      <c r="BE186" s="17">
        <v>3196000</v>
      </c>
      <c r="BF186" s="17"/>
      <c r="BG186" s="17">
        <v>415000</v>
      </c>
      <c r="BH186" s="17">
        <v>323000</v>
      </c>
      <c r="BI186" s="17">
        <v>1542000</v>
      </c>
      <c r="BJ186" s="17">
        <v>934000</v>
      </c>
      <c r="BK186" s="17"/>
      <c r="BL186" s="17">
        <v>1369000</v>
      </c>
      <c r="BM186" s="17">
        <v>1494000</v>
      </c>
      <c r="BN186" s="17">
        <v>1874000</v>
      </c>
      <c r="BO186" s="17">
        <v>1876000</v>
      </c>
      <c r="BP186" s="17"/>
      <c r="BQ186" s="17">
        <v>-1281000</v>
      </c>
      <c r="BR186" s="17">
        <v>366000</v>
      </c>
      <c r="BS186" s="17">
        <v>154000</v>
      </c>
      <c r="BT186" s="17">
        <v>-9921000</v>
      </c>
      <c r="BU186" s="17"/>
    </row>
    <row r="187" spans="1:73" x14ac:dyDescent="0.25">
      <c r="A187" s="16">
        <v>194</v>
      </c>
      <c r="B187" s="17">
        <v>11</v>
      </c>
      <c r="C187" s="18" t="s">
        <v>683</v>
      </c>
      <c r="D187" s="17">
        <v>14281000</v>
      </c>
      <c r="E187" s="17">
        <v>12657000</v>
      </c>
      <c r="F187" s="17">
        <v>10022000</v>
      </c>
      <c r="G187" s="17">
        <v>8160000</v>
      </c>
      <c r="H187" s="17"/>
      <c r="I187" s="17">
        <v>1267000</v>
      </c>
      <c r="J187" s="17">
        <v>1254000</v>
      </c>
      <c r="K187" s="17">
        <v>1126000</v>
      </c>
      <c r="L187" s="17">
        <v>1126000</v>
      </c>
      <c r="M187" s="17"/>
      <c r="N187" s="17">
        <v>285240000</v>
      </c>
      <c r="O187" s="17">
        <v>225493000</v>
      </c>
      <c r="P187" s="17">
        <v>212307000</v>
      </c>
      <c r="Q187" s="17">
        <v>192186000</v>
      </c>
      <c r="R187" s="17">
        <v>3873000</v>
      </c>
      <c r="S187" s="17">
        <v>11684000</v>
      </c>
      <c r="T187" s="17">
        <v>1530000</v>
      </c>
      <c r="U187" s="17">
        <v>3158000</v>
      </c>
      <c r="V187" s="17">
        <v>13487000</v>
      </c>
      <c r="W187" s="17">
        <v>26435000</v>
      </c>
      <c r="X187" s="17">
        <v>-167649000</v>
      </c>
      <c r="Y187" s="17">
        <v>-129551000</v>
      </c>
      <c r="Z187" s="17">
        <v>-135471000</v>
      </c>
      <c r="AA187" s="17">
        <v>-135471000</v>
      </c>
      <c r="AB187" s="17">
        <v>-350096000</v>
      </c>
      <c r="AC187" s="17"/>
      <c r="AD187" s="17"/>
      <c r="AE187" s="17"/>
      <c r="AF187" s="17"/>
      <c r="AG187" s="17"/>
      <c r="AH187" s="17">
        <v>535028000</v>
      </c>
      <c r="AI187" s="17">
        <v>421091000</v>
      </c>
      <c r="AJ187" s="17">
        <v>412130000</v>
      </c>
      <c r="AK187" s="17">
        <v>400476000</v>
      </c>
      <c r="AL187" s="17">
        <v>400476000</v>
      </c>
      <c r="AM187" s="17">
        <v>447179000</v>
      </c>
      <c r="AN187" s="17">
        <v>144530000</v>
      </c>
      <c r="AO187" s="17">
        <v>12742000</v>
      </c>
      <c r="AP187" s="17"/>
      <c r="AQ187" s="17">
        <v>7394000</v>
      </c>
      <c r="AR187" s="17">
        <v>395903000</v>
      </c>
      <c r="AS187" s="17">
        <v>90382000</v>
      </c>
      <c r="AT187" s="17">
        <v>17158000</v>
      </c>
      <c r="AU187" s="17"/>
      <c r="AV187" s="17">
        <v>214219000</v>
      </c>
      <c r="AW187" s="17"/>
      <c r="AX187" s="17"/>
      <c r="AY187" s="17"/>
      <c r="AZ187" s="17"/>
      <c r="BA187" s="17"/>
      <c r="BB187" s="17">
        <v>44333000</v>
      </c>
      <c r="BC187" s="17">
        <v>29002000</v>
      </c>
      <c r="BD187" s="17">
        <v>1661000</v>
      </c>
      <c r="BE187" s="17"/>
      <c r="BF187" s="17"/>
      <c r="BG187" s="17">
        <v>27910000</v>
      </c>
      <c r="BH187" s="17">
        <v>39902000</v>
      </c>
      <c r="BI187" s="17">
        <v>423000</v>
      </c>
      <c r="BJ187" s="17"/>
      <c r="BK187" s="17">
        <v>8000</v>
      </c>
      <c r="BL187" s="17">
        <v>34972000</v>
      </c>
      <c r="BM187" s="17">
        <v>15346000</v>
      </c>
      <c r="BN187" s="17">
        <v>266000</v>
      </c>
      <c r="BO187" s="17"/>
      <c r="BP187" s="17">
        <v>7808000</v>
      </c>
      <c r="BQ187" s="17">
        <v>-904000</v>
      </c>
      <c r="BR187" s="17">
        <v>38098000</v>
      </c>
      <c r="BS187" s="17">
        <v>-5920000</v>
      </c>
      <c r="BT187" s="17"/>
      <c r="BU187" s="17">
        <v>-214625000</v>
      </c>
    </row>
    <row r="188" spans="1:73" x14ac:dyDescent="0.25">
      <c r="A188" s="16">
        <v>221</v>
      </c>
      <c r="B188" s="17">
        <v>23</v>
      </c>
      <c r="C188" s="18" t="s">
        <v>683</v>
      </c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>
        <v>160753000</v>
      </c>
      <c r="O188" s="17">
        <v>84729000</v>
      </c>
      <c r="P188" s="17">
        <v>54723000</v>
      </c>
      <c r="Q188" s="17">
        <v>45031000</v>
      </c>
      <c r="R188" s="17">
        <v>45031000</v>
      </c>
      <c r="S188" s="17">
        <v>7031000</v>
      </c>
      <c r="T188" s="17">
        <v>12200000</v>
      </c>
      <c r="U188" s="17"/>
      <c r="V188" s="17"/>
      <c r="W188" s="17"/>
      <c r="X188" s="17">
        <v>-24240000</v>
      </c>
      <c r="Y188" s="17">
        <v>-147003000</v>
      </c>
      <c r="Z188" s="17">
        <v>-185329000</v>
      </c>
      <c r="AA188" s="17">
        <v>-195217000</v>
      </c>
      <c r="AB188" s="17">
        <v>-195329000</v>
      </c>
      <c r="AC188" s="17">
        <v>41056000</v>
      </c>
      <c r="AD188" s="17">
        <v>41056000</v>
      </c>
      <c r="AE188" s="17">
        <v>41056000</v>
      </c>
      <c r="AF188" s="17">
        <v>41056000</v>
      </c>
      <c r="AG188" s="17">
        <v>41056000</v>
      </c>
      <c r="AH188" s="17">
        <v>99971000</v>
      </c>
      <c r="AI188" s="17">
        <v>103277000</v>
      </c>
      <c r="AJ188" s="17">
        <v>99397000</v>
      </c>
      <c r="AK188" s="17">
        <v>99593000</v>
      </c>
      <c r="AL188" s="17">
        <v>99705000</v>
      </c>
      <c r="AM188" s="17">
        <v>6766000</v>
      </c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  <c r="BA188" s="17"/>
      <c r="BB188" s="17">
        <v>5217000</v>
      </c>
      <c r="BC188" s="17">
        <v>1843000</v>
      </c>
      <c r="BD188" s="17">
        <v>1567000</v>
      </c>
      <c r="BE188" s="17">
        <v>1565000</v>
      </c>
      <c r="BF188" s="17">
        <v>1568000</v>
      </c>
      <c r="BG188" s="17">
        <v>86153000</v>
      </c>
      <c r="BH188" s="17">
        <v>4330000</v>
      </c>
      <c r="BI188" s="17">
        <v>2496000</v>
      </c>
      <c r="BJ188" s="17">
        <v>1084000</v>
      </c>
      <c r="BK188" s="17"/>
      <c r="BL188" s="17">
        <v>67883000</v>
      </c>
      <c r="BM188" s="17">
        <v>106795000</v>
      </c>
      <c r="BN188" s="17">
        <v>1257000</v>
      </c>
      <c r="BO188" s="17">
        <v>1243000</v>
      </c>
      <c r="BP188" s="17">
        <v>1210000</v>
      </c>
      <c r="BQ188" s="17">
        <v>19819000</v>
      </c>
      <c r="BR188" s="17">
        <v>-114830000</v>
      </c>
      <c r="BS188" s="17">
        <v>-328000</v>
      </c>
      <c r="BT188" s="17">
        <v>-1724000</v>
      </c>
      <c r="BU188" s="17">
        <v>-2778000</v>
      </c>
    </row>
    <row r="189" spans="1:73" x14ac:dyDescent="0.25">
      <c r="A189" s="16">
        <v>98</v>
      </c>
      <c r="B189" s="17">
        <v>14</v>
      </c>
      <c r="C189" s="18" t="s">
        <v>446</v>
      </c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  <c r="BA189" s="17"/>
      <c r="BB189" s="17"/>
      <c r="BC189" s="17"/>
      <c r="BD189" s="17"/>
      <c r="BE189" s="17"/>
      <c r="BF189" s="17"/>
      <c r="BG189" s="17"/>
      <c r="BH189" s="17"/>
      <c r="BI189" s="17"/>
      <c r="BJ189" s="17"/>
      <c r="BK189" s="17"/>
      <c r="BL189" s="17"/>
      <c r="BM189" s="17"/>
      <c r="BN189" s="17"/>
      <c r="BO189" s="17"/>
      <c r="BP189" s="17"/>
      <c r="BQ189" s="17"/>
      <c r="BR189" s="17"/>
      <c r="BS189" s="17"/>
      <c r="BT189" s="17"/>
      <c r="BU189" s="17"/>
    </row>
    <row r="190" spans="1:73" x14ac:dyDescent="0.25">
      <c r="A190" s="16">
        <v>45</v>
      </c>
      <c r="B190" s="17">
        <v>20</v>
      </c>
      <c r="C190" s="18" t="s">
        <v>309</v>
      </c>
      <c r="D190" s="17"/>
      <c r="E190" s="17">
        <v>1000</v>
      </c>
      <c r="F190" s="17">
        <v>1000</v>
      </c>
      <c r="G190" s="17">
        <v>1000</v>
      </c>
      <c r="H190" s="17">
        <v>1000</v>
      </c>
      <c r="I190" s="17"/>
      <c r="J190" s="17"/>
      <c r="K190" s="17"/>
      <c r="L190" s="17"/>
      <c r="M190" s="17"/>
      <c r="N190" s="17">
        <v>4850000</v>
      </c>
      <c r="O190" s="17">
        <v>3715000</v>
      </c>
      <c r="P190" s="17">
        <v>3635000</v>
      </c>
      <c r="Q190" s="17">
        <v>3675000</v>
      </c>
      <c r="R190" s="17">
        <v>3215000</v>
      </c>
      <c r="S190" s="17">
        <v>288000</v>
      </c>
      <c r="T190" s="17">
        <v>445000</v>
      </c>
      <c r="U190" s="17">
        <v>907000</v>
      </c>
      <c r="V190" s="17">
        <v>225000</v>
      </c>
      <c r="W190" s="17">
        <v>1000</v>
      </c>
      <c r="X190" s="17"/>
      <c r="Y190" s="17"/>
      <c r="Z190" s="17"/>
      <c r="AA190" s="17"/>
      <c r="AB190" s="17"/>
      <c r="AC190" s="17"/>
      <c r="AD190" s="17"/>
      <c r="AE190" s="17"/>
      <c r="AF190" s="17"/>
      <c r="AG190" s="17">
        <v>38000</v>
      </c>
      <c r="AH190" s="17">
        <v>4424000</v>
      </c>
      <c r="AI190" s="17">
        <v>4231000</v>
      </c>
      <c r="AJ190" s="17">
        <v>4610000</v>
      </c>
      <c r="AK190" s="17">
        <v>4217000</v>
      </c>
      <c r="AL190" s="17">
        <v>4207000</v>
      </c>
      <c r="AM190" s="17">
        <v>1013000</v>
      </c>
      <c r="AN190" s="17">
        <v>43000</v>
      </c>
      <c r="AO190" s="17">
        <v>5836000</v>
      </c>
      <c r="AP190" s="17"/>
      <c r="AQ190" s="17"/>
      <c r="AR190" s="17">
        <v>862000</v>
      </c>
      <c r="AS190" s="17">
        <v>811000</v>
      </c>
      <c r="AT190" s="17">
        <v>5546000</v>
      </c>
      <c r="AU190" s="17">
        <v>223000</v>
      </c>
      <c r="AV190" s="17">
        <v>138000</v>
      </c>
      <c r="AW190" s="17"/>
      <c r="AX190" s="17"/>
      <c r="AY190" s="17"/>
      <c r="AZ190" s="17"/>
      <c r="BA190" s="17"/>
      <c r="BB190" s="17"/>
      <c r="BC190" s="17"/>
      <c r="BD190" s="17"/>
      <c r="BE190" s="17"/>
      <c r="BF190" s="17"/>
      <c r="BG190" s="17">
        <v>2000</v>
      </c>
      <c r="BH190" s="17">
        <v>5000</v>
      </c>
      <c r="BI190" s="17">
        <v>7000</v>
      </c>
      <c r="BJ190" s="17">
        <v>25000</v>
      </c>
      <c r="BK190" s="17"/>
      <c r="BL190" s="17">
        <v>255000</v>
      </c>
      <c r="BM190" s="17">
        <v>19000</v>
      </c>
      <c r="BN190" s="17">
        <v>296000</v>
      </c>
      <c r="BO190" s="17">
        <v>51000</v>
      </c>
      <c r="BP190" s="17">
        <v>12000</v>
      </c>
      <c r="BQ190" s="17">
        <v>-121000</v>
      </c>
      <c r="BR190" s="17">
        <v>-783000</v>
      </c>
      <c r="BS190" s="17">
        <v>1000</v>
      </c>
      <c r="BT190" s="17">
        <v>-249000</v>
      </c>
      <c r="BU190" s="17">
        <v>-150000</v>
      </c>
    </row>
    <row r="191" spans="1:73" x14ac:dyDescent="0.25">
      <c r="A191" s="16">
        <v>24</v>
      </c>
      <c r="B191" s="17">
        <v>14</v>
      </c>
      <c r="C191" s="18" t="s">
        <v>252</v>
      </c>
      <c r="D191" s="17">
        <v>769000</v>
      </c>
      <c r="E191" s="17">
        <v>769000</v>
      </c>
      <c r="F191" s="17">
        <v>769000</v>
      </c>
      <c r="G191" s="17"/>
      <c r="H191" s="17"/>
      <c r="I191" s="17"/>
      <c r="J191" s="17"/>
      <c r="K191" s="17"/>
      <c r="L191" s="17"/>
      <c r="M191" s="17"/>
      <c r="N191" s="17">
        <v>21377000</v>
      </c>
      <c r="O191" s="17">
        <v>21377000</v>
      </c>
      <c r="P191" s="17">
        <v>1489000</v>
      </c>
      <c r="Q191" s="17">
        <v>1489000</v>
      </c>
      <c r="R191" s="17">
        <v>1489000</v>
      </c>
      <c r="S191" s="17"/>
      <c r="T191" s="17"/>
      <c r="U191" s="17"/>
      <c r="V191" s="17"/>
      <c r="W191" s="17"/>
      <c r="X191" s="17">
        <v>-30424000</v>
      </c>
      <c r="Y191" s="17">
        <v>-30424000</v>
      </c>
      <c r="Z191" s="17">
        <v>-42835000</v>
      </c>
      <c r="AA191" s="17">
        <v>-42835000</v>
      </c>
      <c r="AB191" s="17">
        <v>-42835000</v>
      </c>
      <c r="AC191" s="17">
        <v>346000</v>
      </c>
      <c r="AD191" s="17">
        <v>346000</v>
      </c>
      <c r="AE191" s="17"/>
      <c r="AF191" s="17"/>
      <c r="AG191" s="17"/>
      <c r="AH191" s="17">
        <v>52029000</v>
      </c>
      <c r="AI191" s="17">
        <v>52029000</v>
      </c>
      <c r="AJ191" s="17">
        <v>44898000</v>
      </c>
      <c r="AK191" s="17">
        <v>44314000</v>
      </c>
      <c r="AL191" s="17">
        <v>44314000</v>
      </c>
      <c r="AM191" s="17">
        <v>86481000</v>
      </c>
      <c r="AN191" s="17"/>
      <c r="AO191" s="17"/>
      <c r="AP191" s="17"/>
      <c r="AQ191" s="17"/>
      <c r="AR191" s="17">
        <v>93453000</v>
      </c>
      <c r="AS191" s="17"/>
      <c r="AT191" s="17"/>
      <c r="AU191" s="17"/>
      <c r="AV191" s="17"/>
      <c r="AW191" s="17"/>
      <c r="AX191" s="17"/>
      <c r="AY191" s="17"/>
      <c r="AZ191" s="17"/>
      <c r="BA191" s="17"/>
      <c r="BB191" s="17">
        <v>12684000</v>
      </c>
      <c r="BC191" s="17"/>
      <c r="BD191" s="17"/>
      <c r="BE191" s="17"/>
      <c r="BF191" s="17"/>
      <c r="BG191" s="17">
        <v>7971000</v>
      </c>
      <c r="BH191" s="17"/>
      <c r="BI191" s="17"/>
      <c r="BJ191" s="17"/>
      <c r="BK191" s="17"/>
      <c r="BL191" s="17">
        <v>47483000</v>
      </c>
      <c r="BM191" s="17"/>
      <c r="BN191" s="17"/>
      <c r="BO191" s="17"/>
      <c r="BP191" s="17"/>
      <c r="BQ191" s="17">
        <v>-59240000</v>
      </c>
      <c r="BR191" s="17"/>
      <c r="BS191" s="17"/>
      <c r="BT191" s="17"/>
      <c r="BU191" s="17"/>
    </row>
    <row r="192" spans="1:73" x14ac:dyDescent="0.25">
      <c r="A192" s="16">
        <v>103</v>
      </c>
      <c r="B192" s="17">
        <v>28</v>
      </c>
      <c r="C192" s="18" t="s">
        <v>252</v>
      </c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>
        <v>22181000</v>
      </c>
      <c r="O192" s="17">
        <v>19802000</v>
      </c>
      <c r="P192" s="17"/>
      <c r="Q192" s="17"/>
      <c r="R192" s="17"/>
      <c r="S192" s="17"/>
      <c r="T192" s="17">
        <v>6000</v>
      </c>
      <c r="U192" s="17"/>
      <c r="V192" s="17"/>
      <c r="W192" s="17"/>
      <c r="X192" s="17">
        <v>-19424000</v>
      </c>
      <c r="Y192" s="17">
        <v>-20965000</v>
      </c>
      <c r="Z192" s="17"/>
      <c r="AA192" s="17"/>
      <c r="AB192" s="17"/>
      <c r="AC192" s="17"/>
      <c r="AD192" s="17"/>
      <c r="AE192" s="17"/>
      <c r="AF192" s="17"/>
      <c r="AG192" s="17"/>
      <c r="AH192" s="17">
        <v>8609000</v>
      </c>
      <c r="AI192" s="17">
        <v>7841000</v>
      </c>
      <c r="AJ192" s="17"/>
      <c r="AK192" s="17"/>
      <c r="AL192" s="17"/>
      <c r="AM192" s="17">
        <v>213000</v>
      </c>
      <c r="AN192" s="17"/>
      <c r="AO192" s="17"/>
      <c r="AP192" s="17"/>
      <c r="AQ192" s="17"/>
      <c r="AR192" s="17">
        <v>630000</v>
      </c>
      <c r="AS192" s="17"/>
      <c r="AT192" s="17"/>
      <c r="AU192" s="17"/>
      <c r="AV192" s="17"/>
      <c r="AW192" s="17"/>
      <c r="AX192" s="17"/>
      <c r="AY192" s="17"/>
      <c r="AZ192" s="17"/>
      <c r="BA192" s="17"/>
      <c r="BB192" s="17"/>
      <c r="BC192" s="17">
        <v>559000</v>
      </c>
      <c r="BD192" s="17"/>
      <c r="BE192" s="17"/>
      <c r="BF192" s="17"/>
      <c r="BG192" s="17">
        <v>41000</v>
      </c>
      <c r="BH192" s="17">
        <v>1291000</v>
      </c>
      <c r="BI192" s="17"/>
      <c r="BJ192" s="17"/>
      <c r="BK192" s="17"/>
      <c r="BL192" s="17">
        <v>5097000</v>
      </c>
      <c r="BM192" s="17">
        <v>2502000</v>
      </c>
      <c r="BN192" s="17"/>
      <c r="BO192" s="17"/>
      <c r="BP192" s="17"/>
      <c r="BQ192" s="17">
        <v>-5210000</v>
      </c>
      <c r="BR192" s="17">
        <v>-1541000</v>
      </c>
      <c r="BS192" s="17"/>
      <c r="BT192" s="17"/>
      <c r="BU192" s="17"/>
    </row>
    <row r="193" spans="1:73" x14ac:dyDescent="0.25">
      <c r="A193" s="16">
        <v>30</v>
      </c>
      <c r="B193" s="17">
        <v>6</v>
      </c>
      <c r="C193" s="18" t="s">
        <v>269</v>
      </c>
      <c r="D193" s="17">
        <v>693000</v>
      </c>
      <c r="E193" s="17">
        <v>296000</v>
      </c>
      <c r="F193" s="17"/>
      <c r="G193" s="17"/>
      <c r="H193" s="17"/>
      <c r="I193" s="17">
        <v>327000</v>
      </c>
      <c r="J193" s="17">
        <v>362000</v>
      </c>
      <c r="K193" s="17">
        <v>122000</v>
      </c>
      <c r="L193" s="17">
        <v>122000</v>
      </c>
      <c r="M193" s="17">
        <v>12000</v>
      </c>
      <c r="N193" s="17">
        <v>7914000</v>
      </c>
      <c r="O193" s="17">
        <v>10762000</v>
      </c>
      <c r="P193" s="17">
        <v>7437000</v>
      </c>
      <c r="Q193" s="17">
        <v>7919000</v>
      </c>
      <c r="R193" s="17">
        <v>4165000</v>
      </c>
      <c r="S193" s="17">
        <v>693000</v>
      </c>
      <c r="T193" s="17">
        <v>315000</v>
      </c>
      <c r="U193" s="17">
        <v>1649000</v>
      </c>
      <c r="V193" s="17">
        <v>434000</v>
      </c>
      <c r="W193" s="17">
        <v>48000</v>
      </c>
      <c r="X193" s="17">
        <v>-2958000</v>
      </c>
      <c r="Y193" s="17">
        <v>-7802000</v>
      </c>
      <c r="Z193" s="17">
        <v>-8074000</v>
      </c>
      <c r="AA193" s="17">
        <v>-10126000</v>
      </c>
      <c r="AB193" s="17">
        <v>-14376000</v>
      </c>
      <c r="AC193" s="17"/>
      <c r="AD193" s="17"/>
      <c r="AE193" s="17"/>
      <c r="AF193" s="17"/>
      <c r="AG193" s="17"/>
      <c r="AH193" s="17">
        <v>12467000</v>
      </c>
      <c r="AI193" s="17">
        <v>19187000</v>
      </c>
      <c r="AJ193" s="17">
        <v>17272000</v>
      </c>
      <c r="AK193" s="17">
        <v>18591000</v>
      </c>
      <c r="AL193" s="17">
        <v>18591000</v>
      </c>
      <c r="AM193" s="17">
        <v>41701000</v>
      </c>
      <c r="AN193" s="17">
        <v>21913000</v>
      </c>
      <c r="AO193" s="17">
        <v>6326000</v>
      </c>
      <c r="AP193" s="17"/>
      <c r="AQ193" s="17"/>
      <c r="AR193" s="17">
        <v>43102000</v>
      </c>
      <c r="AS193" s="17">
        <v>26708000</v>
      </c>
      <c r="AT193" s="17">
        <v>6481000</v>
      </c>
      <c r="AU193" s="17"/>
      <c r="AV193" s="17"/>
      <c r="AW193" s="17"/>
      <c r="AX193" s="17"/>
      <c r="AY193" s="17"/>
      <c r="AZ193" s="17"/>
      <c r="BA193" s="17"/>
      <c r="BB193" s="17"/>
      <c r="BC193" s="17">
        <v>438000</v>
      </c>
      <c r="BD193" s="17">
        <v>524000</v>
      </c>
      <c r="BE193" s="17">
        <v>533000</v>
      </c>
      <c r="BF193" s="17"/>
      <c r="BG193" s="17">
        <v>335000</v>
      </c>
      <c r="BH193" s="17">
        <v>369000</v>
      </c>
      <c r="BI193" s="17">
        <v>482000</v>
      </c>
      <c r="BJ193" s="17">
        <v>507000</v>
      </c>
      <c r="BK193" s="17">
        <v>2777000</v>
      </c>
      <c r="BL193" s="17">
        <v>137000</v>
      </c>
      <c r="BM193" s="17">
        <v>195000</v>
      </c>
      <c r="BN193" s="17">
        <v>75000</v>
      </c>
      <c r="BO193" s="17"/>
      <c r="BP193" s="17">
        <v>7027000</v>
      </c>
      <c r="BQ193" s="17">
        <v>-962000</v>
      </c>
      <c r="BR193" s="17">
        <v>-4844000</v>
      </c>
      <c r="BS193" s="17">
        <v>-272000</v>
      </c>
      <c r="BT193" s="17">
        <v>-26000</v>
      </c>
      <c r="BU193" s="17">
        <v>-4250000</v>
      </c>
    </row>
    <row r="194" spans="1:73" x14ac:dyDescent="0.25">
      <c r="A194" s="16">
        <v>252</v>
      </c>
      <c r="B194" s="17">
        <v>6</v>
      </c>
      <c r="C194" s="18" t="s">
        <v>269</v>
      </c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  <c r="BA194" s="17"/>
      <c r="BB194" s="17"/>
      <c r="BC194" s="17"/>
      <c r="BD194" s="17"/>
      <c r="BE194" s="17"/>
      <c r="BF194" s="17"/>
      <c r="BG194" s="17"/>
      <c r="BH194" s="17"/>
      <c r="BI194" s="17"/>
      <c r="BJ194" s="17"/>
      <c r="BK194" s="17"/>
      <c r="BL194" s="17"/>
      <c r="BM194" s="17"/>
      <c r="BN194" s="17"/>
      <c r="BO194" s="17"/>
      <c r="BP194" s="17"/>
      <c r="BQ194" s="17"/>
      <c r="BR194" s="17"/>
      <c r="BS194" s="17"/>
      <c r="BT194" s="17"/>
      <c r="BU194" s="17"/>
    </row>
    <row r="195" spans="1:73" x14ac:dyDescent="0.25">
      <c r="A195" s="16">
        <v>17</v>
      </c>
      <c r="B195" s="17">
        <v>30</v>
      </c>
      <c r="C195" s="18" t="s">
        <v>233</v>
      </c>
      <c r="D195" s="17">
        <v>104525000</v>
      </c>
      <c r="E195" s="17">
        <v>77248000</v>
      </c>
      <c r="F195" s="17">
        <v>67425000</v>
      </c>
      <c r="G195" s="17">
        <v>67813000</v>
      </c>
      <c r="H195" s="17">
        <v>60278000</v>
      </c>
      <c r="I195" s="17">
        <v>116271000</v>
      </c>
      <c r="J195" s="17">
        <v>77831000</v>
      </c>
      <c r="K195" s="17">
        <v>64182000</v>
      </c>
      <c r="L195" s="17">
        <v>50545000</v>
      </c>
      <c r="M195" s="17">
        <v>32418000</v>
      </c>
      <c r="N195" s="17">
        <v>5849000</v>
      </c>
      <c r="O195" s="17">
        <v>6299000</v>
      </c>
      <c r="P195" s="17">
        <v>9547000</v>
      </c>
      <c r="Q195" s="17">
        <v>7711000</v>
      </c>
      <c r="R195" s="17">
        <v>7820000</v>
      </c>
      <c r="S195" s="17">
        <v>10000</v>
      </c>
      <c r="T195" s="17">
        <v>2980000</v>
      </c>
      <c r="U195" s="17">
        <v>135000</v>
      </c>
      <c r="V195" s="17">
        <v>163000</v>
      </c>
      <c r="W195" s="17">
        <v>66000</v>
      </c>
      <c r="X195" s="17">
        <v>84551000</v>
      </c>
      <c r="Y195" s="17">
        <v>32797000</v>
      </c>
      <c r="Z195" s="17">
        <v>10823000</v>
      </c>
      <c r="AA195" s="17">
        <v>-8903000</v>
      </c>
      <c r="AB195" s="17">
        <v>-54390000</v>
      </c>
      <c r="AC195" s="17">
        <v>2048000</v>
      </c>
      <c r="AD195" s="17">
        <v>2075000</v>
      </c>
      <c r="AE195" s="17">
        <v>2075000</v>
      </c>
      <c r="AF195" s="17">
        <v>2075000</v>
      </c>
      <c r="AG195" s="17">
        <v>2075000</v>
      </c>
      <c r="AH195" s="17">
        <v>91483000</v>
      </c>
      <c r="AI195" s="17">
        <v>81343000</v>
      </c>
      <c r="AJ195" s="17">
        <v>79611000</v>
      </c>
      <c r="AK195" s="17">
        <v>84280000</v>
      </c>
      <c r="AL195" s="17">
        <v>104117000</v>
      </c>
      <c r="AM195" s="17">
        <v>79364000</v>
      </c>
      <c r="AN195" s="17">
        <v>57568000</v>
      </c>
      <c r="AO195" s="17">
        <v>48791000</v>
      </c>
      <c r="AP195" s="17">
        <v>60449000</v>
      </c>
      <c r="AQ195" s="17">
        <v>53594000</v>
      </c>
      <c r="AR195" s="17">
        <v>134823000</v>
      </c>
      <c r="AS195" s="17">
        <v>105382000</v>
      </c>
      <c r="AT195" s="17">
        <v>76646000</v>
      </c>
      <c r="AU195" s="17">
        <v>72171000</v>
      </c>
      <c r="AV195" s="17">
        <v>91580000</v>
      </c>
      <c r="AW195" s="17"/>
      <c r="AX195" s="17"/>
      <c r="AY195" s="17"/>
      <c r="AZ195" s="17"/>
      <c r="BA195" s="17"/>
      <c r="BB195" s="17"/>
      <c r="BC195" s="17"/>
      <c r="BD195" s="17"/>
      <c r="BE195" s="17"/>
      <c r="BF195" s="17"/>
      <c r="BG195" s="17">
        <v>12010000</v>
      </c>
      <c r="BH195" s="17">
        <v>26833000</v>
      </c>
      <c r="BI195" s="17">
        <v>22473000</v>
      </c>
      <c r="BJ195" s="17">
        <v>3167000</v>
      </c>
      <c r="BK195" s="17">
        <v>4420000</v>
      </c>
      <c r="BL195" s="17">
        <v>11227000</v>
      </c>
      <c r="BM195" s="17">
        <v>30746000</v>
      </c>
      <c r="BN195" s="17">
        <v>15893000</v>
      </c>
      <c r="BO195" s="17">
        <v>11171000</v>
      </c>
      <c r="BP195" s="17">
        <v>11921000</v>
      </c>
      <c r="BQ195" s="17">
        <v>-54771000</v>
      </c>
      <c r="BR195" s="17">
        <v>-51754000</v>
      </c>
      <c r="BS195" s="17">
        <v>-21275000</v>
      </c>
      <c r="BT195" s="17">
        <v>-19726000</v>
      </c>
      <c r="BU195" s="17">
        <v>-45487000</v>
      </c>
    </row>
    <row r="196" spans="1:73" x14ac:dyDescent="0.25">
      <c r="A196" s="16">
        <v>31</v>
      </c>
      <c r="B196" s="17">
        <v>19</v>
      </c>
      <c r="C196" s="18" t="s">
        <v>233</v>
      </c>
      <c r="D196" s="17">
        <v>42270000</v>
      </c>
      <c r="E196" s="17">
        <v>36546000</v>
      </c>
      <c r="F196" s="17">
        <v>81670000</v>
      </c>
      <c r="G196" s="17">
        <v>39714000</v>
      </c>
      <c r="H196" s="17">
        <v>38376000</v>
      </c>
      <c r="I196" s="17">
        <v>47024000</v>
      </c>
      <c r="J196" s="17">
        <v>22054000</v>
      </c>
      <c r="K196" s="17">
        <v>940000</v>
      </c>
      <c r="L196" s="17">
        <v>3624000</v>
      </c>
      <c r="M196" s="17">
        <v>3624000</v>
      </c>
      <c r="N196" s="17">
        <v>138488000</v>
      </c>
      <c r="O196" s="17">
        <v>142099000</v>
      </c>
      <c r="P196" s="17"/>
      <c r="Q196" s="17">
        <v>115116000</v>
      </c>
      <c r="R196" s="17">
        <v>115116000</v>
      </c>
      <c r="S196" s="17">
        <v>4000</v>
      </c>
      <c r="T196" s="17">
        <v>517000</v>
      </c>
      <c r="U196" s="17">
        <v>841000</v>
      </c>
      <c r="V196" s="17">
        <v>87000</v>
      </c>
      <c r="W196" s="17"/>
      <c r="X196" s="17">
        <v>87764000</v>
      </c>
      <c r="Y196" s="17">
        <v>65475000</v>
      </c>
      <c r="Z196" s="17">
        <v>-251841000</v>
      </c>
      <c r="AA196" s="17"/>
      <c r="AB196" s="17"/>
      <c r="AC196" s="17">
        <v>33765000</v>
      </c>
      <c r="AD196" s="17">
        <v>34274000</v>
      </c>
      <c r="AE196" s="17"/>
      <c r="AF196" s="17"/>
      <c r="AG196" s="17"/>
      <c r="AH196" s="17">
        <v>111199000</v>
      </c>
      <c r="AI196" s="17">
        <v>106295000</v>
      </c>
      <c r="AJ196" s="17">
        <v>316749000</v>
      </c>
      <c r="AK196" s="17">
        <v>316749000</v>
      </c>
      <c r="AL196" s="17">
        <v>315206000</v>
      </c>
      <c r="AM196" s="17">
        <v>58846000</v>
      </c>
      <c r="AN196" s="17">
        <v>66305000</v>
      </c>
      <c r="AO196" s="17">
        <v>28485000</v>
      </c>
      <c r="AP196" s="17">
        <v>1200000</v>
      </c>
      <c r="AQ196" s="17">
        <v>1338000</v>
      </c>
      <c r="AR196" s="17">
        <v>62781000</v>
      </c>
      <c r="AS196" s="17">
        <v>79636000</v>
      </c>
      <c r="AT196" s="17">
        <v>20653000</v>
      </c>
      <c r="AU196" s="17"/>
      <c r="AV196" s="17"/>
      <c r="AW196" s="17"/>
      <c r="AX196" s="17"/>
      <c r="AY196" s="17"/>
      <c r="AZ196" s="17"/>
      <c r="BA196" s="17"/>
      <c r="BB196" s="17"/>
      <c r="BC196" s="17">
        <v>4780000</v>
      </c>
      <c r="BD196" s="17">
        <v>9134000</v>
      </c>
      <c r="BE196" s="17"/>
      <c r="BF196" s="17"/>
      <c r="BG196" s="17">
        <v>7879000</v>
      </c>
      <c r="BH196" s="17">
        <v>8912000</v>
      </c>
      <c r="BI196" s="17">
        <v>2014000</v>
      </c>
      <c r="BJ196" s="17"/>
      <c r="BK196" s="17"/>
      <c r="BL196" s="17">
        <v>10132000</v>
      </c>
      <c r="BM196" s="17">
        <v>11753000</v>
      </c>
      <c r="BN196" s="17">
        <v>2316000</v>
      </c>
      <c r="BO196" s="17">
        <v>1844000</v>
      </c>
      <c r="BP196" s="17">
        <v>1190000</v>
      </c>
      <c r="BQ196" s="17">
        <v>-7047000</v>
      </c>
      <c r="BR196" s="17">
        <v>-22278000</v>
      </c>
      <c r="BS196" s="17">
        <v>-1687000</v>
      </c>
      <c r="BT196" s="17">
        <v>-644000</v>
      </c>
      <c r="BU196" s="17">
        <v>118000</v>
      </c>
    </row>
    <row r="197" spans="1:73" x14ac:dyDescent="0.25">
      <c r="A197" s="16">
        <v>109</v>
      </c>
      <c r="B197" s="17">
        <v>33</v>
      </c>
      <c r="C197" s="18" t="s">
        <v>233</v>
      </c>
      <c r="D197" s="17">
        <v>165453000</v>
      </c>
      <c r="E197" s="17">
        <v>160754000</v>
      </c>
      <c r="F197" s="17">
        <v>160754000</v>
      </c>
      <c r="G197" s="17">
        <v>160754000</v>
      </c>
      <c r="H197" s="17">
        <v>47102000</v>
      </c>
      <c r="I197" s="17">
        <v>54677000</v>
      </c>
      <c r="J197" s="17">
        <v>49256000</v>
      </c>
      <c r="K197" s="17">
        <v>48761000</v>
      </c>
      <c r="L197" s="17">
        <v>36728000</v>
      </c>
      <c r="M197" s="17">
        <v>36728000</v>
      </c>
      <c r="N197" s="17">
        <v>4780000</v>
      </c>
      <c r="O197" s="17">
        <v>1324000</v>
      </c>
      <c r="P197" s="17">
        <v>1324000</v>
      </c>
      <c r="Q197" s="17">
        <v>1324000</v>
      </c>
      <c r="R197" s="17">
        <v>1324000</v>
      </c>
      <c r="S197" s="17">
        <v>285000</v>
      </c>
      <c r="T197" s="17">
        <v>823000</v>
      </c>
      <c r="U197" s="17">
        <v>1429000</v>
      </c>
      <c r="V197" s="17">
        <v>9966000</v>
      </c>
      <c r="W197" s="17">
        <v>18223000</v>
      </c>
      <c r="X197" s="17">
        <v>-101075000</v>
      </c>
      <c r="Y197" s="17">
        <v>-178448000</v>
      </c>
      <c r="Z197" s="17">
        <v>-178448000</v>
      </c>
      <c r="AA197" s="17">
        <v>-178448000</v>
      </c>
      <c r="AB197" s="17">
        <v>-185892000</v>
      </c>
      <c r="AC197" s="17">
        <v>89750000</v>
      </c>
      <c r="AD197" s="17">
        <v>95619000</v>
      </c>
      <c r="AE197" s="17">
        <v>95619000</v>
      </c>
      <c r="AF197" s="17">
        <v>95619000</v>
      </c>
      <c r="AG197" s="17">
        <v>95619000</v>
      </c>
      <c r="AH197" s="17">
        <v>55694000</v>
      </c>
      <c r="AI197" s="17">
        <v>114829000</v>
      </c>
      <c r="AJ197" s="17">
        <v>114829000</v>
      </c>
      <c r="AK197" s="17">
        <v>111334000</v>
      </c>
      <c r="AL197" s="17">
        <v>111334000</v>
      </c>
      <c r="AM197" s="17">
        <v>68554000</v>
      </c>
      <c r="AN197" s="17">
        <v>81935000</v>
      </c>
      <c r="AO197" s="17">
        <v>29042000</v>
      </c>
      <c r="AP197" s="17">
        <v>13137000</v>
      </c>
      <c r="AQ197" s="17"/>
      <c r="AR197" s="17">
        <v>83748000</v>
      </c>
      <c r="AS197" s="17">
        <v>97682000</v>
      </c>
      <c r="AT197" s="17">
        <v>37783000</v>
      </c>
      <c r="AU197" s="17">
        <v>10444000</v>
      </c>
      <c r="AV197" s="17"/>
      <c r="AW197" s="17"/>
      <c r="AX197" s="17"/>
      <c r="AY197" s="17">
        <v>1857000</v>
      </c>
      <c r="AZ197" s="17"/>
      <c r="BA197" s="17"/>
      <c r="BB197" s="17"/>
      <c r="BC197" s="17">
        <v>8203000</v>
      </c>
      <c r="BD197" s="17"/>
      <c r="BE197" s="17">
        <v>1921000</v>
      </c>
      <c r="BF197" s="17"/>
      <c r="BG197" s="17">
        <v>6406000</v>
      </c>
      <c r="BH197" s="17">
        <v>7676000</v>
      </c>
      <c r="BI197" s="17"/>
      <c r="BJ197" s="17"/>
      <c r="BK197" s="17"/>
      <c r="BL197" s="17">
        <v>910000</v>
      </c>
      <c r="BM197" s="17">
        <v>2643000</v>
      </c>
      <c r="BN197" s="17"/>
      <c r="BO197" s="17">
        <v>72000</v>
      </c>
      <c r="BP197" s="17"/>
      <c r="BQ197" s="17">
        <v>-22649000</v>
      </c>
      <c r="BR197" s="17">
        <v>-20862000</v>
      </c>
      <c r="BS197" s="17">
        <v>-10598000</v>
      </c>
      <c r="BT197" s="17">
        <v>700000</v>
      </c>
      <c r="BU197" s="17"/>
    </row>
    <row r="198" spans="1:73" x14ac:dyDescent="0.25">
      <c r="A198" s="16">
        <v>8</v>
      </c>
      <c r="B198" s="17">
        <v>15</v>
      </c>
      <c r="C198" s="18" t="s">
        <v>207</v>
      </c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>
        <v>50000</v>
      </c>
      <c r="P198" s="17">
        <v>3000</v>
      </c>
      <c r="Q198" s="17">
        <v>199000</v>
      </c>
      <c r="R198" s="17">
        <v>232000</v>
      </c>
      <c r="S198" s="17">
        <v>1535000</v>
      </c>
      <c r="T198" s="17">
        <v>784000</v>
      </c>
      <c r="U198" s="17">
        <v>414000</v>
      </c>
      <c r="V198" s="17">
        <v>1306000</v>
      </c>
      <c r="W198" s="17"/>
      <c r="X198" s="17">
        <v>-386000</v>
      </c>
      <c r="Y198" s="17">
        <v>-1094000</v>
      </c>
      <c r="Z198" s="17">
        <v>-1523000</v>
      </c>
      <c r="AA198" s="17">
        <v>-6651000</v>
      </c>
      <c r="AB198" s="17">
        <v>-7054000</v>
      </c>
      <c r="AC198" s="17"/>
      <c r="AD198" s="17"/>
      <c r="AE198" s="17"/>
      <c r="AF198" s="17"/>
      <c r="AG198" s="17"/>
      <c r="AH198" s="17">
        <v>903000</v>
      </c>
      <c r="AI198" s="17">
        <v>910000</v>
      </c>
      <c r="AJ198" s="17">
        <v>922000</v>
      </c>
      <c r="AK198" s="17">
        <v>7138000</v>
      </c>
      <c r="AL198" s="17">
        <v>6268000</v>
      </c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  <c r="BA198" s="17"/>
      <c r="BB198" s="17">
        <v>306000</v>
      </c>
      <c r="BC198" s="17">
        <v>315000</v>
      </c>
      <c r="BD198" s="17">
        <v>42000</v>
      </c>
      <c r="BE198" s="17">
        <v>73000</v>
      </c>
      <c r="BF198" s="17">
        <v>182000</v>
      </c>
      <c r="BG198" s="17">
        <v>3720000</v>
      </c>
      <c r="BH198" s="17"/>
      <c r="BI198" s="17"/>
      <c r="BJ198" s="17">
        <v>3229000</v>
      </c>
      <c r="BK198" s="17">
        <v>196000</v>
      </c>
      <c r="BL198" s="17">
        <v>460000</v>
      </c>
      <c r="BM198" s="17">
        <v>393000</v>
      </c>
      <c r="BN198" s="17">
        <v>383000</v>
      </c>
      <c r="BO198" s="17">
        <v>1447000</v>
      </c>
      <c r="BP198" s="17">
        <v>402000</v>
      </c>
      <c r="BQ198" s="17">
        <v>2475000</v>
      </c>
      <c r="BR198" s="17">
        <v>-708000</v>
      </c>
      <c r="BS198" s="17">
        <v>-429000</v>
      </c>
      <c r="BT198" s="17">
        <v>-5128000</v>
      </c>
      <c r="BU198" s="17">
        <v>-403000</v>
      </c>
    </row>
    <row r="199" spans="1:73" ht="26.25" x14ac:dyDescent="0.25">
      <c r="A199" s="16">
        <v>147</v>
      </c>
      <c r="B199" s="17">
        <v>13</v>
      </c>
      <c r="C199" s="18" t="s">
        <v>571</v>
      </c>
      <c r="D199" s="17">
        <v>22945000</v>
      </c>
      <c r="E199" s="17">
        <v>16929000</v>
      </c>
      <c r="F199" s="17">
        <v>14716000</v>
      </c>
      <c r="G199" s="17">
        <v>15609000</v>
      </c>
      <c r="H199" s="17">
        <v>14193000</v>
      </c>
      <c r="I199" s="17">
        <v>13260000</v>
      </c>
      <c r="J199" s="17">
        <v>13594000</v>
      </c>
      <c r="K199" s="17">
        <v>11049000</v>
      </c>
      <c r="L199" s="17">
        <v>67186000</v>
      </c>
      <c r="M199" s="17">
        <v>47489000</v>
      </c>
      <c r="N199" s="17">
        <v>8612000</v>
      </c>
      <c r="O199" s="17">
        <v>44363000</v>
      </c>
      <c r="P199" s="17">
        <v>78593000</v>
      </c>
      <c r="Q199" s="17">
        <v>143248000</v>
      </c>
      <c r="R199" s="17">
        <v>190433000</v>
      </c>
      <c r="S199" s="17">
        <v>336000</v>
      </c>
      <c r="T199" s="17">
        <v>1360000</v>
      </c>
      <c r="U199" s="17">
        <v>7601000</v>
      </c>
      <c r="V199" s="17">
        <v>1076000</v>
      </c>
      <c r="W199" s="17">
        <v>1351000</v>
      </c>
      <c r="X199" s="17"/>
      <c r="Y199" s="17"/>
      <c r="Z199" s="17"/>
      <c r="AA199" s="17"/>
      <c r="AB199" s="17"/>
      <c r="AC199" s="17"/>
      <c r="AD199" s="17"/>
      <c r="AE199" s="17"/>
      <c r="AF199" s="17"/>
      <c r="AG199" s="17">
        <v>689000</v>
      </c>
      <c r="AH199" s="17">
        <v>7344000</v>
      </c>
      <c r="AI199" s="17">
        <v>16025000</v>
      </c>
      <c r="AJ199" s="17">
        <v>47520000</v>
      </c>
      <c r="AK199" s="17">
        <v>159251000</v>
      </c>
      <c r="AL199" s="17">
        <v>199480000</v>
      </c>
      <c r="AM199" s="17">
        <v>205723000</v>
      </c>
      <c r="AN199" s="17">
        <v>75472000</v>
      </c>
      <c r="AO199" s="17">
        <v>252414000</v>
      </c>
      <c r="AP199" s="17">
        <v>146427000</v>
      </c>
      <c r="AQ199" s="17">
        <v>143898000</v>
      </c>
      <c r="AR199" s="17">
        <v>195677000</v>
      </c>
      <c r="AS199" s="17">
        <v>68941000</v>
      </c>
      <c r="AT199" s="17">
        <v>234806000</v>
      </c>
      <c r="AU199" s="17">
        <v>134643000</v>
      </c>
      <c r="AV199" s="17">
        <v>122644000</v>
      </c>
      <c r="AW199" s="17"/>
      <c r="AX199" s="17"/>
      <c r="AY199" s="17"/>
      <c r="AZ199" s="17"/>
      <c r="BA199" s="17"/>
      <c r="BB199" s="17"/>
      <c r="BC199" s="17"/>
      <c r="BD199" s="17"/>
      <c r="BE199" s="17"/>
      <c r="BF199" s="17"/>
      <c r="BG199" s="17">
        <v>5618000</v>
      </c>
      <c r="BH199" s="17">
        <v>3484000</v>
      </c>
      <c r="BI199" s="17">
        <v>1489000</v>
      </c>
      <c r="BJ199" s="17">
        <v>1696000</v>
      </c>
      <c r="BK199" s="17">
        <v>31000</v>
      </c>
      <c r="BL199" s="17">
        <v>8755000</v>
      </c>
      <c r="BM199" s="17">
        <v>6445000</v>
      </c>
      <c r="BN199" s="17">
        <v>14687000</v>
      </c>
      <c r="BO199" s="17">
        <v>11790000</v>
      </c>
      <c r="BP199" s="17">
        <v>19539000</v>
      </c>
      <c r="BQ199" s="17">
        <v>5523000</v>
      </c>
      <c r="BR199" s="17">
        <v>2672000</v>
      </c>
      <c r="BS199" s="17">
        <v>3348000</v>
      </c>
      <c r="BT199" s="17">
        <v>474000</v>
      </c>
      <c r="BU199" s="17">
        <v>1397000</v>
      </c>
    </row>
    <row r="200" spans="1:73" ht="26.25" x14ac:dyDescent="0.25">
      <c r="A200" s="16">
        <v>37</v>
      </c>
      <c r="B200" s="17">
        <v>13</v>
      </c>
      <c r="C200" s="18" t="s">
        <v>289</v>
      </c>
      <c r="D200" s="17">
        <v>35544000</v>
      </c>
      <c r="E200" s="17"/>
      <c r="F200" s="17"/>
      <c r="G200" s="17"/>
      <c r="H200" s="17"/>
      <c r="I200" s="17">
        <v>569000</v>
      </c>
      <c r="J200" s="17"/>
      <c r="K200" s="17"/>
      <c r="L200" s="17"/>
      <c r="M200" s="17"/>
      <c r="N200" s="17">
        <v>7337000</v>
      </c>
      <c r="O200" s="17"/>
      <c r="P200" s="17"/>
      <c r="Q200" s="17"/>
      <c r="R200" s="17"/>
      <c r="S200" s="17">
        <v>1000</v>
      </c>
      <c r="T200" s="17"/>
      <c r="U200" s="17"/>
      <c r="V200" s="17"/>
      <c r="W200" s="17"/>
      <c r="X200" s="17">
        <v>97000</v>
      </c>
      <c r="Y200" s="17"/>
      <c r="Z200" s="17"/>
      <c r="AA200" s="17"/>
      <c r="AB200" s="17"/>
      <c r="AC200" s="17">
        <v>1000</v>
      </c>
      <c r="AD200" s="17"/>
      <c r="AE200" s="17"/>
      <c r="AF200" s="17"/>
      <c r="AG200" s="17"/>
      <c r="AH200" s="17">
        <v>12513000</v>
      </c>
      <c r="AI200" s="17"/>
      <c r="AJ200" s="17"/>
      <c r="AK200" s="17"/>
      <c r="AL200" s="17"/>
      <c r="AM200" s="17">
        <v>19487000</v>
      </c>
      <c r="AN200" s="17"/>
      <c r="AO200" s="17"/>
      <c r="AP200" s="17"/>
      <c r="AQ200" s="17"/>
      <c r="AR200" s="17">
        <v>19039000</v>
      </c>
      <c r="AS200" s="17"/>
      <c r="AT200" s="17"/>
      <c r="AU200" s="17"/>
      <c r="AV200" s="17"/>
      <c r="AW200" s="17"/>
      <c r="AX200" s="17"/>
      <c r="AY200" s="17"/>
      <c r="AZ200" s="17"/>
      <c r="BA200" s="17"/>
      <c r="BB200" s="17"/>
      <c r="BC200" s="17"/>
      <c r="BD200" s="17"/>
      <c r="BE200" s="17"/>
      <c r="BF200" s="17"/>
      <c r="BG200" s="17">
        <v>1885000</v>
      </c>
      <c r="BH200" s="17"/>
      <c r="BI200" s="17"/>
      <c r="BJ200" s="17"/>
      <c r="BK200" s="17"/>
      <c r="BL200" s="17">
        <v>1811000</v>
      </c>
      <c r="BM200" s="17"/>
      <c r="BN200" s="17"/>
      <c r="BO200" s="17"/>
      <c r="BP200" s="17"/>
      <c r="BQ200" s="17">
        <v>495000</v>
      </c>
      <c r="BR200" s="17"/>
      <c r="BS200" s="17"/>
      <c r="BT200" s="17"/>
      <c r="BU200" s="17"/>
    </row>
    <row r="201" spans="1:73" x14ac:dyDescent="0.25">
      <c r="A201" s="16">
        <v>20</v>
      </c>
      <c r="B201" s="17">
        <v>19</v>
      </c>
      <c r="C201" s="18" t="s">
        <v>242</v>
      </c>
      <c r="D201" s="17"/>
      <c r="E201" s="17">
        <v>9121000</v>
      </c>
      <c r="F201" s="17">
        <v>8401000</v>
      </c>
      <c r="G201" s="17"/>
      <c r="H201" s="17"/>
      <c r="I201" s="17">
        <v>1949000</v>
      </c>
      <c r="J201" s="17">
        <v>1854000</v>
      </c>
      <c r="K201" s="17">
        <v>2006000</v>
      </c>
      <c r="L201" s="17"/>
      <c r="M201" s="17"/>
      <c r="N201" s="17"/>
      <c r="O201" s="17">
        <v>1051000</v>
      </c>
      <c r="P201" s="17">
        <v>126000</v>
      </c>
      <c r="Q201" s="17"/>
      <c r="R201" s="17"/>
      <c r="S201" s="17">
        <v>115000</v>
      </c>
      <c r="T201" s="17">
        <v>57000</v>
      </c>
      <c r="U201" s="17">
        <v>15000</v>
      </c>
      <c r="V201" s="17"/>
      <c r="W201" s="17"/>
      <c r="X201" s="17">
        <v>10138000</v>
      </c>
      <c r="Y201" s="17">
        <v>11314000</v>
      </c>
      <c r="Z201" s="17">
        <v>11388000</v>
      </c>
      <c r="AA201" s="17"/>
      <c r="AB201" s="17"/>
      <c r="AC201" s="17">
        <v>1000000</v>
      </c>
      <c r="AD201" s="17">
        <v>1911000</v>
      </c>
      <c r="AE201" s="17">
        <v>3002000</v>
      </c>
      <c r="AF201" s="17"/>
      <c r="AG201" s="17"/>
      <c r="AH201" s="17">
        <v>768000</v>
      </c>
      <c r="AI201" s="17">
        <v>126000</v>
      </c>
      <c r="AJ201" s="17"/>
      <c r="AK201" s="17"/>
      <c r="AL201" s="17">
        <v>3715000</v>
      </c>
      <c r="AM201" s="17">
        <v>7229000</v>
      </c>
      <c r="AN201" s="17">
        <v>10884000</v>
      </c>
      <c r="AO201" s="17">
        <v>7652000</v>
      </c>
      <c r="AP201" s="17"/>
      <c r="AQ201" s="17"/>
      <c r="AR201" s="17">
        <v>8630000</v>
      </c>
      <c r="AS201" s="17">
        <v>10599000</v>
      </c>
      <c r="AT201" s="17">
        <v>7327000</v>
      </c>
      <c r="AU201" s="17"/>
      <c r="AV201" s="17"/>
      <c r="AW201" s="17"/>
      <c r="AX201" s="17"/>
      <c r="AY201" s="17"/>
      <c r="AZ201" s="17"/>
      <c r="BA201" s="17"/>
      <c r="BB201" s="17"/>
      <c r="BC201" s="17"/>
      <c r="BD201" s="17"/>
      <c r="BE201" s="17"/>
      <c r="BF201" s="17"/>
      <c r="BG201" s="17">
        <v>428000</v>
      </c>
      <c r="BH201" s="17">
        <v>1103000</v>
      </c>
      <c r="BI201" s="17">
        <v>288000</v>
      </c>
      <c r="BJ201" s="17"/>
      <c r="BK201" s="17"/>
      <c r="BL201" s="17">
        <v>64000</v>
      </c>
      <c r="BM201" s="17">
        <v>95000</v>
      </c>
      <c r="BN201" s="17">
        <v>452000</v>
      </c>
      <c r="BO201" s="17"/>
      <c r="BP201" s="17">
        <v>96000</v>
      </c>
      <c r="BQ201" s="17">
        <v>-1109000</v>
      </c>
      <c r="BR201" s="17">
        <v>1176000</v>
      </c>
      <c r="BS201" s="17">
        <v>74000</v>
      </c>
      <c r="BT201" s="17"/>
      <c r="BU201" s="17">
        <v>-96000</v>
      </c>
    </row>
    <row r="202" spans="1:73" ht="26.25" x14ac:dyDescent="0.25">
      <c r="A202" s="16">
        <v>13</v>
      </c>
      <c r="B202" s="17">
        <v>19</v>
      </c>
      <c r="C202" s="18" t="s">
        <v>222</v>
      </c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>
        <v>1000</v>
      </c>
      <c r="T202" s="17"/>
      <c r="U202" s="17"/>
      <c r="V202" s="17"/>
      <c r="W202" s="17"/>
      <c r="X202" s="17">
        <v>-803000</v>
      </c>
      <c r="Y202" s="17"/>
      <c r="Z202" s="17"/>
      <c r="AA202" s="17"/>
      <c r="AB202" s="17"/>
      <c r="AC202" s="17"/>
      <c r="AD202" s="17"/>
      <c r="AE202" s="17"/>
      <c r="AF202" s="17"/>
      <c r="AG202" s="17"/>
      <c r="AH202" s="17">
        <v>794000</v>
      </c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  <c r="BA202" s="17"/>
      <c r="BB202" s="17"/>
      <c r="BC202" s="17"/>
      <c r="BD202" s="17"/>
      <c r="BE202" s="17"/>
      <c r="BF202" s="17"/>
      <c r="BG202" s="17"/>
      <c r="BH202" s="17"/>
      <c r="BI202" s="17"/>
      <c r="BJ202" s="17"/>
      <c r="BK202" s="17"/>
      <c r="BL202" s="17"/>
      <c r="BM202" s="17"/>
      <c r="BN202" s="17"/>
      <c r="BO202" s="17"/>
      <c r="BP202" s="17"/>
      <c r="BQ202" s="17"/>
      <c r="BR202" s="17"/>
      <c r="BS202" s="17"/>
      <c r="BT202" s="17"/>
      <c r="BU202" s="17"/>
    </row>
    <row r="203" spans="1:73" x14ac:dyDescent="0.25">
      <c r="A203" s="16">
        <v>234</v>
      </c>
      <c r="B203" s="17">
        <v>18</v>
      </c>
      <c r="C203" s="18" t="s">
        <v>776</v>
      </c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  <c r="BA203" s="17"/>
      <c r="BB203" s="17"/>
      <c r="BC203" s="17"/>
      <c r="BD203" s="17"/>
      <c r="BE203" s="17"/>
      <c r="BF203" s="17"/>
      <c r="BG203" s="17"/>
      <c r="BH203" s="17"/>
      <c r="BI203" s="17"/>
      <c r="BJ203" s="17"/>
      <c r="BK203" s="17"/>
      <c r="BL203" s="17"/>
      <c r="BM203" s="17"/>
      <c r="BN203" s="17"/>
      <c r="BO203" s="17"/>
      <c r="BP203" s="17"/>
      <c r="BQ203" s="17"/>
      <c r="BR203" s="17"/>
      <c r="BS203" s="17"/>
      <c r="BT203" s="17"/>
      <c r="BU203" s="17"/>
    </row>
    <row r="204" spans="1:73" ht="26.25" x14ac:dyDescent="0.25">
      <c r="A204" s="16">
        <v>74</v>
      </c>
      <c r="B204" s="17">
        <v>18</v>
      </c>
      <c r="C204" s="18" t="s">
        <v>384</v>
      </c>
      <c r="D204" s="17">
        <v>11124000</v>
      </c>
      <c r="E204" s="17">
        <v>25313000</v>
      </c>
      <c r="F204" s="17">
        <v>32916000</v>
      </c>
      <c r="G204" s="17">
        <v>12340000</v>
      </c>
      <c r="H204" s="17">
        <v>4154000</v>
      </c>
      <c r="I204" s="17">
        <v>175621000</v>
      </c>
      <c r="J204" s="17">
        <v>311603000</v>
      </c>
      <c r="K204" s="17">
        <v>626056000</v>
      </c>
      <c r="L204" s="17">
        <v>866477000</v>
      </c>
      <c r="M204" s="17"/>
      <c r="N204" s="17">
        <v>376301000</v>
      </c>
      <c r="O204" s="17">
        <v>400596000</v>
      </c>
      <c r="P204" s="17">
        <v>433257000</v>
      </c>
      <c r="Q204" s="17">
        <v>331430000</v>
      </c>
      <c r="R204" s="17">
        <v>95094000</v>
      </c>
      <c r="S204" s="17">
        <v>13667000</v>
      </c>
      <c r="T204" s="17">
        <v>14985000</v>
      </c>
      <c r="U204" s="17">
        <v>4330000</v>
      </c>
      <c r="V204" s="17">
        <v>9575000</v>
      </c>
      <c r="W204" s="17">
        <v>63774000</v>
      </c>
      <c r="X204" s="17">
        <v>121941000</v>
      </c>
      <c r="Y204" s="17">
        <v>253971000</v>
      </c>
      <c r="Z204" s="17">
        <v>296636000</v>
      </c>
      <c r="AA204" s="17">
        <v>329842000</v>
      </c>
      <c r="AB204" s="17">
        <v>-822445000</v>
      </c>
      <c r="AC204" s="17">
        <v>31706000</v>
      </c>
      <c r="AD204" s="17">
        <v>33290000</v>
      </c>
      <c r="AE204" s="17">
        <v>39393000</v>
      </c>
      <c r="AF204" s="17">
        <v>45939000</v>
      </c>
      <c r="AG204" s="17">
        <v>168833000</v>
      </c>
      <c r="AH204" s="17">
        <v>206826000</v>
      </c>
      <c r="AI204" s="17">
        <v>474318000</v>
      </c>
      <c r="AJ204" s="17">
        <v>414016000</v>
      </c>
      <c r="AK204" s="17">
        <v>346771000</v>
      </c>
      <c r="AL204" s="17">
        <v>364503000</v>
      </c>
      <c r="AM204" s="17">
        <v>2148293000</v>
      </c>
      <c r="AN204" s="17">
        <v>2557546000</v>
      </c>
      <c r="AO204" s="17">
        <v>2251574000</v>
      </c>
      <c r="AP204" s="17">
        <v>1765759000</v>
      </c>
      <c r="AQ204" s="17">
        <v>1055578000</v>
      </c>
      <c r="AR204" s="17">
        <v>1943662000</v>
      </c>
      <c r="AS204" s="17">
        <v>2303088000</v>
      </c>
      <c r="AT204" s="17">
        <v>2011850000</v>
      </c>
      <c r="AU204" s="17">
        <v>1511407000</v>
      </c>
      <c r="AV204" s="17">
        <v>1023101000</v>
      </c>
      <c r="AW204" s="17"/>
      <c r="AX204" s="17"/>
      <c r="AY204" s="17"/>
      <c r="AZ204" s="17"/>
      <c r="BA204" s="17"/>
      <c r="BB204" s="17">
        <v>114889000</v>
      </c>
      <c r="BC204" s="17">
        <v>160185000</v>
      </c>
      <c r="BD204" s="17">
        <v>170150000</v>
      </c>
      <c r="BE204" s="17">
        <v>140109000</v>
      </c>
      <c r="BF204" s="17">
        <v>104352000</v>
      </c>
      <c r="BG204" s="17">
        <v>968726000</v>
      </c>
      <c r="BH204" s="17">
        <v>1201805000</v>
      </c>
      <c r="BI204" s="17">
        <v>291717000</v>
      </c>
      <c r="BJ204" s="17">
        <v>68763000</v>
      </c>
      <c r="BK204" s="17">
        <v>67460000</v>
      </c>
      <c r="BL204" s="17">
        <v>962317000</v>
      </c>
      <c r="BM204" s="17">
        <v>1108690000</v>
      </c>
      <c r="BN204" s="17">
        <v>247354000</v>
      </c>
      <c r="BO204" s="17">
        <v>52471000</v>
      </c>
      <c r="BP204" s="17">
        <v>1118853000</v>
      </c>
      <c r="BQ204" s="17">
        <v>41156000</v>
      </c>
      <c r="BR204" s="17">
        <v>132028000</v>
      </c>
      <c r="BS204" s="17">
        <v>42972000</v>
      </c>
      <c r="BT204" s="17">
        <v>33206000</v>
      </c>
      <c r="BU204" s="17">
        <v>-1167348000</v>
      </c>
    </row>
    <row r="205" spans="1:73" ht="26.25" x14ac:dyDescent="0.25">
      <c r="A205" s="16">
        <v>129</v>
      </c>
      <c r="B205" s="17">
        <v>6</v>
      </c>
      <c r="C205" s="18" t="s">
        <v>384</v>
      </c>
      <c r="D205" s="17">
        <v>8903000</v>
      </c>
      <c r="E205" s="17">
        <v>59057000</v>
      </c>
      <c r="F205" s="17">
        <v>52319000</v>
      </c>
      <c r="G205" s="17"/>
      <c r="H205" s="17"/>
      <c r="I205" s="17">
        <v>41700000</v>
      </c>
      <c r="J205" s="17">
        <v>73115000</v>
      </c>
      <c r="K205" s="17">
        <v>309281000</v>
      </c>
      <c r="L205" s="17"/>
      <c r="M205" s="17"/>
      <c r="N205" s="17">
        <v>5681000</v>
      </c>
      <c r="O205" s="17">
        <v>33249000</v>
      </c>
      <c r="P205" s="17">
        <v>246469000</v>
      </c>
      <c r="Q205" s="17"/>
      <c r="R205" s="17"/>
      <c r="S205" s="17">
        <v>1024000</v>
      </c>
      <c r="T205" s="17">
        <v>1820000</v>
      </c>
      <c r="U205" s="17">
        <v>3992000</v>
      </c>
      <c r="V205" s="17"/>
      <c r="W205" s="17"/>
      <c r="X205" s="17">
        <v>2041000</v>
      </c>
      <c r="Y205" s="17">
        <v>5699000</v>
      </c>
      <c r="Z205" s="17">
        <v>11448000</v>
      </c>
      <c r="AA205" s="17"/>
      <c r="AB205" s="17"/>
      <c r="AC205" s="17">
        <v>3700000</v>
      </c>
      <c r="AD205" s="17">
        <v>4415000</v>
      </c>
      <c r="AE205" s="17">
        <v>9744000</v>
      </c>
      <c r="AF205" s="17"/>
      <c r="AG205" s="17"/>
      <c r="AH205" s="17">
        <v>50540000</v>
      </c>
      <c r="AI205" s="17">
        <v>104177000</v>
      </c>
      <c r="AJ205" s="17">
        <v>376052000</v>
      </c>
      <c r="AK205" s="17"/>
      <c r="AL205" s="17"/>
      <c r="AM205" s="17">
        <v>83250000</v>
      </c>
      <c r="AN205" s="17">
        <v>272725000</v>
      </c>
      <c r="AO205" s="17">
        <v>776124000</v>
      </c>
      <c r="AP205" s="17"/>
      <c r="AQ205" s="17"/>
      <c r="AR205" s="17">
        <v>66072000</v>
      </c>
      <c r="AS205" s="17">
        <v>242649000</v>
      </c>
      <c r="AT205" s="17">
        <v>680243000</v>
      </c>
      <c r="AU205" s="17"/>
      <c r="AV205" s="17"/>
      <c r="AW205" s="17"/>
      <c r="AX205" s="17"/>
      <c r="AY205" s="17"/>
      <c r="AZ205" s="17"/>
      <c r="BA205" s="17"/>
      <c r="BB205" s="17">
        <v>13219000</v>
      </c>
      <c r="BC205" s="17">
        <v>24094000</v>
      </c>
      <c r="BD205" s="17">
        <v>64749000</v>
      </c>
      <c r="BE205" s="17"/>
      <c r="BF205" s="17"/>
      <c r="BG205" s="17">
        <v>3372000</v>
      </c>
      <c r="BH205" s="17">
        <v>8550000</v>
      </c>
      <c r="BI205" s="17">
        <v>1118000</v>
      </c>
      <c r="BJ205" s="17"/>
      <c r="BK205" s="17"/>
      <c r="BL205" s="17">
        <v>2026000</v>
      </c>
      <c r="BM205" s="17">
        <v>8376000</v>
      </c>
      <c r="BN205" s="17">
        <v>19148000</v>
      </c>
      <c r="BO205" s="17"/>
      <c r="BP205" s="17"/>
      <c r="BQ205" s="17">
        <v>4640000</v>
      </c>
      <c r="BR205" s="17">
        <v>5699000</v>
      </c>
      <c r="BS205" s="17">
        <v>11448000</v>
      </c>
      <c r="BT205" s="17"/>
      <c r="BU205" s="17"/>
    </row>
    <row r="206" spans="1:73" x14ac:dyDescent="0.25">
      <c r="A206" s="16">
        <v>107</v>
      </c>
      <c r="B206" s="17">
        <v>33</v>
      </c>
      <c r="C206" s="18" t="s">
        <v>467</v>
      </c>
      <c r="D206" s="17">
        <v>58332000</v>
      </c>
      <c r="E206" s="17">
        <v>40436000</v>
      </c>
      <c r="F206" s="17"/>
      <c r="G206" s="17"/>
      <c r="H206" s="17"/>
      <c r="I206" s="17">
        <v>6139000</v>
      </c>
      <c r="J206" s="17">
        <v>6139000</v>
      </c>
      <c r="K206" s="17"/>
      <c r="L206" s="17"/>
      <c r="M206" s="17"/>
      <c r="N206" s="17">
        <v>236076000</v>
      </c>
      <c r="O206" s="17">
        <v>120964000</v>
      </c>
      <c r="P206" s="17">
        <v>120964000</v>
      </c>
      <c r="Q206" s="17">
        <v>120964000</v>
      </c>
      <c r="R206" s="17">
        <v>120964000</v>
      </c>
      <c r="S206" s="17">
        <v>29727000</v>
      </c>
      <c r="T206" s="17">
        <v>23410000</v>
      </c>
      <c r="U206" s="17">
        <v>79414000</v>
      </c>
      <c r="V206" s="17">
        <v>127000</v>
      </c>
      <c r="W206" s="17">
        <v>19284000</v>
      </c>
      <c r="X206" s="17">
        <v>-1669500000</v>
      </c>
      <c r="Y206" s="17">
        <v>-1889532000</v>
      </c>
      <c r="Z206" s="17">
        <v>-1889532000</v>
      </c>
      <c r="AA206" s="17">
        <v>-1945684000</v>
      </c>
      <c r="AB206" s="17">
        <v>-1946044000</v>
      </c>
      <c r="AC206" s="17">
        <v>76949000</v>
      </c>
      <c r="AD206" s="17">
        <v>76949000</v>
      </c>
      <c r="AE206" s="17">
        <v>76949000</v>
      </c>
      <c r="AF206" s="17">
        <v>76949000</v>
      </c>
      <c r="AG206" s="17">
        <v>76949000</v>
      </c>
      <c r="AH206" s="17">
        <v>392470000</v>
      </c>
      <c r="AI206" s="17">
        <v>470088000</v>
      </c>
      <c r="AJ206" s="17">
        <v>470088000</v>
      </c>
      <c r="AK206" s="17">
        <v>470088000</v>
      </c>
      <c r="AL206" s="17">
        <v>489605000</v>
      </c>
      <c r="AM206" s="17">
        <v>146000</v>
      </c>
      <c r="AN206" s="17"/>
      <c r="AO206" s="17"/>
      <c r="AP206" s="17"/>
      <c r="AQ206" s="17"/>
      <c r="AR206" s="17">
        <v>6840000</v>
      </c>
      <c r="AS206" s="17">
        <v>3698000</v>
      </c>
      <c r="AT206" s="17"/>
      <c r="AU206" s="17"/>
      <c r="AV206" s="17"/>
      <c r="AW206" s="17"/>
      <c r="AX206" s="17"/>
      <c r="AY206" s="17"/>
      <c r="AZ206" s="17"/>
      <c r="BA206" s="17"/>
      <c r="BB206" s="17">
        <v>2926000</v>
      </c>
      <c r="BC206" s="17">
        <v>2825000</v>
      </c>
      <c r="BD206" s="17"/>
      <c r="BE206" s="17"/>
      <c r="BF206" s="17"/>
      <c r="BG206" s="17">
        <v>5107000</v>
      </c>
      <c r="BH206" s="17">
        <v>9013000</v>
      </c>
      <c r="BI206" s="17"/>
      <c r="BJ206" s="17"/>
      <c r="BK206" s="17"/>
      <c r="BL206" s="17">
        <v>4368000</v>
      </c>
      <c r="BM206" s="17">
        <v>220823000</v>
      </c>
      <c r="BN206" s="17"/>
      <c r="BO206" s="17">
        <v>56152000</v>
      </c>
      <c r="BP206" s="17">
        <v>360000</v>
      </c>
      <c r="BQ206" s="17">
        <v>-16990000</v>
      </c>
      <c r="BR206" s="17">
        <v>-220031000</v>
      </c>
      <c r="BS206" s="17"/>
      <c r="BT206" s="17">
        <v>-56152000</v>
      </c>
      <c r="BU206" s="17">
        <v>-360000</v>
      </c>
    </row>
    <row r="207" spans="1:73" x14ac:dyDescent="0.25">
      <c r="A207" s="16">
        <v>120</v>
      </c>
      <c r="B207" s="17">
        <v>25</v>
      </c>
      <c r="C207" s="18" t="s">
        <v>503</v>
      </c>
      <c r="D207" s="17">
        <v>3280000</v>
      </c>
      <c r="E207" s="17">
        <v>1890000</v>
      </c>
      <c r="F207" s="17"/>
      <c r="G207" s="17"/>
      <c r="H207" s="17"/>
      <c r="I207" s="17"/>
      <c r="J207" s="17"/>
      <c r="K207" s="17"/>
      <c r="L207" s="17"/>
      <c r="M207" s="17"/>
      <c r="N207" s="17">
        <v>255446000</v>
      </c>
      <c r="O207" s="17">
        <v>198875000</v>
      </c>
      <c r="P207" s="17">
        <v>25472000</v>
      </c>
      <c r="Q207" s="17">
        <v>25472000</v>
      </c>
      <c r="R207" s="17">
        <v>25472000</v>
      </c>
      <c r="S207" s="17"/>
      <c r="T207" s="17">
        <v>30274000</v>
      </c>
      <c r="U207" s="17">
        <v>20272000</v>
      </c>
      <c r="V207" s="17">
        <v>21340000</v>
      </c>
      <c r="W207" s="17">
        <v>21899000</v>
      </c>
      <c r="X207" s="17">
        <v>-580880000</v>
      </c>
      <c r="Y207" s="17">
        <v>-581949000</v>
      </c>
      <c r="Z207" s="17">
        <v>-745739000</v>
      </c>
      <c r="AA207" s="17">
        <v>-746302000</v>
      </c>
      <c r="AB207" s="17">
        <v>-751292000</v>
      </c>
      <c r="AC207" s="17"/>
      <c r="AD207" s="17"/>
      <c r="AE207" s="17"/>
      <c r="AF207" s="17"/>
      <c r="AG207" s="17"/>
      <c r="AH207" s="17">
        <v>855385000</v>
      </c>
      <c r="AI207" s="17">
        <v>734238000</v>
      </c>
      <c r="AJ207" s="17">
        <v>712733000</v>
      </c>
      <c r="AK207" s="17">
        <v>714364000</v>
      </c>
      <c r="AL207" s="17">
        <v>719913000</v>
      </c>
      <c r="AM207" s="17">
        <v>22111000</v>
      </c>
      <c r="AN207" s="17">
        <v>8686000</v>
      </c>
      <c r="AO207" s="17">
        <v>6651000</v>
      </c>
      <c r="AP207" s="17">
        <v>153000</v>
      </c>
      <c r="AQ207" s="17"/>
      <c r="AR207" s="17">
        <v>4298000</v>
      </c>
      <c r="AS207" s="17"/>
      <c r="AT207" s="17"/>
      <c r="AU207" s="17"/>
      <c r="AV207" s="17"/>
      <c r="AW207" s="17"/>
      <c r="AX207" s="17"/>
      <c r="AY207" s="17"/>
      <c r="AZ207" s="17"/>
      <c r="BA207" s="17"/>
      <c r="BB207" s="17">
        <v>21734000</v>
      </c>
      <c r="BC207" s="17">
        <v>11753000</v>
      </c>
      <c r="BD207" s="17">
        <v>7152000</v>
      </c>
      <c r="BE207" s="17">
        <v>1266000</v>
      </c>
      <c r="BF207" s="17">
        <v>10373000</v>
      </c>
      <c r="BG207" s="17">
        <v>269000</v>
      </c>
      <c r="BH207" s="17">
        <v>3458000</v>
      </c>
      <c r="BI207" s="17">
        <v>580000</v>
      </c>
      <c r="BJ207" s="17">
        <v>740000</v>
      </c>
      <c r="BK207" s="17">
        <v>5986000</v>
      </c>
      <c r="BL207" s="17">
        <v>2342000</v>
      </c>
      <c r="BM207" s="17">
        <v>1460000</v>
      </c>
      <c r="BN207" s="17">
        <v>371000</v>
      </c>
      <c r="BO207" s="17">
        <v>190000</v>
      </c>
      <c r="BP207" s="17">
        <v>603000</v>
      </c>
      <c r="BQ207" s="17">
        <v>-5168000</v>
      </c>
      <c r="BR207" s="17">
        <v>-1069000</v>
      </c>
      <c r="BS207" s="17">
        <v>-292000</v>
      </c>
      <c r="BT207" s="17">
        <v>-563000</v>
      </c>
      <c r="BU207" s="17">
        <v>-4990000</v>
      </c>
    </row>
    <row r="208" spans="1:73" x14ac:dyDescent="0.25">
      <c r="A208" s="16">
        <v>78</v>
      </c>
      <c r="B208" s="17">
        <v>18</v>
      </c>
      <c r="C208" s="18" t="s">
        <v>393</v>
      </c>
      <c r="D208" s="17">
        <v>37161000</v>
      </c>
      <c r="E208" s="17">
        <v>36738000</v>
      </c>
      <c r="F208" s="17">
        <v>22919000</v>
      </c>
      <c r="G208" s="17">
        <v>22824000</v>
      </c>
      <c r="H208" s="17"/>
      <c r="I208" s="17">
        <v>21919000</v>
      </c>
      <c r="J208" s="17">
        <v>10008000</v>
      </c>
      <c r="K208" s="17">
        <v>3897000</v>
      </c>
      <c r="L208" s="17">
        <v>2108000</v>
      </c>
      <c r="M208" s="17">
        <v>14000</v>
      </c>
      <c r="N208" s="17">
        <v>19937000</v>
      </c>
      <c r="O208" s="17">
        <v>44891000</v>
      </c>
      <c r="P208" s="17">
        <v>26682000</v>
      </c>
      <c r="Q208" s="17">
        <v>25305000</v>
      </c>
      <c r="R208" s="17">
        <v>57987000</v>
      </c>
      <c r="S208" s="17">
        <v>172000</v>
      </c>
      <c r="T208" s="17">
        <v>21000</v>
      </c>
      <c r="U208" s="17">
        <v>36000</v>
      </c>
      <c r="V208" s="17">
        <v>2690000</v>
      </c>
      <c r="W208" s="17">
        <v>11086000</v>
      </c>
      <c r="X208" s="17">
        <v>-116310000</v>
      </c>
      <c r="Y208" s="17">
        <v>-117503000</v>
      </c>
      <c r="Z208" s="17">
        <v>-130802000</v>
      </c>
      <c r="AA208" s="17">
        <v>-130879000</v>
      </c>
      <c r="AB208" s="17">
        <v>-129519000</v>
      </c>
      <c r="AC208" s="17">
        <v>76452000</v>
      </c>
      <c r="AD208" s="17">
        <v>51409000</v>
      </c>
      <c r="AE208" s="17">
        <v>55850000</v>
      </c>
      <c r="AF208" s="17">
        <v>56238000</v>
      </c>
      <c r="AG208" s="17">
        <v>56238000</v>
      </c>
      <c r="AH208" s="17">
        <v>117506000</v>
      </c>
      <c r="AI208" s="17">
        <v>64091000</v>
      </c>
      <c r="AJ208" s="17">
        <v>56528000</v>
      </c>
      <c r="AK208" s="17">
        <v>57419000</v>
      </c>
      <c r="AL208" s="17">
        <v>60800000</v>
      </c>
      <c r="AM208" s="17">
        <v>66749000</v>
      </c>
      <c r="AN208" s="17">
        <v>302535000</v>
      </c>
      <c r="AO208" s="17">
        <v>53204000</v>
      </c>
      <c r="AP208" s="17">
        <v>5126000</v>
      </c>
      <c r="AQ208" s="17">
        <v>3131000</v>
      </c>
      <c r="AR208" s="17">
        <v>78808000</v>
      </c>
      <c r="AS208" s="17">
        <v>290189000</v>
      </c>
      <c r="AT208" s="17">
        <v>50749000</v>
      </c>
      <c r="AU208" s="17">
        <v>4938000</v>
      </c>
      <c r="AV208" s="17">
        <v>2492000</v>
      </c>
      <c r="AW208" s="17"/>
      <c r="AX208" s="17"/>
      <c r="AY208" s="17"/>
      <c r="AZ208" s="17"/>
      <c r="BA208" s="17">
        <v>2000</v>
      </c>
      <c r="BB208" s="17">
        <v>3911000</v>
      </c>
      <c r="BC208" s="17">
        <v>4625000</v>
      </c>
      <c r="BD208" s="17">
        <v>3410000</v>
      </c>
      <c r="BE208" s="17">
        <v>2369000</v>
      </c>
      <c r="BF208" s="17">
        <v>1874000</v>
      </c>
      <c r="BG208" s="17">
        <v>1178000</v>
      </c>
      <c r="BH208" s="17">
        <v>37000</v>
      </c>
      <c r="BI208" s="17">
        <v>10000</v>
      </c>
      <c r="BJ208" s="17">
        <v>6973000</v>
      </c>
      <c r="BK208" s="17">
        <v>44148000</v>
      </c>
      <c r="BL208" s="17">
        <v>1248000</v>
      </c>
      <c r="BM208" s="17">
        <v>1426000</v>
      </c>
      <c r="BN208" s="17">
        <v>7651000</v>
      </c>
      <c r="BO208" s="17">
        <v>4483000</v>
      </c>
      <c r="BP208" s="17">
        <v>40749000</v>
      </c>
      <c r="BQ208" s="17">
        <v>-26368000</v>
      </c>
      <c r="BR208" s="17">
        <v>-1193000</v>
      </c>
      <c r="BS208" s="17">
        <v>-13299000</v>
      </c>
      <c r="BT208" s="17">
        <v>-79000</v>
      </c>
      <c r="BU208" s="17">
        <v>1360000</v>
      </c>
    </row>
    <row r="209" spans="1:73" x14ac:dyDescent="0.25">
      <c r="A209" s="16">
        <v>9</v>
      </c>
      <c r="B209" s="17">
        <v>12</v>
      </c>
      <c r="C209" s="18" t="s">
        <v>210</v>
      </c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  <c r="BA209" s="17"/>
      <c r="BB209" s="17"/>
      <c r="BC209" s="17"/>
      <c r="BD209" s="17"/>
      <c r="BE209" s="17"/>
      <c r="BF209" s="17"/>
      <c r="BG209" s="17"/>
      <c r="BH209" s="17"/>
      <c r="BI209" s="17"/>
      <c r="BJ209" s="17"/>
      <c r="BK209" s="17"/>
      <c r="BL209" s="17"/>
      <c r="BM209" s="17"/>
      <c r="BN209" s="17"/>
      <c r="BO209" s="17"/>
      <c r="BP209" s="17"/>
      <c r="BQ209" s="17"/>
      <c r="BR209" s="17"/>
      <c r="BS209" s="17"/>
      <c r="BT209" s="17"/>
      <c r="BU209" s="17"/>
    </row>
    <row r="210" spans="1:73" x14ac:dyDescent="0.25">
      <c r="A210" s="16">
        <v>56</v>
      </c>
      <c r="B210" s="17">
        <v>16</v>
      </c>
      <c r="C210" s="18" t="s">
        <v>337</v>
      </c>
      <c r="D210" s="17">
        <v>23393000</v>
      </c>
      <c r="E210" s="17"/>
      <c r="F210" s="17"/>
      <c r="G210" s="17"/>
      <c r="H210" s="17"/>
      <c r="I210" s="17"/>
      <c r="J210" s="17"/>
      <c r="K210" s="17"/>
      <c r="L210" s="17"/>
      <c r="M210" s="17"/>
      <c r="N210" s="17">
        <v>4563000</v>
      </c>
      <c r="O210" s="17"/>
      <c r="P210" s="17"/>
      <c r="Q210" s="17"/>
      <c r="R210" s="17">
        <v>18324000</v>
      </c>
      <c r="S210" s="17">
        <v>3506000</v>
      </c>
      <c r="T210" s="17"/>
      <c r="U210" s="17"/>
      <c r="V210" s="17"/>
      <c r="W210" s="17"/>
      <c r="X210" s="17"/>
      <c r="Y210" s="17"/>
      <c r="Z210" s="17"/>
      <c r="AA210" s="17"/>
      <c r="AB210" s="17"/>
      <c r="AC210" s="17">
        <v>4282000</v>
      </c>
      <c r="AD210" s="17"/>
      <c r="AE210" s="17"/>
      <c r="AF210" s="17"/>
      <c r="AG210" s="17">
        <v>1715000</v>
      </c>
      <c r="AH210" s="17">
        <v>2409000</v>
      </c>
      <c r="AI210" s="17"/>
      <c r="AJ210" s="17"/>
      <c r="AK210" s="17"/>
      <c r="AL210" s="17">
        <v>520000</v>
      </c>
      <c r="AM210" s="17">
        <v>631000</v>
      </c>
      <c r="AN210" s="17"/>
      <c r="AO210" s="17"/>
      <c r="AP210" s="17"/>
      <c r="AQ210" s="17"/>
      <c r="AR210" s="17">
        <v>3392000</v>
      </c>
      <c r="AS210" s="17"/>
      <c r="AT210" s="17"/>
      <c r="AU210" s="17"/>
      <c r="AV210" s="17"/>
      <c r="AW210" s="17"/>
      <c r="AX210" s="17"/>
      <c r="AY210" s="17"/>
      <c r="AZ210" s="17"/>
      <c r="BA210" s="17"/>
      <c r="BB210" s="17"/>
      <c r="BC210" s="17"/>
      <c r="BD210" s="17"/>
      <c r="BE210" s="17"/>
      <c r="BF210" s="17"/>
      <c r="BG210" s="17">
        <v>146000</v>
      </c>
      <c r="BH210" s="17"/>
      <c r="BI210" s="17"/>
      <c r="BJ210" s="17"/>
      <c r="BK210" s="17"/>
      <c r="BL210" s="17">
        <v>53000</v>
      </c>
      <c r="BM210" s="17"/>
      <c r="BN210" s="17"/>
      <c r="BO210" s="17"/>
      <c r="BP210" s="17">
        <v>213000</v>
      </c>
      <c r="BQ210" s="17">
        <v>-2701000</v>
      </c>
      <c r="BR210" s="17"/>
      <c r="BS210" s="17"/>
      <c r="BT210" s="17"/>
      <c r="BU210" s="17">
        <v>-213000</v>
      </c>
    </row>
    <row r="211" spans="1:73" ht="26.25" x14ac:dyDescent="0.25">
      <c r="A211" s="16">
        <v>72</v>
      </c>
      <c r="B211" s="17">
        <v>11</v>
      </c>
      <c r="C211" s="18" t="s">
        <v>378</v>
      </c>
      <c r="D211" s="17">
        <v>248054000</v>
      </c>
      <c r="E211" s="17"/>
      <c r="F211" s="17"/>
      <c r="G211" s="17"/>
      <c r="H211" s="17"/>
      <c r="I211" s="17"/>
      <c r="J211" s="17"/>
      <c r="K211" s="17"/>
      <c r="L211" s="17"/>
      <c r="M211" s="17"/>
      <c r="N211" s="17">
        <v>47251000</v>
      </c>
      <c r="O211" s="17"/>
      <c r="P211" s="17"/>
      <c r="Q211" s="17"/>
      <c r="R211" s="17"/>
      <c r="S211" s="17"/>
      <c r="T211" s="17"/>
      <c r="U211" s="17"/>
      <c r="V211" s="17"/>
      <c r="W211" s="17"/>
      <c r="X211" s="17">
        <v>-798065000</v>
      </c>
      <c r="Y211" s="17">
        <v>-844460000</v>
      </c>
      <c r="Z211" s="17">
        <v>-844730000</v>
      </c>
      <c r="AA211" s="17">
        <v>-844730000</v>
      </c>
      <c r="AB211" s="17">
        <v>-844730000</v>
      </c>
      <c r="AC211" s="17">
        <v>3808000</v>
      </c>
      <c r="AD211" s="17">
        <v>808000</v>
      </c>
      <c r="AE211" s="17">
        <v>808000</v>
      </c>
      <c r="AF211" s="17">
        <v>808000</v>
      </c>
      <c r="AG211" s="17">
        <v>808000</v>
      </c>
      <c r="AH211" s="17">
        <v>589161000</v>
      </c>
      <c r="AI211" s="17">
        <v>343251000</v>
      </c>
      <c r="AJ211" s="17">
        <v>343521000</v>
      </c>
      <c r="AK211" s="17">
        <v>343521000</v>
      </c>
      <c r="AL211" s="17">
        <v>343521000</v>
      </c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  <c r="BA211" s="17"/>
      <c r="BB211" s="17"/>
      <c r="BC211" s="17"/>
      <c r="BD211" s="17"/>
      <c r="BE211" s="17"/>
      <c r="BF211" s="17"/>
      <c r="BG211" s="17">
        <v>250570000</v>
      </c>
      <c r="BH211" s="17"/>
      <c r="BI211" s="17"/>
      <c r="BJ211" s="17"/>
      <c r="BK211" s="17"/>
      <c r="BL211" s="17">
        <v>286265000</v>
      </c>
      <c r="BM211" s="17">
        <v>46395000</v>
      </c>
      <c r="BN211" s="17">
        <v>270000</v>
      </c>
      <c r="BO211" s="17"/>
      <c r="BP211" s="17"/>
      <c r="BQ211" s="17">
        <v>-35695000</v>
      </c>
      <c r="BR211" s="17">
        <v>-46395000</v>
      </c>
      <c r="BS211" s="17">
        <v>-270000</v>
      </c>
      <c r="BT211" s="17"/>
      <c r="BU211" s="17"/>
    </row>
    <row r="212" spans="1:73" ht="26.25" x14ac:dyDescent="0.25">
      <c r="A212" s="16">
        <v>192</v>
      </c>
      <c r="B212" s="17">
        <v>18</v>
      </c>
      <c r="C212" s="18" t="s">
        <v>378</v>
      </c>
      <c r="D212" s="17">
        <v>87936000</v>
      </c>
      <c r="E212" s="17">
        <v>87217000</v>
      </c>
      <c r="F212" s="17">
        <v>86500000</v>
      </c>
      <c r="G212" s="17">
        <v>31145000</v>
      </c>
      <c r="H212" s="17"/>
      <c r="I212" s="17">
        <v>21380000</v>
      </c>
      <c r="J212" s="17">
        <v>21598000</v>
      </c>
      <c r="K212" s="17">
        <v>21864000</v>
      </c>
      <c r="L212" s="17">
        <v>22129000</v>
      </c>
      <c r="M212" s="17">
        <v>22316000</v>
      </c>
      <c r="N212" s="17">
        <v>219016000</v>
      </c>
      <c r="O212" s="17">
        <v>193017000</v>
      </c>
      <c r="P212" s="17">
        <v>195136000</v>
      </c>
      <c r="Q212" s="17">
        <v>196825000</v>
      </c>
      <c r="R212" s="17">
        <v>170156000</v>
      </c>
      <c r="S212" s="17">
        <v>5614000</v>
      </c>
      <c r="T212" s="17">
        <v>34138000</v>
      </c>
      <c r="U212" s="17">
        <v>30643000</v>
      </c>
      <c r="V212" s="17">
        <v>27278000</v>
      </c>
      <c r="W212" s="17">
        <v>26563000</v>
      </c>
      <c r="X212" s="17">
        <v>-144285000</v>
      </c>
      <c r="Y212" s="17">
        <v>-146209000</v>
      </c>
      <c r="Z212" s="17">
        <v>-147098000</v>
      </c>
      <c r="AA212" s="17">
        <v>-136731000</v>
      </c>
      <c r="AB212" s="17">
        <v>-245686000</v>
      </c>
      <c r="AC212" s="17">
        <v>170638000</v>
      </c>
      <c r="AD212" s="17">
        <v>170638000</v>
      </c>
      <c r="AE212" s="17">
        <v>170638000</v>
      </c>
      <c r="AF212" s="17">
        <v>170638000</v>
      </c>
      <c r="AG212" s="17">
        <v>170638000</v>
      </c>
      <c r="AH212" s="17">
        <v>292356000</v>
      </c>
      <c r="AI212" s="17">
        <v>296051000</v>
      </c>
      <c r="AJ212" s="17">
        <v>316313000</v>
      </c>
      <c r="AK212" s="17">
        <v>267608000</v>
      </c>
      <c r="AL212" s="17">
        <v>318221000</v>
      </c>
      <c r="AM212" s="17">
        <v>2664000</v>
      </c>
      <c r="AN212" s="17">
        <v>1146000</v>
      </c>
      <c r="AO212" s="17">
        <v>2512000</v>
      </c>
      <c r="AP212" s="17">
        <v>2363000</v>
      </c>
      <c r="AQ212" s="17">
        <v>443000</v>
      </c>
      <c r="AR212" s="17">
        <v>3175000</v>
      </c>
      <c r="AS212" s="17">
        <v>598000</v>
      </c>
      <c r="AT212" s="17">
        <v>598000</v>
      </c>
      <c r="AU212" s="17">
        <v>537000</v>
      </c>
      <c r="AV212" s="17">
        <v>13000</v>
      </c>
      <c r="AW212" s="17"/>
      <c r="AX212" s="17"/>
      <c r="AY212" s="17"/>
      <c r="AZ212" s="17"/>
      <c r="BA212" s="17"/>
      <c r="BB212" s="17">
        <v>4983000</v>
      </c>
      <c r="BC212" s="17">
        <v>2014000</v>
      </c>
      <c r="BD212" s="17">
        <v>2492000</v>
      </c>
      <c r="BE212" s="17">
        <v>1415000</v>
      </c>
      <c r="BF212" s="17">
        <v>579000</v>
      </c>
      <c r="BG212" s="17">
        <v>28313000</v>
      </c>
      <c r="BH212" s="17"/>
      <c r="BI212" s="17">
        <v>146000</v>
      </c>
      <c r="BJ212" s="17">
        <v>44731000</v>
      </c>
      <c r="BK212" s="17">
        <v>2291000</v>
      </c>
      <c r="BL212" s="17">
        <v>61497000</v>
      </c>
      <c r="BM212" s="17">
        <v>458000</v>
      </c>
      <c r="BN212" s="17">
        <v>457000</v>
      </c>
      <c r="BO212" s="17">
        <v>56912000</v>
      </c>
      <c r="BP212" s="17">
        <v>111097000</v>
      </c>
      <c r="BQ212" s="17">
        <v>-38678000</v>
      </c>
      <c r="BR212" s="17">
        <v>-1924000</v>
      </c>
      <c r="BS212" s="17">
        <v>-889000</v>
      </c>
      <c r="BT212" s="17">
        <v>-10337000</v>
      </c>
      <c r="BU212" s="17">
        <v>-108955000</v>
      </c>
    </row>
    <row r="213" spans="1:73" ht="26.25" x14ac:dyDescent="0.25">
      <c r="A213" s="16">
        <v>115</v>
      </c>
      <c r="B213" s="17">
        <v>10</v>
      </c>
      <c r="C213" s="18" t="s">
        <v>488</v>
      </c>
      <c r="D213" s="17"/>
      <c r="E213" s="17"/>
      <c r="F213" s="17"/>
      <c r="G213" s="17"/>
      <c r="H213" s="17"/>
      <c r="I213" s="17">
        <v>1620000</v>
      </c>
      <c r="J213" s="17"/>
      <c r="K213" s="17"/>
      <c r="L213" s="17"/>
      <c r="M213" s="17"/>
      <c r="N213" s="17">
        <v>24356000</v>
      </c>
      <c r="O213" s="17"/>
      <c r="P213" s="17"/>
      <c r="Q213" s="17"/>
      <c r="R213" s="17"/>
      <c r="S213" s="17">
        <v>3000</v>
      </c>
      <c r="T213" s="17"/>
      <c r="U213" s="17"/>
      <c r="V213" s="17"/>
      <c r="W213" s="17"/>
      <c r="X213" s="17">
        <v>1951000</v>
      </c>
      <c r="Y213" s="17"/>
      <c r="Z213" s="17"/>
      <c r="AA213" s="17"/>
      <c r="AB213" s="17"/>
      <c r="AC213" s="17">
        <v>315000</v>
      </c>
      <c r="AD213" s="17"/>
      <c r="AE213" s="17"/>
      <c r="AF213" s="17"/>
      <c r="AG213" s="17"/>
      <c r="AH213" s="17">
        <v>23803000</v>
      </c>
      <c r="AI213" s="17"/>
      <c r="AJ213" s="17"/>
      <c r="AK213" s="17"/>
      <c r="AL213" s="17"/>
      <c r="AM213" s="17">
        <v>26580000</v>
      </c>
      <c r="AN213" s="17"/>
      <c r="AO213" s="17"/>
      <c r="AP213" s="17"/>
      <c r="AQ213" s="17"/>
      <c r="AR213" s="17">
        <v>26361000</v>
      </c>
      <c r="AS213" s="17"/>
      <c r="AT213" s="17"/>
      <c r="AU213" s="17"/>
      <c r="AV213" s="17"/>
      <c r="AW213" s="17"/>
      <c r="AX213" s="17"/>
      <c r="AY213" s="17"/>
      <c r="AZ213" s="17"/>
      <c r="BA213" s="17"/>
      <c r="BB213" s="17">
        <v>109000</v>
      </c>
      <c r="BC213" s="17"/>
      <c r="BD213" s="17"/>
      <c r="BE213" s="17"/>
      <c r="BF213" s="17"/>
      <c r="BG213" s="17"/>
      <c r="BH213" s="17"/>
      <c r="BI213" s="17"/>
      <c r="BJ213" s="17"/>
      <c r="BK213" s="17"/>
      <c r="BL213" s="17">
        <v>33000</v>
      </c>
      <c r="BM213" s="17"/>
      <c r="BN213" s="17"/>
      <c r="BO213" s="17"/>
      <c r="BP213" s="17"/>
      <c r="BQ213" s="17">
        <v>62000</v>
      </c>
      <c r="BR213" s="17"/>
      <c r="BS213" s="17"/>
      <c r="BT213" s="17"/>
      <c r="BU213" s="17"/>
    </row>
    <row r="214" spans="1:73" ht="26.25" x14ac:dyDescent="0.25">
      <c r="A214" s="16">
        <v>248</v>
      </c>
      <c r="B214" s="17">
        <v>16</v>
      </c>
      <c r="C214" s="18" t="s">
        <v>807</v>
      </c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>
        <v>143299000</v>
      </c>
      <c r="AK214" s="17"/>
      <c r="AL214" s="17"/>
      <c r="AM214" s="17"/>
      <c r="AN214" s="17"/>
      <c r="AO214" s="17"/>
      <c r="AP214" s="17"/>
      <c r="AQ214" s="17"/>
      <c r="AR214" s="17"/>
      <c r="AS214" s="17"/>
      <c r="AT214" s="17">
        <v>242000</v>
      </c>
      <c r="AU214" s="17"/>
      <c r="AV214" s="17"/>
      <c r="AW214" s="17"/>
      <c r="AX214" s="17"/>
      <c r="AY214" s="17"/>
      <c r="AZ214" s="17"/>
      <c r="BA214" s="17"/>
      <c r="BB214" s="17"/>
      <c r="BC214" s="17"/>
      <c r="BD214" s="17"/>
      <c r="BE214" s="17"/>
      <c r="BF214" s="17"/>
      <c r="BG214" s="17"/>
      <c r="BH214" s="17"/>
      <c r="BI214" s="17"/>
      <c r="BJ214" s="17"/>
      <c r="BK214" s="17"/>
      <c r="BL214" s="17"/>
      <c r="BM214" s="17"/>
      <c r="BN214" s="17">
        <v>18000</v>
      </c>
      <c r="BO214" s="17"/>
      <c r="BP214" s="17"/>
      <c r="BQ214" s="17"/>
      <c r="BR214" s="17"/>
      <c r="BS214" s="17">
        <v>-260000</v>
      </c>
      <c r="BT214" s="17"/>
      <c r="BU214" s="17"/>
    </row>
    <row r="215" spans="1:73" x14ac:dyDescent="0.25">
      <c r="A215" s="16">
        <v>229</v>
      </c>
      <c r="B215" s="17">
        <v>9</v>
      </c>
      <c r="C215" s="18" t="s">
        <v>763</v>
      </c>
      <c r="D215" s="17"/>
      <c r="E215" s="17">
        <v>1365000</v>
      </c>
      <c r="F215" s="17">
        <v>5364000</v>
      </c>
      <c r="G215" s="17"/>
      <c r="H215" s="17"/>
      <c r="I215" s="17"/>
      <c r="J215" s="17"/>
      <c r="K215" s="17"/>
      <c r="L215" s="17"/>
      <c r="M215" s="17"/>
      <c r="N215" s="17">
        <v>1833000</v>
      </c>
      <c r="O215" s="17">
        <v>4591000</v>
      </c>
      <c r="P215" s="17">
        <v>7746000</v>
      </c>
      <c r="Q215" s="17">
        <v>2807000</v>
      </c>
      <c r="R215" s="17"/>
      <c r="S215" s="17">
        <v>476000</v>
      </c>
      <c r="T215" s="17">
        <v>1033000</v>
      </c>
      <c r="U215" s="17">
        <v>66000</v>
      </c>
      <c r="V215" s="17"/>
      <c r="W215" s="17"/>
      <c r="X215" s="17">
        <v>1666000</v>
      </c>
      <c r="Y215" s="17">
        <v>4682000</v>
      </c>
      <c r="Z215" s="17">
        <v>8929000</v>
      </c>
      <c r="AA215" s="17">
        <v>275000</v>
      </c>
      <c r="AB215" s="17"/>
      <c r="AC215" s="17"/>
      <c r="AD215" s="17">
        <v>12000</v>
      </c>
      <c r="AE215" s="17"/>
      <c r="AF215" s="17"/>
      <c r="AG215" s="17"/>
      <c r="AH215" s="17">
        <v>543000</v>
      </c>
      <c r="AI215" s="17">
        <v>683000</v>
      </c>
      <c r="AJ215" s="17">
        <v>1470000</v>
      </c>
      <c r="AK215" s="17">
        <v>2282000</v>
      </c>
      <c r="AL215" s="17"/>
      <c r="AM215" s="17">
        <v>11614000</v>
      </c>
      <c r="AN215" s="17">
        <v>31532000</v>
      </c>
      <c r="AO215" s="17">
        <v>71060000</v>
      </c>
      <c r="AP215" s="17">
        <v>94610000</v>
      </c>
      <c r="AQ215" s="17"/>
      <c r="AR215" s="17"/>
      <c r="AS215" s="17">
        <v>19861000</v>
      </c>
      <c r="AT215" s="17">
        <v>37439000</v>
      </c>
      <c r="AU215" s="17">
        <v>50012000</v>
      </c>
      <c r="AV215" s="17"/>
      <c r="AW215" s="17"/>
      <c r="AX215" s="17"/>
      <c r="AY215" s="17"/>
      <c r="AZ215" s="17"/>
      <c r="BA215" s="17"/>
      <c r="BB215" s="17">
        <v>11096000</v>
      </c>
      <c r="BC215" s="17"/>
      <c r="BD215" s="17"/>
      <c r="BE215" s="17"/>
      <c r="BF215" s="17"/>
      <c r="BG215" s="17"/>
      <c r="BH215" s="17"/>
      <c r="BI215" s="17">
        <v>4000</v>
      </c>
      <c r="BJ215" s="17">
        <v>19000</v>
      </c>
      <c r="BK215" s="17"/>
      <c r="BL215" s="17">
        <v>41000</v>
      </c>
      <c r="BM215" s="17">
        <v>279000</v>
      </c>
      <c r="BN215" s="17">
        <v>1948000</v>
      </c>
      <c r="BO215" s="17">
        <v>40066000</v>
      </c>
      <c r="BP215" s="17"/>
      <c r="BQ215" s="17">
        <v>-187000</v>
      </c>
      <c r="BR215" s="17">
        <v>9959000</v>
      </c>
      <c r="BS215" s="17">
        <v>27402000</v>
      </c>
      <c r="BT215" s="17">
        <v>274000</v>
      </c>
      <c r="BU215" s="17"/>
    </row>
    <row r="216" spans="1:73" x14ac:dyDescent="0.25">
      <c r="A216" s="16">
        <v>154</v>
      </c>
      <c r="B216" s="17">
        <v>18</v>
      </c>
      <c r="C216" s="18" t="s">
        <v>587</v>
      </c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  <c r="BA216" s="17"/>
      <c r="BB216" s="17"/>
      <c r="BC216" s="17"/>
      <c r="BD216" s="17"/>
      <c r="BE216" s="17"/>
      <c r="BF216" s="17"/>
      <c r="BG216" s="17"/>
      <c r="BH216" s="17"/>
      <c r="BI216" s="17"/>
      <c r="BJ216" s="17"/>
      <c r="BK216" s="17"/>
      <c r="BL216" s="17"/>
      <c r="BM216" s="17"/>
      <c r="BN216" s="17"/>
      <c r="BO216" s="17"/>
      <c r="BP216" s="17"/>
      <c r="BQ216" s="17"/>
      <c r="BR216" s="17"/>
      <c r="BS216" s="17"/>
      <c r="BT216" s="17"/>
      <c r="BU216" s="17"/>
    </row>
    <row r="217" spans="1:73" x14ac:dyDescent="0.25">
      <c r="A217" s="16">
        <v>10</v>
      </c>
      <c r="B217" s="17">
        <v>8</v>
      </c>
      <c r="C217" s="18" t="s">
        <v>213</v>
      </c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>
        <v>10000000</v>
      </c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  <c r="BA217" s="17"/>
      <c r="BB217" s="17"/>
      <c r="BC217" s="17"/>
      <c r="BD217" s="17"/>
      <c r="BE217" s="17"/>
      <c r="BF217" s="17"/>
      <c r="BG217" s="17"/>
      <c r="BH217" s="17"/>
      <c r="BI217" s="17"/>
      <c r="BJ217" s="17"/>
      <c r="BK217" s="17"/>
      <c r="BL217" s="17"/>
      <c r="BM217" s="17"/>
      <c r="BN217" s="17"/>
      <c r="BO217" s="17"/>
      <c r="BP217" s="17"/>
      <c r="BQ217" s="17"/>
      <c r="BR217" s="17"/>
      <c r="BS217" s="17"/>
      <c r="BT217" s="17"/>
      <c r="BU217" s="17"/>
    </row>
    <row r="218" spans="1:73" x14ac:dyDescent="0.25">
      <c r="A218" s="16">
        <v>44</v>
      </c>
      <c r="B218" s="17">
        <v>12</v>
      </c>
      <c r="C218" s="18" t="s">
        <v>306</v>
      </c>
      <c r="D218" s="17"/>
      <c r="E218" s="17">
        <v>917000</v>
      </c>
      <c r="F218" s="17"/>
      <c r="G218" s="17"/>
      <c r="H218" s="17"/>
      <c r="I218" s="17">
        <v>5907000</v>
      </c>
      <c r="J218" s="17">
        <v>2331000</v>
      </c>
      <c r="K218" s="17">
        <v>105000</v>
      </c>
      <c r="L218" s="17"/>
      <c r="M218" s="17"/>
      <c r="N218" s="17">
        <v>24055000</v>
      </c>
      <c r="O218" s="17">
        <v>19855000</v>
      </c>
      <c r="P218" s="17">
        <v>5592000</v>
      </c>
      <c r="Q218" s="17"/>
      <c r="R218" s="17"/>
      <c r="S218" s="17">
        <v>24000</v>
      </c>
      <c r="T218" s="17">
        <v>10000</v>
      </c>
      <c r="U218" s="17">
        <v>7000</v>
      </c>
      <c r="V218" s="17"/>
      <c r="W218" s="17"/>
      <c r="X218" s="17">
        <v>-40562000</v>
      </c>
      <c r="Y218" s="17">
        <v>-77181000</v>
      </c>
      <c r="Z218" s="17">
        <v>-83520000</v>
      </c>
      <c r="AA218" s="17"/>
      <c r="AB218" s="17"/>
      <c r="AC218" s="17">
        <v>27946000</v>
      </c>
      <c r="AD218" s="17">
        <v>12930000</v>
      </c>
      <c r="AE218" s="17">
        <v>2665000</v>
      </c>
      <c r="AF218" s="17"/>
      <c r="AG218" s="17"/>
      <c r="AH218" s="17">
        <v>48737000</v>
      </c>
      <c r="AI218" s="17">
        <v>73373000</v>
      </c>
      <c r="AJ218" s="17">
        <v>75135000</v>
      </c>
      <c r="AK218" s="17"/>
      <c r="AL218" s="17"/>
      <c r="AM218" s="17">
        <v>7050000</v>
      </c>
      <c r="AN218" s="17">
        <v>100000</v>
      </c>
      <c r="AO218" s="17">
        <v>25000</v>
      </c>
      <c r="AP218" s="17"/>
      <c r="AQ218" s="17"/>
      <c r="AR218" s="17">
        <v>4941000</v>
      </c>
      <c r="AS218" s="17"/>
      <c r="AT218" s="17"/>
      <c r="AU218" s="17"/>
      <c r="AV218" s="17"/>
      <c r="AW218" s="17"/>
      <c r="AX218" s="17"/>
      <c r="AY218" s="17"/>
      <c r="AZ218" s="17"/>
      <c r="BA218" s="17"/>
      <c r="BB218" s="17">
        <v>4996000</v>
      </c>
      <c r="BC218" s="17">
        <v>4337000</v>
      </c>
      <c r="BD218" s="17">
        <v>1267000</v>
      </c>
      <c r="BE218" s="17"/>
      <c r="BF218" s="17"/>
      <c r="BG218" s="17">
        <v>7995000</v>
      </c>
      <c r="BH218" s="17">
        <v>13414000</v>
      </c>
      <c r="BI218" s="17">
        <v>53000</v>
      </c>
      <c r="BJ218" s="17"/>
      <c r="BK218" s="17"/>
      <c r="BL218" s="17">
        <v>13034000</v>
      </c>
      <c r="BM218" s="17">
        <v>45333000</v>
      </c>
      <c r="BN218" s="17">
        <v>6777000</v>
      </c>
      <c r="BO218" s="17"/>
      <c r="BP218" s="17"/>
      <c r="BQ218" s="17">
        <v>-6643000</v>
      </c>
      <c r="BR218" s="17">
        <v>-36619000</v>
      </c>
      <c r="BS218" s="17">
        <v>-6339000</v>
      </c>
      <c r="BT218" s="17"/>
      <c r="BU218" s="17"/>
    </row>
    <row r="219" spans="1:73" x14ac:dyDescent="0.25">
      <c r="A219" s="16">
        <v>206</v>
      </c>
      <c r="B219" s="17">
        <v>22</v>
      </c>
      <c r="C219" s="18" t="s">
        <v>306</v>
      </c>
      <c r="D219" s="17">
        <v>80768000</v>
      </c>
      <c r="E219" s="17">
        <v>42993000</v>
      </c>
      <c r="F219" s="17">
        <v>20410000</v>
      </c>
      <c r="G219" s="17">
        <v>1663000</v>
      </c>
      <c r="H219" s="17">
        <v>778000</v>
      </c>
      <c r="I219" s="17">
        <v>1054404000</v>
      </c>
      <c r="J219" s="17">
        <v>964323000</v>
      </c>
      <c r="K219" s="17">
        <v>1017474000</v>
      </c>
      <c r="L219" s="17">
        <v>1017474000</v>
      </c>
      <c r="M219" s="17"/>
      <c r="N219" s="17">
        <v>2785228000</v>
      </c>
      <c r="O219" s="17">
        <v>1743471000</v>
      </c>
      <c r="P219" s="17">
        <v>1631576000</v>
      </c>
      <c r="Q219" s="17">
        <v>1410386000</v>
      </c>
      <c r="R219" s="17">
        <v>1216584000</v>
      </c>
      <c r="S219" s="17">
        <v>17729000</v>
      </c>
      <c r="T219" s="17">
        <v>299000</v>
      </c>
      <c r="U219" s="17">
        <v>24141000</v>
      </c>
      <c r="V219" s="17">
        <v>347935000</v>
      </c>
      <c r="W219" s="17">
        <v>252468000</v>
      </c>
      <c r="X219" s="17">
        <v>512226000</v>
      </c>
      <c r="Y219" s="17">
        <v>407413000</v>
      </c>
      <c r="Z219" s="17">
        <v>-763743000</v>
      </c>
      <c r="AA219" s="17">
        <v>-566690000</v>
      </c>
      <c r="AB219" s="17">
        <v>-1799313000</v>
      </c>
      <c r="AC219" s="17">
        <v>185960000</v>
      </c>
      <c r="AD219" s="17">
        <v>185960000</v>
      </c>
      <c r="AE219" s="17">
        <v>185960000</v>
      </c>
      <c r="AF219" s="17">
        <v>185960000</v>
      </c>
      <c r="AG219" s="17">
        <v>185960000</v>
      </c>
      <c r="AH219" s="17">
        <v>11890699000</v>
      </c>
      <c r="AI219" s="17">
        <v>2265298000</v>
      </c>
      <c r="AJ219" s="17">
        <v>2172656000</v>
      </c>
      <c r="AK219" s="17">
        <v>2020871000</v>
      </c>
      <c r="AL219" s="17">
        <v>1936005000</v>
      </c>
      <c r="AM219" s="17">
        <v>3678378000</v>
      </c>
      <c r="AN219" s="17">
        <v>1410179000</v>
      </c>
      <c r="AO219" s="17">
        <v>16387000</v>
      </c>
      <c r="AP219" s="17">
        <v>6938000</v>
      </c>
      <c r="AQ219" s="17">
        <v>706000</v>
      </c>
      <c r="AR219" s="17">
        <v>3632067000</v>
      </c>
      <c r="AS219" s="17">
        <v>1426265000</v>
      </c>
      <c r="AT219" s="17">
        <v>17632000</v>
      </c>
      <c r="AU219" s="17">
        <v>6686000</v>
      </c>
      <c r="AV219" s="17">
        <v>12609000</v>
      </c>
      <c r="AW219" s="17">
        <v>300000</v>
      </c>
      <c r="AX219" s="17">
        <v>205000</v>
      </c>
      <c r="AY219" s="17"/>
      <c r="AZ219" s="17"/>
      <c r="BA219" s="17"/>
      <c r="BB219" s="17">
        <v>203090000</v>
      </c>
      <c r="BC219" s="17">
        <v>121495000</v>
      </c>
      <c r="BD219" s="17">
        <v>10499000</v>
      </c>
      <c r="BE219" s="17">
        <v>15712000</v>
      </c>
      <c r="BF219" s="17">
        <v>754000</v>
      </c>
      <c r="BG219" s="17">
        <v>227446000</v>
      </c>
      <c r="BH219" s="17">
        <v>93572000</v>
      </c>
      <c r="BI219" s="17">
        <v>8778000</v>
      </c>
      <c r="BJ219" s="17">
        <v>495748000</v>
      </c>
      <c r="BK219" s="17">
        <v>12356000</v>
      </c>
      <c r="BL219" s="17">
        <v>48299000</v>
      </c>
      <c r="BM219" s="17">
        <v>70511000</v>
      </c>
      <c r="BN219" s="17">
        <v>5865000</v>
      </c>
      <c r="BO219" s="17">
        <v>233522000</v>
      </c>
      <c r="BP219" s="17">
        <v>1182522000</v>
      </c>
      <c r="BQ219" s="17">
        <v>118000</v>
      </c>
      <c r="BR219" s="17">
        <v>-110394000</v>
      </c>
      <c r="BS219" s="17">
        <v>-8829000</v>
      </c>
      <c r="BT219" s="17">
        <v>197053000</v>
      </c>
      <c r="BU219" s="17">
        <v>-1179472000</v>
      </c>
    </row>
    <row r="220" spans="1:73" x14ac:dyDescent="0.25">
      <c r="A220" s="16">
        <v>32</v>
      </c>
      <c r="B220" s="17">
        <v>31</v>
      </c>
      <c r="C220" s="18" t="s">
        <v>274</v>
      </c>
      <c r="D220" s="17">
        <v>486406000</v>
      </c>
      <c r="E220" s="17">
        <v>452039000</v>
      </c>
      <c r="F220" s="17">
        <v>419622000</v>
      </c>
      <c r="G220" s="17">
        <v>10641000</v>
      </c>
      <c r="H220" s="17">
        <v>6033000</v>
      </c>
      <c r="I220" s="17">
        <v>45067000</v>
      </c>
      <c r="J220" s="17">
        <v>1986000</v>
      </c>
      <c r="K220" s="17">
        <v>1857000</v>
      </c>
      <c r="L220" s="17"/>
      <c r="M220" s="17"/>
      <c r="N220" s="17">
        <v>92211000</v>
      </c>
      <c r="O220" s="17">
        <v>82000000</v>
      </c>
      <c r="P220" s="17">
        <v>18678000</v>
      </c>
      <c r="Q220" s="17">
        <v>1157000</v>
      </c>
      <c r="R220" s="17">
        <v>6088000</v>
      </c>
      <c r="S220" s="17">
        <v>1843000</v>
      </c>
      <c r="T220" s="17">
        <v>161000</v>
      </c>
      <c r="U220" s="17"/>
      <c r="V220" s="17">
        <v>152000</v>
      </c>
      <c r="W220" s="17">
        <v>4071000</v>
      </c>
      <c r="X220" s="17">
        <v>-1819547000</v>
      </c>
      <c r="Y220" s="17">
        <v>-1817304000</v>
      </c>
      <c r="Z220" s="17">
        <v>-1816019000</v>
      </c>
      <c r="AA220" s="17">
        <v>-1752629000</v>
      </c>
      <c r="AB220" s="17">
        <v>-1783438000</v>
      </c>
      <c r="AC220" s="17">
        <v>273158000</v>
      </c>
      <c r="AD220" s="17">
        <v>273158000</v>
      </c>
      <c r="AE220" s="17"/>
      <c r="AF220" s="17"/>
      <c r="AG220" s="17"/>
      <c r="AH220" s="17">
        <v>1136958000</v>
      </c>
      <c r="AI220" s="17">
        <v>1051230000</v>
      </c>
      <c r="AJ220" s="17">
        <v>763945000</v>
      </c>
      <c r="AK220" s="17">
        <v>547255000</v>
      </c>
      <c r="AL220" s="17">
        <v>326462000</v>
      </c>
      <c r="AM220" s="17">
        <v>167000</v>
      </c>
      <c r="AN220" s="17">
        <v>28080000</v>
      </c>
      <c r="AO220" s="17">
        <v>16390000</v>
      </c>
      <c r="AP220" s="17">
        <v>15261000</v>
      </c>
      <c r="AQ220" s="17">
        <v>10909000</v>
      </c>
      <c r="AR220" s="17"/>
      <c r="AS220" s="17">
        <v>36527000</v>
      </c>
      <c r="AT220" s="17"/>
      <c r="AU220" s="17"/>
      <c r="AV220" s="17"/>
      <c r="AW220" s="17"/>
      <c r="AX220" s="17"/>
      <c r="AY220" s="17"/>
      <c r="AZ220" s="17"/>
      <c r="BA220" s="17"/>
      <c r="BB220" s="17">
        <v>83644000</v>
      </c>
      <c r="BC220" s="17">
        <v>73851000</v>
      </c>
      <c r="BD220" s="17">
        <v>51431000</v>
      </c>
      <c r="BE220" s="17">
        <v>35416000</v>
      </c>
      <c r="BF220" s="17">
        <v>26182000</v>
      </c>
      <c r="BG220" s="17">
        <v>57557000</v>
      </c>
      <c r="BH220" s="17">
        <v>105466000</v>
      </c>
      <c r="BI220" s="17">
        <v>376846000</v>
      </c>
      <c r="BJ220" s="17">
        <v>304201000</v>
      </c>
      <c r="BK220" s="17">
        <v>87249000</v>
      </c>
      <c r="BL220" s="17">
        <v>39796000</v>
      </c>
      <c r="BM220" s="17">
        <v>20364000</v>
      </c>
      <c r="BN220" s="17">
        <v>340241000</v>
      </c>
      <c r="BO220" s="17">
        <v>100130000</v>
      </c>
      <c r="BP220" s="17">
        <v>25609000</v>
      </c>
      <c r="BQ220" s="17">
        <v>-108176000</v>
      </c>
      <c r="BR220" s="17">
        <v>2243000</v>
      </c>
      <c r="BS220" s="17">
        <v>1285000</v>
      </c>
      <c r="BT220" s="17">
        <v>140304000</v>
      </c>
      <c r="BU220" s="17">
        <v>35625000</v>
      </c>
    </row>
    <row r="221" spans="1:73" x14ac:dyDescent="0.25">
      <c r="A221" s="16">
        <v>213</v>
      </c>
      <c r="B221" s="17">
        <v>22</v>
      </c>
      <c r="C221" s="18" t="s">
        <v>726</v>
      </c>
      <c r="D221" s="17">
        <v>64890000</v>
      </c>
      <c r="E221" s="17">
        <v>28545000</v>
      </c>
      <c r="F221" s="17">
        <v>23551000</v>
      </c>
      <c r="G221" s="17">
        <v>19124000</v>
      </c>
      <c r="H221" s="17">
        <v>28449000</v>
      </c>
      <c r="I221" s="17">
        <v>334711000</v>
      </c>
      <c r="J221" s="17">
        <v>112751000</v>
      </c>
      <c r="K221" s="17">
        <v>51346000</v>
      </c>
      <c r="L221" s="17">
        <v>19040000</v>
      </c>
      <c r="M221" s="17"/>
      <c r="N221" s="17">
        <v>806850000</v>
      </c>
      <c r="O221" s="17">
        <v>254557000</v>
      </c>
      <c r="P221" s="17">
        <v>191591000</v>
      </c>
      <c r="Q221" s="17">
        <v>171995000</v>
      </c>
      <c r="R221" s="17">
        <v>82573000</v>
      </c>
      <c r="S221" s="17">
        <v>90604000</v>
      </c>
      <c r="T221" s="17">
        <v>43660000</v>
      </c>
      <c r="U221" s="17">
        <v>261000</v>
      </c>
      <c r="V221" s="17">
        <v>78000</v>
      </c>
      <c r="W221" s="17">
        <v>4230000</v>
      </c>
      <c r="X221" s="17">
        <v>1026000</v>
      </c>
      <c r="Y221" s="17">
        <v>-30077000</v>
      </c>
      <c r="Z221" s="17">
        <v>-87459000</v>
      </c>
      <c r="AA221" s="17">
        <v>-86176000</v>
      </c>
      <c r="AB221" s="17">
        <v>-742411000</v>
      </c>
      <c r="AC221" s="17"/>
      <c r="AD221" s="17"/>
      <c r="AE221" s="17"/>
      <c r="AF221" s="17"/>
      <c r="AG221" s="17"/>
      <c r="AH221" s="17">
        <v>1345484000</v>
      </c>
      <c r="AI221" s="17">
        <v>496269000</v>
      </c>
      <c r="AJ221" s="17">
        <v>391021000</v>
      </c>
      <c r="AK221" s="17">
        <v>334409000</v>
      </c>
      <c r="AL221" s="17">
        <v>857653000</v>
      </c>
      <c r="AM221" s="17">
        <v>3435826000</v>
      </c>
      <c r="AN221" s="17">
        <v>1563840000</v>
      </c>
      <c r="AO221" s="17">
        <v>350807000</v>
      </c>
      <c r="AP221" s="17">
        <v>141565000</v>
      </c>
      <c r="AQ221" s="17"/>
      <c r="AR221" s="17">
        <v>3548818000</v>
      </c>
      <c r="AS221" s="17">
        <v>1474520000</v>
      </c>
      <c r="AT221" s="17">
        <v>338033000</v>
      </c>
      <c r="AU221" s="17">
        <v>104203000</v>
      </c>
      <c r="AV221" s="17"/>
      <c r="AW221" s="17"/>
      <c r="AX221" s="17"/>
      <c r="AY221" s="17"/>
      <c r="AZ221" s="17"/>
      <c r="BA221" s="17"/>
      <c r="BB221" s="17"/>
      <c r="BC221" s="17">
        <v>160641000</v>
      </c>
      <c r="BD221" s="17">
        <v>79023000</v>
      </c>
      <c r="BE221" s="17">
        <v>30972000</v>
      </c>
      <c r="BF221" s="17"/>
      <c r="BG221" s="17">
        <v>293456000</v>
      </c>
      <c r="BH221" s="17">
        <v>348538000</v>
      </c>
      <c r="BI221" s="17">
        <v>97867000</v>
      </c>
      <c r="BJ221" s="17">
        <v>43792000</v>
      </c>
      <c r="BK221" s="17"/>
      <c r="BL221" s="17">
        <v>300058000</v>
      </c>
      <c r="BM221" s="17">
        <v>315243000</v>
      </c>
      <c r="BN221" s="17">
        <v>101085000</v>
      </c>
      <c r="BO221" s="17">
        <v>48533000</v>
      </c>
      <c r="BP221" s="17"/>
      <c r="BQ221" s="17">
        <v>-86833000</v>
      </c>
      <c r="BR221" s="17">
        <v>-31103000</v>
      </c>
      <c r="BS221" s="17">
        <v>-58212000</v>
      </c>
      <c r="BT221" s="17">
        <v>1283000</v>
      </c>
      <c r="BU221" s="17"/>
    </row>
    <row r="222" spans="1:73" x14ac:dyDescent="0.25">
      <c r="A222" s="16">
        <v>42</v>
      </c>
      <c r="B222" s="17">
        <v>11</v>
      </c>
      <c r="C222" s="18" t="s">
        <v>300</v>
      </c>
      <c r="D222" s="17">
        <v>435415000</v>
      </c>
      <c r="E222" s="17">
        <v>463280000</v>
      </c>
      <c r="F222" s="17">
        <v>197001000</v>
      </c>
      <c r="G222" s="17">
        <v>146710000</v>
      </c>
      <c r="H222" s="17">
        <v>652440000</v>
      </c>
      <c r="I222" s="17">
        <v>46542000</v>
      </c>
      <c r="J222" s="17">
        <v>52041000</v>
      </c>
      <c r="K222" s="17">
        <v>107426000</v>
      </c>
      <c r="L222" s="17">
        <v>74876000</v>
      </c>
      <c r="M222" s="17"/>
      <c r="N222" s="17">
        <v>289242000</v>
      </c>
      <c r="O222" s="17">
        <v>510957000</v>
      </c>
      <c r="P222" s="17">
        <v>52332000</v>
      </c>
      <c r="Q222" s="17">
        <v>11872000</v>
      </c>
      <c r="R222" s="17"/>
      <c r="S222" s="17">
        <v>29339000</v>
      </c>
      <c r="T222" s="17">
        <v>5059000</v>
      </c>
      <c r="U222" s="17">
        <v>22948000</v>
      </c>
      <c r="V222" s="17">
        <v>19263000</v>
      </c>
      <c r="W222" s="17">
        <v>19263000</v>
      </c>
      <c r="X222" s="17">
        <v>-138781000</v>
      </c>
      <c r="Y222" s="17">
        <v>-262137000</v>
      </c>
      <c r="Z222" s="17">
        <v>-863815000</v>
      </c>
      <c r="AA222" s="17">
        <v>-1092041000</v>
      </c>
      <c r="AB222" s="17">
        <v>380715000</v>
      </c>
      <c r="AC222" s="17">
        <v>360916000</v>
      </c>
      <c r="AD222" s="17">
        <v>389589000</v>
      </c>
      <c r="AE222" s="17">
        <v>398183000</v>
      </c>
      <c r="AF222" s="17">
        <v>405943000</v>
      </c>
      <c r="AG222" s="17"/>
      <c r="AH222" s="17">
        <v>614017000</v>
      </c>
      <c r="AI222" s="17">
        <v>651376000</v>
      </c>
      <c r="AJ222" s="17">
        <v>803871000</v>
      </c>
      <c r="AK222" s="17">
        <v>842197000</v>
      </c>
      <c r="AL222" s="17"/>
      <c r="AM222" s="17">
        <v>1065179000</v>
      </c>
      <c r="AN222" s="17">
        <v>1179624000</v>
      </c>
      <c r="AO222" s="17">
        <v>819814000</v>
      </c>
      <c r="AP222" s="17">
        <v>363392000</v>
      </c>
      <c r="AQ222" s="17">
        <v>12372000</v>
      </c>
      <c r="AR222" s="17">
        <v>898462000</v>
      </c>
      <c r="AS222" s="17">
        <v>1110541000</v>
      </c>
      <c r="AT222" s="17">
        <v>883497000</v>
      </c>
      <c r="AU222" s="17">
        <v>428389000</v>
      </c>
      <c r="AV222" s="17">
        <v>7770000</v>
      </c>
      <c r="AW222" s="17"/>
      <c r="AX222" s="17"/>
      <c r="AY222" s="17"/>
      <c r="AZ222" s="17"/>
      <c r="BA222" s="17"/>
      <c r="BB222" s="17">
        <v>101633000</v>
      </c>
      <c r="BC222" s="17">
        <v>110639000</v>
      </c>
      <c r="BD222" s="17">
        <v>131795000</v>
      </c>
      <c r="BE222" s="17">
        <v>110061000</v>
      </c>
      <c r="BF222" s="17">
        <v>59398000</v>
      </c>
      <c r="BG222" s="17">
        <v>35504000</v>
      </c>
      <c r="BH222" s="17">
        <v>74252000</v>
      </c>
      <c r="BI222" s="17">
        <v>121544000</v>
      </c>
      <c r="BJ222" s="17">
        <v>67375000</v>
      </c>
      <c r="BK222" s="17">
        <v>4411000</v>
      </c>
      <c r="BL222" s="17">
        <v>236844000</v>
      </c>
      <c r="BM222" s="17">
        <v>169416000</v>
      </c>
      <c r="BN222" s="17">
        <v>810073000</v>
      </c>
      <c r="BO222" s="17">
        <v>84027000</v>
      </c>
      <c r="BP222" s="17">
        <v>8709000</v>
      </c>
      <c r="BQ222" s="17">
        <v>-140413000</v>
      </c>
      <c r="BR222" s="17">
        <v>-125198000</v>
      </c>
      <c r="BS222" s="17">
        <v>-767351000</v>
      </c>
      <c r="BT222" s="17">
        <v>-239250000</v>
      </c>
      <c r="BU222" s="17">
        <v>-77068000</v>
      </c>
    </row>
    <row r="223" spans="1:73" x14ac:dyDescent="0.25">
      <c r="A223" s="16">
        <v>122</v>
      </c>
      <c r="B223" s="17">
        <v>8</v>
      </c>
      <c r="C223" s="18" t="s">
        <v>508</v>
      </c>
      <c r="D223" s="17">
        <v>12749000</v>
      </c>
      <c r="E223" s="17">
        <v>11923000</v>
      </c>
      <c r="F223" s="17"/>
      <c r="G223" s="17"/>
      <c r="H223" s="17"/>
      <c r="I223" s="17">
        <v>14761000</v>
      </c>
      <c r="J223" s="17">
        <v>13417000</v>
      </c>
      <c r="K223" s="17"/>
      <c r="L223" s="17"/>
      <c r="M223" s="17"/>
      <c r="N223" s="17">
        <v>23114000</v>
      </c>
      <c r="O223" s="17">
        <v>6294000</v>
      </c>
      <c r="P223" s="17"/>
      <c r="Q223" s="17"/>
      <c r="R223" s="17"/>
      <c r="S223" s="17">
        <v>30000</v>
      </c>
      <c r="T223" s="17"/>
      <c r="U223" s="17">
        <v>10000</v>
      </c>
      <c r="V223" s="17">
        <v>10000</v>
      </c>
      <c r="W223" s="17"/>
      <c r="X223" s="17"/>
      <c r="Y223" s="17"/>
      <c r="Z223" s="17"/>
      <c r="AA223" s="17"/>
      <c r="AB223" s="17"/>
      <c r="AC223" s="17">
        <v>9254000</v>
      </c>
      <c r="AD223" s="17">
        <v>8762000</v>
      </c>
      <c r="AE223" s="17"/>
      <c r="AF223" s="17"/>
      <c r="AG223" s="17"/>
      <c r="AH223" s="17">
        <v>26775000</v>
      </c>
      <c r="AI223" s="17">
        <v>13351000</v>
      </c>
      <c r="AJ223" s="17"/>
      <c r="AK223" s="17"/>
      <c r="AL223" s="17"/>
      <c r="AM223" s="17">
        <v>27648000</v>
      </c>
      <c r="AN223" s="17">
        <v>2507000</v>
      </c>
      <c r="AO223" s="17"/>
      <c r="AP223" s="17"/>
      <c r="AQ223" s="17"/>
      <c r="AR223" s="17">
        <v>30313000</v>
      </c>
      <c r="AS223" s="17">
        <v>7401000</v>
      </c>
      <c r="AT223" s="17"/>
      <c r="AU223" s="17"/>
      <c r="AV223" s="17"/>
      <c r="AW223" s="17"/>
      <c r="AX223" s="17"/>
      <c r="AY223" s="17"/>
      <c r="AZ223" s="17"/>
      <c r="BA223" s="17"/>
      <c r="BB223" s="17"/>
      <c r="BC223" s="17"/>
      <c r="BD223" s="17"/>
      <c r="BE223" s="17"/>
      <c r="BF223" s="17"/>
      <c r="BG223" s="17">
        <v>9311000</v>
      </c>
      <c r="BH223" s="17"/>
      <c r="BI223" s="17"/>
      <c r="BJ223" s="17"/>
      <c r="BK223" s="17"/>
      <c r="BL223" s="17">
        <v>4777000</v>
      </c>
      <c r="BM223" s="17"/>
      <c r="BN223" s="17"/>
      <c r="BO223" s="17"/>
      <c r="BP223" s="17"/>
      <c r="BQ223" s="17">
        <v>454000</v>
      </c>
      <c r="BR223" s="17">
        <v>-5104000</v>
      </c>
      <c r="BS223" s="17"/>
      <c r="BT223" s="17"/>
      <c r="BU223" s="17"/>
    </row>
    <row r="224" spans="1:73" x14ac:dyDescent="0.25">
      <c r="A224" s="16">
        <v>226</v>
      </c>
      <c r="B224" s="17">
        <v>16</v>
      </c>
      <c r="C224" s="18" t="s">
        <v>755</v>
      </c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17"/>
      <c r="BA224" s="17"/>
      <c r="BB224" s="17"/>
      <c r="BC224" s="17"/>
      <c r="BD224" s="17"/>
      <c r="BE224" s="17"/>
      <c r="BF224" s="17"/>
      <c r="BG224" s="17"/>
      <c r="BH224" s="17"/>
      <c r="BI224" s="17"/>
      <c r="BJ224" s="17"/>
      <c r="BK224" s="17"/>
      <c r="BL224" s="17"/>
      <c r="BM224" s="17"/>
      <c r="BN224" s="17"/>
      <c r="BO224" s="17"/>
      <c r="BP224" s="17"/>
      <c r="BQ224" s="17"/>
      <c r="BR224" s="17"/>
      <c r="BS224" s="17"/>
      <c r="BT224" s="17"/>
      <c r="BU224" s="17"/>
    </row>
    <row r="225" spans="1:73" ht="51.75" x14ac:dyDescent="0.25">
      <c r="A225" s="16">
        <v>92</v>
      </c>
      <c r="B225" s="17">
        <v>32</v>
      </c>
      <c r="C225" s="18" t="s">
        <v>430</v>
      </c>
      <c r="D225" s="17">
        <v>198330000</v>
      </c>
      <c r="E225" s="17">
        <v>156999000</v>
      </c>
      <c r="F225" s="17">
        <v>138579000</v>
      </c>
      <c r="G225" s="17"/>
      <c r="H225" s="17"/>
      <c r="I225" s="17">
        <v>3388562000</v>
      </c>
      <c r="J225" s="17">
        <v>846489000</v>
      </c>
      <c r="K225" s="17">
        <v>600421000</v>
      </c>
      <c r="L225" s="17"/>
      <c r="M225" s="17"/>
      <c r="N225" s="17">
        <v>14857882000</v>
      </c>
      <c r="O225" s="17">
        <v>16923024000</v>
      </c>
      <c r="P225" s="17">
        <v>3602373000</v>
      </c>
      <c r="Q225" s="17"/>
      <c r="R225" s="17"/>
      <c r="S225" s="17">
        <v>44224000</v>
      </c>
      <c r="T225" s="17">
        <v>23066000</v>
      </c>
      <c r="U225" s="17">
        <v>103185000</v>
      </c>
      <c r="V225" s="17"/>
      <c r="W225" s="17"/>
      <c r="X225" s="17">
        <v>1218163000</v>
      </c>
      <c r="Y225" s="17">
        <v>1207582000</v>
      </c>
      <c r="Z225" s="17">
        <v>1204812000</v>
      </c>
      <c r="AA225" s="17"/>
      <c r="AB225" s="17"/>
      <c r="AC225" s="17">
        <v>2330775000</v>
      </c>
      <c r="AD225" s="17">
        <v>1684073000</v>
      </c>
      <c r="AE225" s="17">
        <v>1690935000</v>
      </c>
      <c r="AF225" s="17"/>
      <c r="AG225" s="17"/>
      <c r="AH225" s="17">
        <v>15602742000</v>
      </c>
      <c r="AI225" s="17">
        <v>15231757000</v>
      </c>
      <c r="AJ225" s="17">
        <v>1732302000</v>
      </c>
      <c r="AK225" s="17"/>
      <c r="AL225" s="17"/>
      <c r="AM225" s="17">
        <v>5527706000</v>
      </c>
      <c r="AN225" s="17">
        <v>4548439000</v>
      </c>
      <c r="AO225" s="17">
        <v>1204798000</v>
      </c>
      <c r="AP225" s="17"/>
      <c r="AQ225" s="17"/>
      <c r="AR225" s="17">
        <v>5116159000</v>
      </c>
      <c r="AS225" s="17">
        <v>4149345000</v>
      </c>
      <c r="AT225" s="17">
        <v>1092947000</v>
      </c>
      <c r="AU225" s="17"/>
      <c r="AV225" s="17"/>
      <c r="AW225" s="17">
        <v>109560000</v>
      </c>
      <c r="AX225" s="17">
        <v>52959000</v>
      </c>
      <c r="AY225" s="17">
        <v>14745000</v>
      </c>
      <c r="AZ225" s="17"/>
      <c r="BA225" s="17"/>
      <c r="BB225" s="17"/>
      <c r="BC225" s="17">
        <v>34824000</v>
      </c>
      <c r="BD225" s="17">
        <v>31360000</v>
      </c>
      <c r="BE225" s="17"/>
      <c r="BF225" s="17"/>
      <c r="BG225" s="17">
        <v>1385171000</v>
      </c>
      <c r="BH225" s="17">
        <v>678637000</v>
      </c>
      <c r="BI225" s="17">
        <v>372324000</v>
      </c>
      <c r="BJ225" s="17"/>
      <c r="BK225" s="17"/>
      <c r="BL225" s="17">
        <v>1460256000</v>
      </c>
      <c r="BM225" s="17">
        <v>883210000</v>
      </c>
      <c r="BN225" s="17">
        <v>419023000</v>
      </c>
      <c r="BO225" s="17"/>
      <c r="BP225" s="17"/>
      <c r="BQ225" s="17">
        <v>27133000</v>
      </c>
      <c r="BR225" s="17">
        <v>-10450000</v>
      </c>
      <c r="BS225" s="17">
        <v>628000</v>
      </c>
      <c r="BT225" s="17"/>
      <c r="BU225" s="17"/>
    </row>
    <row r="226" spans="1:73" x14ac:dyDescent="0.25">
      <c r="A226" s="16">
        <v>57</v>
      </c>
      <c r="B226" s="17">
        <v>19</v>
      </c>
      <c r="C226" s="18" t="s">
        <v>340</v>
      </c>
      <c r="D226" s="17">
        <v>57106000</v>
      </c>
      <c r="E226" s="17">
        <v>49702000</v>
      </c>
      <c r="F226" s="17">
        <v>43020000</v>
      </c>
      <c r="G226" s="17">
        <v>34898000</v>
      </c>
      <c r="H226" s="17"/>
      <c r="I226" s="17">
        <v>96881000</v>
      </c>
      <c r="J226" s="17">
        <v>96881000</v>
      </c>
      <c r="K226" s="17">
        <v>96881000</v>
      </c>
      <c r="L226" s="17">
        <v>96881000</v>
      </c>
      <c r="M226" s="17">
        <v>96881000</v>
      </c>
      <c r="N226" s="17">
        <v>462593000</v>
      </c>
      <c r="O226" s="17">
        <v>461313000</v>
      </c>
      <c r="P226" s="17">
        <v>461313000</v>
      </c>
      <c r="Q226" s="17">
        <v>461296000</v>
      </c>
      <c r="R226" s="17">
        <v>460933000</v>
      </c>
      <c r="S226" s="17">
        <v>4031000</v>
      </c>
      <c r="T226" s="17">
        <v>3281000</v>
      </c>
      <c r="U226" s="17">
        <v>16056000</v>
      </c>
      <c r="V226" s="17">
        <v>8330000</v>
      </c>
      <c r="W226" s="17">
        <v>11927000</v>
      </c>
      <c r="X226" s="17">
        <v>-1419948000</v>
      </c>
      <c r="Y226" s="17">
        <v>-1454852000</v>
      </c>
      <c r="Z226" s="17">
        <v>-1470310000</v>
      </c>
      <c r="AA226" s="17"/>
      <c r="AB226" s="17"/>
      <c r="AC226" s="17">
        <v>697878000</v>
      </c>
      <c r="AD226" s="17">
        <v>697878000</v>
      </c>
      <c r="AE226" s="17">
        <v>697878000</v>
      </c>
      <c r="AF226" s="17">
        <v>697878000</v>
      </c>
      <c r="AG226" s="17">
        <v>697510000</v>
      </c>
      <c r="AH226" s="17">
        <v>1200355000</v>
      </c>
      <c r="AI226" s="17">
        <v>1203997000</v>
      </c>
      <c r="AJ226" s="17">
        <v>1201071000</v>
      </c>
      <c r="AK226" s="17">
        <v>1195085000</v>
      </c>
      <c r="AL226" s="17">
        <v>1194331000</v>
      </c>
      <c r="AM226" s="17"/>
      <c r="AN226" s="17"/>
      <c r="AO226" s="17"/>
      <c r="AP226" s="17"/>
      <c r="AQ226" s="17"/>
      <c r="AR226" s="17"/>
      <c r="AS226" s="17"/>
      <c r="AT226" s="17"/>
      <c r="AU226" s="17"/>
      <c r="AV226" s="17">
        <v>1456000</v>
      </c>
      <c r="AW226" s="17"/>
      <c r="AX226" s="17"/>
      <c r="AY226" s="17"/>
      <c r="AZ226" s="17"/>
      <c r="BA226" s="17"/>
      <c r="BB226" s="17">
        <v>4651000</v>
      </c>
      <c r="BC226" s="17"/>
      <c r="BD226" s="17"/>
      <c r="BE226" s="17"/>
      <c r="BF226" s="17"/>
      <c r="BG226" s="17">
        <v>87900000</v>
      </c>
      <c r="BH226" s="17"/>
      <c r="BI226" s="17">
        <v>25394000</v>
      </c>
      <c r="BJ226" s="17">
        <v>7338000</v>
      </c>
      <c r="BK226" s="17">
        <v>5849000</v>
      </c>
      <c r="BL226" s="17">
        <v>1659425000</v>
      </c>
      <c r="BM226" s="17">
        <v>34904000</v>
      </c>
      <c r="BN226" s="17">
        <v>40852000</v>
      </c>
      <c r="BO226" s="17">
        <v>43271000</v>
      </c>
      <c r="BP226" s="17">
        <v>34935000</v>
      </c>
      <c r="BQ226" s="17">
        <v>-1576176000</v>
      </c>
      <c r="BR226" s="17">
        <v>-34904000</v>
      </c>
      <c r="BS226" s="17">
        <v>-15458000</v>
      </c>
      <c r="BT226" s="17">
        <v>-35933000</v>
      </c>
      <c r="BU226" s="17">
        <v>-30542000</v>
      </c>
    </row>
    <row r="227" spans="1:73" ht="26.25" x14ac:dyDescent="0.25">
      <c r="A227" s="16">
        <v>96</v>
      </c>
      <c r="B227" s="17">
        <v>13</v>
      </c>
      <c r="C227" s="18" t="s">
        <v>441</v>
      </c>
      <c r="D227" s="17"/>
      <c r="E227" s="17"/>
      <c r="F227" s="17">
        <v>72524000</v>
      </c>
      <c r="G227" s="17">
        <v>72524000</v>
      </c>
      <c r="H227" s="17">
        <v>72524000</v>
      </c>
      <c r="I227" s="17"/>
      <c r="J227" s="17"/>
      <c r="K227" s="17"/>
      <c r="L227" s="17"/>
      <c r="M227" s="17"/>
      <c r="N227" s="17">
        <v>10013000</v>
      </c>
      <c r="O227" s="17"/>
      <c r="P227" s="17"/>
      <c r="Q227" s="17"/>
      <c r="R227" s="17"/>
      <c r="S227" s="17">
        <v>220000</v>
      </c>
      <c r="T227" s="17"/>
      <c r="U227" s="17">
        <v>15000</v>
      </c>
      <c r="V227" s="17"/>
      <c r="W227" s="17">
        <v>628000</v>
      </c>
      <c r="X227" s="17">
        <v>-74194000</v>
      </c>
      <c r="Y227" s="17">
        <v>-84916000</v>
      </c>
      <c r="Z227" s="17">
        <v>-85006000</v>
      </c>
      <c r="AA227" s="17">
        <v>-309596000</v>
      </c>
      <c r="AB227" s="17">
        <v>-308390000</v>
      </c>
      <c r="AC227" s="17">
        <v>6608000</v>
      </c>
      <c r="AD227" s="17"/>
      <c r="AE227" s="17"/>
      <c r="AF227" s="17"/>
      <c r="AG227" s="17"/>
      <c r="AH227" s="17">
        <v>306496000</v>
      </c>
      <c r="AI227" s="17">
        <v>306985000</v>
      </c>
      <c r="AJ227" s="17">
        <v>307004000</v>
      </c>
      <c r="AK227" s="17">
        <v>305492000</v>
      </c>
      <c r="AL227" s="17">
        <v>304914000</v>
      </c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  <c r="BA227" s="17"/>
      <c r="BB227" s="17">
        <v>3167000</v>
      </c>
      <c r="BC227" s="17"/>
      <c r="BD227" s="17"/>
      <c r="BE227" s="17"/>
      <c r="BF227" s="17"/>
      <c r="BG227" s="17">
        <v>8333000</v>
      </c>
      <c r="BH227" s="17"/>
      <c r="BI227" s="17">
        <v>2944000</v>
      </c>
      <c r="BJ227" s="17">
        <v>5795000</v>
      </c>
      <c r="BK227" s="17">
        <v>6061000</v>
      </c>
      <c r="BL227" s="17">
        <v>80695000</v>
      </c>
      <c r="BM227" s="17">
        <v>10722000</v>
      </c>
      <c r="BN227" s="17">
        <v>3016000</v>
      </c>
      <c r="BO227" s="17">
        <v>230010000</v>
      </c>
      <c r="BP227" s="17">
        <v>4533000</v>
      </c>
      <c r="BQ227" s="17">
        <v>-75529000</v>
      </c>
      <c r="BR227" s="17">
        <v>-10722000</v>
      </c>
      <c r="BS227" s="17">
        <v>-90000</v>
      </c>
      <c r="BT227" s="17">
        <v>-224590000</v>
      </c>
      <c r="BU227" s="17">
        <v>1206000</v>
      </c>
    </row>
    <row r="228" spans="1:73" ht="26.25" x14ac:dyDescent="0.25">
      <c r="A228" s="16">
        <v>230</v>
      </c>
      <c r="B228" s="17">
        <v>23</v>
      </c>
      <c r="C228" s="18" t="s">
        <v>766</v>
      </c>
      <c r="D228" s="17">
        <v>78000</v>
      </c>
      <c r="E228" s="17">
        <v>234000</v>
      </c>
      <c r="F228" s="17"/>
      <c r="G228" s="17"/>
      <c r="H228" s="17"/>
      <c r="I228" s="17"/>
      <c r="J228" s="17"/>
      <c r="K228" s="17"/>
      <c r="L228" s="17">
        <v>35000</v>
      </c>
      <c r="M228" s="17">
        <v>57000</v>
      </c>
      <c r="N228" s="17">
        <v>2578000</v>
      </c>
      <c r="O228" s="17">
        <v>4056000</v>
      </c>
      <c r="P228" s="17">
        <v>5285000</v>
      </c>
      <c r="Q228" s="17">
        <v>17383000</v>
      </c>
      <c r="R228" s="17">
        <v>15154000</v>
      </c>
      <c r="S228" s="17">
        <v>150000</v>
      </c>
      <c r="T228" s="17">
        <v>223000</v>
      </c>
      <c r="U228" s="17">
        <v>150000</v>
      </c>
      <c r="V228" s="17">
        <v>345000</v>
      </c>
      <c r="W228" s="17">
        <v>599000</v>
      </c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>
        <v>204000</v>
      </c>
      <c r="AI228" s="17">
        <v>232000</v>
      </c>
      <c r="AJ228" s="17">
        <v>375000</v>
      </c>
      <c r="AK228" s="17">
        <v>2871000</v>
      </c>
      <c r="AL228" s="17">
        <v>1870000</v>
      </c>
      <c r="AM228" s="17">
        <v>5371000</v>
      </c>
      <c r="AN228" s="17">
        <v>6510000</v>
      </c>
      <c r="AO228" s="17">
        <v>7103000</v>
      </c>
      <c r="AP228" s="17">
        <v>5567000</v>
      </c>
      <c r="AQ228" s="17">
        <v>289000</v>
      </c>
      <c r="AR228" s="17">
        <v>2944000</v>
      </c>
      <c r="AS228" s="17">
        <v>2063000</v>
      </c>
      <c r="AT228" s="17">
        <v>3395000</v>
      </c>
      <c r="AU228" s="17">
        <v>11888000</v>
      </c>
      <c r="AV228" s="17"/>
      <c r="AW228" s="17"/>
      <c r="AX228" s="17"/>
      <c r="AY228" s="17"/>
      <c r="AZ228" s="17"/>
      <c r="BA228" s="17"/>
      <c r="BB228" s="17"/>
      <c r="BC228" s="17"/>
      <c r="BD228" s="17"/>
      <c r="BE228" s="17"/>
      <c r="BF228" s="17"/>
      <c r="BG228" s="17"/>
      <c r="BH228" s="17"/>
      <c r="BI228" s="17"/>
      <c r="BJ228" s="17">
        <v>304000</v>
      </c>
      <c r="BK228" s="17"/>
      <c r="BL228" s="17">
        <v>41000</v>
      </c>
      <c r="BM228" s="17">
        <v>81000</v>
      </c>
      <c r="BN228" s="17">
        <v>1003000</v>
      </c>
      <c r="BO228" s="17">
        <v>490000</v>
      </c>
      <c r="BP228" s="17"/>
      <c r="BQ228" s="17">
        <v>2229000</v>
      </c>
      <c r="BR228" s="17">
        <v>4171000</v>
      </c>
      <c r="BS228" s="17">
        <v>2487000</v>
      </c>
      <c r="BT228" s="17">
        <v>-6784000</v>
      </c>
      <c r="BU228" s="17">
        <v>-22454000</v>
      </c>
    </row>
    <row r="229" spans="1:73" x14ac:dyDescent="0.25">
      <c r="A229" s="16">
        <v>1</v>
      </c>
      <c r="B229" s="17">
        <v>29</v>
      </c>
      <c r="C229" s="18" t="s">
        <v>187</v>
      </c>
      <c r="D229" s="17">
        <v>22272000</v>
      </c>
      <c r="E229" s="17"/>
      <c r="F229" s="17"/>
      <c r="G229" s="17"/>
      <c r="H229" s="17"/>
      <c r="I229" s="17">
        <v>417794000</v>
      </c>
      <c r="J229" s="17"/>
      <c r="K229" s="17"/>
      <c r="L229" s="17"/>
      <c r="M229" s="17"/>
      <c r="N229" s="17">
        <v>95009000</v>
      </c>
      <c r="O229" s="17">
        <v>125140000</v>
      </c>
      <c r="P229" s="17">
        <v>83551000</v>
      </c>
      <c r="Q229" s="17">
        <v>83551000</v>
      </c>
      <c r="R229" s="17">
        <v>39051000</v>
      </c>
      <c r="S229" s="17">
        <v>15538000</v>
      </c>
      <c r="T229" s="17">
        <v>14552000</v>
      </c>
      <c r="U229" s="17">
        <v>9969000</v>
      </c>
      <c r="V229" s="17">
        <v>8556000</v>
      </c>
      <c r="W229" s="17">
        <v>6402000</v>
      </c>
      <c r="X229" s="17">
        <v>-179987000</v>
      </c>
      <c r="Y229" s="17">
        <v>-137724000</v>
      </c>
      <c r="Z229" s="17">
        <v>-139396000</v>
      </c>
      <c r="AA229" s="17">
        <v>-139396000</v>
      </c>
      <c r="AB229" s="17">
        <v>-139396000</v>
      </c>
      <c r="AC229" s="17">
        <v>3188000</v>
      </c>
      <c r="AD229" s="17"/>
      <c r="AE229" s="17"/>
      <c r="AF229" s="17"/>
      <c r="AG229" s="17"/>
      <c r="AH229" s="17">
        <v>743965000</v>
      </c>
      <c r="AI229" s="17">
        <v>271750000</v>
      </c>
      <c r="AJ229" s="17">
        <v>227250000</v>
      </c>
      <c r="AK229" s="17">
        <v>225837000</v>
      </c>
      <c r="AL229" s="17">
        <v>179183000</v>
      </c>
      <c r="AM229" s="17">
        <v>498000</v>
      </c>
      <c r="AN229" s="17"/>
      <c r="AO229" s="17"/>
      <c r="AP229" s="17"/>
      <c r="AQ229" s="17"/>
      <c r="AR229" s="17">
        <v>2091000</v>
      </c>
      <c r="AS229" s="17"/>
      <c r="AT229" s="17"/>
      <c r="AU229" s="17"/>
      <c r="AV229" s="17"/>
      <c r="AW229" s="17"/>
      <c r="AX229" s="17"/>
      <c r="AY229" s="17"/>
      <c r="AZ229" s="17"/>
      <c r="BA229" s="17"/>
      <c r="BB229" s="17">
        <v>2395000</v>
      </c>
      <c r="BC229" s="17"/>
      <c r="BD229" s="17"/>
      <c r="BE229" s="17"/>
      <c r="BF229" s="17"/>
      <c r="BG229" s="17">
        <v>12224000</v>
      </c>
      <c r="BH229" s="17"/>
      <c r="BI229" s="17"/>
      <c r="BJ229" s="17"/>
      <c r="BK229" s="17"/>
      <c r="BL229" s="17">
        <v>1980000</v>
      </c>
      <c r="BM229" s="17">
        <v>1621000</v>
      </c>
      <c r="BN229" s="17">
        <v>1672000</v>
      </c>
      <c r="BO229" s="17"/>
      <c r="BP229" s="17"/>
      <c r="BQ229" s="17">
        <v>4490000</v>
      </c>
      <c r="BR229" s="17">
        <v>-1621000</v>
      </c>
      <c r="BS229" s="17">
        <v>-1672000</v>
      </c>
      <c r="BT229" s="17"/>
      <c r="BU229" s="17"/>
    </row>
    <row r="230" spans="1:73" ht="26.25" x14ac:dyDescent="0.25">
      <c r="A230" s="16">
        <v>33</v>
      </c>
      <c r="B230" s="17">
        <v>20</v>
      </c>
      <c r="C230" s="18" t="s">
        <v>277</v>
      </c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>
        <v>1030190000</v>
      </c>
      <c r="O230" s="17">
        <v>2403716000</v>
      </c>
      <c r="P230" s="17">
        <v>2536844000</v>
      </c>
      <c r="Q230" s="17">
        <v>1557753000</v>
      </c>
      <c r="R230" s="17">
        <v>1557972000</v>
      </c>
      <c r="S230" s="17">
        <v>11692000</v>
      </c>
      <c r="T230" s="17">
        <v>2784000</v>
      </c>
      <c r="U230" s="17">
        <v>44000</v>
      </c>
      <c r="V230" s="17">
        <v>4000</v>
      </c>
      <c r="W230" s="17">
        <v>334000</v>
      </c>
      <c r="X230" s="17">
        <v>-493911000</v>
      </c>
      <c r="Y230" s="17">
        <v>-504832000</v>
      </c>
      <c r="Z230" s="17">
        <v>-507192000</v>
      </c>
      <c r="AA230" s="17">
        <v>-3564012000</v>
      </c>
      <c r="AB230" s="17">
        <v>-1094041000</v>
      </c>
      <c r="AC230" s="17"/>
      <c r="AD230" s="17"/>
      <c r="AE230" s="17"/>
      <c r="AF230" s="17">
        <v>7278000</v>
      </c>
      <c r="AG230" s="17">
        <v>205940000</v>
      </c>
      <c r="AH230" s="17">
        <v>590676000</v>
      </c>
      <c r="AI230" s="17">
        <v>1962193000</v>
      </c>
      <c r="AJ230" s="17">
        <v>2092975000</v>
      </c>
      <c r="AK230" s="17">
        <v>4004532000</v>
      </c>
      <c r="AL230" s="17">
        <v>1337982000</v>
      </c>
      <c r="AM230" s="17">
        <v>4149000</v>
      </c>
      <c r="AN230" s="17">
        <v>3297000</v>
      </c>
      <c r="AO230" s="17">
        <v>2731000</v>
      </c>
      <c r="AP230" s="17">
        <v>2804000</v>
      </c>
      <c r="AQ230" s="17">
        <v>2042000</v>
      </c>
      <c r="AR230" s="17">
        <v>16493000</v>
      </c>
      <c r="AS230" s="17">
        <v>14374000</v>
      </c>
      <c r="AT230" s="17">
        <v>10429000</v>
      </c>
      <c r="AU230" s="17">
        <v>16013000</v>
      </c>
      <c r="AV230" s="17"/>
      <c r="AW230" s="17"/>
      <c r="AX230" s="17"/>
      <c r="AY230" s="17"/>
      <c r="AZ230" s="17"/>
      <c r="BA230" s="17"/>
      <c r="BB230" s="17"/>
      <c r="BC230" s="17"/>
      <c r="BD230" s="17"/>
      <c r="BE230" s="17"/>
      <c r="BF230" s="17">
        <v>640000</v>
      </c>
      <c r="BG230" s="17">
        <v>1068000</v>
      </c>
      <c r="BH230" s="17">
        <v>70000</v>
      </c>
      <c r="BI230" s="17">
        <v>5914000</v>
      </c>
      <c r="BJ230" s="17">
        <v>1007000</v>
      </c>
      <c r="BK230" s="17">
        <v>2520937000</v>
      </c>
      <c r="BL230" s="17">
        <v>433000</v>
      </c>
      <c r="BM230" s="17">
        <v>341000</v>
      </c>
      <c r="BN230" s="17">
        <v>1368000</v>
      </c>
      <c r="BO230" s="17">
        <v>3046386000</v>
      </c>
      <c r="BP230" s="17">
        <v>43826000</v>
      </c>
      <c r="BQ230" s="17">
        <v>-10623000</v>
      </c>
      <c r="BR230" s="17">
        <v>-10921000</v>
      </c>
      <c r="BS230" s="17">
        <v>-2360000</v>
      </c>
      <c r="BT230" s="17">
        <v>-3056820000</v>
      </c>
      <c r="BU230" s="17">
        <v>2469183000</v>
      </c>
    </row>
    <row r="231" spans="1:73" x14ac:dyDescent="0.25">
      <c r="A231" s="16">
        <v>43</v>
      </c>
      <c r="B231" s="17">
        <v>19</v>
      </c>
      <c r="C231" s="18" t="s">
        <v>303</v>
      </c>
      <c r="D231" s="17">
        <v>36586000</v>
      </c>
      <c r="E231" s="17">
        <v>26832000</v>
      </c>
      <c r="F231" s="17">
        <v>13839000</v>
      </c>
      <c r="G231" s="17"/>
      <c r="H231" s="17">
        <v>2289000</v>
      </c>
      <c r="I231" s="17">
        <v>45345000</v>
      </c>
      <c r="J231" s="17">
        <v>20570000</v>
      </c>
      <c r="K231" s="17">
        <v>14530000</v>
      </c>
      <c r="L231" s="17"/>
      <c r="M231" s="17"/>
      <c r="N231" s="17">
        <v>10785000</v>
      </c>
      <c r="O231" s="17">
        <v>16717000</v>
      </c>
      <c r="P231" s="17">
        <v>21295000</v>
      </c>
      <c r="Q231" s="17"/>
      <c r="R231" s="17">
        <v>4985000</v>
      </c>
      <c r="S231" s="17">
        <v>1756000</v>
      </c>
      <c r="T231" s="17">
        <v>18000</v>
      </c>
      <c r="U231" s="17">
        <v>8442000</v>
      </c>
      <c r="V231" s="17"/>
      <c r="W231" s="17">
        <v>1087000</v>
      </c>
      <c r="X231" s="17">
        <v>-58083000</v>
      </c>
      <c r="Y231" s="17">
        <v>-88220000</v>
      </c>
      <c r="Z231" s="17"/>
      <c r="AA231" s="17"/>
      <c r="AB231" s="17"/>
      <c r="AC231" s="17"/>
      <c r="AD231" s="17"/>
      <c r="AE231" s="17"/>
      <c r="AF231" s="17"/>
      <c r="AG231" s="17"/>
      <c r="AH231" s="17">
        <v>110131000</v>
      </c>
      <c r="AI231" s="17">
        <v>130529000</v>
      </c>
      <c r="AJ231" s="17">
        <v>127340000</v>
      </c>
      <c r="AK231" s="17"/>
      <c r="AL231" s="17">
        <v>46659000</v>
      </c>
      <c r="AM231" s="17">
        <v>168861000</v>
      </c>
      <c r="AN231" s="17">
        <v>33835000</v>
      </c>
      <c r="AO231" s="17"/>
      <c r="AP231" s="17"/>
      <c r="AQ231" s="17"/>
      <c r="AR231" s="17">
        <v>148441000</v>
      </c>
      <c r="AS231" s="17">
        <v>75038000</v>
      </c>
      <c r="AT231" s="17">
        <v>13220000</v>
      </c>
      <c r="AU231" s="17"/>
      <c r="AV231" s="17"/>
      <c r="AW231" s="17"/>
      <c r="AX231" s="17"/>
      <c r="AY231" s="17"/>
      <c r="AZ231" s="17"/>
      <c r="BA231" s="17"/>
      <c r="BB231" s="17">
        <v>23836000</v>
      </c>
      <c r="BC231" s="17">
        <v>4945000</v>
      </c>
      <c r="BD231" s="17"/>
      <c r="BE231" s="17"/>
      <c r="BF231" s="17"/>
      <c r="BG231" s="17">
        <v>15422000</v>
      </c>
      <c r="BH231" s="17">
        <v>17152000</v>
      </c>
      <c r="BI231" s="17">
        <v>13276000</v>
      </c>
      <c r="BJ231" s="17"/>
      <c r="BK231" s="17">
        <v>3212000</v>
      </c>
      <c r="BL231" s="17">
        <v>11611000</v>
      </c>
      <c r="BM231" s="17">
        <v>13857000</v>
      </c>
      <c r="BN231" s="17">
        <v>7025000</v>
      </c>
      <c r="BO231" s="17"/>
      <c r="BP231" s="17">
        <v>3204000</v>
      </c>
      <c r="BQ231" s="17">
        <v>-79374000</v>
      </c>
      <c r="BR231" s="17">
        <v>-34991000</v>
      </c>
      <c r="BS231" s="17">
        <v>-5578000</v>
      </c>
      <c r="BT231" s="17"/>
      <c r="BU231" s="17">
        <v>6000</v>
      </c>
    </row>
    <row r="232" spans="1:73" x14ac:dyDescent="0.25">
      <c r="A232" s="16">
        <v>81</v>
      </c>
      <c r="B232" s="17">
        <v>10</v>
      </c>
      <c r="C232" s="18" t="s">
        <v>303</v>
      </c>
      <c r="D232" s="17">
        <v>48074000</v>
      </c>
      <c r="E232" s="17">
        <v>37243000</v>
      </c>
      <c r="F232" s="17"/>
      <c r="G232" s="17"/>
      <c r="H232" s="17">
        <v>10000</v>
      </c>
      <c r="I232" s="17"/>
      <c r="J232" s="17"/>
      <c r="K232" s="17"/>
      <c r="L232" s="17"/>
      <c r="M232" s="17"/>
      <c r="N232" s="17">
        <v>50868000</v>
      </c>
      <c r="O232" s="17">
        <v>18456000</v>
      </c>
      <c r="P232" s="17"/>
      <c r="Q232" s="17"/>
      <c r="R232" s="17"/>
      <c r="S232" s="17">
        <v>4199000</v>
      </c>
      <c r="T232" s="17">
        <v>5485000</v>
      </c>
      <c r="U232" s="17">
        <v>10000</v>
      </c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>
        <v>57009000</v>
      </c>
      <c r="AI232" s="17">
        <v>8536000</v>
      </c>
      <c r="AJ232" s="17"/>
      <c r="AK232" s="17"/>
      <c r="AL232" s="17"/>
      <c r="AM232" s="17">
        <v>94629000</v>
      </c>
      <c r="AN232" s="17">
        <v>103260000</v>
      </c>
      <c r="AO232" s="17">
        <v>8100000</v>
      </c>
      <c r="AP232" s="17"/>
      <c r="AQ232" s="17"/>
      <c r="AR232" s="17">
        <v>60082000</v>
      </c>
      <c r="AS232" s="17">
        <v>64236000</v>
      </c>
      <c r="AT232" s="17">
        <v>8100000</v>
      </c>
      <c r="AU232" s="17"/>
      <c r="AV232" s="17"/>
      <c r="AW232" s="17"/>
      <c r="AX232" s="17"/>
      <c r="AY232" s="17"/>
      <c r="AZ232" s="17"/>
      <c r="BA232" s="17"/>
      <c r="BB232" s="17"/>
      <c r="BC232" s="17"/>
      <c r="BD232" s="17"/>
      <c r="BE232" s="17"/>
      <c r="BF232" s="17"/>
      <c r="BG232" s="17">
        <v>1200000</v>
      </c>
      <c r="BH232" s="17">
        <v>166000</v>
      </c>
      <c r="BI232" s="17"/>
      <c r="BJ232" s="17"/>
      <c r="BK232" s="17"/>
      <c r="BL232" s="17">
        <v>31010000</v>
      </c>
      <c r="BM232" s="17">
        <v>33560000</v>
      </c>
      <c r="BN232" s="17"/>
      <c r="BO232" s="17"/>
      <c r="BP232" s="17"/>
      <c r="BQ232" s="17">
        <v>3790000</v>
      </c>
      <c r="BR232" s="17">
        <v>4504000</v>
      </c>
      <c r="BS232" s="17"/>
      <c r="BT232" s="17"/>
      <c r="BU232" s="17"/>
    </row>
    <row r="233" spans="1:73" x14ac:dyDescent="0.25">
      <c r="A233" s="16">
        <v>167</v>
      </c>
      <c r="B233" s="17">
        <v>10</v>
      </c>
      <c r="C233" s="18" t="s">
        <v>303</v>
      </c>
      <c r="D233" s="17">
        <v>2732000</v>
      </c>
      <c r="E233" s="17">
        <v>8982000</v>
      </c>
      <c r="F233" s="17"/>
      <c r="G233" s="17">
        <v>8982000</v>
      </c>
      <c r="H233" s="17"/>
      <c r="I233" s="17">
        <v>2852000</v>
      </c>
      <c r="J233" s="17">
        <v>3718000</v>
      </c>
      <c r="K233" s="17"/>
      <c r="L233" s="17">
        <v>3718000</v>
      </c>
      <c r="M233" s="17"/>
      <c r="N233" s="17">
        <v>91767000</v>
      </c>
      <c r="O233" s="17">
        <v>49637000</v>
      </c>
      <c r="P233" s="17"/>
      <c r="Q233" s="17">
        <v>49637000</v>
      </c>
      <c r="R233" s="17"/>
      <c r="S233" s="17">
        <v>4788000</v>
      </c>
      <c r="T233" s="17">
        <v>4000</v>
      </c>
      <c r="U233" s="17"/>
      <c r="V233" s="17">
        <v>4000</v>
      </c>
      <c r="W233" s="17"/>
      <c r="X233" s="17">
        <v>12186000</v>
      </c>
      <c r="Y233" s="17"/>
      <c r="Z233" s="17"/>
      <c r="AA233" s="17"/>
      <c r="AB233" s="17"/>
      <c r="AC233" s="17"/>
      <c r="AD233" s="17"/>
      <c r="AE233" s="17"/>
      <c r="AF233" s="17"/>
      <c r="AG233" s="17"/>
      <c r="AH233" s="17">
        <v>82137000</v>
      </c>
      <c r="AI233" s="17">
        <v>105820000</v>
      </c>
      <c r="AJ233" s="17"/>
      <c r="AK233" s="17">
        <v>105820000</v>
      </c>
      <c r="AL233" s="17"/>
      <c r="AM233" s="17">
        <v>109081000</v>
      </c>
      <c r="AN233" s="17">
        <v>80239000</v>
      </c>
      <c r="AO233" s="17"/>
      <c r="AP233" s="17"/>
      <c r="AQ233" s="17"/>
      <c r="AR233" s="17">
        <v>64148000</v>
      </c>
      <c r="AS233" s="17">
        <v>108540000</v>
      </c>
      <c r="AT233" s="17"/>
      <c r="AU233" s="17"/>
      <c r="AV233" s="17"/>
      <c r="AW233" s="17">
        <v>4338000</v>
      </c>
      <c r="AX233" s="17"/>
      <c r="AY233" s="17"/>
      <c r="AZ233" s="17"/>
      <c r="BA233" s="17"/>
      <c r="BB233" s="17">
        <v>3266000</v>
      </c>
      <c r="BC233" s="17"/>
      <c r="BD233" s="17"/>
      <c r="BE233" s="17"/>
      <c r="BF233" s="17"/>
      <c r="BG233" s="17"/>
      <c r="BH233" s="17">
        <v>41502000</v>
      </c>
      <c r="BI233" s="17"/>
      <c r="BJ233" s="17"/>
      <c r="BK233" s="17"/>
      <c r="BL233" s="17">
        <v>25143000</v>
      </c>
      <c r="BM233" s="17">
        <v>65621000</v>
      </c>
      <c r="BN233" s="17"/>
      <c r="BO233" s="17"/>
      <c r="BP233" s="17"/>
      <c r="BQ233" s="17">
        <v>12186000</v>
      </c>
      <c r="BR233" s="17">
        <v>-42486000</v>
      </c>
      <c r="BS233" s="17"/>
      <c r="BT233" s="17"/>
      <c r="BU233" s="17"/>
    </row>
    <row r="234" spans="1:73" x14ac:dyDescent="0.25">
      <c r="A234" s="16">
        <v>172</v>
      </c>
      <c r="B234" s="17">
        <v>9</v>
      </c>
      <c r="C234" s="18" t="s">
        <v>628</v>
      </c>
      <c r="D234" s="17">
        <v>110033000</v>
      </c>
      <c r="E234" s="17">
        <v>315157000</v>
      </c>
      <c r="F234" s="17">
        <v>64743000</v>
      </c>
      <c r="G234" s="17">
        <v>63145000</v>
      </c>
      <c r="H234" s="17">
        <v>54865000</v>
      </c>
      <c r="I234" s="17">
        <v>205057000</v>
      </c>
      <c r="J234" s="17">
        <v>32604000</v>
      </c>
      <c r="K234" s="17">
        <v>3255000</v>
      </c>
      <c r="L234" s="17">
        <v>3255000</v>
      </c>
      <c r="M234" s="17"/>
      <c r="N234" s="17">
        <v>410508000</v>
      </c>
      <c r="O234" s="17">
        <v>373851000</v>
      </c>
      <c r="P234" s="17">
        <v>193984000</v>
      </c>
      <c r="Q234" s="17">
        <v>193984000</v>
      </c>
      <c r="R234" s="17">
        <v>117568000</v>
      </c>
      <c r="S234" s="17">
        <v>304000</v>
      </c>
      <c r="T234" s="17">
        <v>5221000</v>
      </c>
      <c r="U234" s="17">
        <v>335000</v>
      </c>
      <c r="V234" s="17"/>
      <c r="W234" s="17">
        <v>8323000</v>
      </c>
      <c r="X234" s="17">
        <v>14685000</v>
      </c>
      <c r="Y234" s="17">
        <v>-294746000</v>
      </c>
      <c r="Z234" s="17"/>
      <c r="AA234" s="17">
        <v>-415994000</v>
      </c>
      <c r="AB234" s="17">
        <v>-236254000</v>
      </c>
      <c r="AC234" s="17">
        <v>14333000</v>
      </c>
      <c r="AD234" s="17">
        <v>39163000</v>
      </c>
      <c r="AE234" s="17">
        <v>49617000</v>
      </c>
      <c r="AF234" s="17">
        <v>49617000</v>
      </c>
      <c r="AG234" s="17"/>
      <c r="AH234" s="17">
        <v>643501000</v>
      </c>
      <c r="AI234" s="17">
        <v>763023000</v>
      </c>
      <c r="AJ234" s="17">
        <v>607726000</v>
      </c>
      <c r="AK234" s="17">
        <v>605783000</v>
      </c>
      <c r="AL234" s="17">
        <v>417000000</v>
      </c>
      <c r="AM234" s="17">
        <v>758301000</v>
      </c>
      <c r="AN234" s="17">
        <v>826626000</v>
      </c>
      <c r="AO234" s="17">
        <v>404004000</v>
      </c>
      <c r="AP234" s="17"/>
      <c r="AQ234" s="17">
        <v>611000</v>
      </c>
      <c r="AR234" s="17">
        <v>379057000</v>
      </c>
      <c r="AS234" s="17">
        <v>765723000</v>
      </c>
      <c r="AT234" s="17">
        <v>573429000</v>
      </c>
      <c r="AU234" s="17"/>
      <c r="AV234" s="17"/>
      <c r="AW234" s="17"/>
      <c r="AX234" s="17"/>
      <c r="AY234" s="17"/>
      <c r="AZ234" s="17"/>
      <c r="BA234" s="17"/>
      <c r="BB234" s="17">
        <v>319958000</v>
      </c>
      <c r="BC234" s="17">
        <v>180551000</v>
      </c>
      <c r="BD234" s="17"/>
      <c r="BE234" s="17"/>
      <c r="BF234" s="17"/>
      <c r="BG234" s="17">
        <v>8503000</v>
      </c>
      <c r="BH234" s="17">
        <v>68639000</v>
      </c>
      <c r="BI234" s="17">
        <v>276856000</v>
      </c>
      <c r="BJ234" s="17"/>
      <c r="BK234" s="17"/>
      <c r="BL234" s="17">
        <v>57667000</v>
      </c>
      <c r="BM234" s="17">
        <v>76760000</v>
      </c>
      <c r="BN234" s="17">
        <v>209871000</v>
      </c>
      <c r="BO234" s="17"/>
      <c r="BP234" s="17">
        <v>611000</v>
      </c>
      <c r="BQ234" s="17">
        <v>5490000</v>
      </c>
      <c r="BR234" s="17">
        <v>-154365000</v>
      </c>
      <c r="BS234" s="17">
        <v>-105160000</v>
      </c>
      <c r="BT234" s="17"/>
      <c r="BU234" s="17"/>
    </row>
    <row r="235" spans="1:73" x14ac:dyDescent="0.25">
      <c r="A235" s="16">
        <v>225</v>
      </c>
      <c r="B235" s="17">
        <v>9</v>
      </c>
      <c r="C235" s="18" t="s">
        <v>628</v>
      </c>
      <c r="D235" s="17">
        <v>11583000</v>
      </c>
      <c r="E235" s="17">
        <v>11521000</v>
      </c>
      <c r="F235" s="17"/>
      <c r="G235" s="17"/>
      <c r="H235" s="17"/>
      <c r="I235" s="17">
        <v>2763000</v>
      </c>
      <c r="J235" s="17">
        <v>2952000</v>
      </c>
      <c r="K235" s="17"/>
      <c r="L235" s="17"/>
      <c r="M235" s="17"/>
      <c r="N235" s="17">
        <v>15405000</v>
      </c>
      <c r="O235" s="17">
        <v>12237000</v>
      </c>
      <c r="P235" s="17"/>
      <c r="Q235" s="17"/>
      <c r="R235" s="17"/>
      <c r="S235" s="17"/>
      <c r="T235" s="17">
        <v>82000</v>
      </c>
      <c r="U235" s="17"/>
      <c r="V235" s="17"/>
      <c r="W235" s="17"/>
      <c r="X235" s="17">
        <v>3315000</v>
      </c>
      <c r="Y235" s="17">
        <v>1843000</v>
      </c>
      <c r="Z235" s="17"/>
      <c r="AA235" s="17"/>
      <c r="AB235" s="17"/>
      <c r="AC235" s="17">
        <v>6725000</v>
      </c>
      <c r="AD235" s="17">
        <v>4066000</v>
      </c>
      <c r="AE235" s="17"/>
      <c r="AF235" s="17"/>
      <c r="AG235" s="17"/>
      <c r="AH235" s="17">
        <v>18404000</v>
      </c>
      <c r="AI235" s="17">
        <v>18328000</v>
      </c>
      <c r="AJ235" s="17"/>
      <c r="AK235" s="17"/>
      <c r="AL235" s="17"/>
      <c r="AM235" s="17">
        <v>30429000</v>
      </c>
      <c r="AN235" s="17">
        <v>6094000</v>
      </c>
      <c r="AO235" s="17"/>
      <c r="AP235" s="17"/>
      <c r="AQ235" s="17"/>
      <c r="AR235" s="17">
        <v>16138000</v>
      </c>
      <c r="AS235" s="17">
        <v>5660000</v>
      </c>
      <c r="AT235" s="17"/>
      <c r="AU235" s="17"/>
      <c r="AV235" s="17"/>
      <c r="AW235" s="17"/>
      <c r="AX235" s="17"/>
      <c r="AY235" s="17"/>
      <c r="AZ235" s="17"/>
      <c r="BA235" s="17"/>
      <c r="BB235" s="17">
        <v>13476000</v>
      </c>
      <c r="BC235" s="17">
        <v>4856000</v>
      </c>
      <c r="BD235" s="17"/>
      <c r="BE235" s="17"/>
      <c r="BF235" s="17"/>
      <c r="BG235" s="17">
        <v>802000</v>
      </c>
      <c r="BH235" s="17">
        <v>5789000</v>
      </c>
      <c r="BI235" s="17"/>
      <c r="BJ235" s="17"/>
      <c r="BK235" s="17"/>
      <c r="BL235" s="17">
        <v>1359000</v>
      </c>
      <c r="BM235" s="17">
        <v>1355000</v>
      </c>
      <c r="BN235" s="17"/>
      <c r="BO235" s="17"/>
      <c r="BP235" s="17"/>
      <c r="BQ235" s="17">
        <v>161000</v>
      </c>
      <c r="BR235" s="17">
        <v>6000</v>
      </c>
      <c r="BS235" s="17"/>
      <c r="BT235" s="17"/>
      <c r="BU235" s="17"/>
    </row>
    <row r="236" spans="1:73" x14ac:dyDescent="0.25">
      <c r="A236" s="16">
        <v>5</v>
      </c>
      <c r="B236" s="17">
        <v>31</v>
      </c>
      <c r="C236" s="18" t="s">
        <v>198</v>
      </c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  <c r="BA236" s="17"/>
      <c r="BB236" s="17"/>
      <c r="BC236" s="17"/>
      <c r="BD236" s="17"/>
      <c r="BE236" s="17"/>
      <c r="BF236" s="17"/>
      <c r="BG236" s="17"/>
      <c r="BH236" s="17"/>
      <c r="BI236" s="17"/>
      <c r="BJ236" s="17"/>
      <c r="BK236" s="17"/>
      <c r="BL236" s="17"/>
      <c r="BM236" s="17"/>
      <c r="BN236" s="17"/>
      <c r="BO236" s="17"/>
      <c r="BP236" s="17"/>
      <c r="BQ236" s="17"/>
      <c r="BR236" s="17"/>
      <c r="BS236" s="17"/>
      <c r="BT236" s="17"/>
      <c r="BU236" s="17"/>
    </row>
    <row r="237" spans="1:73" x14ac:dyDescent="0.25">
      <c r="A237" s="16">
        <v>21</v>
      </c>
      <c r="B237" s="17">
        <v>19</v>
      </c>
      <c r="C237" s="18" t="s">
        <v>198</v>
      </c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  <c r="BA237" s="17"/>
      <c r="BB237" s="17"/>
      <c r="BC237" s="17"/>
      <c r="BD237" s="17"/>
      <c r="BE237" s="17"/>
      <c r="BF237" s="17"/>
      <c r="BG237" s="17"/>
      <c r="BH237" s="17"/>
      <c r="BI237" s="17"/>
      <c r="BJ237" s="17"/>
      <c r="BK237" s="17"/>
      <c r="BL237" s="17"/>
      <c r="BM237" s="17"/>
      <c r="BN237" s="17"/>
      <c r="BO237" s="17"/>
      <c r="BP237" s="17"/>
      <c r="BQ237" s="17"/>
      <c r="BR237" s="17"/>
      <c r="BS237" s="17"/>
      <c r="BT237" s="17"/>
      <c r="BU237" s="17"/>
    </row>
    <row r="238" spans="1:73" x14ac:dyDescent="0.25">
      <c r="A238" s="16">
        <v>22</v>
      </c>
      <c r="B238" s="17">
        <v>30</v>
      </c>
      <c r="C238" s="18" t="s">
        <v>198</v>
      </c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  <c r="BA238" s="17"/>
      <c r="BB238" s="17"/>
      <c r="BC238" s="17"/>
      <c r="BD238" s="17"/>
      <c r="BE238" s="17"/>
      <c r="BF238" s="17"/>
      <c r="BG238" s="17"/>
      <c r="BH238" s="17"/>
      <c r="BI238" s="17"/>
      <c r="BJ238" s="17"/>
      <c r="BK238" s="17"/>
      <c r="BL238" s="17"/>
      <c r="BM238" s="17"/>
      <c r="BN238" s="17"/>
      <c r="BO238" s="17"/>
      <c r="BP238" s="17"/>
      <c r="BQ238" s="17"/>
      <c r="BR238" s="17"/>
      <c r="BS238" s="17"/>
      <c r="BT238" s="17"/>
      <c r="BU238" s="17"/>
    </row>
    <row r="239" spans="1:73" x14ac:dyDescent="0.25">
      <c r="A239" s="16">
        <v>38</v>
      </c>
      <c r="B239" s="17">
        <v>23</v>
      </c>
      <c r="C239" s="18" t="s">
        <v>198</v>
      </c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  <c r="BA239" s="17"/>
      <c r="BB239" s="17"/>
      <c r="BC239" s="17"/>
      <c r="BD239" s="17"/>
      <c r="BE239" s="17"/>
      <c r="BF239" s="17"/>
      <c r="BG239" s="17"/>
      <c r="BH239" s="17"/>
      <c r="BI239" s="17"/>
      <c r="BJ239" s="17"/>
      <c r="BK239" s="17"/>
      <c r="BL239" s="17"/>
      <c r="BM239" s="17"/>
      <c r="BN239" s="17"/>
      <c r="BO239" s="17"/>
      <c r="BP239" s="17"/>
      <c r="BQ239" s="17"/>
      <c r="BR239" s="17"/>
      <c r="BS239" s="17"/>
      <c r="BT239" s="17"/>
      <c r="BU239" s="17"/>
    </row>
    <row r="240" spans="1:73" x14ac:dyDescent="0.25">
      <c r="A240" s="16">
        <v>67</v>
      </c>
      <c r="B240" s="17">
        <v>6</v>
      </c>
      <c r="C240" s="18" t="s">
        <v>198</v>
      </c>
      <c r="D240" s="17"/>
      <c r="E240" s="17">
        <v>85000</v>
      </c>
      <c r="F240" s="17">
        <v>44000</v>
      </c>
      <c r="G240" s="17">
        <v>3000</v>
      </c>
      <c r="H240" s="17"/>
      <c r="I240" s="17">
        <v>2512000</v>
      </c>
      <c r="J240" s="17">
        <v>5499000</v>
      </c>
      <c r="K240" s="17">
        <v>5263000</v>
      </c>
      <c r="L240" s="17">
        <v>5263000</v>
      </c>
      <c r="M240" s="17"/>
      <c r="N240" s="17">
        <v>11857000</v>
      </c>
      <c r="O240" s="17">
        <v>20645000</v>
      </c>
      <c r="P240" s="17">
        <v>24005000</v>
      </c>
      <c r="Q240" s="17">
        <v>23681000</v>
      </c>
      <c r="R240" s="17"/>
      <c r="S240" s="17">
        <v>4031000</v>
      </c>
      <c r="T240" s="17">
        <v>67000</v>
      </c>
      <c r="U240" s="17">
        <v>3000</v>
      </c>
      <c r="V240" s="17">
        <v>1000</v>
      </c>
      <c r="W240" s="17"/>
      <c r="X240" s="17">
        <v>-829000</v>
      </c>
      <c r="Y240" s="17"/>
      <c r="Z240" s="17"/>
      <c r="AA240" s="17"/>
      <c r="AB240" s="17"/>
      <c r="AC240" s="17"/>
      <c r="AD240" s="17"/>
      <c r="AE240" s="17">
        <v>511000</v>
      </c>
      <c r="AF240" s="17">
        <v>511000</v>
      </c>
      <c r="AG240" s="17"/>
      <c r="AH240" s="17">
        <v>22627000</v>
      </c>
      <c r="AI240" s="17">
        <v>33010000</v>
      </c>
      <c r="AJ240" s="17">
        <v>38494000</v>
      </c>
      <c r="AK240" s="17">
        <v>38262000</v>
      </c>
      <c r="AL240" s="17"/>
      <c r="AM240" s="17">
        <v>19387000</v>
      </c>
      <c r="AN240" s="17">
        <v>14206000</v>
      </c>
      <c r="AO240" s="17">
        <v>1469000</v>
      </c>
      <c r="AP240" s="17"/>
      <c r="AQ240" s="17"/>
      <c r="AR240" s="17">
        <v>15259000</v>
      </c>
      <c r="AS240" s="17">
        <v>22188000</v>
      </c>
      <c r="AT240" s="17">
        <v>4121000</v>
      </c>
      <c r="AU240" s="17">
        <v>142000</v>
      </c>
      <c r="AV240" s="17"/>
      <c r="AW240" s="17"/>
      <c r="AX240" s="17"/>
      <c r="AY240" s="17"/>
      <c r="AZ240" s="17"/>
      <c r="BA240" s="17"/>
      <c r="BB240" s="17">
        <v>3606000</v>
      </c>
      <c r="BC240" s="17"/>
      <c r="BD240" s="17"/>
      <c r="BE240" s="17"/>
      <c r="BF240" s="17"/>
      <c r="BG240" s="17">
        <v>7193000</v>
      </c>
      <c r="BH240" s="17">
        <v>7099000</v>
      </c>
      <c r="BI240" s="17">
        <v>1182000</v>
      </c>
      <c r="BJ240" s="17">
        <v>625000</v>
      </c>
      <c r="BK240" s="17"/>
      <c r="BL240" s="17">
        <v>7648000</v>
      </c>
      <c r="BM240" s="17">
        <v>7501000</v>
      </c>
      <c r="BN240" s="17">
        <v>1215000</v>
      </c>
      <c r="BO240" s="17">
        <v>618000</v>
      </c>
      <c r="BP240" s="17"/>
      <c r="BQ240" s="17">
        <v>67000</v>
      </c>
      <c r="BR240" s="17">
        <v>-8644000</v>
      </c>
      <c r="BS240" s="17">
        <v>-2975000</v>
      </c>
      <c r="BT240" s="17">
        <v>-135000</v>
      </c>
      <c r="BU240" s="17"/>
    </row>
    <row r="241" spans="1:73" x14ac:dyDescent="0.25">
      <c r="A241" s="16">
        <v>97</v>
      </c>
      <c r="B241" s="17">
        <v>34</v>
      </c>
      <c r="C241" s="18" t="s">
        <v>198</v>
      </c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  <c r="AZ241" s="17"/>
      <c r="BA241" s="17"/>
      <c r="BB241" s="17"/>
      <c r="BC241" s="17"/>
      <c r="BD241" s="17"/>
      <c r="BE241" s="17"/>
      <c r="BF241" s="17"/>
      <c r="BG241" s="17"/>
      <c r="BH241" s="17"/>
      <c r="BI241" s="17"/>
      <c r="BJ241" s="17"/>
      <c r="BK241" s="17"/>
      <c r="BL241" s="17"/>
      <c r="BM241" s="17"/>
      <c r="BN241" s="17"/>
      <c r="BO241" s="17"/>
      <c r="BP241" s="17"/>
      <c r="BQ241" s="17"/>
      <c r="BR241" s="17"/>
      <c r="BS241" s="17"/>
      <c r="BT241" s="17"/>
      <c r="BU241" s="17"/>
    </row>
    <row r="242" spans="1:73" x14ac:dyDescent="0.25">
      <c r="A242" s="16">
        <v>131</v>
      </c>
      <c r="B242" s="17">
        <v>30</v>
      </c>
      <c r="C242" s="18" t="s">
        <v>198</v>
      </c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17"/>
      <c r="BA242" s="17"/>
      <c r="BB242" s="17"/>
      <c r="BC242" s="17"/>
      <c r="BD242" s="17"/>
      <c r="BE242" s="17"/>
      <c r="BF242" s="17"/>
      <c r="BG242" s="17"/>
      <c r="BH242" s="17"/>
      <c r="BI242" s="17"/>
      <c r="BJ242" s="17"/>
      <c r="BK242" s="17"/>
      <c r="BL242" s="17"/>
      <c r="BM242" s="17"/>
      <c r="BN242" s="17"/>
      <c r="BO242" s="17"/>
      <c r="BP242" s="17"/>
      <c r="BQ242" s="17"/>
      <c r="BR242" s="17"/>
      <c r="BS242" s="17"/>
      <c r="BT242" s="17"/>
      <c r="BU242" s="17"/>
    </row>
    <row r="243" spans="1:73" x14ac:dyDescent="0.25">
      <c r="A243" s="16">
        <v>137</v>
      </c>
      <c r="B243" s="17">
        <v>32</v>
      </c>
      <c r="C243" s="18" t="s">
        <v>198</v>
      </c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  <c r="AZ243" s="17"/>
      <c r="BA243" s="17"/>
      <c r="BB243" s="17"/>
      <c r="BC243" s="17"/>
      <c r="BD243" s="17"/>
      <c r="BE243" s="17"/>
      <c r="BF243" s="17"/>
      <c r="BG243" s="17"/>
      <c r="BH243" s="17"/>
      <c r="BI243" s="17"/>
      <c r="BJ243" s="17"/>
      <c r="BK243" s="17"/>
      <c r="BL243" s="17"/>
      <c r="BM243" s="17"/>
      <c r="BN243" s="17"/>
      <c r="BO243" s="17"/>
      <c r="BP243" s="17"/>
      <c r="BQ243" s="17"/>
      <c r="BR243" s="17"/>
      <c r="BS243" s="17"/>
      <c r="BT243" s="17"/>
      <c r="BU243" s="17"/>
    </row>
    <row r="244" spans="1:73" x14ac:dyDescent="0.25">
      <c r="A244" s="16">
        <v>138</v>
      </c>
      <c r="B244" s="17">
        <v>31</v>
      </c>
      <c r="C244" s="18" t="s">
        <v>198</v>
      </c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  <c r="BA244" s="17"/>
      <c r="BB244" s="17"/>
      <c r="BC244" s="17"/>
      <c r="BD244" s="17"/>
      <c r="BE244" s="17"/>
      <c r="BF244" s="17"/>
      <c r="BG244" s="17"/>
      <c r="BH244" s="17"/>
      <c r="BI244" s="17"/>
      <c r="BJ244" s="17"/>
      <c r="BK244" s="17"/>
      <c r="BL244" s="17"/>
      <c r="BM244" s="17"/>
      <c r="BN244" s="17"/>
      <c r="BO244" s="17"/>
      <c r="BP244" s="17"/>
      <c r="BQ244" s="17"/>
      <c r="BR244" s="17"/>
      <c r="BS244" s="17"/>
      <c r="BT244" s="17"/>
      <c r="BU244" s="17"/>
    </row>
    <row r="245" spans="1:73" x14ac:dyDescent="0.25">
      <c r="A245" s="16">
        <v>151</v>
      </c>
      <c r="B245" s="17">
        <v>35</v>
      </c>
      <c r="C245" s="18" t="s">
        <v>198</v>
      </c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17"/>
      <c r="BA245" s="17"/>
      <c r="BB245" s="17"/>
      <c r="BC245" s="17"/>
      <c r="BD245" s="17"/>
      <c r="BE245" s="17"/>
      <c r="BF245" s="17"/>
      <c r="BG245" s="17"/>
      <c r="BH245" s="17"/>
      <c r="BI245" s="17"/>
      <c r="BJ245" s="17"/>
      <c r="BK245" s="17"/>
      <c r="BL245" s="17"/>
      <c r="BM245" s="17"/>
      <c r="BN245" s="17"/>
      <c r="BO245" s="17"/>
      <c r="BP245" s="17"/>
      <c r="BQ245" s="17"/>
      <c r="BR245" s="17"/>
      <c r="BS245" s="17"/>
      <c r="BT245" s="17"/>
      <c r="BU245" s="17"/>
    </row>
    <row r="246" spans="1:73" x14ac:dyDescent="0.25">
      <c r="A246" s="16">
        <v>169</v>
      </c>
      <c r="B246" s="17">
        <v>31</v>
      </c>
      <c r="C246" s="18" t="s">
        <v>198</v>
      </c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17"/>
      <c r="BA246" s="17"/>
      <c r="BB246" s="17"/>
      <c r="BC246" s="17"/>
      <c r="BD246" s="17"/>
      <c r="BE246" s="17"/>
      <c r="BF246" s="17"/>
      <c r="BG246" s="17"/>
      <c r="BH246" s="17"/>
      <c r="BI246" s="17"/>
      <c r="BJ246" s="17"/>
      <c r="BK246" s="17"/>
      <c r="BL246" s="17"/>
      <c r="BM246" s="17"/>
      <c r="BN246" s="17"/>
      <c r="BO246" s="17"/>
      <c r="BP246" s="17"/>
      <c r="BQ246" s="17"/>
      <c r="BR246" s="17"/>
      <c r="BS246" s="17"/>
      <c r="BT246" s="17"/>
      <c r="BU246" s="17"/>
    </row>
    <row r="247" spans="1:73" x14ac:dyDescent="0.25">
      <c r="A247" s="16">
        <v>222</v>
      </c>
      <c r="B247" s="17">
        <v>34</v>
      </c>
      <c r="C247" s="18" t="s">
        <v>198</v>
      </c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17"/>
      <c r="AZ247" s="17"/>
      <c r="BA247" s="17"/>
      <c r="BB247" s="17"/>
      <c r="BC247" s="17"/>
      <c r="BD247" s="17"/>
      <c r="BE247" s="17"/>
      <c r="BF247" s="17"/>
      <c r="BG247" s="17"/>
      <c r="BH247" s="17"/>
      <c r="BI247" s="17"/>
      <c r="BJ247" s="17"/>
      <c r="BK247" s="17"/>
      <c r="BL247" s="17"/>
      <c r="BM247" s="17"/>
      <c r="BN247" s="17"/>
      <c r="BO247" s="17"/>
      <c r="BP247" s="17"/>
      <c r="BQ247" s="17"/>
      <c r="BR247" s="17"/>
      <c r="BS247" s="17"/>
      <c r="BT247" s="17"/>
      <c r="BU247" s="17"/>
    </row>
    <row r="248" spans="1:73" x14ac:dyDescent="0.25">
      <c r="A248" s="16">
        <v>235</v>
      </c>
      <c r="B248" s="17">
        <v>33</v>
      </c>
      <c r="C248" s="18" t="s">
        <v>198</v>
      </c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17"/>
      <c r="AZ248" s="17"/>
      <c r="BA248" s="17"/>
      <c r="BB248" s="17"/>
      <c r="BC248" s="17"/>
      <c r="BD248" s="17"/>
      <c r="BE248" s="17"/>
      <c r="BF248" s="17"/>
      <c r="BG248" s="17"/>
      <c r="BH248" s="17"/>
      <c r="BI248" s="17"/>
      <c r="BJ248" s="17"/>
      <c r="BK248" s="17"/>
      <c r="BL248" s="17"/>
      <c r="BM248" s="17"/>
      <c r="BN248" s="17"/>
      <c r="BO248" s="17"/>
      <c r="BP248" s="17"/>
      <c r="BQ248" s="17"/>
      <c r="BR248" s="17"/>
      <c r="BS248" s="17"/>
      <c r="BT248" s="17"/>
      <c r="BU248" s="17"/>
    </row>
    <row r="249" spans="1:73" x14ac:dyDescent="0.25">
      <c r="A249" s="16">
        <v>64</v>
      </c>
      <c r="B249" s="17">
        <v>31</v>
      </c>
      <c r="C249" s="18" t="s">
        <v>357</v>
      </c>
      <c r="D249" s="17">
        <v>3863000</v>
      </c>
      <c r="E249" s="17">
        <v>3543000</v>
      </c>
      <c r="F249" s="17">
        <v>3455000</v>
      </c>
      <c r="G249" s="17">
        <v>3368000</v>
      </c>
      <c r="H249" s="17">
        <v>512000</v>
      </c>
      <c r="I249" s="17"/>
      <c r="J249" s="17"/>
      <c r="K249" s="17"/>
      <c r="L249" s="17"/>
      <c r="M249" s="17"/>
      <c r="N249" s="17">
        <v>22919000</v>
      </c>
      <c r="O249" s="17">
        <v>22561000</v>
      </c>
      <c r="P249" s="17">
        <v>30578000</v>
      </c>
      <c r="Q249" s="17">
        <v>26833000</v>
      </c>
      <c r="R249" s="17">
        <v>8492000</v>
      </c>
      <c r="S249" s="17">
        <v>1000</v>
      </c>
      <c r="T249" s="17">
        <v>774000</v>
      </c>
      <c r="U249" s="17">
        <v>1671000</v>
      </c>
      <c r="V249" s="17">
        <v>685000</v>
      </c>
      <c r="W249" s="17">
        <v>168494000</v>
      </c>
      <c r="X249" s="17">
        <v>21604000</v>
      </c>
      <c r="Y249" s="17">
        <v>18855000</v>
      </c>
      <c r="Z249" s="17">
        <v>30122000</v>
      </c>
      <c r="AA249" s="17">
        <v>25961000</v>
      </c>
      <c r="AB249" s="17">
        <v>46231000</v>
      </c>
      <c r="AC249" s="17"/>
      <c r="AD249" s="17"/>
      <c r="AE249" s="17"/>
      <c r="AF249" s="17"/>
      <c r="AG249" s="17"/>
      <c r="AH249" s="17">
        <v>16173000</v>
      </c>
      <c r="AI249" s="17">
        <v>18735000</v>
      </c>
      <c r="AJ249" s="17">
        <v>16265000</v>
      </c>
      <c r="AK249" s="17">
        <v>16340000</v>
      </c>
      <c r="AL249" s="17">
        <v>107694000</v>
      </c>
      <c r="AM249" s="17">
        <v>23174000</v>
      </c>
      <c r="AN249" s="17">
        <v>26805000</v>
      </c>
      <c r="AO249" s="17">
        <v>34855000</v>
      </c>
      <c r="AP249" s="17">
        <v>41095000</v>
      </c>
      <c r="AQ249" s="17">
        <v>39460000</v>
      </c>
      <c r="AR249" s="17">
        <v>15487000</v>
      </c>
      <c r="AS249" s="17">
        <v>17346000</v>
      </c>
      <c r="AT249" s="17">
        <v>13745000</v>
      </c>
      <c r="AU249" s="17">
        <v>27753000</v>
      </c>
      <c r="AV249" s="17">
        <v>20664000</v>
      </c>
      <c r="AW249" s="17"/>
      <c r="AX249" s="17"/>
      <c r="AY249" s="17"/>
      <c r="AZ249" s="17"/>
      <c r="BA249" s="17"/>
      <c r="BB249" s="17">
        <v>7023000</v>
      </c>
      <c r="BC249" s="17">
        <v>7552000</v>
      </c>
      <c r="BD249" s="17">
        <v>6374000</v>
      </c>
      <c r="BE249" s="17">
        <v>6428000</v>
      </c>
      <c r="BF249" s="17">
        <v>5529000</v>
      </c>
      <c r="BG249" s="17">
        <v>14338000</v>
      </c>
      <c r="BH249" s="17">
        <v>15266000</v>
      </c>
      <c r="BI249" s="17">
        <v>14916000</v>
      </c>
      <c r="BJ249" s="17">
        <v>19351000</v>
      </c>
      <c r="BK249" s="17">
        <v>112363000</v>
      </c>
      <c r="BL249" s="17">
        <v>15615000</v>
      </c>
      <c r="BM249" s="17">
        <v>18942000</v>
      </c>
      <c r="BN249" s="17">
        <v>17660000</v>
      </c>
      <c r="BO249" s="17">
        <v>29399000</v>
      </c>
      <c r="BP249" s="17">
        <v>94383000</v>
      </c>
      <c r="BQ249" s="17">
        <v>-1359000</v>
      </c>
      <c r="BR249" s="17">
        <v>-2525000</v>
      </c>
      <c r="BS249" s="17">
        <v>11267000</v>
      </c>
      <c r="BT249" s="17">
        <v>-4161000</v>
      </c>
      <c r="BU249" s="17">
        <v>20270000</v>
      </c>
    </row>
    <row r="250" spans="1:73" x14ac:dyDescent="0.25">
      <c r="A250" s="16">
        <v>71</v>
      </c>
      <c r="B250" s="17">
        <v>24</v>
      </c>
      <c r="C250" s="18" t="s">
        <v>375</v>
      </c>
      <c r="D250" s="17">
        <v>2930000</v>
      </c>
      <c r="E250" s="17">
        <v>2323000</v>
      </c>
      <c r="F250" s="17">
        <v>1620000</v>
      </c>
      <c r="G250" s="17">
        <v>773000</v>
      </c>
      <c r="H250" s="17">
        <v>32000</v>
      </c>
      <c r="I250" s="17">
        <v>288000</v>
      </c>
      <c r="J250" s="17">
        <v>288000</v>
      </c>
      <c r="K250" s="17">
        <v>288000</v>
      </c>
      <c r="L250" s="17">
        <v>288000</v>
      </c>
      <c r="M250" s="17">
        <v>288000</v>
      </c>
      <c r="N250" s="17">
        <v>20183000</v>
      </c>
      <c r="O250" s="17">
        <v>18683000</v>
      </c>
      <c r="P250" s="17">
        <v>19403000</v>
      </c>
      <c r="Q250" s="17">
        <v>19480000</v>
      </c>
      <c r="R250" s="17">
        <v>19052000</v>
      </c>
      <c r="S250" s="17"/>
      <c r="T250" s="17"/>
      <c r="U250" s="17"/>
      <c r="V250" s="17"/>
      <c r="W250" s="17">
        <v>422000</v>
      </c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>
        <v>14984000</v>
      </c>
      <c r="AI250" s="17">
        <v>13470000</v>
      </c>
      <c r="AJ250" s="17">
        <v>16164000</v>
      </c>
      <c r="AK250" s="17">
        <v>16582000</v>
      </c>
      <c r="AL250" s="17">
        <v>17444000</v>
      </c>
      <c r="AM250" s="17"/>
      <c r="AN250" s="17"/>
      <c r="AO250" s="17"/>
      <c r="AP250" s="17"/>
      <c r="AQ250" s="17"/>
      <c r="AR250" s="17"/>
      <c r="AS250" s="17">
        <v>593000</v>
      </c>
      <c r="AT250" s="17">
        <v>2007000</v>
      </c>
      <c r="AU250" s="17">
        <v>1074000</v>
      </c>
      <c r="AV250" s="17">
        <v>988000</v>
      </c>
      <c r="AW250" s="17"/>
      <c r="AX250" s="17"/>
      <c r="AY250" s="17"/>
      <c r="AZ250" s="17"/>
      <c r="BA250" s="17"/>
      <c r="BB250" s="17"/>
      <c r="BC250" s="17"/>
      <c r="BD250" s="17"/>
      <c r="BE250" s="17"/>
      <c r="BF250" s="17"/>
      <c r="BG250" s="17"/>
      <c r="BH250" s="17"/>
      <c r="BI250" s="17"/>
      <c r="BJ250" s="17">
        <v>1063000</v>
      </c>
      <c r="BK250" s="17">
        <v>28000</v>
      </c>
      <c r="BL250" s="17"/>
      <c r="BM250" s="17"/>
      <c r="BN250" s="17">
        <v>670000</v>
      </c>
      <c r="BO250" s="17">
        <v>583000</v>
      </c>
      <c r="BP250" s="17">
        <v>650000</v>
      </c>
      <c r="BQ250" s="17"/>
      <c r="BR250" s="17">
        <v>-593000</v>
      </c>
      <c r="BS250" s="17">
        <v>-2677000</v>
      </c>
      <c r="BT250" s="17">
        <v>-594000</v>
      </c>
      <c r="BU250" s="17">
        <v>-1610000</v>
      </c>
    </row>
    <row r="251" spans="1:73" x14ac:dyDescent="0.25">
      <c r="A251" s="16">
        <v>218</v>
      </c>
      <c r="B251" s="17">
        <v>17</v>
      </c>
      <c r="C251" s="18" t="s">
        <v>375</v>
      </c>
      <c r="D251" s="17">
        <v>85108000</v>
      </c>
      <c r="E251" s="17">
        <v>81850000</v>
      </c>
      <c r="F251" s="17">
        <v>74144000</v>
      </c>
      <c r="G251" s="17">
        <v>94984000</v>
      </c>
      <c r="H251" s="17">
        <v>73871000</v>
      </c>
      <c r="I251" s="17">
        <v>13000</v>
      </c>
      <c r="J251" s="17">
        <v>66000</v>
      </c>
      <c r="K251" s="17">
        <v>28000</v>
      </c>
      <c r="L251" s="17">
        <v>28000</v>
      </c>
      <c r="M251" s="17">
        <v>120000</v>
      </c>
      <c r="N251" s="17">
        <v>17051000</v>
      </c>
      <c r="O251" s="17">
        <v>13342000</v>
      </c>
      <c r="P251" s="17">
        <v>23104000</v>
      </c>
      <c r="Q251" s="17">
        <v>28649000</v>
      </c>
      <c r="R251" s="17">
        <v>31101000</v>
      </c>
      <c r="S251" s="17">
        <v>60000</v>
      </c>
      <c r="T251" s="17">
        <v>36000</v>
      </c>
      <c r="U251" s="17">
        <v>2000</v>
      </c>
      <c r="V251" s="17">
        <v>58000</v>
      </c>
      <c r="W251" s="17">
        <v>24000</v>
      </c>
      <c r="X251" s="17">
        <v>60122000</v>
      </c>
      <c r="Y251" s="17">
        <v>64105000</v>
      </c>
      <c r="Z251" s="17">
        <v>74105000</v>
      </c>
      <c r="AA251" s="17">
        <v>70593000</v>
      </c>
      <c r="AB251" s="17">
        <v>68846000</v>
      </c>
      <c r="AC251" s="17">
        <v>3383000</v>
      </c>
      <c r="AD251" s="17">
        <v>3786000</v>
      </c>
      <c r="AE251" s="17">
        <v>1650000</v>
      </c>
      <c r="AF251" s="17">
        <v>130000</v>
      </c>
      <c r="AG251" s="17">
        <v>617000</v>
      </c>
      <c r="AH251" s="17">
        <v>27403000</v>
      </c>
      <c r="AI251" s="17">
        <v>18004000</v>
      </c>
      <c r="AJ251" s="17">
        <v>11875000</v>
      </c>
      <c r="AK251" s="17">
        <v>26386000</v>
      </c>
      <c r="AL251" s="17">
        <v>21799000</v>
      </c>
      <c r="AM251" s="17">
        <v>13355000</v>
      </c>
      <c r="AN251" s="17">
        <v>13400000</v>
      </c>
      <c r="AO251" s="17">
        <v>23411000</v>
      </c>
      <c r="AP251" s="17">
        <v>42191000</v>
      </c>
      <c r="AQ251" s="17">
        <v>18982000</v>
      </c>
      <c r="AR251" s="17"/>
      <c r="AS251" s="17"/>
      <c r="AT251" s="17">
        <v>58000</v>
      </c>
      <c r="AU251" s="17">
        <v>4836000</v>
      </c>
      <c r="AV251" s="17">
        <v>17000</v>
      </c>
      <c r="AW251" s="17"/>
      <c r="AX251" s="17"/>
      <c r="AY251" s="17"/>
      <c r="AZ251" s="17"/>
      <c r="BA251" s="17">
        <v>60000</v>
      </c>
      <c r="BB251" s="17">
        <v>7760000</v>
      </c>
      <c r="BC251" s="17">
        <v>8970000</v>
      </c>
      <c r="BD251" s="17">
        <v>12046000</v>
      </c>
      <c r="BE251" s="17">
        <v>16668000</v>
      </c>
      <c r="BF251" s="17">
        <v>20852000</v>
      </c>
      <c r="BG251" s="17">
        <v>22998000</v>
      </c>
      <c r="BH251" s="17">
        <v>9052000</v>
      </c>
      <c r="BI251" s="17">
        <v>8300000</v>
      </c>
      <c r="BJ251" s="17">
        <v>11108000</v>
      </c>
      <c r="BK251" s="17">
        <v>9330000</v>
      </c>
      <c r="BL251" s="17">
        <v>25059000</v>
      </c>
      <c r="BM251" s="17">
        <v>7018000</v>
      </c>
      <c r="BN251" s="17">
        <v>7319000</v>
      </c>
      <c r="BO251" s="17">
        <v>13468000</v>
      </c>
      <c r="BP251" s="17">
        <v>4056000</v>
      </c>
      <c r="BQ251" s="17">
        <v>3019000</v>
      </c>
      <c r="BR251" s="17">
        <v>3983000</v>
      </c>
      <c r="BS251" s="17">
        <v>10000000</v>
      </c>
      <c r="BT251" s="17">
        <v>6855000</v>
      </c>
      <c r="BU251" s="17">
        <v>-1589000</v>
      </c>
    </row>
    <row r="252" spans="1:73" x14ac:dyDescent="0.25">
      <c r="A252" s="16">
        <v>11</v>
      </c>
      <c r="B252" s="17">
        <v>13</v>
      </c>
      <c r="C252" s="18" t="s">
        <v>216</v>
      </c>
      <c r="D252" s="17">
        <v>9324000</v>
      </c>
      <c r="E252" s="17"/>
      <c r="F252" s="17">
        <v>9324000</v>
      </c>
      <c r="G252" s="17">
        <v>51025000</v>
      </c>
      <c r="H252" s="17">
        <v>51024000</v>
      </c>
      <c r="I252" s="17">
        <v>632000</v>
      </c>
      <c r="J252" s="17"/>
      <c r="K252" s="17">
        <v>632000</v>
      </c>
      <c r="L252" s="17">
        <v>632000</v>
      </c>
      <c r="M252" s="17"/>
      <c r="N252" s="17">
        <v>42683000</v>
      </c>
      <c r="O252" s="17"/>
      <c r="P252" s="17">
        <v>42683000</v>
      </c>
      <c r="Q252" s="17">
        <v>42683000</v>
      </c>
      <c r="R252" s="17">
        <v>42683000</v>
      </c>
      <c r="S252" s="17">
        <v>17000</v>
      </c>
      <c r="T252" s="17"/>
      <c r="U252" s="17">
        <v>17000</v>
      </c>
      <c r="V252" s="17">
        <v>3530000</v>
      </c>
      <c r="W252" s="17">
        <v>1017000</v>
      </c>
      <c r="X252" s="17">
        <v>-21513000</v>
      </c>
      <c r="Y252" s="17"/>
      <c r="Z252" s="17">
        <v>-21513000</v>
      </c>
      <c r="AA252" s="17">
        <v>-223653000</v>
      </c>
      <c r="AB252" s="17">
        <v>-226798000</v>
      </c>
      <c r="AC252" s="17">
        <v>68751000</v>
      </c>
      <c r="AD252" s="17"/>
      <c r="AE252" s="17">
        <v>68751000</v>
      </c>
      <c r="AF252" s="17"/>
      <c r="AG252" s="17"/>
      <c r="AH252" s="17">
        <v>5508000</v>
      </c>
      <c r="AI252" s="17"/>
      <c r="AJ252" s="17">
        <v>5508000</v>
      </c>
      <c r="AK252" s="17"/>
      <c r="AL252" s="17"/>
      <c r="AM252" s="17"/>
      <c r="AN252" s="17"/>
      <c r="AO252" s="17"/>
      <c r="AP252" s="17"/>
      <c r="AQ252" s="17"/>
      <c r="AR252" s="17">
        <v>16000</v>
      </c>
      <c r="AS252" s="17"/>
      <c r="AT252" s="17"/>
      <c r="AU252" s="17"/>
      <c r="AV252" s="17"/>
      <c r="AW252" s="17"/>
      <c r="AX252" s="17"/>
      <c r="AY252" s="17"/>
      <c r="AZ252" s="17"/>
      <c r="BA252" s="17"/>
      <c r="BB252" s="17">
        <v>1770000</v>
      </c>
      <c r="BC252" s="17"/>
      <c r="BD252" s="17"/>
      <c r="BE252" s="17"/>
      <c r="BF252" s="17"/>
      <c r="BG252" s="17"/>
      <c r="BH252" s="17"/>
      <c r="BI252" s="17"/>
      <c r="BJ252" s="17"/>
      <c r="BK252" s="17"/>
      <c r="BL252" s="17">
        <v>7000</v>
      </c>
      <c r="BM252" s="17"/>
      <c r="BN252" s="17"/>
      <c r="BO252" s="17"/>
      <c r="BP252" s="17"/>
      <c r="BQ252" s="17">
        <v>-1793000</v>
      </c>
      <c r="BR252" s="17"/>
      <c r="BS252" s="17"/>
      <c r="BT252" s="17"/>
      <c r="BU252" s="17"/>
    </row>
    <row r="253" spans="1:73" x14ac:dyDescent="0.25">
      <c r="A253" s="16">
        <v>216</v>
      </c>
      <c r="B253" s="17">
        <v>21</v>
      </c>
      <c r="C253" s="18" t="s">
        <v>733</v>
      </c>
      <c r="D253" s="17">
        <v>9246000</v>
      </c>
      <c r="E253" s="17">
        <v>36965000</v>
      </c>
      <c r="F253" s="17">
        <v>29695000</v>
      </c>
      <c r="G253" s="17">
        <v>6380000</v>
      </c>
      <c r="H253" s="17">
        <v>1647000</v>
      </c>
      <c r="I253" s="17">
        <v>40570000</v>
      </c>
      <c r="J253" s="17">
        <v>12874000</v>
      </c>
      <c r="K253" s="17">
        <v>4533000</v>
      </c>
      <c r="L253" s="17">
        <v>2193000</v>
      </c>
      <c r="M253" s="17"/>
      <c r="N253" s="17">
        <v>376156000</v>
      </c>
      <c r="O253" s="17">
        <v>152092000</v>
      </c>
      <c r="P253" s="17">
        <v>76896000</v>
      </c>
      <c r="Q253" s="17">
        <v>73786000</v>
      </c>
      <c r="R253" s="17">
        <v>9456000</v>
      </c>
      <c r="S253" s="17">
        <v>497000</v>
      </c>
      <c r="T253" s="17">
        <v>11086000</v>
      </c>
      <c r="U253" s="17">
        <v>1000000</v>
      </c>
      <c r="V253" s="17">
        <v>19921000</v>
      </c>
      <c r="W253" s="17">
        <v>33922000</v>
      </c>
      <c r="X253" s="17">
        <v>26123000</v>
      </c>
      <c r="Y253" s="17">
        <v>-294063000</v>
      </c>
      <c r="Z253" s="17">
        <v>-395966000</v>
      </c>
      <c r="AA253" s="17"/>
      <c r="AB253" s="17"/>
      <c r="AC253" s="17">
        <v>472000</v>
      </c>
      <c r="AD253" s="17">
        <v>18951000</v>
      </c>
      <c r="AE253" s="17">
        <v>18951000</v>
      </c>
      <c r="AF253" s="17">
        <v>18951000</v>
      </c>
      <c r="AG253" s="17">
        <v>270971000</v>
      </c>
      <c r="AH253" s="17">
        <v>158268000</v>
      </c>
      <c r="AI253" s="17">
        <v>232783000</v>
      </c>
      <c r="AJ253" s="17">
        <v>232125000</v>
      </c>
      <c r="AK253" s="17">
        <v>212323000</v>
      </c>
      <c r="AL253" s="17">
        <v>249741000</v>
      </c>
      <c r="AM253" s="17">
        <v>699616000</v>
      </c>
      <c r="AN253" s="17">
        <v>358333000</v>
      </c>
      <c r="AO253" s="17">
        <v>103289000</v>
      </c>
      <c r="AP253" s="17">
        <v>2540000</v>
      </c>
      <c r="AQ253" s="17">
        <v>1674000</v>
      </c>
      <c r="AR253" s="17">
        <v>566887000</v>
      </c>
      <c r="AS253" s="17">
        <v>340317000</v>
      </c>
      <c r="AT253" s="17">
        <v>143262000</v>
      </c>
      <c r="AU253" s="17">
        <v>21455000</v>
      </c>
      <c r="AV253" s="17">
        <v>9370000</v>
      </c>
      <c r="AW253" s="17"/>
      <c r="AX253" s="17"/>
      <c r="AY253" s="17"/>
      <c r="AZ253" s="17"/>
      <c r="BA253" s="17"/>
      <c r="BB253" s="17">
        <v>86936000</v>
      </c>
      <c r="BC253" s="17">
        <v>74103000</v>
      </c>
      <c r="BD253" s="17">
        <v>51332000</v>
      </c>
      <c r="BE253" s="17"/>
      <c r="BF253" s="17"/>
      <c r="BG253" s="17">
        <v>10113000</v>
      </c>
      <c r="BH253" s="17">
        <v>15417000</v>
      </c>
      <c r="BI253" s="17">
        <v>959000</v>
      </c>
      <c r="BJ253" s="17">
        <v>37944000</v>
      </c>
      <c r="BK253" s="17">
        <v>24429000</v>
      </c>
      <c r="BL253" s="17">
        <v>17868000</v>
      </c>
      <c r="BM253" s="17">
        <v>256313000</v>
      </c>
      <c r="BN253" s="17">
        <v>5134000</v>
      </c>
      <c r="BO253" s="17">
        <v>9330000</v>
      </c>
      <c r="BP253" s="17">
        <v>31000</v>
      </c>
      <c r="BQ253" s="17">
        <v>5265000</v>
      </c>
      <c r="BR253" s="17">
        <v>-320186000</v>
      </c>
      <c r="BS253" s="17">
        <v>-101903000</v>
      </c>
      <c r="BT253" s="17">
        <v>9056000</v>
      </c>
      <c r="BU253" s="17">
        <v>12188000</v>
      </c>
    </row>
  </sheetData>
  <sortState xmlns:xlrd2="http://schemas.microsoft.com/office/spreadsheetml/2017/richdata2" ref="A2:BZ253">
    <sortCondition descending="1" ref="C2:C253"/>
  </sortState>
  <pageMargins left="0.75" right="0.75" top="0.75" bottom="0.5" header="0.5" footer="0.75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53"/>
  <sheetViews>
    <sheetView zoomScale="70" zoomScaleNormal="70" workbookViewId="0">
      <selection activeCell="D40" sqref="D40"/>
    </sheetView>
  </sheetViews>
  <sheetFormatPr defaultColWidth="8.85546875" defaultRowHeight="15" x14ac:dyDescent="0.25"/>
  <cols>
    <col min="1" max="14" width="25.7109375" style="19" customWidth="1"/>
    <col min="15" max="16384" width="8.85546875" style="15"/>
  </cols>
  <sheetData>
    <row r="1" spans="1:14" ht="63.75" x14ac:dyDescent="0.25">
      <c r="A1" s="13" t="s">
        <v>3</v>
      </c>
      <c r="B1" s="13" t="s">
        <v>820</v>
      </c>
      <c r="C1" s="13" t="s">
        <v>821</v>
      </c>
      <c r="D1" s="13" t="s">
        <v>822</v>
      </c>
      <c r="E1" s="13" t="s">
        <v>823</v>
      </c>
      <c r="F1" s="13" t="s">
        <v>824</v>
      </c>
      <c r="G1" s="13" t="s">
        <v>825</v>
      </c>
      <c r="H1" s="13" t="s">
        <v>826</v>
      </c>
      <c r="I1" s="13" t="s">
        <v>827</v>
      </c>
      <c r="J1" s="13" t="s">
        <v>828</v>
      </c>
      <c r="K1" s="13" t="s">
        <v>829</v>
      </c>
      <c r="L1" s="13" t="s">
        <v>830</v>
      </c>
      <c r="M1" s="13" t="s">
        <v>831</v>
      </c>
      <c r="N1" s="13" t="s">
        <v>832</v>
      </c>
    </row>
    <row r="2" spans="1:14" x14ac:dyDescent="0.25">
      <c r="A2" s="17">
        <v>12</v>
      </c>
      <c r="B2" s="17">
        <f>(('Выборка 1'!E2-'Выборка 1'!D2)+('Выборка 1'!F2-'Выборка 1'!E2)+('Выборка 1'!G2-'Выборка 1'!F2)+('Выборка 1'!H2-'Выборка 1'!G2))/4/1000</f>
        <v>0</v>
      </c>
      <c r="C2" s="17">
        <f>(('Выборка 1'!J2-'Выборка 1'!I2)+('Выборка 1'!K2-'Выборка 1'!J2)+('Выборка 1'!L2-'Выборка 1'!K2)+('Выборка 1'!M2-'Выборка 1'!L2))/4000</f>
        <v>0</v>
      </c>
      <c r="D2" s="17">
        <f>(('Выборка 1'!O2-'Выборка 1'!N2)+('Выборка 1'!P2-'Выборка 1'!O2)+('Выборка 1'!Q2-'Выборка 1'!P2)+('Выборка 1'!R2-'Выборка 1'!Q2))/4000</f>
        <v>-186.25</v>
      </c>
      <c r="E2" s="17">
        <f>(('Выборка 1'!T2-'Выборка 1'!S2)+('Выборка 1'!U2-'Выборка 1'!T2)+('Выборка 1'!V2-'Выборка 1'!U2)+('Выборка 1'!W2-'Выборка 1'!V2))/4000</f>
        <v>-132.25</v>
      </c>
      <c r="F2" s="17">
        <f>(('Выборка 1'!Y2-'Выборка 1'!X2)+('Выборка 1'!Z2+'Выборка 1'!Y2)+('Выборка 1'!AA2-'Выборка 1'!Z2)+('Выборка 1'!AB2-'Выборка 1'!AA2))/4000</f>
        <v>0</v>
      </c>
      <c r="G2" s="17">
        <f>(('Выборка 1'!AD2-'Выборка 1'!AC2)+('Выборка 1'!AE2-'Выборка 1'!AD2)+('Выборка 1'!AF2-'Выборка 1'!AE2)+('Выборка 1'!AG2-'Выборка 1'!AF2))/4000</f>
        <v>-536.25</v>
      </c>
      <c r="H2" s="17">
        <f>(('Выборка 1'!AI2-'Выборка 1'!AH2)+('Выборка 1'!AJ2-'Выборка 1'!AI2)+('Выборка 1'!AK2-'Выборка 1'!AJ2)+('Выборка 1'!AL2-'Выборка 1'!AK2))/4000</f>
        <v>14.5</v>
      </c>
      <c r="I2" s="17">
        <f>(('Выборка 1'!AN2-'Выборка 1'!AM2)+('Выборка 1'!AO2-'Выборка 1'!AN2)+('Выборка 1'!AP2-'Выборка 1'!AO2)+('Выборка 1'!AQ2-'Выборка 1'!AP2))/4000</f>
        <v>-2740.5</v>
      </c>
      <c r="J2" s="17">
        <f>((('Выборка 1'!AS2+'Выборка 1'!AX2)-('Выборка 1'!AR2+'Выборка 1'!AW2))+(('Выборка 1'!AT2+'Выборка 1'!AY2)-('Выборка 1'!AS2+'Выборка 1'!AX2))+(('Выборка 1'!AU2+'Выборка 1'!AZ2)-('Выборка 1'!AT2+'Выборка 1'!AY2))+(('Выборка 1'!AV2+'Выборка 1'!BA2)-('Выборка 1'!AU2+'Выборка 1'!AZ2)))/4000</f>
        <v>-2329.75</v>
      </c>
      <c r="K2" s="17">
        <f>(('Выборка 1'!BC2-'Выборка 1'!BB2)+('Выборка 1'!BD2-'Выборка 1'!BC2)+('Выборка 1'!BE2-'Выборка 1'!BD2)+('Выборка 1'!BF2-'Выборка 1'!BE2))/4000</f>
        <v>0</v>
      </c>
      <c r="L2" s="17">
        <f>I2-J2-K2</f>
        <v>-410.75</v>
      </c>
      <c r="M2" s="17">
        <f>((('Выборка 1'!BH2-'Выборка 1'!BM2)-('Выборка 1'!BG2-'Выборка 1'!BL2))+(('Выборка 1'!BI2-'Выборка 1'!BN2)-('Выборка 1'!BH2-'Выборка 1'!BM2))+(('Выборка 1'!BJ2-'Выборка 1'!BO2)-('Выборка 1'!BI2-'Выборка 1'!BN2))+(('Выборка 1'!BK2-'Выборка 1'!BP2)-('Выборка 1'!BJ2-'Выборка 1'!BO2)))/4000</f>
        <v>55.5</v>
      </c>
      <c r="N2" s="17">
        <f>(('Выборка 1'!BR2-'Выборка 1'!BQ2)+('Выборка 1'!BS2-'Выборка 1'!BR2)+('Выборка 1'!BT2-'Выборка 1'!BS2)+('Выборка 1'!BU2-'Выборка 1'!BT2))/4000</f>
        <v>-482</v>
      </c>
    </row>
    <row r="3" spans="1:14" x14ac:dyDescent="0.25">
      <c r="A3" s="17">
        <v>17</v>
      </c>
      <c r="B3" s="17">
        <f>(('Выборка 1'!E3-'Выборка 1'!D3)+('Выборка 1'!F3-'Выборка 1'!E3)+('Выборка 1'!G3-'Выборка 1'!F3)+('Выборка 1'!H3-'Выборка 1'!G3))/4000</f>
        <v>-374</v>
      </c>
      <c r="C3" s="17">
        <f>(('Выборка 1'!J3-'Выборка 1'!I3)+('Выборка 1'!K3-'Выборка 1'!J3)+('Выборка 1'!L3-'Выборка 1'!K3)+('Выборка 1'!M3-'Выборка 1'!L3))/4000</f>
        <v>-493</v>
      </c>
      <c r="D3" s="17">
        <f>(('Выборка 1'!O3-'Выборка 1'!N3)+('Выборка 1'!P3-'Выборка 1'!O3)+('Выборка 1'!Q3-'Выборка 1'!P3)+('Выборка 1'!R3-'Выборка 1'!Q3))/4000</f>
        <v>-6043.5</v>
      </c>
      <c r="E3" s="17">
        <f>(('Выборка 1'!T3-'Выборка 1'!S3)+('Выборка 1'!U3-'Выборка 1'!T3)+('Выборка 1'!V3-'Выборка 1'!U3)+('Выборка 1'!W3-'Выборка 1'!V3))/4000</f>
        <v>-4097.25</v>
      </c>
      <c r="F3" s="17">
        <f>(('Выборка 1'!Y3-'Выборка 1'!X3)+('Выборка 1'!Z3+'Выборка 1'!Y3)+('Выборка 1'!AA3-'Выборка 1'!Z3)+('Выборка 1'!AB3-'Выборка 1'!AA3))/4000</f>
        <v>-7997.75</v>
      </c>
      <c r="G3" s="17">
        <f>(('Выборка 1'!AD3-'Выборка 1'!AC3)+('Выборка 1'!AE3-'Выборка 1'!AD3)+('Выборка 1'!AF3-'Выборка 1'!AE3)+('Выборка 1'!AG3-'Выборка 1'!AF3))/4000</f>
        <v>0</v>
      </c>
      <c r="H3" s="17">
        <f>(('Выборка 1'!AI3-'Выборка 1'!AH3)+('Выборка 1'!AJ3-'Выборка 1'!AI3)+('Выборка 1'!AK3-'Выборка 1'!AJ3)+('Выборка 1'!AL3-'Выборка 1'!AK3))/4000</f>
        <v>768</v>
      </c>
      <c r="I3" s="17">
        <f>(('Выборка 1'!AN3-'Выборка 1'!AM3)+('Выборка 1'!AO3-'Выборка 1'!AN3)+('Выборка 1'!AP3-'Выборка 1'!AO3)+('Выборка 1'!AQ3-'Выборка 1'!AP3))/4000</f>
        <v>-27902.25</v>
      </c>
      <c r="J3" s="17">
        <f>((('Выборка 1'!AS3+'Выборка 1'!AX3)-('Выборка 1'!AR3+'Выборка 1'!AW3))+(('Выборка 1'!AT3+'Выборка 1'!AY3)-('Выборка 1'!AS3+'Выборка 1'!AX3))+(('Выборка 1'!AU3+'Выборка 1'!AZ3)-('Выборка 1'!AT3+'Выборка 1'!AY3))+(('Выборка 1'!AV3+'Выборка 1'!BA3)-('Выборка 1'!AU3+'Выборка 1'!AZ3)))/4000</f>
        <v>-23558.75</v>
      </c>
      <c r="K3" s="17">
        <f>(('Выборка 1'!BC3-'Выборка 1'!BB3)+('Выборка 1'!BD3-'Выборка 1'!BC3)+('Выборка 1'!BE3-'Выборка 1'!BD3)+('Выборка 1'!BF3-'Выборка 1'!BE3))/4000</f>
        <v>0</v>
      </c>
      <c r="L3" s="17">
        <f t="shared" ref="L3:L66" si="0">I3-J3-K3</f>
        <v>-4343.5</v>
      </c>
      <c r="M3" s="17">
        <f>((('Выборка 1'!BH3-'Выборка 1'!BM3)-('Выборка 1'!BG3-'Выборка 1'!BL3))+(('Выборка 1'!BI3-'Выборка 1'!BN3)-('Выборка 1'!BH3-'Выборка 1'!BM3))+(('Выборка 1'!BJ3-'Выборка 1'!BO3)-('Выборка 1'!BI3-'Выборка 1'!BN3))+(('Выборка 1'!BK3-'Выборка 1'!BP3)-('Выборка 1'!BJ3-'Выборка 1'!BO3)))/4000</f>
        <v>-1577.5</v>
      </c>
      <c r="N3" s="17">
        <f>(('Выборка 1'!BR3-'Выборка 1'!BQ3)+('Выборка 1'!BS3-'Выборка 1'!BR3)+('Выборка 1'!BT3-'Выборка 1'!BS3)+('Выборка 1'!BU3-'Выборка 1'!BT3))/4000</f>
        <v>-5596</v>
      </c>
    </row>
    <row r="4" spans="1:14" x14ac:dyDescent="0.25">
      <c r="A4" s="17">
        <v>10</v>
      </c>
      <c r="B4" s="17">
        <f>(('Выборка 1'!E4-'Выборка 1'!D4)+('Выборка 1'!F4-'Выборка 1'!E4)+('Выборка 1'!G4-'Выборка 1'!F4)+('Выборка 1'!H4-'Выборка 1'!G4))/4000</f>
        <v>0</v>
      </c>
      <c r="C4" s="17">
        <f>(('Выборка 1'!J4-'Выборка 1'!I4)+('Выборка 1'!K4-'Выборка 1'!J4)+('Выборка 1'!L4-'Выборка 1'!K4)+('Выборка 1'!M4-'Выборка 1'!L4))/4000</f>
        <v>-8654</v>
      </c>
      <c r="D4" s="17">
        <f>(('Выборка 1'!O4-'Выборка 1'!N4)+('Выборка 1'!P4-'Выборка 1'!O4)+('Выборка 1'!Q4-'Выборка 1'!P4)+('Выборка 1'!R4-'Выборка 1'!Q4))/4000</f>
        <v>-246.25</v>
      </c>
      <c r="E4" s="17">
        <f>(('Выборка 1'!T4-'Выборка 1'!S4)+('Выборка 1'!U4-'Выборка 1'!T4)+('Выборка 1'!V4-'Выборка 1'!U4)+('Выборка 1'!W4-'Выборка 1'!V4))/4000</f>
        <v>0</v>
      </c>
      <c r="F4" s="17">
        <f>(('Выборка 1'!Y4-'Выборка 1'!X4)+('Выборка 1'!Z4+'Выборка 1'!Y4)+('Выборка 1'!AA4-'Выборка 1'!Z4)+('Выборка 1'!AB4-'Выборка 1'!AA4))/4000</f>
        <v>-85421.5</v>
      </c>
      <c r="G4" s="17">
        <f>(('Выборка 1'!AD4-'Выборка 1'!AC4)+('Выборка 1'!AE4-'Выборка 1'!AD4)+('Выборка 1'!AF4-'Выборка 1'!AE4)+('Выборка 1'!AG4-'Выборка 1'!AF4))/4000</f>
        <v>0</v>
      </c>
      <c r="H4" s="17">
        <f>(('Выборка 1'!AI4-'Выборка 1'!AH4)+('Выборка 1'!AJ4-'Выборка 1'!AI4)+('Выборка 1'!AK4-'Выборка 1'!AJ4)+('Выборка 1'!AL4-'Выборка 1'!AK4))/4000</f>
        <v>-1638.5</v>
      </c>
      <c r="I4" s="17">
        <f>(('Выборка 1'!AN4-'Выборка 1'!AM4)+('Выборка 1'!AO4-'Выборка 1'!AN4)+('Выборка 1'!AP4-'Выборка 1'!AO4)+('Выборка 1'!AQ4-'Выборка 1'!AP4))/4000</f>
        <v>0</v>
      </c>
      <c r="J4" s="17">
        <f>((('Выборка 1'!AS4+'Выборка 1'!AX4)-('Выборка 1'!AR4+'Выборка 1'!AW4))+(('Выборка 1'!AT4+'Выборка 1'!AY4)-('Выборка 1'!AS4+'Выборка 1'!AX4))+(('Выборка 1'!AU4+'Выборка 1'!AZ4)-('Выборка 1'!AT4+'Выборка 1'!AY4))+(('Выборка 1'!AV4+'Выборка 1'!BA4)-('Выборка 1'!AU4+'Выборка 1'!AZ4)))/4000</f>
        <v>0</v>
      </c>
      <c r="K4" s="17">
        <f>(('Выборка 1'!BC4-'Выборка 1'!BB4)+('Выборка 1'!BD4-'Выборка 1'!BC4)+('Выборка 1'!BE4-'Выборка 1'!BD4)+('Выборка 1'!BF4-'Выборка 1'!BE4))/4000</f>
        <v>0</v>
      </c>
      <c r="L4" s="17">
        <f t="shared" si="0"/>
        <v>0</v>
      </c>
      <c r="M4" s="17">
        <f>((('Выборка 1'!BH4-'Выборка 1'!BM4)-('Выборка 1'!BG4-'Выборка 1'!BL4))+(('Выборка 1'!BI4-'Выборка 1'!BN4)-('Выборка 1'!BH4-'Выборка 1'!BM4))+(('Выборка 1'!BJ4-'Выборка 1'!BO4)-('Выборка 1'!BI4-'Выборка 1'!BN4))+(('Выборка 1'!BK4-'Выборка 1'!BP4)-('Выборка 1'!BJ4-'Выборка 1'!BO4)))/4000</f>
        <v>0</v>
      </c>
      <c r="N4" s="17">
        <f>(('Выборка 1'!BR4-'Выборка 1'!BQ4)+('Выборка 1'!BS4-'Выборка 1'!BR4)+('Выборка 1'!BT4-'Выборка 1'!BS4)+('Выборка 1'!BU4-'Выборка 1'!BT4))/4000</f>
        <v>0</v>
      </c>
    </row>
    <row r="5" spans="1:14" x14ac:dyDescent="0.25">
      <c r="A5" s="17">
        <v>18</v>
      </c>
      <c r="B5" s="17">
        <f>(('Выборка 1'!E5-'Выборка 1'!D5)+('Выборка 1'!F5-'Выборка 1'!E5)+('Выборка 1'!G5-'Выборка 1'!F5)+('Выборка 1'!H5-'Выборка 1'!G5))/4000</f>
        <v>0</v>
      </c>
      <c r="C5" s="17">
        <f>(('Выборка 1'!J5-'Выборка 1'!I5)+('Выборка 1'!K5-'Выборка 1'!J5)+('Выборка 1'!L5-'Выборка 1'!K5)+('Выборка 1'!M5-'Выборка 1'!L5))/4000</f>
        <v>-0.5</v>
      </c>
      <c r="D5" s="17">
        <f>(('Выборка 1'!O5-'Выборка 1'!N5)+('Выборка 1'!P5-'Выборка 1'!O5)+('Выборка 1'!Q5-'Выборка 1'!P5)+('Выборка 1'!R5-'Выборка 1'!Q5))/4000</f>
        <v>-6187</v>
      </c>
      <c r="E5" s="17">
        <f>(('Выборка 1'!T5-'Выборка 1'!S5)+('Выборка 1'!U5-'Выборка 1'!T5)+('Выборка 1'!V5-'Выборка 1'!U5)+('Выборка 1'!W5-'Выборка 1'!V5))/4000</f>
        <v>-8925.5</v>
      </c>
      <c r="F5" s="17">
        <f>(('Выборка 1'!Y5-'Выборка 1'!X5)+('Выборка 1'!Z5+'Выборка 1'!Y5)+('Выборка 1'!AA5-'Выборка 1'!Z5)+('Выборка 1'!AB5-'Выборка 1'!AA5))/4000</f>
        <v>-3561.25</v>
      </c>
      <c r="G5" s="17">
        <f>(('Выборка 1'!AD5-'Выборка 1'!AC5)+('Выборка 1'!AE5-'Выборка 1'!AD5)+('Выборка 1'!AF5-'Выборка 1'!AE5)+('Выборка 1'!AG5-'Выборка 1'!AF5))/4000</f>
        <v>0</v>
      </c>
      <c r="H5" s="17">
        <f>(('Выборка 1'!AI5-'Выборка 1'!AH5)+('Выборка 1'!AJ5-'Выборка 1'!AI5)+('Выборка 1'!AK5-'Выборка 1'!AJ5)+('Выборка 1'!AL5-'Выборка 1'!AK5))/4000</f>
        <v>-1196.5</v>
      </c>
      <c r="I5" s="17">
        <f>(('Выборка 1'!AN5-'Выборка 1'!AM5)+('Выборка 1'!AO5-'Выборка 1'!AN5)+('Выборка 1'!AP5-'Выборка 1'!AO5)+('Выборка 1'!AQ5-'Выборка 1'!AP5))/4000</f>
        <v>-28999.5</v>
      </c>
      <c r="J5" s="17">
        <f>((('Выборка 1'!AS5+'Выборка 1'!AX5)-('Выборка 1'!AR5+'Выборка 1'!AW5))+(('Выборка 1'!AT5+'Выборка 1'!AY5)-('Выборка 1'!AS5+'Выборка 1'!AX5))+(('Выборка 1'!AU5+'Выборка 1'!AZ5)-('Выборка 1'!AT5+'Выборка 1'!AY5))+(('Выборка 1'!AV5+'Выборка 1'!BA5)-('Выборка 1'!AU5+'Выборка 1'!AZ5)))/4000</f>
        <v>-25238.5</v>
      </c>
      <c r="K5" s="17">
        <f>(('Выборка 1'!BC5-'Выборка 1'!BB5)+('Выборка 1'!BD5-'Выборка 1'!BC5)+('Выборка 1'!BE5-'Выборка 1'!BD5)+('Выборка 1'!BF5-'Выборка 1'!BE5))/4000</f>
        <v>0</v>
      </c>
      <c r="L5" s="17">
        <f t="shared" si="0"/>
        <v>-3761</v>
      </c>
      <c r="M5" s="17">
        <f>((('Выборка 1'!BH5-'Выборка 1'!BM5)-('Выборка 1'!BG5-'Выборка 1'!BL5))+(('Выборка 1'!BI5-'Выборка 1'!BN5)-('Выборка 1'!BH5-'Выборка 1'!BM5))+(('Выборка 1'!BJ5-'Выборка 1'!BO5)-('Выборка 1'!BI5-'Выборка 1'!BN5))+(('Выборка 1'!BK5-'Выборка 1'!BP5)-('Выборка 1'!BJ5-'Выборка 1'!BO5)))/4000</f>
        <v>4050.25</v>
      </c>
      <c r="N5" s="17">
        <f>(('Выборка 1'!BR5-'Выборка 1'!BQ5)+('Выборка 1'!BS5-'Выборка 1'!BR5)+('Выборка 1'!BT5-'Выборка 1'!BS5)+('Выборка 1'!BU5-'Выборка 1'!BT5))/4000</f>
        <v>342.25</v>
      </c>
    </row>
    <row r="6" spans="1:14" x14ac:dyDescent="0.25">
      <c r="A6" s="17">
        <v>16</v>
      </c>
      <c r="B6" s="17">
        <f>(('Выборка 1'!E6-'Выборка 1'!D6)+('Выборка 1'!F6-'Выборка 1'!E6)+('Выборка 1'!G6-'Выборка 1'!F6)+('Выборка 1'!H6-'Выборка 1'!G6))/4000</f>
        <v>0</v>
      </c>
      <c r="C6" s="17">
        <f>(('Выборка 1'!J6-'Выборка 1'!I6)+('Выборка 1'!K6-'Выборка 1'!J6)+('Выборка 1'!L6-'Выборка 1'!K6)+('Выборка 1'!M6-'Выборка 1'!L6))/4000</f>
        <v>-16.75</v>
      </c>
      <c r="D6" s="17">
        <f>(('Выборка 1'!O6-'Выборка 1'!N6)+('Выборка 1'!P6-'Выборка 1'!O6)+('Выборка 1'!Q6-'Выборка 1'!P6)+('Выборка 1'!R6-'Выборка 1'!Q6))/4000</f>
        <v>-780.75</v>
      </c>
      <c r="E6" s="17">
        <f>(('Выборка 1'!T6-'Выборка 1'!S6)+('Выборка 1'!U6-'Выборка 1'!T6)+('Выборка 1'!V6-'Выборка 1'!U6)+('Выборка 1'!W6-'Выборка 1'!V6))/4000</f>
        <v>-67.5</v>
      </c>
      <c r="F6" s="17">
        <f>(('Выборка 1'!Y6-'Выборка 1'!X6)+('Выборка 1'!Z6+'Выборка 1'!Y6)+('Выборка 1'!AA6-'Выборка 1'!Z6)+('Выборка 1'!AB6-'Выборка 1'!AA6))/4000</f>
        <v>1392.75</v>
      </c>
      <c r="G6" s="17">
        <f>(('Выборка 1'!AD6-'Выборка 1'!AC6)+('Выборка 1'!AE6-'Выборка 1'!AD6)+('Выборка 1'!AF6-'Выборка 1'!AE6)+('Выборка 1'!AG6-'Выборка 1'!AF6))/4000</f>
        <v>0</v>
      </c>
      <c r="H6" s="17">
        <f>(('Выборка 1'!AI6-'Выборка 1'!AH6)+('Выборка 1'!AJ6-'Выборка 1'!AI6)+('Выборка 1'!AK6-'Выборка 1'!AJ6)+('Выборка 1'!AL6-'Выборка 1'!AK6))/4000</f>
        <v>-45889.75</v>
      </c>
      <c r="I6" s="17">
        <f>(('Выборка 1'!AN6-'Выборка 1'!AM6)+('Выборка 1'!AO6-'Выборка 1'!AN6)+('Выборка 1'!AP6-'Выборка 1'!AO6)+('Выборка 1'!AQ6-'Выборка 1'!AP6))/4000</f>
        <v>-6629.25</v>
      </c>
      <c r="J6" s="17">
        <f>((('Выборка 1'!AS6+'Выборка 1'!AX6)-('Выборка 1'!AR6+'Выборка 1'!AW6))+(('Выборка 1'!AT6+'Выборка 1'!AY6)-('Выборка 1'!AS6+'Выборка 1'!AX6))+(('Выборка 1'!AU6+'Выборка 1'!AZ6)-('Выборка 1'!AT6+'Выборка 1'!AY6))+(('Выборка 1'!AV6+'Выборка 1'!BA6)-('Выборка 1'!AU6+'Выборка 1'!AZ6)))/4000</f>
        <v>-4712.25</v>
      </c>
      <c r="K6" s="17">
        <f>(('Выборка 1'!BC6-'Выборка 1'!BB6)+('Выборка 1'!BD6-'Выборка 1'!BC6)+('Выборка 1'!BE6-'Выборка 1'!BD6)+('Выборка 1'!BF6-'Выборка 1'!BE6))/4000</f>
        <v>-338.25</v>
      </c>
      <c r="L6" s="17">
        <f t="shared" si="0"/>
        <v>-1578.75</v>
      </c>
      <c r="M6" s="17">
        <f>((('Выборка 1'!BH6-'Выборка 1'!BM6)-('Выборка 1'!BG6-'Выборка 1'!BL6))+(('Выборка 1'!BI6-'Выборка 1'!BN6)-('Выборка 1'!BH6-'Выборка 1'!BM6))+(('Выборка 1'!BJ6-'Выборка 1'!BO6)-('Выборка 1'!BI6-'Выборка 1'!BN6))+(('Выборка 1'!BK6-'Выборка 1'!BP6)-('Выборка 1'!BJ6-'Выборка 1'!BO6)))/4000</f>
        <v>1531.25</v>
      </c>
      <c r="N6" s="17">
        <f>(('Выборка 1'!BR6-'Выборка 1'!BQ6)+('Выборка 1'!BS6-'Выборка 1'!BR6)+('Выборка 1'!BT6-'Выборка 1'!BS6)+('Выборка 1'!BU6-'Выборка 1'!BT6))/4000</f>
        <v>-47.5</v>
      </c>
    </row>
    <row r="7" spans="1:14" x14ac:dyDescent="0.25">
      <c r="A7" s="17">
        <v>30</v>
      </c>
      <c r="B7" s="17">
        <f>(('Выборка 1'!E7-'Выборка 1'!D7)+('Выборка 1'!F7-'Выборка 1'!E7)+('Выборка 1'!G7-'Выборка 1'!F7)+('Выборка 1'!H7-'Выборка 1'!G7))/4000</f>
        <v>-235.25</v>
      </c>
      <c r="C7" s="17">
        <f>(('Выборка 1'!J7-'Выборка 1'!I7)+('Выборка 1'!K7-'Выборка 1'!J7)+('Выборка 1'!L7-'Выборка 1'!K7)+('Выборка 1'!M7-'Выборка 1'!L7))/4000</f>
        <v>-211.5</v>
      </c>
      <c r="D7" s="17">
        <f>(('Выборка 1'!O7-'Выборка 1'!N7)+('Выборка 1'!P7-'Выборка 1'!O7)+('Выборка 1'!Q7-'Выборка 1'!P7)+('Выборка 1'!R7-'Выборка 1'!Q7))/4000</f>
        <v>-458.75</v>
      </c>
      <c r="E7" s="17">
        <f>(('Выборка 1'!T7-'Выборка 1'!S7)+('Выборка 1'!U7-'Выборка 1'!T7)+('Выборка 1'!V7-'Выборка 1'!U7)+('Выборка 1'!W7-'Выборка 1'!V7))/4000</f>
        <v>-692</v>
      </c>
      <c r="F7" s="17">
        <f>(('Выборка 1'!Y7-'Выборка 1'!X7)+('Выборка 1'!Z7+'Выборка 1'!Y7)+('Выборка 1'!AA7-'Выборка 1'!Z7)+('Выборка 1'!AB7-'Выборка 1'!AA7))/4000</f>
        <v>-18621.75</v>
      </c>
      <c r="G7" s="17">
        <f>(('Выборка 1'!AD7-'Выборка 1'!AC7)+('Выборка 1'!AE7-'Выборка 1'!AD7)+('Выборка 1'!AF7-'Выборка 1'!AE7)+('Выборка 1'!AG7-'Выборка 1'!AF7))/4000</f>
        <v>0</v>
      </c>
      <c r="H7" s="17">
        <f>(('Выборка 1'!AI7-'Выборка 1'!AH7)+('Выборка 1'!AJ7-'Выборка 1'!AI7)+('Выборка 1'!AK7-'Выборка 1'!AJ7)+('Выборка 1'!AL7-'Выборка 1'!AK7))/4000</f>
        <v>2580</v>
      </c>
      <c r="I7" s="17">
        <f>(('Выборка 1'!AN7-'Выборка 1'!AM7)+('Выборка 1'!AO7-'Выборка 1'!AN7)+('Выборка 1'!AP7-'Выборка 1'!AO7)+('Выборка 1'!AQ7-'Выборка 1'!AP7))/4000</f>
        <v>-3495</v>
      </c>
      <c r="J7" s="17">
        <f>((('Выборка 1'!AS7+'Выборка 1'!AX7)-('Выборка 1'!AR7+'Выборка 1'!AW7))+(('Выборка 1'!AT7+'Выборка 1'!AY7)-('Выборка 1'!AS7+'Выборка 1'!AX7))+(('Выборка 1'!AU7+'Выборка 1'!AZ7)-('Выборка 1'!AT7+'Выборка 1'!AY7))+(('Выборка 1'!AV7+'Выборка 1'!BA7)-('Выборка 1'!AU7+'Выборка 1'!AZ7)))/4000</f>
        <v>-2881.5</v>
      </c>
      <c r="K7" s="17">
        <f>(('Выборка 1'!BC7-'Выборка 1'!BB7)+('Выборка 1'!BD7-'Выборка 1'!BC7)+('Выборка 1'!BE7-'Выборка 1'!BD7)+('Выборка 1'!BF7-'Выборка 1'!BE7))/4000</f>
        <v>-1944.5</v>
      </c>
      <c r="L7" s="17">
        <f t="shared" si="0"/>
        <v>1331</v>
      </c>
      <c r="M7" s="17">
        <f>((('Выборка 1'!BH7-'Выборка 1'!BM7)-('Выборка 1'!BG7-'Выборка 1'!BL7))+(('Выборка 1'!BI7-'Выборка 1'!BN7)-('Выборка 1'!BH7-'Выборка 1'!BM7))+(('Выборка 1'!BJ7-'Выборка 1'!BO7)-('Выборка 1'!BI7-'Выборка 1'!BN7))+(('Выборка 1'!BK7-'Выборка 1'!BP7)-('Выборка 1'!BJ7-'Выборка 1'!BO7)))/4000</f>
        <v>-27.5</v>
      </c>
      <c r="N7" s="17">
        <f>(('Выборка 1'!BR7-'Выборка 1'!BQ7)+('Выборка 1'!BS7-'Выборка 1'!BR7)+('Выборка 1'!BT7-'Выборка 1'!BS7)+('Выборка 1'!BU7-'Выборка 1'!BT7))/4000</f>
        <v>1227.75</v>
      </c>
    </row>
    <row r="8" spans="1:14" x14ac:dyDescent="0.25">
      <c r="A8" s="17">
        <v>18</v>
      </c>
      <c r="B8" s="17">
        <f>(('Выборка 1'!E8-'Выборка 1'!D8)+('Выборка 1'!F8-'Выборка 1'!E8)+('Выборка 1'!G8-'Выборка 1'!F8)+('Выборка 1'!H8-'Выборка 1'!G8))/4000</f>
        <v>0</v>
      </c>
      <c r="C8" s="17">
        <f>(('Выборка 1'!J8-'Выборка 1'!I8)+('Выборка 1'!K8-'Выборка 1'!J8)+('Выборка 1'!L8-'Выборка 1'!K8)+('Выборка 1'!M8-'Выборка 1'!L8))/4000</f>
        <v>0</v>
      </c>
      <c r="D8" s="17">
        <f>(('Выборка 1'!O8-'Выборка 1'!N8)+('Выборка 1'!P8-'Выборка 1'!O8)+('Выборка 1'!Q8-'Выборка 1'!P8)+('Выборка 1'!R8-'Выборка 1'!Q8))/4000</f>
        <v>1485.5</v>
      </c>
      <c r="E8" s="17">
        <f>(('Выборка 1'!T8-'Выборка 1'!S8)+('Выборка 1'!U8-'Выборка 1'!T8)+('Выборка 1'!V8-'Выборка 1'!U8)+('Выборка 1'!W8-'Выборка 1'!V8))/4000</f>
        <v>-298</v>
      </c>
      <c r="F8" s="17">
        <f>(('Выборка 1'!Y8-'Выборка 1'!X8)+('Выборка 1'!Z8+'Выборка 1'!Y8)+('Выборка 1'!AA8-'Выборка 1'!Z8)+('Выборка 1'!AB8-'Выборка 1'!AA8))/4000</f>
        <v>7031.25</v>
      </c>
      <c r="G8" s="17">
        <f>(('Выборка 1'!AD8-'Выборка 1'!AC8)+('Выборка 1'!AE8-'Выборка 1'!AD8)+('Выборка 1'!AF8-'Выборка 1'!AE8)+('Выборка 1'!AG8-'Выборка 1'!AF8))/4000</f>
        <v>-24930.25</v>
      </c>
      <c r="H8" s="17">
        <f>(('Выборка 1'!AI8-'Выборка 1'!AH8)+('Выборка 1'!AJ8-'Выборка 1'!AI8)+('Выборка 1'!AK8-'Выборка 1'!AJ8)+('Выборка 1'!AL8-'Выборка 1'!AK8))/4000</f>
        <v>12441</v>
      </c>
      <c r="I8" s="17">
        <f>(('Выборка 1'!AN8-'Выборка 1'!AM8)+('Выборка 1'!AO8-'Выборка 1'!AN8)+('Выборка 1'!AP8-'Выборка 1'!AO8)+('Выборка 1'!AQ8-'Выборка 1'!AP8))/4000</f>
        <v>0</v>
      </c>
      <c r="J8" s="17">
        <f>((('Выборка 1'!AS8+'Выборка 1'!AX8)-('Выборка 1'!AR8+'Выборка 1'!AW8))+(('Выборка 1'!AT8+'Выборка 1'!AY8)-('Выборка 1'!AS8+'Выборка 1'!AX8))+(('Выборка 1'!AU8+'Выборка 1'!AZ8)-('Выборка 1'!AT8+'Выборка 1'!AY8))+(('Выборка 1'!AV8+'Выборка 1'!BA8)-('Выборка 1'!AU8+'Выборка 1'!AZ8)))/4000</f>
        <v>0</v>
      </c>
      <c r="K8" s="17">
        <f>(('Выборка 1'!BC8-'Выборка 1'!BB8)+('Выборка 1'!BD8-'Выборка 1'!BC8)+('Выборка 1'!BE8-'Выборка 1'!BD8)+('Выборка 1'!BF8-'Выборка 1'!BE8))/4000</f>
        <v>0</v>
      </c>
      <c r="L8" s="17">
        <f t="shared" si="0"/>
        <v>0</v>
      </c>
      <c r="M8" s="17">
        <f>((('Выборка 1'!BH8-'Выборка 1'!BM8)-('Выборка 1'!BG8-'Выборка 1'!BL8))+(('Выборка 1'!BI8-'Выборка 1'!BN8)-('Выборка 1'!BH8-'Выборка 1'!BM8))+(('Выборка 1'!BJ8-'Выборка 1'!BO8)-('Выборка 1'!BI8-'Выборка 1'!BN8))+(('Выборка 1'!BK8-'Выборка 1'!BP8)-('Выборка 1'!BJ8-'Выборка 1'!BO8)))/4000</f>
        <v>93.25</v>
      </c>
      <c r="N8" s="17">
        <f>(('Выборка 1'!BR8-'Выборка 1'!BQ8)+('Выборка 1'!BS8-'Выборка 1'!BR8)+('Выборка 1'!BT8-'Выборка 1'!BS8)+('Выборка 1'!BU8-'Выборка 1'!BT8))/4000</f>
        <v>93.25</v>
      </c>
    </row>
    <row r="9" spans="1:14" x14ac:dyDescent="0.25">
      <c r="A9" s="17">
        <v>20</v>
      </c>
      <c r="B9" s="17">
        <f>(('Выборка 1'!E9-'Выборка 1'!D9)+('Выборка 1'!F9-'Выборка 1'!E9)+('Выборка 1'!G9-'Выборка 1'!F9)+('Выборка 1'!H9-'Выборка 1'!G9))/4000</f>
        <v>0</v>
      </c>
      <c r="C9" s="17">
        <f>(('Выборка 1'!J9-'Выборка 1'!I9)+('Выборка 1'!K9-'Выборка 1'!J9)+('Выборка 1'!L9-'Выборка 1'!K9)+('Выборка 1'!M9-'Выборка 1'!L9))/4000</f>
        <v>0</v>
      </c>
      <c r="D9" s="17">
        <f>(('Выборка 1'!O9-'Выборка 1'!N9)+('Выборка 1'!P9-'Выборка 1'!O9)+('Выборка 1'!Q9-'Выборка 1'!P9)+('Выборка 1'!R9-'Выборка 1'!Q9))/4000</f>
        <v>-2159</v>
      </c>
      <c r="E9" s="17">
        <f>(('Выборка 1'!T9-'Выборка 1'!S9)+('Выборка 1'!U9-'Выборка 1'!T9)+('Выборка 1'!V9-'Выборка 1'!U9)+('Выборка 1'!W9-'Выборка 1'!V9))/4000</f>
        <v>-5.5</v>
      </c>
      <c r="F9" s="17">
        <f>(('Выборка 1'!Y9-'Выборка 1'!X9)+('Выборка 1'!Z9+'Выборка 1'!Y9)+('Выборка 1'!AA9-'Выборка 1'!Z9)+('Выборка 1'!AB9-'Выборка 1'!AA9))/4000</f>
        <v>0</v>
      </c>
      <c r="G9" s="17">
        <f>(('Выборка 1'!AD9-'Выборка 1'!AC9)+('Выборка 1'!AE9-'Выборка 1'!AD9)+('Выборка 1'!AF9-'Выборка 1'!AE9)+('Выборка 1'!AG9-'Выборка 1'!AF9))/4000</f>
        <v>0</v>
      </c>
      <c r="H9" s="17">
        <f>(('Выборка 1'!AI9-'Выборка 1'!AH9)+('Выборка 1'!AJ9-'Выборка 1'!AI9)+('Выборка 1'!AK9-'Выборка 1'!AJ9)+('Выборка 1'!AL9-'Выборка 1'!AK9))/4000</f>
        <v>-1273.5</v>
      </c>
      <c r="I9" s="17">
        <f>(('Выборка 1'!AN9-'Выборка 1'!AM9)+('Выборка 1'!AO9-'Выборка 1'!AN9)+('Выборка 1'!AP9-'Выборка 1'!AO9)+('Выборка 1'!AQ9-'Выборка 1'!AP9))/4000</f>
        <v>-27.75</v>
      </c>
      <c r="J9" s="17">
        <f>((('Выборка 1'!AS9+'Выборка 1'!AX9)-('Выборка 1'!AR9+'Выборка 1'!AW9))+(('Выборка 1'!AT9+'Выборка 1'!AY9)-('Выборка 1'!AS9+'Выборка 1'!AX9))+(('Выборка 1'!AU9+'Выборка 1'!AZ9)-('Выборка 1'!AT9+'Выборка 1'!AY9))+(('Выборка 1'!AV9+'Выборка 1'!BA9)-('Выборка 1'!AU9+'Выборка 1'!AZ9)))/4000</f>
        <v>-31.75</v>
      </c>
      <c r="K9" s="17">
        <f>(('Выборка 1'!BC9-'Выборка 1'!BB9)+('Выборка 1'!BD9-'Выборка 1'!BC9)+('Выборка 1'!BE9-'Выборка 1'!BD9)+('Выборка 1'!BF9-'Выборка 1'!BE9))/4000</f>
        <v>0</v>
      </c>
      <c r="L9" s="17">
        <f t="shared" si="0"/>
        <v>4</v>
      </c>
      <c r="M9" s="17">
        <f>((('Выборка 1'!BH9-'Выборка 1'!BM9)-('Выборка 1'!BG9-'Выборка 1'!BL9))+(('Выборка 1'!BI9-'Выборка 1'!BN9)-('Выборка 1'!BH9-'Выборка 1'!BM9))+(('Выборка 1'!BJ9-'Выборка 1'!BO9)-('Выборка 1'!BI9-'Выборка 1'!BN9))+(('Выборка 1'!BK9-'Выборка 1'!BP9)-('Выборка 1'!BJ9-'Выборка 1'!BO9)))/4000</f>
        <v>2304</v>
      </c>
      <c r="N9" s="17">
        <f>(('Выборка 1'!BR9-'Выборка 1'!BQ9)+('Выборка 1'!BS9-'Выборка 1'!BR9)+('Выборка 1'!BT9-'Выборка 1'!BS9)+('Выборка 1'!BU9-'Выборка 1'!BT9))/4000</f>
        <v>2325</v>
      </c>
    </row>
    <row r="10" spans="1:14" x14ac:dyDescent="0.25">
      <c r="A10" s="17">
        <v>14</v>
      </c>
      <c r="B10" s="17">
        <f>(('Выборка 1'!E10-'Выборка 1'!D10)+('Выборка 1'!F10-'Выборка 1'!E10)+('Выборка 1'!G10-'Выборка 1'!F10)+('Выборка 1'!H10-'Выборка 1'!G10))/4000</f>
        <v>0</v>
      </c>
      <c r="C10" s="17">
        <f>(('Выборка 1'!J10-'Выборка 1'!I10)+('Выборка 1'!K10-'Выборка 1'!J10)+('Выборка 1'!L10-'Выборка 1'!K10)+('Выборка 1'!M10-'Выборка 1'!L10))/4000</f>
        <v>5</v>
      </c>
      <c r="D10" s="17">
        <f>(('Выборка 1'!O10-'Выборка 1'!N10)+('Выборка 1'!P10-'Выборка 1'!O10)+('Выборка 1'!Q10-'Выборка 1'!P10)+('Выборка 1'!R10-'Выборка 1'!Q10))/4000</f>
        <v>-3780.25</v>
      </c>
      <c r="E10" s="17">
        <f>(('Выборка 1'!T10-'Выборка 1'!S10)+('Выборка 1'!U10-'Выборка 1'!T10)+('Выборка 1'!V10-'Выборка 1'!U10)+('Выборка 1'!W10-'Выборка 1'!V10))/4000</f>
        <v>-6</v>
      </c>
      <c r="F10" s="17">
        <f>(('Выборка 1'!Y10-'Выборка 1'!X10)+('Выборка 1'!Z10+'Выборка 1'!Y10)+('Выборка 1'!AA10-'Выборка 1'!Z10)+('Выборка 1'!AB10-'Выборка 1'!AA10))/4000</f>
        <v>0</v>
      </c>
      <c r="G10" s="17">
        <f>(('Выборка 1'!AD10-'Выборка 1'!AC10)+('Выборка 1'!AE10-'Выборка 1'!AD10)+('Выборка 1'!AF10-'Выборка 1'!AE10)+('Выборка 1'!AG10-'Выборка 1'!AF10))/4000</f>
        <v>0</v>
      </c>
      <c r="H10" s="17">
        <f>(('Выборка 1'!AI10-'Выборка 1'!AH10)+('Выборка 1'!AJ10-'Выборка 1'!AI10)+('Выборка 1'!AK10-'Выборка 1'!AJ10)+('Выборка 1'!AL10-'Выборка 1'!AK10))/4000</f>
        <v>-1742.5</v>
      </c>
      <c r="I10" s="17">
        <f>(('Выборка 1'!AN10-'Выборка 1'!AM10)+('Выборка 1'!AO10-'Выборка 1'!AN10)+('Выборка 1'!AP10-'Выборка 1'!AO10)+('Выборка 1'!AQ10-'Выборка 1'!AP10))/4000</f>
        <v>-3213.75</v>
      </c>
      <c r="J10" s="17">
        <f>((('Выборка 1'!AS10+'Выборка 1'!AX10)-('Выборка 1'!AR10+'Выборка 1'!AW10))+(('Выборка 1'!AT10+'Выборка 1'!AY10)-('Выборка 1'!AS10+'Выборка 1'!AX10))+(('Выборка 1'!AU10+'Выборка 1'!AZ10)-('Выборка 1'!AT10+'Выборка 1'!AY10))+(('Выборка 1'!AV10+'Выборка 1'!BA10)-('Выборка 1'!AU10+'Выборка 1'!AZ10)))/4000</f>
        <v>-2625</v>
      </c>
      <c r="K10" s="17">
        <f>(('Выборка 1'!BC10-'Выборка 1'!BB10)+('Выборка 1'!BD10-'Выборка 1'!BC10)+('Выборка 1'!BE10-'Выборка 1'!BD10)+('Выборка 1'!BF10-'Выборка 1'!BE10))/4000</f>
        <v>0</v>
      </c>
      <c r="L10" s="17">
        <f t="shared" si="0"/>
        <v>-588.75</v>
      </c>
      <c r="M10" s="17">
        <f>((('Выборка 1'!BH10-'Выборка 1'!BM10)-('Выборка 1'!BG10-'Выборка 1'!BL10))+(('Выборка 1'!BI10-'Выборка 1'!BN10)-('Выборка 1'!BH10-'Выборка 1'!BM10))+(('Выборка 1'!BJ10-'Выборка 1'!BO10)-('Выборка 1'!BI10-'Выборка 1'!BN10))+(('Выборка 1'!BK10-'Выборка 1'!BP10)-('Выборка 1'!BJ10-'Выборка 1'!BO10)))/4000</f>
        <v>-1219.5</v>
      </c>
      <c r="N10" s="17">
        <f>(('Выборка 1'!BR10-'Выборка 1'!BQ10)+('Выборка 1'!BS10-'Выборка 1'!BR10)+('Выборка 1'!BT10-'Выборка 1'!BS10)+('Выборка 1'!BU10-'Выборка 1'!BT10))/4000</f>
        <v>-1785.75</v>
      </c>
    </row>
    <row r="11" spans="1:14" x14ac:dyDescent="0.25">
      <c r="A11" s="17">
        <v>14</v>
      </c>
      <c r="B11" s="17">
        <f>(('Выборка 1'!E11-'Выборка 1'!D11)+('Выборка 1'!F11-'Выборка 1'!E11)+('Выборка 1'!G11-'Выборка 1'!F11)+('Выборка 1'!H11-'Выборка 1'!G11))/4000</f>
        <v>0</v>
      </c>
      <c r="C11" s="17">
        <f>(('Выборка 1'!J11-'Выборка 1'!I11)+('Выборка 1'!K11-'Выборка 1'!J11)+('Выборка 1'!L11-'Выборка 1'!K11)+('Выборка 1'!M11-'Выборка 1'!L11))/4000</f>
        <v>-10.25</v>
      </c>
      <c r="D11" s="17">
        <f>(('Выборка 1'!O11-'Выборка 1'!N11)+('Выборка 1'!P11-'Выборка 1'!O11)+('Выборка 1'!Q11-'Выборка 1'!P11)+('Выборка 1'!R11-'Выборка 1'!Q11))/4000</f>
        <v>-5465</v>
      </c>
      <c r="E11" s="17">
        <f>(('Выборка 1'!T11-'Выборка 1'!S11)+('Выборка 1'!U11-'Выборка 1'!T11)+('Выборка 1'!V11-'Выборка 1'!U11)+('Выборка 1'!W11-'Выборка 1'!V11))/4000</f>
        <v>-2833.75</v>
      </c>
      <c r="F11" s="17">
        <f>(('Выборка 1'!Y11-'Выборка 1'!X11)+('Выборка 1'!Z11+'Выборка 1'!Y11)+('Выборка 1'!AA11-'Выборка 1'!Z11)+('Выборка 1'!AB11-'Выборка 1'!AA11))/4000</f>
        <v>-5899.75</v>
      </c>
      <c r="G11" s="17">
        <f>(('Выборка 1'!AD11-'Выборка 1'!AC11)+('Выборка 1'!AE11-'Выборка 1'!AD11)+('Выборка 1'!AF11-'Выборка 1'!AE11)+('Выборка 1'!AG11-'Выборка 1'!AF11))/4000</f>
        <v>0</v>
      </c>
      <c r="H11" s="17">
        <f>(('Выборка 1'!AI11-'Выборка 1'!AH11)+('Выборка 1'!AJ11-'Выборка 1'!AI11)+('Выборка 1'!AK11-'Выборка 1'!AJ11)+('Выборка 1'!AL11-'Выборка 1'!AK11))/4000</f>
        <v>-2698</v>
      </c>
      <c r="I11" s="17">
        <f>(('Выборка 1'!AN11-'Выборка 1'!AM11)+('Выборка 1'!AO11-'Выборка 1'!AN11)+('Выборка 1'!AP11-'Выборка 1'!AO11)+('Выборка 1'!AQ11-'Выборка 1'!AP11))/4000</f>
        <v>-1202</v>
      </c>
      <c r="J11" s="17">
        <f>((('Выборка 1'!AS11+'Выборка 1'!AX11)-('Выборка 1'!AR11+'Выборка 1'!AW11))+(('Выборка 1'!AT11+'Выборка 1'!AY11)-('Выборка 1'!AS11+'Выборка 1'!AX11))+(('Выборка 1'!AU11+'Выборка 1'!AZ11)-('Выборка 1'!AT11+'Выборка 1'!AY11))+(('Выборка 1'!AV11+'Выборка 1'!BA11)-('Выборка 1'!AU11+'Выборка 1'!AZ11)))/4000</f>
        <v>-520.25</v>
      </c>
      <c r="K11" s="17">
        <f>(('Выборка 1'!BC11-'Выборка 1'!BB11)+('Выборка 1'!BD11-'Выборка 1'!BC11)+('Выборка 1'!BE11-'Выборка 1'!BD11)+('Выборка 1'!BF11-'Выборка 1'!BE11))/4000</f>
        <v>-759.5</v>
      </c>
      <c r="L11" s="17">
        <f t="shared" si="0"/>
        <v>77.75</v>
      </c>
      <c r="M11" s="17">
        <f>((('Выборка 1'!BH11-'Выборка 1'!BM11)-('Выборка 1'!BG11-'Выборка 1'!BL11))+(('Выборка 1'!BI11-'Выборка 1'!BN11)-('Выборка 1'!BH11-'Выборка 1'!BM11))+(('Выборка 1'!BJ11-'Выборка 1'!BO11)-('Выборка 1'!BI11-'Выборка 1'!BN11))+(('Выборка 1'!BK11-'Выборка 1'!BP11)-('Выборка 1'!BJ11-'Выборка 1'!BO11)))/4000</f>
        <v>58.75</v>
      </c>
      <c r="N11" s="17">
        <f>(('Выборка 1'!BR11-'Выборка 1'!BQ11)+('Выборка 1'!BS11-'Выборка 1'!BR11)+('Выборка 1'!BT11-'Выборка 1'!BS11)+('Выборка 1'!BU11-'Выборка 1'!BT11))/4000</f>
        <v>136.5</v>
      </c>
    </row>
    <row r="12" spans="1:14" x14ac:dyDescent="0.25">
      <c r="A12" s="17">
        <v>10</v>
      </c>
      <c r="B12" s="17">
        <f>(('Выборка 1'!E12-'Выборка 1'!D12)+('Выборка 1'!F12-'Выборка 1'!E12)+('Выборка 1'!G12-'Выборка 1'!F12)+('Выборка 1'!H12-'Выборка 1'!G12))/4000</f>
        <v>0</v>
      </c>
      <c r="C12" s="17">
        <f>(('Выборка 1'!J12-'Выборка 1'!I12)+('Выборка 1'!K12-'Выборка 1'!J12)+('Выборка 1'!L12-'Выборка 1'!K12)+('Выборка 1'!M12-'Выборка 1'!L12))/4000</f>
        <v>-53.25</v>
      </c>
      <c r="D12" s="17">
        <f>(('Выборка 1'!O12-'Выборка 1'!N12)+('Выборка 1'!P12-'Выборка 1'!O12)+('Выборка 1'!Q12-'Выборка 1'!P12)+('Выборка 1'!R12-'Выборка 1'!Q12))/4000</f>
        <v>-648.5</v>
      </c>
      <c r="E12" s="17">
        <f>(('Выборка 1'!T12-'Выборка 1'!S12)+('Выборка 1'!U12-'Выборка 1'!T12)+('Выборка 1'!V12-'Выборка 1'!U12)+('Выборка 1'!W12-'Выборка 1'!V12))/4000</f>
        <v>6.5</v>
      </c>
      <c r="F12" s="17">
        <f>(('Выборка 1'!Y12-'Выборка 1'!X12)+('Выборка 1'!Z12+'Выборка 1'!Y12)+('Выборка 1'!AA12-'Выборка 1'!Z12)+('Выборка 1'!AB12-'Выборка 1'!AA12))/4000</f>
        <v>1438.5</v>
      </c>
      <c r="G12" s="17">
        <f>(('Выборка 1'!AD12-'Выборка 1'!AC12)+('Выборка 1'!AE12-'Выборка 1'!AD12)+('Выборка 1'!AF12-'Выборка 1'!AE12)+('Выборка 1'!AG12-'Выборка 1'!AF12))/4000</f>
        <v>59.25</v>
      </c>
      <c r="H12" s="17">
        <f>(('Выборка 1'!AI12-'Выборка 1'!AH12)+('Выборка 1'!AJ12-'Выборка 1'!AI12)+('Выборка 1'!AK12-'Выборка 1'!AJ12)+('Выборка 1'!AL12-'Выборка 1'!AK12))/4000</f>
        <v>175.75</v>
      </c>
      <c r="I12" s="17">
        <f>(('Выборка 1'!AN12-'Выборка 1'!AM12)+('Выборка 1'!AO12-'Выборка 1'!AN12)+('Выборка 1'!AP12-'Выборка 1'!AO12)+('Выборка 1'!AQ12-'Выборка 1'!AP12))/4000</f>
        <v>-5854</v>
      </c>
      <c r="J12" s="17">
        <f>((('Выборка 1'!AS12+'Выборка 1'!AX12)-('Выборка 1'!AR12+'Выборка 1'!AW12))+(('Выборка 1'!AT12+'Выборка 1'!AY12)-('Выборка 1'!AS12+'Выборка 1'!AX12))+(('Выборка 1'!AU12+'Выборка 1'!AZ12)-('Выборка 1'!AT12+'Выборка 1'!AY12))+(('Выборка 1'!AV12+'Выборка 1'!BA12)-('Выборка 1'!AU12+'Выборка 1'!AZ12)))/4000</f>
        <v>-5131.5</v>
      </c>
      <c r="K12" s="17">
        <f>(('Выборка 1'!BC12-'Выборка 1'!BB12)+('Выборка 1'!BD12-'Выборка 1'!BC12)+('Выборка 1'!BE12-'Выборка 1'!BD12)+('Выборка 1'!BF12-'Выборка 1'!BE12))/4000</f>
        <v>-1402.25</v>
      </c>
      <c r="L12" s="17">
        <f t="shared" si="0"/>
        <v>679.75</v>
      </c>
      <c r="M12" s="17">
        <f>((('Выборка 1'!BH12-'Выборка 1'!BM12)-('Выборка 1'!BG12-'Выборка 1'!BL12))+(('Выборка 1'!BI12-'Выборка 1'!BN12)-('Выборка 1'!BH12-'Выборка 1'!BM12))+(('Выборка 1'!BJ12-'Выборка 1'!BO12)-('Выборка 1'!BI12-'Выборка 1'!BN12))+(('Выборка 1'!BK12-'Выборка 1'!BP12)-('Выборка 1'!BJ12-'Выборка 1'!BO12)))/4000</f>
        <v>509.5</v>
      </c>
      <c r="N12" s="17">
        <f>(('Выборка 1'!BR12-'Выборка 1'!BQ12)+('Выборка 1'!BS12-'Выборка 1'!BR12)+('Выборка 1'!BT12-'Выборка 1'!BS12)+('Выборка 1'!BU12-'Выборка 1'!BT12))/4000</f>
        <v>1188.25</v>
      </c>
    </row>
    <row r="13" spans="1:14" x14ac:dyDescent="0.25">
      <c r="A13" s="17">
        <v>13</v>
      </c>
      <c r="B13" s="17">
        <f>(('Выборка 1'!E13-'Выборка 1'!D13)+('Выборка 1'!F13-'Выборка 1'!E13)+('Выборка 1'!G13-'Выборка 1'!F13)+('Выборка 1'!H13-'Выборка 1'!G13))/4000</f>
        <v>0</v>
      </c>
      <c r="C13" s="17">
        <f>(('Выборка 1'!J13-'Выборка 1'!I13)+('Выборка 1'!K13-'Выборка 1'!J13)+('Выборка 1'!L13-'Выборка 1'!K13)+('Выборка 1'!M13-'Выборка 1'!L13))/4000</f>
        <v>0</v>
      </c>
      <c r="D13" s="17">
        <f>(('Выборка 1'!O13-'Выборка 1'!N13)+('Выборка 1'!P13-'Выборка 1'!O13)+('Выборка 1'!Q13-'Выборка 1'!P13)+('Выборка 1'!R13-'Выборка 1'!Q13))/4000</f>
        <v>0</v>
      </c>
      <c r="E13" s="17">
        <f>(('Выборка 1'!T13-'Выборка 1'!S13)+('Выборка 1'!U13-'Выборка 1'!T13)+('Выборка 1'!V13-'Выборка 1'!U13)+('Выборка 1'!W13-'Выборка 1'!V13))/4000</f>
        <v>0</v>
      </c>
      <c r="F13" s="17">
        <f>(('Выборка 1'!Y13-'Выборка 1'!X13)+('Выборка 1'!Z13+'Выборка 1'!Y13)+('Выборка 1'!AA13-'Выборка 1'!Z13)+('Выборка 1'!AB13-'Выборка 1'!AA13))/4000</f>
        <v>0</v>
      </c>
      <c r="G13" s="17">
        <f>(('Выборка 1'!AD13-'Выборка 1'!AC13)+('Выборка 1'!AE13-'Выборка 1'!AD13)+('Выборка 1'!AF13-'Выборка 1'!AE13)+('Выборка 1'!AG13-'Выборка 1'!AF13))/4000</f>
        <v>0</v>
      </c>
      <c r="H13" s="17">
        <f>(('Выборка 1'!AI13-'Выборка 1'!AH13)+('Выборка 1'!AJ13-'Выборка 1'!AI13)+('Выборка 1'!AK13-'Выборка 1'!AJ13)+('Выборка 1'!AL13-'Выборка 1'!AK13))/4000</f>
        <v>0</v>
      </c>
      <c r="I13" s="17">
        <f>(('Выборка 1'!AN13-'Выборка 1'!AM13)+('Выборка 1'!AO13-'Выборка 1'!AN13)+('Выборка 1'!AP13-'Выборка 1'!AO13)+('Выборка 1'!AQ13-'Выборка 1'!AP13))/4000</f>
        <v>0</v>
      </c>
      <c r="J13" s="17">
        <f>((('Выборка 1'!AS13+'Выборка 1'!AX13)-('Выборка 1'!AR13+'Выборка 1'!AW13))+(('Выборка 1'!AT13+'Выборка 1'!AY13)-('Выборка 1'!AS13+'Выборка 1'!AX13))+(('Выборка 1'!AU13+'Выборка 1'!AZ13)-('Выборка 1'!AT13+'Выборка 1'!AY13))+(('Выборка 1'!AV13+'Выборка 1'!BA13)-('Выборка 1'!AU13+'Выборка 1'!AZ13)))/4000</f>
        <v>0</v>
      </c>
      <c r="K13" s="17">
        <f>(('Выборка 1'!BC13-'Выборка 1'!BB13)+('Выборка 1'!BD13-'Выборка 1'!BC13)+('Выборка 1'!BE13-'Выборка 1'!BD13)+('Выборка 1'!BF13-'Выборка 1'!BE13))/4000</f>
        <v>0</v>
      </c>
      <c r="L13" s="17">
        <f t="shared" si="0"/>
        <v>0</v>
      </c>
      <c r="M13" s="17">
        <f>((('Выборка 1'!BH13-'Выборка 1'!BM13)-('Выборка 1'!BG13-'Выборка 1'!BL13))+(('Выборка 1'!BI13-'Выборка 1'!BN13)-('Выборка 1'!BH13-'Выборка 1'!BM13))+(('Выборка 1'!BJ13-'Выборка 1'!BO13)-('Выборка 1'!BI13-'Выборка 1'!BN13))+(('Выборка 1'!BK13-'Выборка 1'!BP13)-('Выборка 1'!BJ13-'Выборка 1'!BO13)))/4000</f>
        <v>0</v>
      </c>
      <c r="N13" s="17">
        <f>(('Выборка 1'!BR13-'Выборка 1'!BQ13)+('Выборка 1'!BS13-'Выборка 1'!BR13)+('Выборка 1'!BT13-'Выборка 1'!BS13)+('Выборка 1'!BU13-'Выборка 1'!BT13))/4000</f>
        <v>0</v>
      </c>
    </row>
    <row r="14" spans="1:14" x14ac:dyDescent="0.25">
      <c r="A14" s="17">
        <v>13</v>
      </c>
      <c r="B14" s="17">
        <f>(('Выборка 1'!E14-'Выборка 1'!D14)+('Выборка 1'!F14-'Выборка 1'!E14)+('Выборка 1'!G14-'Выборка 1'!F14)+('Выборка 1'!H14-'Выборка 1'!G14))/4000</f>
        <v>0</v>
      </c>
      <c r="C14" s="17">
        <f>(('Выборка 1'!J14-'Выборка 1'!I14)+('Выборка 1'!K14-'Выборка 1'!J14)+('Выборка 1'!L14-'Выборка 1'!K14)+('Выборка 1'!M14-'Выборка 1'!L14))/4000</f>
        <v>0</v>
      </c>
      <c r="D14" s="17">
        <f>(('Выборка 1'!O14-'Выборка 1'!N14)+('Выборка 1'!P14-'Выборка 1'!O14)+('Выборка 1'!Q14-'Выборка 1'!P14)+('Выборка 1'!R14-'Выборка 1'!Q14))/4000</f>
        <v>-1434.25</v>
      </c>
      <c r="E14" s="17">
        <f>(('Выборка 1'!T14-'Выборка 1'!S14)+('Выборка 1'!U14-'Выборка 1'!T14)+('Выборка 1'!V14-'Выборка 1'!U14)+('Выборка 1'!W14-'Выборка 1'!V14))/4000</f>
        <v>-17.25</v>
      </c>
      <c r="F14" s="17">
        <f>(('Выборка 1'!Y14-'Выборка 1'!X14)+('Выборка 1'!Z14+'Выборка 1'!Y14)+('Выборка 1'!AA14-'Выборка 1'!Z14)+('Выборка 1'!AB14-'Выборка 1'!AA14))/4000</f>
        <v>0</v>
      </c>
      <c r="G14" s="17">
        <f>(('Выборка 1'!AD14-'Выборка 1'!AC14)+('Выборка 1'!AE14-'Выборка 1'!AD14)+('Выборка 1'!AF14-'Выборка 1'!AE14)+('Выборка 1'!AG14-'Выборка 1'!AF14))/4000</f>
        <v>0</v>
      </c>
      <c r="H14" s="17">
        <f>(('Выборка 1'!AI14-'Выборка 1'!AH14)+('Выборка 1'!AJ14-'Выборка 1'!AI14)+('Выборка 1'!AK14-'Выборка 1'!AJ14)+('Выборка 1'!AL14-'Выборка 1'!AK14))/4000</f>
        <v>-1089.75</v>
      </c>
      <c r="I14" s="17">
        <f>(('Выборка 1'!AN14-'Выборка 1'!AM14)+('Выборка 1'!AO14-'Выборка 1'!AN14)+('Выборка 1'!AP14-'Выборка 1'!AO14)+('Выборка 1'!AQ14-'Выборка 1'!AP14))/4000</f>
        <v>-1950</v>
      </c>
      <c r="J14" s="17">
        <f>((('Выборка 1'!AS14+'Выборка 1'!AX14)-('Выборка 1'!AR14+'Выборка 1'!AW14))+(('Выборка 1'!AT14+'Выборка 1'!AY14)-('Выборка 1'!AS14+'Выборка 1'!AX14))+(('Выборка 1'!AU14+'Выборка 1'!AZ14)-('Выборка 1'!AT14+'Выборка 1'!AY14))+(('Выборка 1'!AV14+'Выборка 1'!BA14)-('Выборка 1'!AU14+'Выборка 1'!AZ14)))/4000</f>
        <v>-2217.5</v>
      </c>
      <c r="K14" s="17">
        <f>(('Выборка 1'!BC14-'Выборка 1'!BB14)+('Выборка 1'!BD14-'Выборка 1'!BC14)+('Выборка 1'!BE14-'Выборка 1'!BD14)+('Выборка 1'!BF14-'Выборка 1'!BE14))/4000</f>
        <v>0</v>
      </c>
      <c r="L14" s="17">
        <f t="shared" si="0"/>
        <v>267.5</v>
      </c>
      <c r="M14" s="17">
        <f>((('Выборка 1'!BH14-'Выборка 1'!BM14)-('Выборка 1'!BG14-'Выборка 1'!BL14))+(('Выборка 1'!BI14-'Выборка 1'!BN14)-('Выборка 1'!BH14-'Выборка 1'!BM14))+(('Выборка 1'!BJ14-'Выборка 1'!BO14)-('Выборка 1'!BI14-'Выборка 1'!BN14))+(('Выборка 1'!BK14-'Выборка 1'!BP14)-('Выборка 1'!BJ14-'Выборка 1'!BO14)))/4000</f>
        <v>820.5</v>
      </c>
      <c r="N14" s="17">
        <f>(('Выборка 1'!BR14-'Выборка 1'!BQ14)+('Выборка 1'!BS14-'Выборка 1'!BR14)+('Выборка 1'!BT14-'Выборка 1'!BS14)+('Выборка 1'!BU14-'Выборка 1'!BT14))/4000</f>
        <v>1088</v>
      </c>
    </row>
    <row r="15" spans="1:14" x14ac:dyDescent="0.25">
      <c r="A15" s="17">
        <v>9</v>
      </c>
      <c r="B15" s="17">
        <f>(('Выборка 1'!E15-'Выборка 1'!D15)+('Выборка 1'!F15-'Выборка 1'!E15)+('Выборка 1'!G15-'Выборка 1'!F15)+('Выборка 1'!H15-'Выборка 1'!G15))/4000</f>
        <v>0</v>
      </c>
      <c r="C15" s="17">
        <f>(('Выборка 1'!J15-'Выборка 1'!I15)+('Выборка 1'!K15-'Выборка 1'!J15)+('Выборка 1'!L15-'Выборка 1'!K15)+('Выборка 1'!M15-'Выборка 1'!L15))/4000</f>
        <v>0</v>
      </c>
      <c r="D15" s="17">
        <f>(('Выборка 1'!O15-'Выборка 1'!N15)+('Выборка 1'!P15-'Выборка 1'!O15)+('Выборка 1'!Q15-'Выборка 1'!P15)+('Выборка 1'!R15-'Выборка 1'!Q15))/4000</f>
        <v>-12044.75</v>
      </c>
      <c r="E15" s="17">
        <f>(('Выборка 1'!T15-'Выборка 1'!S15)+('Выборка 1'!U15-'Выборка 1'!T15)+('Выборка 1'!V15-'Выборка 1'!U15)+('Выборка 1'!W15-'Выборка 1'!V15))/4000</f>
        <v>-1551.25</v>
      </c>
      <c r="F15" s="17">
        <f>(('Выборка 1'!Y15-'Выборка 1'!X15)+('Выборка 1'!Z15+'Выборка 1'!Y15)+('Выборка 1'!AA15-'Выборка 1'!Z15)+('Выборка 1'!AB15-'Выборка 1'!AA15))/4000</f>
        <v>-278.75</v>
      </c>
      <c r="G15" s="17">
        <f>(('Выборка 1'!AD15-'Выборка 1'!AC15)+('Выборка 1'!AE15-'Выборка 1'!AD15)+('Выборка 1'!AF15-'Выборка 1'!AE15)+('Выборка 1'!AG15-'Выборка 1'!AF15))/4000</f>
        <v>0</v>
      </c>
      <c r="H15" s="17">
        <f>(('Выборка 1'!AI15-'Выборка 1'!AH15)+('Выборка 1'!AJ15-'Выборка 1'!AI15)+('Выборка 1'!AK15-'Выборка 1'!AJ15)+('Выборка 1'!AL15-'Выборка 1'!AK15))/4000</f>
        <v>-10067</v>
      </c>
      <c r="I15" s="17">
        <f>(('Выборка 1'!AN15-'Выборка 1'!AM15)+('Выборка 1'!AO15-'Выборка 1'!AN15)+('Выборка 1'!AP15-'Выборка 1'!AO15)+('Выборка 1'!AQ15-'Выборка 1'!AP15))/4000</f>
        <v>-12299</v>
      </c>
      <c r="J15" s="17">
        <f>((('Выборка 1'!AS15+'Выборка 1'!AX15)-('Выборка 1'!AR15+'Выборка 1'!AW15))+(('Выборка 1'!AT15+'Выборка 1'!AY15)-('Выборка 1'!AS15+'Выборка 1'!AX15))+(('Выборка 1'!AU15+'Выборка 1'!AZ15)-('Выборка 1'!AT15+'Выборка 1'!AY15))+(('Выборка 1'!AV15+'Выборка 1'!BA15)-('Выборка 1'!AU15+'Выборка 1'!AZ15)))/4000</f>
        <v>-7400.25</v>
      </c>
      <c r="K15" s="17">
        <f>(('Выборка 1'!BC15-'Выборка 1'!BB15)+('Выборка 1'!BD15-'Выборка 1'!BC15)+('Выборка 1'!BE15-'Выборка 1'!BD15)+('Выборка 1'!BF15-'Выборка 1'!BE15))/4000</f>
        <v>-2329.5</v>
      </c>
      <c r="L15" s="17">
        <f t="shared" si="0"/>
        <v>-2569.25</v>
      </c>
      <c r="M15" s="17">
        <f>((('Выборка 1'!BH15-'Выборка 1'!BM15)-('Выборка 1'!BG15-'Выборка 1'!BL15))+(('Выборка 1'!BI15-'Выборка 1'!BN15)-('Выборка 1'!BH15-'Выборка 1'!BM15))+(('Выборка 1'!BJ15-'Выборка 1'!BO15)-('Выборка 1'!BI15-'Выборка 1'!BN15))+(('Выборка 1'!BK15-'Выборка 1'!BP15)-('Выборка 1'!BJ15-'Выборка 1'!BO15)))/4000</f>
        <v>1247.25</v>
      </c>
      <c r="N15" s="17">
        <f>(('Выборка 1'!BR15-'Выборка 1'!BQ15)+('Выборка 1'!BS15-'Выборка 1'!BR15)+('Выборка 1'!BT15-'Выборка 1'!BS15)+('Выборка 1'!BU15-'Выборка 1'!BT15))/4000</f>
        <v>-1120</v>
      </c>
    </row>
    <row r="16" spans="1:14" x14ac:dyDescent="0.25">
      <c r="A16" s="17">
        <v>14</v>
      </c>
      <c r="B16" s="17">
        <f>(('Выборка 1'!E16-'Выборка 1'!D16)+('Выборка 1'!F16-'Выборка 1'!E16)+('Выборка 1'!G16-'Выборка 1'!F16)+('Выборка 1'!H16-'Выборка 1'!G16))/4000</f>
        <v>0</v>
      </c>
      <c r="C16" s="17">
        <f>(('Выборка 1'!J16-'Выборка 1'!I16)+('Выборка 1'!K16-'Выборка 1'!J16)+('Выборка 1'!L16-'Выборка 1'!K16)+('Выборка 1'!M16-'Выборка 1'!L16))/4000</f>
        <v>-0.75</v>
      </c>
      <c r="D16" s="17">
        <f>(('Выборка 1'!O16-'Выборка 1'!N16)+('Выборка 1'!P16-'Выборка 1'!O16)+('Выборка 1'!Q16-'Выборка 1'!P16)+('Выборка 1'!R16-'Выборка 1'!Q16))/4000</f>
        <v>-10792</v>
      </c>
      <c r="E16" s="17">
        <f>(('Выборка 1'!T16-'Выборка 1'!S16)+('Выборка 1'!U16-'Выборка 1'!T16)+('Выборка 1'!V16-'Выборка 1'!U16)+('Выборка 1'!W16-'Выборка 1'!V16))/4000</f>
        <v>-930.25</v>
      </c>
      <c r="F16" s="17">
        <f>(('Выборка 1'!Y16-'Выборка 1'!X16)+('Выборка 1'!Z16+'Выборка 1'!Y16)+('Выборка 1'!AA16-'Выборка 1'!Z16)+('Выборка 1'!AB16-'Выборка 1'!AA16))/4000</f>
        <v>-14583.25</v>
      </c>
      <c r="G16" s="17">
        <f>(('Выборка 1'!AD16-'Выборка 1'!AC16)+('Выборка 1'!AE16-'Выборка 1'!AD16)+('Выборка 1'!AF16-'Выборка 1'!AE16)+('Выборка 1'!AG16-'Выборка 1'!AF16))/4000</f>
        <v>0</v>
      </c>
      <c r="H16" s="17">
        <f>(('Выборка 1'!AI16-'Выборка 1'!AH16)+('Выборка 1'!AJ16-'Выборка 1'!AI16)+('Выборка 1'!AK16-'Выборка 1'!AJ16)+('Выборка 1'!AL16-'Выборка 1'!AK16))/4000</f>
        <v>-4539.75</v>
      </c>
      <c r="I16" s="17">
        <f>(('Выборка 1'!AN16-'Выборка 1'!AM16)+('Выборка 1'!AO16-'Выборка 1'!AN16)+('Выборка 1'!AP16-'Выборка 1'!AO16)+('Выборка 1'!AQ16-'Выборка 1'!AP16))/4000</f>
        <v>-5383.25</v>
      </c>
      <c r="J16" s="17">
        <f>((('Выборка 1'!AS16+'Выборка 1'!AX16)-('Выборка 1'!AR16+'Выборка 1'!AW16))+(('Выборка 1'!AT16+'Выборка 1'!AY16)-('Выборка 1'!AS16+'Выборка 1'!AX16))+(('Выборка 1'!AU16+'Выборка 1'!AZ16)-('Выборка 1'!AT16+'Выборка 1'!AY16))+(('Выборка 1'!AV16+'Выборка 1'!BA16)-('Выборка 1'!AU16+'Выборка 1'!AZ16)))/4000</f>
        <v>-4278</v>
      </c>
      <c r="K16" s="17">
        <f>(('Выборка 1'!BC16-'Выборка 1'!BB16)+('Выборка 1'!BD16-'Выборка 1'!BC16)+('Выборка 1'!BE16-'Выборка 1'!BD16)+('Выборка 1'!BF16-'Выборка 1'!BE16))/4000</f>
        <v>-2393.5</v>
      </c>
      <c r="L16" s="17">
        <f t="shared" si="0"/>
        <v>1288.25</v>
      </c>
      <c r="M16" s="17">
        <f>((('Выборка 1'!BH16-'Выборка 1'!BM16)-('Выборка 1'!BG16-'Выборка 1'!BL16))+(('Выборка 1'!BI16-'Выборка 1'!BN16)-('Выборка 1'!BH16-'Выборка 1'!BM16))+(('Выборка 1'!BJ16-'Выборка 1'!BO16)-('Выборка 1'!BI16-'Выборка 1'!BN16))+(('Выборка 1'!BK16-'Выборка 1'!BP16)-('Выборка 1'!BJ16-'Выборка 1'!BO16)))/4000</f>
        <v>-418.75</v>
      </c>
      <c r="N16" s="17">
        <f>(('Выборка 1'!BR16-'Выборка 1'!BQ16)+('Выборка 1'!BS16-'Выборка 1'!BR16)+('Выборка 1'!BT16-'Выборка 1'!BS16)+('Выборка 1'!BU16-'Выборка 1'!BT16))/4000</f>
        <v>869.5</v>
      </c>
    </row>
    <row r="17" spans="1:14" x14ac:dyDescent="0.25">
      <c r="A17" s="17">
        <v>17</v>
      </c>
      <c r="B17" s="17">
        <f>(('Выборка 1'!E17-'Выборка 1'!D17)+('Выборка 1'!F17-'Выборка 1'!E17)+('Выборка 1'!G17-'Выборка 1'!F17)+('Выборка 1'!H17-'Выборка 1'!G17))/4000</f>
        <v>0</v>
      </c>
      <c r="C17" s="17">
        <f>(('Выборка 1'!J17-'Выборка 1'!I17)+('Выборка 1'!K17-'Выборка 1'!J17)+('Выборка 1'!L17-'Выборка 1'!K17)+('Выборка 1'!M17-'Выборка 1'!L17))/4000</f>
        <v>0</v>
      </c>
      <c r="D17" s="17">
        <f>(('Выборка 1'!O17-'Выборка 1'!N17)+('Выборка 1'!P17-'Выборка 1'!O17)+('Выборка 1'!Q17-'Выборка 1'!P17)+('Выборка 1'!R17-'Выборка 1'!Q17))/4000</f>
        <v>-7377.25</v>
      </c>
      <c r="E17" s="17">
        <f>(('Выборка 1'!T17-'Выборка 1'!S17)+('Выборка 1'!U17-'Выборка 1'!T17)+('Выборка 1'!V17-'Выборка 1'!U17)+('Выборка 1'!W17-'Выборка 1'!V17))/4000</f>
        <v>-599.75</v>
      </c>
      <c r="F17" s="17">
        <f>(('Выборка 1'!Y17-'Выборка 1'!X17)+('Выборка 1'!Z17+'Выборка 1'!Y17)+('Выборка 1'!AA17-'Выборка 1'!Z17)+('Выборка 1'!AB17-'Выборка 1'!AA17))/4000</f>
        <v>-32043.25</v>
      </c>
      <c r="G17" s="17">
        <f>(('Выборка 1'!AD17-'Выборка 1'!AC17)+('Выборка 1'!AE17-'Выборка 1'!AD17)+('Выборка 1'!AF17-'Выборка 1'!AE17)+('Выборка 1'!AG17-'Выборка 1'!AF17))/4000</f>
        <v>0</v>
      </c>
      <c r="H17" s="17">
        <f>(('Выборка 1'!AI17-'Выборка 1'!AH17)+('Выборка 1'!AJ17-'Выборка 1'!AI17)+('Выборка 1'!AK17-'Выборка 1'!AJ17)+('Выборка 1'!AL17-'Выборка 1'!AK17))/4000</f>
        <v>-7205.25</v>
      </c>
      <c r="I17" s="17">
        <f>(('Выборка 1'!AN17-'Выборка 1'!AM17)+('Выборка 1'!AO17-'Выборка 1'!AN17)+('Выборка 1'!AP17-'Выборка 1'!AO17)+('Выборка 1'!AQ17-'Выборка 1'!AP17))/4000</f>
        <v>0</v>
      </c>
      <c r="J17" s="17">
        <f>((('Выборка 1'!AS17+'Выборка 1'!AX17)-('Выборка 1'!AR17+'Выборка 1'!AW17))+(('Выборка 1'!AT17+'Выборка 1'!AY17)-('Выборка 1'!AS17+'Выборка 1'!AX17))+(('Выборка 1'!AU17+'Выборка 1'!AZ17)-('Выборка 1'!AT17+'Выборка 1'!AY17))+(('Выборка 1'!AV17+'Выборка 1'!BA17)-('Выборка 1'!AU17+'Выборка 1'!AZ17)))/4000</f>
        <v>0</v>
      </c>
      <c r="K17" s="17">
        <f>(('Выборка 1'!BC17-'Выборка 1'!BB17)+('Выборка 1'!BD17-'Выборка 1'!BC17)+('Выборка 1'!BE17-'Выборка 1'!BD17)+('Выборка 1'!BF17-'Выборка 1'!BE17))/4000</f>
        <v>0</v>
      </c>
      <c r="L17" s="17">
        <f t="shared" si="0"/>
        <v>0</v>
      </c>
      <c r="M17" s="17">
        <f>((('Выборка 1'!BH17-'Выборка 1'!BM17)-('Выборка 1'!BG17-'Выборка 1'!BL17))+(('Выборка 1'!BI17-'Выборка 1'!BN17)-('Выборка 1'!BH17-'Выборка 1'!BM17))+(('Выборка 1'!BJ17-'Выборка 1'!BO17)-('Выборка 1'!BI17-'Выборка 1'!BN17))+(('Выборка 1'!BK17-'Выборка 1'!BP17)-('Выборка 1'!BJ17-'Выборка 1'!BO17)))/4000</f>
        <v>396</v>
      </c>
      <c r="N17" s="17">
        <f>(('Выборка 1'!BR17-'Выборка 1'!BQ17)+('Выборка 1'!BS17-'Выборка 1'!BR17)+('Выборка 1'!BT17-'Выборка 1'!BS17)+('Выборка 1'!BU17-'Выборка 1'!BT17))/4000</f>
        <v>396</v>
      </c>
    </row>
    <row r="18" spans="1:14" x14ac:dyDescent="0.25">
      <c r="A18" s="17">
        <v>12</v>
      </c>
      <c r="B18" s="17">
        <f>(('Выборка 1'!E18-'Выборка 1'!D18)+('Выборка 1'!F18-'Выборка 1'!E18)+('Выборка 1'!G18-'Выборка 1'!F18)+('Выборка 1'!H18-'Выборка 1'!G18))/4000</f>
        <v>0</v>
      </c>
      <c r="C18" s="17">
        <f>(('Выборка 1'!J18-'Выборка 1'!I18)+('Выборка 1'!K18-'Выборка 1'!J18)+('Выборка 1'!L18-'Выборка 1'!K18)+('Выборка 1'!M18-'Выборка 1'!L18))/4000</f>
        <v>0</v>
      </c>
      <c r="D18" s="17">
        <f>(('Выборка 1'!O18-'Выборка 1'!N18)+('Выборка 1'!P18-'Выборка 1'!O18)+('Выборка 1'!Q18-'Выборка 1'!P18)+('Выборка 1'!R18-'Выборка 1'!Q18))/4000</f>
        <v>-2447</v>
      </c>
      <c r="E18" s="17">
        <f>(('Выборка 1'!T18-'Выборка 1'!S18)+('Выборка 1'!U18-'Выборка 1'!T18)+('Выборка 1'!V18-'Выборка 1'!U18)+('Выборка 1'!W18-'Выборка 1'!V18))/4000</f>
        <v>131.25</v>
      </c>
      <c r="F18" s="17">
        <f>(('Выборка 1'!Y18-'Выборка 1'!X18)+('Выборка 1'!Z18+'Выборка 1'!Y18)+('Выборка 1'!AA18-'Выборка 1'!Z18)+('Выборка 1'!AB18-'Выборка 1'!AA18))/4000</f>
        <v>0</v>
      </c>
      <c r="G18" s="17">
        <f>(('Выборка 1'!AD18-'Выборка 1'!AC18)+('Выборка 1'!AE18-'Выборка 1'!AD18)+('Выборка 1'!AF18-'Выборка 1'!AE18)+('Выборка 1'!AG18-'Выборка 1'!AF18))/4000</f>
        <v>0</v>
      </c>
      <c r="H18" s="17">
        <f>(('Выборка 1'!AI18-'Выборка 1'!AH18)+('Выборка 1'!AJ18-'Выборка 1'!AI18)+('Выборка 1'!AK18-'Выборка 1'!AJ18)+('Выборка 1'!AL18-'Выборка 1'!AK18))/4000</f>
        <v>-1285.75</v>
      </c>
      <c r="I18" s="17">
        <f>(('Выборка 1'!AN18-'Выборка 1'!AM18)+('Выборка 1'!AO18-'Выборка 1'!AN18)+('Выборка 1'!AP18-'Выборка 1'!AO18)+('Выборка 1'!AQ18-'Выборка 1'!AP18))/4000</f>
        <v>0</v>
      </c>
      <c r="J18" s="17">
        <f>((('Выборка 1'!AS18+'Выборка 1'!AX18)-('Выборка 1'!AR18+'Выборка 1'!AW18))+(('Выборка 1'!AT18+'Выборка 1'!AY18)-('Выборка 1'!AS18+'Выборка 1'!AX18))+(('Выборка 1'!AU18+'Выборка 1'!AZ18)-('Выборка 1'!AT18+'Выборка 1'!AY18))+(('Выборка 1'!AV18+'Выборка 1'!BA18)-('Выборка 1'!AU18+'Выборка 1'!AZ18)))/4000</f>
        <v>0</v>
      </c>
      <c r="K18" s="17">
        <f>(('Выборка 1'!BC18-'Выборка 1'!BB18)+('Выборка 1'!BD18-'Выборка 1'!BC18)+('Выборка 1'!BE18-'Выборка 1'!BD18)+('Выборка 1'!BF18-'Выборка 1'!BE18))/4000</f>
        <v>0</v>
      </c>
      <c r="L18" s="17">
        <f t="shared" si="0"/>
        <v>0</v>
      </c>
      <c r="M18" s="17">
        <f>((('Выборка 1'!BH18-'Выборка 1'!BM18)-('Выборка 1'!BG18-'Выборка 1'!BL18))+(('Выборка 1'!BI18-'Выборка 1'!BN18)-('Выборка 1'!BH18-'Выборка 1'!BM18))+(('Выборка 1'!BJ18-'Выборка 1'!BO18)-('Выборка 1'!BI18-'Выборка 1'!BN18))+(('Выборка 1'!BK18-'Выборка 1'!BP18)-('Выборка 1'!BJ18-'Выборка 1'!BO18)))/4000</f>
        <v>275.75</v>
      </c>
      <c r="N18" s="17">
        <f>(('Выборка 1'!BR18-'Выборка 1'!BQ18)+('Выборка 1'!BS18-'Выборка 1'!BR18)+('Выборка 1'!BT18-'Выборка 1'!BS18)+('Выборка 1'!BU18-'Выборка 1'!BT18))/4000</f>
        <v>288.75</v>
      </c>
    </row>
    <row r="19" spans="1:14" x14ac:dyDescent="0.25">
      <c r="A19" s="17">
        <v>19</v>
      </c>
      <c r="B19" s="17">
        <f>(('Выборка 1'!E19-'Выборка 1'!D19)+('Выборка 1'!F19-'Выборка 1'!E19)+('Выборка 1'!G19-'Выборка 1'!F19)+('Выборка 1'!H19-'Выборка 1'!G19))/4000</f>
        <v>0</v>
      </c>
      <c r="C19" s="17">
        <f>(('Выборка 1'!J19-'Выборка 1'!I19)+('Выборка 1'!K19-'Выборка 1'!J19)+('Выборка 1'!L19-'Выборка 1'!K19)+('Выборка 1'!M19-'Выборка 1'!L19))/4000</f>
        <v>0</v>
      </c>
      <c r="D19" s="17">
        <f>(('Выборка 1'!O19-'Выборка 1'!N19)+('Выборка 1'!P19-'Выборка 1'!O19)+('Выборка 1'!Q19-'Выборка 1'!P19)+('Выборка 1'!R19-'Выборка 1'!Q19))/4000</f>
        <v>0</v>
      </c>
      <c r="E19" s="17">
        <f>(('Выборка 1'!T19-'Выборка 1'!S19)+('Выборка 1'!U19-'Выборка 1'!T19)+('Выборка 1'!V19-'Выборка 1'!U19)+('Выборка 1'!W19-'Выборка 1'!V19))/4000</f>
        <v>0</v>
      </c>
      <c r="F19" s="17">
        <f>(('Выборка 1'!Y19-'Выборка 1'!X19)+('Выборка 1'!Z19+'Выборка 1'!Y19)+('Выборка 1'!AA19-'Выборка 1'!Z19)+('Выборка 1'!AB19-'Выборка 1'!AA19))/4000</f>
        <v>0</v>
      </c>
      <c r="G19" s="17">
        <f>(('Выборка 1'!AD19-'Выборка 1'!AC19)+('Выборка 1'!AE19-'Выборка 1'!AD19)+('Выборка 1'!AF19-'Выборка 1'!AE19)+('Выборка 1'!AG19-'Выборка 1'!AF19))/4000</f>
        <v>0</v>
      </c>
      <c r="H19" s="17">
        <f>(('Выборка 1'!AI19-'Выборка 1'!AH19)+('Выборка 1'!AJ19-'Выборка 1'!AI19)+('Выборка 1'!AK19-'Выборка 1'!AJ19)+('Выборка 1'!AL19-'Выборка 1'!AK19))/4000</f>
        <v>0</v>
      </c>
      <c r="I19" s="17">
        <f>(('Выборка 1'!AN19-'Выборка 1'!AM19)+('Выборка 1'!AO19-'Выборка 1'!AN19)+('Выборка 1'!AP19-'Выборка 1'!AO19)+('Выборка 1'!AQ19-'Выборка 1'!AP19))/4000</f>
        <v>0</v>
      </c>
      <c r="J19" s="17">
        <f>((('Выборка 1'!AS19+'Выборка 1'!AX19)-('Выборка 1'!AR19+'Выборка 1'!AW19))+(('Выборка 1'!AT19+'Выборка 1'!AY19)-('Выборка 1'!AS19+'Выборка 1'!AX19))+(('Выборка 1'!AU19+'Выборка 1'!AZ19)-('Выборка 1'!AT19+'Выборка 1'!AY19))+(('Выборка 1'!AV19+'Выборка 1'!BA19)-('Выборка 1'!AU19+'Выборка 1'!AZ19)))/4000</f>
        <v>0</v>
      </c>
      <c r="K19" s="17">
        <f>(('Выборка 1'!BC19-'Выборка 1'!BB19)+('Выборка 1'!BD19-'Выборка 1'!BC19)+('Выборка 1'!BE19-'Выборка 1'!BD19)+('Выборка 1'!BF19-'Выборка 1'!BE19))/4000</f>
        <v>0</v>
      </c>
      <c r="L19" s="17">
        <f t="shared" si="0"/>
        <v>0</v>
      </c>
      <c r="M19" s="17">
        <f>((('Выборка 1'!BH19-'Выборка 1'!BM19)-('Выборка 1'!BG19-'Выборка 1'!BL19))+(('Выборка 1'!BI19-'Выборка 1'!BN19)-('Выборка 1'!BH19-'Выборка 1'!BM19))+(('Выборка 1'!BJ19-'Выборка 1'!BO19)-('Выборка 1'!BI19-'Выборка 1'!BN19))+(('Выборка 1'!BK19-'Выборка 1'!BP19)-('Выборка 1'!BJ19-'Выборка 1'!BO19)))/4000</f>
        <v>0</v>
      </c>
      <c r="N19" s="17">
        <f>(('Выборка 1'!BR19-'Выборка 1'!BQ19)+('Выборка 1'!BS19-'Выборка 1'!BR19)+('Выборка 1'!BT19-'Выборка 1'!BS19)+('Выборка 1'!BU19-'Выборка 1'!BT19))/4000</f>
        <v>0</v>
      </c>
    </row>
    <row r="20" spans="1:14" x14ac:dyDescent="0.25">
      <c r="A20" s="17">
        <v>16</v>
      </c>
      <c r="B20" s="17">
        <f>(('Выборка 1'!E20-'Выборка 1'!D20)+('Выборка 1'!F20-'Выборка 1'!E20)+('Выборка 1'!G20-'Выборка 1'!F20)+('Выборка 1'!H20-'Выборка 1'!G20))/4000</f>
        <v>0</v>
      </c>
      <c r="C20" s="17">
        <f>(('Выборка 1'!J20-'Выборка 1'!I20)+('Выборка 1'!K20-'Выборка 1'!J20)+('Выборка 1'!L20-'Выборка 1'!K20)+('Выборка 1'!M20-'Выборка 1'!L20))/4000</f>
        <v>-203.25</v>
      </c>
      <c r="D20" s="17">
        <f>(('Выборка 1'!O20-'Выборка 1'!N20)+('Выборка 1'!P20-'Выборка 1'!O20)+('Выборка 1'!Q20-'Выборка 1'!P20)+('Выборка 1'!R20-'Выборка 1'!Q20))/4000</f>
        <v>-576</v>
      </c>
      <c r="E20" s="17">
        <f>(('Выборка 1'!T20-'Выборка 1'!S20)+('Выборка 1'!U20-'Выборка 1'!T20)+('Выборка 1'!V20-'Выборка 1'!U20)+('Выборка 1'!W20-'Выборка 1'!V20))/4000</f>
        <v>9.75</v>
      </c>
      <c r="F20" s="17">
        <f>(('Выборка 1'!Y20-'Выборка 1'!X20)+('Выборка 1'!Z20+'Выборка 1'!Y20)+('Выборка 1'!AA20-'Выборка 1'!Z20)+('Выборка 1'!AB20-'Выборка 1'!AA20))/4000</f>
        <v>-41.25</v>
      </c>
      <c r="G20" s="17">
        <f>(('Выборка 1'!AD20-'Выборка 1'!AC20)+('Выборка 1'!AE20-'Выборка 1'!AD20)+('Выборка 1'!AF20-'Выборка 1'!AE20)+('Выборка 1'!AG20-'Выборка 1'!AF20))/4000</f>
        <v>0</v>
      </c>
      <c r="H20" s="17">
        <f>(('Выборка 1'!AI20-'Выборка 1'!AH20)+('Выборка 1'!AJ20-'Выборка 1'!AI20)+('Выборка 1'!AK20-'Выборка 1'!AJ20)+('Выборка 1'!AL20-'Выборка 1'!AK20))/4000</f>
        <v>2025.25</v>
      </c>
      <c r="I20" s="17">
        <f>(('Выборка 1'!AN20-'Выборка 1'!AM20)+('Выборка 1'!AO20-'Выборка 1'!AN20)+('Выборка 1'!AP20-'Выборка 1'!AO20)+('Выборка 1'!AQ20-'Выборка 1'!AP20))/4000</f>
        <v>-8658.75</v>
      </c>
      <c r="J20" s="17">
        <f>((('Выборка 1'!AS20+'Выборка 1'!AX20)-('Выборка 1'!AR20+'Выборка 1'!AW20))+(('Выборка 1'!AT20+'Выборка 1'!AY20)-('Выборка 1'!AS20+'Выборка 1'!AX20))+(('Выборка 1'!AU20+'Выборка 1'!AZ20)-('Выборка 1'!AT20+'Выборка 1'!AY20))+(('Выборка 1'!AV20+'Выборка 1'!BA20)-('Выборка 1'!AU20+'Выборка 1'!AZ20)))/4000</f>
        <v>-6771.25</v>
      </c>
      <c r="K20" s="17">
        <f>(('Выборка 1'!BC20-'Выборка 1'!BB20)+('Выборка 1'!BD20-'Выборка 1'!BC20)+('Выборка 1'!BE20-'Выборка 1'!BD20)+('Выборка 1'!BF20-'Выборка 1'!BE20))/4000</f>
        <v>0</v>
      </c>
      <c r="L20" s="17">
        <f t="shared" si="0"/>
        <v>-1887.5</v>
      </c>
      <c r="M20" s="17">
        <f>((('Выборка 1'!BH20-'Выборка 1'!BM20)-('Выборка 1'!BG20-'Выборка 1'!BL20))+(('Выборка 1'!BI20-'Выборка 1'!BN20)-('Выборка 1'!BH20-'Выборка 1'!BM20))+(('Выборка 1'!BJ20-'Выборка 1'!BO20)-('Выборка 1'!BI20-'Выборка 1'!BN20))+(('Выборка 1'!BK20-'Выборка 1'!BP20)-('Выборка 1'!BJ20-'Выборка 1'!BO20)))/4000</f>
        <v>-501.75</v>
      </c>
      <c r="N20" s="17">
        <f>(('Выборка 1'!BR20-'Выборка 1'!BQ20)+('Выборка 1'!BS20-'Выборка 1'!BR20)+('Выборка 1'!BT20-'Выборка 1'!BS20)+('Выборка 1'!BU20-'Выборка 1'!BT20))/4000</f>
        <v>-2291</v>
      </c>
    </row>
    <row r="21" spans="1:14" x14ac:dyDescent="0.25">
      <c r="A21" s="17">
        <v>21</v>
      </c>
      <c r="B21" s="17">
        <f>(('Выборка 1'!E21-'Выборка 1'!D21)+('Выборка 1'!F21-'Выборка 1'!E21)+('Выборка 1'!G21-'Выборка 1'!F21)+('Выборка 1'!H21-'Выборка 1'!G21))/4000</f>
        <v>0</v>
      </c>
      <c r="C21" s="17">
        <f>(('Выборка 1'!J21-'Выборка 1'!I21)+('Выборка 1'!K21-'Выборка 1'!J21)+('Выборка 1'!L21-'Выборка 1'!K21)+('Выборка 1'!M21-'Выборка 1'!L21))/4000</f>
        <v>0</v>
      </c>
      <c r="D21" s="17">
        <f>(('Выборка 1'!O21-'Выборка 1'!N21)+('Выборка 1'!P21-'Выборка 1'!O21)+('Выборка 1'!Q21-'Выборка 1'!P21)+('Выборка 1'!R21-'Выборка 1'!Q21))/4000</f>
        <v>0</v>
      </c>
      <c r="E21" s="17">
        <f>(('Выборка 1'!T21-'Выборка 1'!S21)+('Выборка 1'!U21-'Выборка 1'!T21)+('Выборка 1'!V21-'Выборка 1'!U21)+('Выборка 1'!W21-'Выборка 1'!V21))/4000</f>
        <v>0</v>
      </c>
      <c r="F21" s="17">
        <f>(('Выборка 1'!Y21-'Выборка 1'!X21)+('Выборка 1'!Z21+'Выборка 1'!Y21)+('Выборка 1'!AA21-'Выборка 1'!Z21)+('Выборка 1'!AB21-'Выборка 1'!AA21))/4000</f>
        <v>0</v>
      </c>
      <c r="G21" s="17">
        <f>(('Выборка 1'!AD21-'Выборка 1'!AC21)+('Выборка 1'!AE21-'Выборка 1'!AD21)+('Выборка 1'!AF21-'Выборка 1'!AE21)+('Выборка 1'!AG21-'Выборка 1'!AF21))/4000</f>
        <v>0</v>
      </c>
      <c r="H21" s="17">
        <f>(('Выборка 1'!AI21-'Выборка 1'!AH21)+('Выборка 1'!AJ21-'Выборка 1'!AI21)+('Выборка 1'!AK21-'Выборка 1'!AJ21)+('Выборка 1'!AL21-'Выборка 1'!AK21))/4000</f>
        <v>1562.75</v>
      </c>
      <c r="I21" s="17">
        <f>(('Выборка 1'!AN21-'Выборка 1'!AM21)+('Выборка 1'!AO21-'Выборка 1'!AN21)+('Выборка 1'!AP21-'Выборка 1'!AO21)+('Выборка 1'!AQ21-'Выборка 1'!AP21))/4000</f>
        <v>0</v>
      </c>
      <c r="J21" s="17">
        <f>((('Выборка 1'!AS21+'Выборка 1'!AX21)-('Выборка 1'!AR21+'Выборка 1'!AW21))+(('Выборка 1'!AT21+'Выборка 1'!AY21)-('Выборка 1'!AS21+'Выборка 1'!AX21))+(('Выборка 1'!AU21+'Выборка 1'!AZ21)-('Выборка 1'!AT21+'Выборка 1'!AY21))+(('Выборка 1'!AV21+'Выборка 1'!BA21)-('Выборка 1'!AU21+'Выборка 1'!AZ21)))/4000</f>
        <v>-361.25</v>
      </c>
      <c r="K21" s="17">
        <f>(('Выборка 1'!BC21-'Выборка 1'!BB21)+('Выборка 1'!BD21-'Выборка 1'!BC21)+('Выборка 1'!BE21-'Выборка 1'!BD21)+('Выборка 1'!BF21-'Выборка 1'!BE21))/4000</f>
        <v>0</v>
      </c>
      <c r="L21" s="17">
        <f t="shared" si="0"/>
        <v>361.25</v>
      </c>
      <c r="M21" s="17">
        <f>((('Выборка 1'!BH21-'Выборка 1'!BM21)-('Выборка 1'!BG21-'Выборка 1'!BL21))+(('Выборка 1'!BI21-'Выборка 1'!BN21)-('Выборка 1'!BH21-'Выборка 1'!BM21))+(('Выборка 1'!BJ21-'Выборка 1'!BO21)-('Выборка 1'!BI21-'Выборка 1'!BN21))+(('Выборка 1'!BK21-'Выборка 1'!BP21)-('Выборка 1'!BJ21-'Выборка 1'!BO21)))/4000</f>
        <v>431.25</v>
      </c>
      <c r="N21" s="17">
        <f>(('Выборка 1'!BR21-'Выборка 1'!BQ21)+('Выборка 1'!BS21-'Выборка 1'!BR21)+('Выборка 1'!BT21-'Выборка 1'!BS21)+('Выборка 1'!BU21-'Выборка 1'!BT21))/4000</f>
        <v>792.5</v>
      </c>
    </row>
    <row r="22" spans="1:14" x14ac:dyDescent="0.25">
      <c r="A22" s="17">
        <v>11</v>
      </c>
      <c r="B22" s="17">
        <f>(('Выборка 1'!E22-'Выборка 1'!D22)+('Выборка 1'!F22-'Выборка 1'!E22)+('Выборка 1'!G22-'Выборка 1'!F22)+('Выборка 1'!H22-'Выборка 1'!G22))/4000</f>
        <v>0</v>
      </c>
      <c r="C22" s="17">
        <f>(('Выборка 1'!J22-'Выборка 1'!I22)+('Выборка 1'!K22-'Выборка 1'!J22)+('Выборка 1'!L22-'Выборка 1'!K22)+('Выборка 1'!M22-'Выборка 1'!L22))/4000</f>
        <v>0</v>
      </c>
      <c r="D22" s="17">
        <f>(('Выборка 1'!O22-'Выборка 1'!N22)+('Выборка 1'!P22-'Выборка 1'!O22)+('Выборка 1'!Q22-'Выборка 1'!P22)+('Выборка 1'!R22-'Выборка 1'!Q22))/4000</f>
        <v>0</v>
      </c>
      <c r="E22" s="17">
        <f>(('Выборка 1'!T22-'Выборка 1'!S22)+('Выборка 1'!U22-'Выборка 1'!T22)+('Выборка 1'!V22-'Выборка 1'!U22)+('Выборка 1'!W22-'Выборка 1'!V22))/4000</f>
        <v>0</v>
      </c>
      <c r="F22" s="17">
        <f>(('Выборка 1'!Y22-'Выборка 1'!X22)+('Выборка 1'!Z22+'Выборка 1'!Y22)+('Выборка 1'!AA22-'Выборка 1'!Z22)+('Выборка 1'!AB22-'Выборка 1'!AA22))/4000</f>
        <v>0</v>
      </c>
      <c r="G22" s="17">
        <f>(('Выборка 1'!AD22-'Выборка 1'!AC22)+('Выборка 1'!AE22-'Выборка 1'!AD22)+('Выборка 1'!AF22-'Выборка 1'!AE22)+('Выборка 1'!AG22-'Выборка 1'!AF22))/4000</f>
        <v>0</v>
      </c>
      <c r="H22" s="17">
        <f>(('Выборка 1'!AI22-'Выборка 1'!AH22)+('Выборка 1'!AJ22-'Выборка 1'!AI22)+('Выборка 1'!AK22-'Выборка 1'!AJ22)+('Выборка 1'!AL22-'Выборка 1'!AK22))/4000</f>
        <v>0</v>
      </c>
      <c r="I22" s="17">
        <f>(('Выборка 1'!AN22-'Выборка 1'!AM22)+('Выборка 1'!AO22-'Выборка 1'!AN22)+('Выборка 1'!AP22-'Выборка 1'!AO22)+('Выборка 1'!AQ22-'Выборка 1'!AP22))/4000</f>
        <v>0</v>
      </c>
      <c r="J22" s="17">
        <f>((('Выборка 1'!AS22+'Выборка 1'!AX22)-('Выборка 1'!AR22+'Выборка 1'!AW22))+(('Выборка 1'!AT22+'Выборка 1'!AY22)-('Выборка 1'!AS22+'Выборка 1'!AX22))+(('Выборка 1'!AU22+'Выборка 1'!AZ22)-('Выборка 1'!AT22+'Выборка 1'!AY22))+(('Выборка 1'!AV22+'Выборка 1'!BA22)-('Выборка 1'!AU22+'Выборка 1'!AZ22)))/4000</f>
        <v>0</v>
      </c>
      <c r="K22" s="17">
        <f>(('Выборка 1'!BC22-'Выборка 1'!BB22)+('Выборка 1'!BD22-'Выборка 1'!BC22)+('Выборка 1'!BE22-'Выборка 1'!BD22)+('Выборка 1'!BF22-'Выборка 1'!BE22))/4000</f>
        <v>0</v>
      </c>
      <c r="L22" s="17">
        <f t="shared" si="0"/>
        <v>0</v>
      </c>
      <c r="M22" s="17">
        <f>((('Выборка 1'!BH22-'Выборка 1'!BM22)-('Выборка 1'!BG22-'Выборка 1'!BL22))+(('Выборка 1'!BI22-'Выборка 1'!BN22)-('Выборка 1'!BH22-'Выборка 1'!BM22))+(('Выборка 1'!BJ22-'Выборка 1'!BO22)-('Выборка 1'!BI22-'Выборка 1'!BN22))+(('Выборка 1'!BK22-'Выборка 1'!BP22)-('Выборка 1'!BJ22-'Выборка 1'!BO22)))/4000</f>
        <v>0</v>
      </c>
      <c r="N22" s="17">
        <f>(('Выборка 1'!BR22-'Выборка 1'!BQ22)+('Выборка 1'!BS22-'Выборка 1'!BR22)+('Выборка 1'!BT22-'Выборка 1'!BS22)+('Выборка 1'!BU22-'Выборка 1'!BT22))/4000</f>
        <v>0</v>
      </c>
    </row>
    <row r="23" spans="1:14" x14ac:dyDescent="0.25">
      <c r="A23" s="17">
        <v>11</v>
      </c>
      <c r="B23" s="17">
        <f>(('Выборка 1'!E23-'Выборка 1'!D23)+('Выборка 1'!F23-'Выборка 1'!E23)+('Выборка 1'!G23-'Выборка 1'!F23)+('Выборка 1'!H23-'Выборка 1'!G23))/4000</f>
        <v>0</v>
      </c>
      <c r="C23" s="17">
        <f>(('Выборка 1'!J23-'Выборка 1'!I23)+('Выборка 1'!K23-'Выборка 1'!J23)+('Выборка 1'!L23-'Выборка 1'!K23)+('Выборка 1'!M23-'Выборка 1'!L23))/4000</f>
        <v>0</v>
      </c>
      <c r="D23" s="17">
        <f>(('Выборка 1'!O23-'Выборка 1'!N23)+('Выборка 1'!P23-'Выборка 1'!O23)+('Выборка 1'!Q23-'Выборка 1'!P23)+('Выборка 1'!R23-'Выборка 1'!Q23))/4000</f>
        <v>0</v>
      </c>
      <c r="E23" s="17">
        <f>(('Выборка 1'!T23-'Выборка 1'!S23)+('Выборка 1'!U23-'Выборка 1'!T23)+('Выборка 1'!V23-'Выборка 1'!U23)+('Выборка 1'!W23-'Выборка 1'!V23))/4000</f>
        <v>-273.5</v>
      </c>
      <c r="F23" s="17">
        <f>(('Выборка 1'!Y23-'Выборка 1'!X23)+('Выборка 1'!Z23+'Выборка 1'!Y23)+('Выборка 1'!AA23-'Выборка 1'!Z23)+('Выборка 1'!AB23-'Выборка 1'!AA23))/4000</f>
        <v>0</v>
      </c>
      <c r="G23" s="17">
        <f>(('Выборка 1'!AD23-'Выборка 1'!AC23)+('Выборка 1'!AE23-'Выборка 1'!AD23)+('Выборка 1'!AF23-'Выборка 1'!AE23)+('Выборка 1'!AG23-'Выборка 1'!AF23))/4000</f>
        <v>0</v>
      </c>
      <c r="H23" s="17">
        <f>(('Выборка 1'!AI23-'Выборка 1'!AH23)+('Выборка 1'!AJ23-'Выборка 1'!AI23)+('Выборка 1'!AK23-'Выборка 1'!AJ23)+('Выборка 1'!AL23-'Выборка 1'!AK23))/4000</f>
        <v>-12721.25</v>
      </c>
      <c r="I23" s="17">
        <f>(('Выборка 1'!AN23-'Выборка 1'!AM23)+('Выборка 1'!AO23-'Выборка 1'!AN23)+('Выборка 1'!AP23-'Выборка 1'!AO23)+('Выборка 1'!AQ23-'Выборка 1'!AP23))/4000</f>
        <v>0</v>
      </c>
      <c r="J23" s="17">
        <f>((('Выборка 1'!AS23+'Выборка 1'!AX23)-('Выборка 1'!AR23+'Выборка 1'!AW23))+(('Выборка 1'!AT23+'Выборка 1'!AY23)-('Выборка 1'!AS23+'Выборка 1'!AX23))+(('Выборка 1'!AU23+'Выборка 1'!AZ23)-('Выборка 1'!AT23+'Выборка 1'!AY23))+(('Выборка 1'!AV23+'Выборка 1'!BA23)-('Выборка 1'!AU23+'Выборка 1'!AZ23)))/4000</f>
        <v>-30</v>
      </c>
      <c r="K23" s="17">
        <f>(('Выборка 1'!BC23-'Выборка 1'!BB23)+('Выборка 1'!BD23-'Выборка 1'!BC23)+('Выборка 1'!BE23-'Выборка 1'!BD23)+('Выборка 1'!BF23-'Выборка 1'!BE23))/4000</f>
        <v>0</v>
      </c>
      <c r="L23" s="17">
        <f t="shared" si="0"/>
        <v>30</v>
      </c>
      <c r="M23" s="17">
        <f>((('Выборка 1'!BH23-'Выборка 1'!BM23)-('Выборка 1'!BG23-'Выборка 1'!BL23))+(('Выборка 1'!BI23-'Выборка 1'!BN23)-('Выборка 1'!BH23-'Выборка 1'!BM23))+(('Выборка 1'!BJ23-'Выборка 1'!BO23)-('Выборка 1'!BI23-'Выборка 1'!BN23))+(('Выборка 1'!BK23-'Выборка 1'!BP23)-('Выборка 1'!BJ23-'Выборка 1'!BO23)))/4000</f>
        <v>147.75</v>
      </c>
      <c r="N23" s="17">
        <f>(('Выборка 1'!BR23-'Выборка 1'!BQ23)+('Выборка 1'!BS23-'Выборка 1'!BR23)+('Выборка 1'!BT23-'Выборка 1'!BS23)+('Выборка 1'!BU23-'Выборка 1'!BT23))/4000</f>
        <v>177.75</v>
      </c>
    </row>
    <row r="24" spans="1:14" x14ac:dyDescent="0.25">
      <c r="A24" s="17">
        <v>4</v>
      </c>
      <c r="B24" s="17">
        <f>(('Выборка 1'!E24-'Выборка 1'!D24)+('Выборка 1'!F24-'Выборка 1'!E24)+('Выборка 1'!G24-'Выборка 1'!F24)+('Выборка 1'!H24-'Выборка 1'!G24))/4000</f>
        <v>0</v>
      </c>
      <c r="C24" s="17">
        <f>(('Выборка 1'!J24-'Выборка 1'!I24)+('Выборка 1'!K24-'Выборка 1'!J24)+('Выборка 1'!L24-'Выборка 1'!K24)+('Выборка 1'!M24-'Выборка 1'!L24))/4000</f>
        <v>2.5</v>
      </c>
      <c r="D24" s="17">
        <f>(('Выборка 1'!O24-'Выборка 1'!N24)+('Выборка 1'!P24-'Выборка 1'!O24)+('Выборка 1'!Q24-'Выборка 1'!P24)+('Выборка 1'!R24-'Выборка 1'!Q24))/4000</f>
        <v>17869.75</v>
      </c>
      <c r="E24" s="17">
        <f>(('Выборка 1'!T24-'Выборка 1'!S24)+('Выборка 1'!U24-'Выборка 1'!T24)+('Выборка 1'!V24-'Выборка 1'!U24)+('Выборка 1'!W24-'Выборка 1'!V24))/4000</f>
        <v>1.25</v>
      </c>
      <c r="F24" s="17">
        <f>(('Выборка 1'!Y24-'Выборка 1'!X24)+('Выборка 1'!Z24+'Выборка 1'!Y24)+('Выборка 1'!AA24-'Выборка 1'!Z24)+('Выборка 1'!AB24-'Выборка 1'!AA24))/4000</f>
        <v>0</v>
      </c>
      <c r="G24" s="17">
        <f>(('Выборка 1'!AD24-'Выборка 1'!AC24)+('Выборка 1'!AE24-'Выборка 1'!AD24)+('Выборка 1'!AF24-'Выборка 1'!AE24)+('Выборка 1'!AG24-'Выборка 1'!AF24))/4000</f>
        <v>58.5</v>
      </c>
      <c r="H24" s="17">
        <f>(('Выборка 1'!AI24-'Выборка 1'!AH24)+('Выборка 1'!AJ24-'Выборка 1'!AI24)+('Выборка 1'!AK24-'Выборка 1'!AJ24)+('Выборка 1'!AL24-'Выборка 1'!AK24))/4000</f>
        <v>15887</v>
      </c>
      <c r="I24" s="17">
        <f>(('Выборка 1'!AN24-'Выборка 1'!AM24)+('Выборка 1'!AO24-'Выборка 1'!AN24)+('Выборка 1'!AP24-'Выборка 1'!AO24)+('Выборка 1'!AQ24-'Выборка 1'!AP24))/4000</f>
        <v>0</v>
      </c>
      <c r="J24" s="17">
        <f>((('Выборка 1'!AS24+'Выборка 1'!AX24)-('Выборка 1'!AR24+'Выборка 1'!AW24))+(('Выборка 1'!AT24+'Выборка 1'!AY24)-('Выборка 1'!AS24+'Выборка 1'!AX24))+(('Выборка 1'!AU24+'Выборка 1'!AZ24)-('Выборка 1'!AT24+'Выборка 1'!AY24))+(('Выборка 1'!AV24+'Выборка 1'!BA24)-('Выборка 1'!AU24+'Выборка 1'!AZ24)))/4000</f>
        <v>0</v>
      </c>
      <c r="K24" s="17">
        <f>(('Выборка 1'!BC24-'Выборка 1'!BB24)+('Выборка 1'!BD24-'Выборка 1'!BC24)+('Выборка 1'!BE24-'Выборка 1'!BD24)+('Выборка 1'!BF24-'Выборка 1'!BE24))/4000</f>
        <v>0</v>
      </c>
      <c r="L24" s="17">
        <f t="shared" si="0"/>
        <v>0</v>
      </c>
      <c r="M24" s="17">
        <f>((('Выборка 1'!BH24-'Выборка 1'!BM24)-('Выборка 1'!BG24-'Выборка 1'!BL24))+(('Выборка 1'!BI24-'Выборка 1'!BN24)-('Выборка 1'!BH24-'Выборка 1'!BM24))+(('Выборка 1'!BJ24-'Выборка 1'!BO24)-('Выборка 1'!BI24-'Выборка 1'!BN24))+(('Выборка 1'!BK24-'Выборка 1'!BP24)-('Выборка 1'!BJ24-'Выборка 1'!BO24)))/4000</f>
        <v>0</v>
      </c>
      <c r="N24" s="17">
        <f>(('Выборка 1'!BR24-'Выборка 1'!BQ24)+('Выборка 1'!BS24-'Выборка 1'!BR24)+('Выборка 1'!BT24-'Выборка 1'!BS24)+('Выборка 1'!BU24-'Выборка 1'!BT24))/4000</f>
        <v>0</v>
      </c>
    </row>
    <row r="25" spans="1:14" x14ac:dyDescent="0.25">
      <c r="A25" s="17">
        <v>14</v>
      </c>
      <c r="B25" s="17">
        <f>(('Выборка 1'!E25-'Выборка 1'!D25)+('Выборка 1'!F25-'Выборка 1'!E25)+('Выборка 1'!G25-'Выборка 1'!F25)+('Выборка 1'!H25-'Выборка 1'!G25))/4000</f>
        <v>0</v>
      </c>
      <c r="C25" s="17">
        <f>(('Выборка 1'!J25-'Выборка 1'!I25)+('Выборка 1'!K25-'Выборка 1'!J25)+('Выборка 1'!L25-'Выборка 1'!K25)+('Выборка 1'!M25-'Выборка 1'!L25))/4000</f>
        <v>-248.25</v>
      </c>
      <c r="D25" s="17">
        <f>(('Выборка 1'!O25-'Выборка 1'!N25)+('Выборка 1'!P25-'Выборка 1'!O25)+('Выборка 1'!Q25-'Выборка 1'!P25)+('Выборка 1'!R25-'Выборка 1'!Q25))/4000</f>
        <v>-8874.75</v>
      </c>
      <c r="E25" s="17">
        <f>(('Выборка 1'!T25-'Выборка 1'!S25)+('Выборка 1'!U25-'Выборка 1'!T25)+('Выборка 1'!V25-'Выборка 1'!U25)+('Выборка 1'!W25-'Выборка 1'!V25))/4000</f>
        <v>-982.25</v>
      </c>
      <c r="F25" s="17">
        <f>(('Выборка 1'!Y25-'Выборка 1'!X25)+('Выборка 1'!Z25+'Выборка 1'!Y25)+('Выборка 1'!AA25-'Выборка 1'!Z25)+('Выборка 1'!AB25-'Выборка 1'!AA25))/4000</f>
        <v>-44364.5</v>
      </c>
      <c r="G25" s="17">
        <f>(('Выборка 1'!AD25-'Выборка 1'!AC25)+('Выборка 1'!AE25-'Выборка 1'!AD25)+('Выборка 1'!AF25-'Выборка 1'!AE25)+('Выборка 1'!AG25-'Выборка 1'!AF25))/4000</f>
        <v>0</v>
      </c>
      <c r="H25" s="17">
        <f>(('Выборка 1'!AI25-'Выборка 1'!AH25)+('Выборка 1'!AJ25-'Выборка 1'!AI25)+('Выборка 1'!AK25-'Выборка 1'!AJ25)+('Выборка 1'!AL25-'Выборка 1'!AK25))/4000</f>
        <v>6530</v>
      </c>
      <c r="I25" s="17">
        <f>(('Выборка 1'!AN25-'Выборка 1'!AM25)+('Выборка 1'!AO25-'Выборка 1'!AN25)+('Выборка 1'!AP25-'Выборка 1'!AO25)+('Выборка 1'!AQ25-'Выборка 1'!AP25))/4000</f>
        <v>-25.25</v>
      </c>
      <c r="J25" s="17">
        <f>((('Выборка 1'!AS25+'Выборка 1'!AX25)-('Выборка 1'!AR25+'Выборка 1'!AW25))+(('Выборка 1'!AT25+'Выборка 1'!AY25)-('Выборка 1'!AS25+'Выборка 1'!AX25))+(('Выборка 1'!AU25+'Выборка 1'!AZ25)-('Выборка 1'!AT25+'Выборка 1'!AY25))+(('Выборка 1'!AV25+'Выборка 1'!BA25)-('Выборка 1'!AU25+'Выборка 1'!AZ25)))/4000</f>
        <v>-0.5</v>
      </c>
      <c r="K25" s="17">
        <f>(('Выборка 1'!BC25-'Выборка 1'!BB25)+('Выборка 1'!BD25-'Выборка 1'!BC25)+('Выборка 1'!BE25-'Выборка 1'!BD25)+('Выборка 1'!BF25-'Выборка 1'!BE25))/4000</f>
        <v>-923</v>
      </c>
      <c r="L25" s="17">
        <f t="shared" si="0"/>
        <v>898.25</v>
      </c>
      <c r="M25" s="17">
        <f>((('Выборка 1'!BH25-'Выборка 1'!BM25)-('Выборка 1'!BG25-'Выборка 1'!BL25))+(('Выборка 1'!BI25-'Выборка 1'!BN25)-('Выборка 1'!BH25-'Выборка 1'!BM25))+(('Выборка 1'!BJ25-'Выборка 1'!BO25)-('Выборка 1'!BI25-'Выборка 1'!BN25))+(('Выборка 1'!BK25-'Выборка 1'!BP25)-('Выборка 1'!BJ25-'Выборка 1'!BO25)))/4000</f>
        <v>1.5</v>
      </c>
      <c r="N25" s="17">
        <f>(('Выборка 1'!BR25-'Выборка 1'!BQ25)+('Выборка 1'!BS25-'Выборка 1'!BR25)+('Выборка 1'!BT25-'Выборка 1'!BS25)+('Выборка 1'!BU25-'Выборка 1'!BT25))/4000</f>
        <v>899.75</v>
      </c>
    </row>
    <row r="26" spans="1:14" x14ac:dyDescent="0.25">
      <c r="A26" s="17">
        <v>17</v>
      </c>
      <c r="B26" s="17">
        <f>(('Выборка 1'!E26-'Выборка 1'!D26)+('Выборка 1'!F26-'Выборка 1'!E26)+('Выборка 1'!G26-'Выборка 1'!F26)+('Выборка 1'!H26-'Выборка 1'!G26))/4000</f>
        <v>0</v>
      </c>
      <c r="C26" s="17">
        <f>(('Выборка 1'!J26-'Выборка 1'!I26)+('Выборка 1'!K26-'Выборка 1'!J26)+('Выборка 1'!L26-'Выборка 1'!K26)+('Выборка 1'!M26-'Выборка 1'!L26))/4000</f>
        <v>-3.25</v>
      </c>
      <c r="D26" s="17">
        <f>(('Выборка 1'!O26-'Выборка 1'!N26)+('Выборка 1'!P26-'Выборка 1'!O26)+('Выборка 1'!Q26-'Выборка 1'!P26)+('Выборка 1'!R26-'Выборка 1'!Q26))/4000</f>
        <v>-50202.5</v>
      </c>
      <c r="E26" s="17">
        <f>(('Выборка 1'!T26-'Выборка 1'!S26)+('Выборка 1'!U26-'Выборка 1'!T26)+('Выборка 1'!V26-'Выборка 1'!U26)+('Выборка 1'!W26-'Выборка 1'!V26))/4000</f>
        <v>-1812.25</v>
      </c>
      <c r="F26" s="17">
        <f>(('Выборка 1'!Y26-'Выборка 1'!X26)+('Выборка 1'!Z26+'Выборка 1'!Y26)+('Выборка 1'!AA26-'Выборка 1'!Z26)+('Выборка 1'!AB26-'Выборка 1'!AA26))/4000</f>
        <v>-109210.5</v>
      </c>
      <c r="G26" s="17">
        <f>(('Выборка 1'!AD26-'Выборка 1'!AC26)+('Выборка 1'!AE26-'Выборка 1'!AD26)+('Выборка 1'!AF26-'Выборка 1'!AE26)+('Выборка 1'!AG26-'Выборка 1'!AF26))/4000</f>
        <v>0</v>
      </c>
      <c r="H26" s="17">
        <f>(('Выборка 1'!AI26-'Выборка 1'!AH26)+('Выборка 1'!AJ26-'Выборка 1'!AI26)+('Выборка 1'!AK26-'Выборка 1'!AJ26)+('Выборка 1'!AL26-'Выборка 1'!AK26))/4000</f>
        <v>-56705</v>
      </c>
      <c r="I26" s="17">
        <f>(('Выборка 1'!AN26-'Выборка 1'!AM26)+('Выборка 1'!AO26-'Выборка 1'!AN26)+('Выборка 1'!AP26-'Выборка 1'!AO26)+('Выборка 1'!AQ26-'Выборка 1'!AP26))/4000</f>
        <v>-27047.5</v>
      </c>
      <c r="J26" s="17">
        <f>((('Выборка 1'!AS26+'Выборка 1'!AX26)-('Выборка 1'!AR26+'Выборка 1'!AW26))+(('Выборка 1'!AT26+'Выборка 1'!AY26)-('Выборка 1'!AS26+'Выборка 1'!AX26))+(('Выборка 1'!AU26+'Выборка 1'!AZ26)-('Выборка 1'!AT26+'Выборка 1'!AY26))+(('Выборка 1'!AV26+'Выборка 1'!BA26)-('Выборка 1'!AU26+'Выборка 1'!AZ26)))/4000</f>
        <v>-27955.25</v>
      </c>
      <c r="K26" s="17">
        <f>(('Выборка 1'!BC26-'Выборка 1'!BB26)+('Выборка 1'!BD26-'Выборка 1'!BC26)+('Выборка 1'!BE26-'Выборка 1'!BD26)+('Выборка 1'!BF26-'Выборка 1'!BE26))/4000</f>
        <v>0</v>
      </c>
      <c r="L26" s="17">
        <f t="shared" si="0"/>
        <v>907.75</v>
      </c>
      <c r="M26" s="17">
        <f>((('Выборка 1'!BH26-'Выборка 1'!BM26)-('Выборка 1'!BG26-'Выборка 1'!BL26))+(('Выборка 1'!BI26-'Выборка 1'!BN26)-('Выборка 1'!BH26-'Выборка 1'!BM26))+(('Выборка 1'!BJ26-'Выборка 1'!BO26)-('Выборка 1'!BI26-'Выборка 1'!BN26))+(('Выборка 1'!BK26-'Выборка 1'!BP26)-('Выборка 1'!BJ26-'Выборка 1'!BO26)))/4000</f>
        <v>338.25</v>
      </c>
      <c r="N26" s="17">
        <f>(('Выборка 1'!BR26-'Выборка 1'!BQ26)+('Выборка 1'!BS26-'Выборка 1'!BR26)+('Выборка 1'!BT26-'Выборка 1'!BS26)+('Выборка 1'!BU26-'Выборка 1'!BT26))/4000</f>
        <v>989.5</v>
      </c>
    </row>
    <row r="27" spans="1:14" x14ac:dyDescent="0.25">
      <c r="A27" s="17">
        <v>12</v>
      </c>
      <c r="B27" s="17">
        <f>(('Выборка 1'!E27-'Выборка 1'!D27)+('Выборка 1'!F27-'Выборка 1'!E27)+('Выборка 1'!G27-'Выборка 1'!F27)+('Выборка 1'!H27-'Выборка 1'!G27))/4000</f>
        <v>-13</v>
      </c>
      <c r="C27" s="17">
        <f>(('Выборка 1'!J27-'Выборка 1'!I27)+('Выборка 1'!K27-'Выборка 1'!J27)+('Выборка 1'!L27-'Выборка 1'!K27)+('Выборка 1'!M27-'Выборка 1'!L27))/4000</f>
        <v>-25.25</v>
      </c>
      <c r="D27" s="17">
        <f>(('Выборка 1'!O27-'Выборка 1'!N27)+('Выборка 1'!P27-'Выборка 1'!O27)+('Выборка 1'!Q27-'Выборка 1'!P27)+('Выборка 1'!R27-'Выборка 1'!Q27))/4000</f>
        <v>-26609.75</v>
      </c>
      <c r="E27" s="17">
        <f>(('Выборка 1'!T27-'Выборка 1'!S27)+('Выборка 1'!U27-'Выборка 1'!T27)+('Выборка 1'!V27-'Выборка 1'!U27)+('Выборка 1'!W27-'Выборка 1'!V27))/4000</f>
        <v>2158.25</v>
      </c>
      <c r="F27" s="17">
        <f>(('Выборка 1'!Y27-'Выборка 1'!X27)+('Выборка 1'!Z27+'Выборка 1'!Y27)+('Выборка 1'!AA27-'Выборка 1'!Z27)+('Выборка 1'!AB27-'Выборка 1'!AA27))/4000</f>
        <v>-38302.5</v>
      </c>
      <c r="G27" s="17">
        <f>(('Выборка 1'!AD27-'Выборка 1'!AC27)+('Выборка 1'!AE27-'Выборка 1'!AD27)+('Выборка 1'!AF27-'Выборка 1'!AE27)+('Выборка 1'!AG27-'Выборка 1'!AF27))/4000</f>
        <v>2951.75</v>
      </c>
      <c r="H27" s="17">
        <f>(('Выборка 1'!AI27-'Выборка 1'!AH27)+('Выборка 1'!AJ27-'Выборка 1'!AI27)+('Выборка 1'!AK27-'Выборка 1'!AJ27)+('Выборка 1'!AL27-'Выборка 1'!AK27))/4000</f>
        <v>-8934.75</v>
      </c>
      <c r="I27" s="17">
        <f>(('Выборка 1'!AN27-'Выборка 1'!AM27)+('Выборка 1'!AO27-'Выборка 1'!AN27)+('Выборка 1'!AP27-'Выборка 1'!AO27)+('Выборка 1'!AQ27-'Выборка 1'!AP27))/4000</f>
        <v>-135014.5</v>
      </c>
      <c r="J27" s="17">
        <f>((('Выборка 1'!AS27+'Выборка 1'!AX27)-('Выборка 1'!AR27+'Выборка 1'!AW27))+(('Выборка 1'!AT27+'Выборка 1'!AY27)-('Выборка 1'!AS27+'Выборка 1'!AX27))+(('Выборка 1'!AU27+'Выборка 1'!AZ27)-('Выборка 1'!AT27+'Выборка 1'!AY27))+(('Выборка 1'!AV27+'Выборка 1'!BA27)-('Выборка 1'!AU27+'Выборка 1'!AZ27)))/4000</f>
        <v>-128218.25</v>
      </c>
      <c r="K27" s="17">
        <f>(('Выборка 1'!BC27-'Выборка 1'!BB27)+('Выборка 1'!BD27-'Выборка 1'!BC27)+('Выборка 1'!BE27-'Выборка 1'!BD27)+('Выборка 1'!BF27-'Выборка 1'!BE27))/4000</f>
        <v>-6312</v>
      </c>
      <c r="L27" s="17">
        <f t="shared" si="0"/>
        <v>-484.25</v>
      </c>
      <c r="M27" s="17">
        <f>((('Выборка 1'!BH27-'Выборка 1'!BM27)-('Выборка 1'!BG27-'Выборка 1'!BL27))+(('Выборка 1'!BI27-'Выборка 1'!BN27)-('Выборка 1'!BH27-'Выборка 1'!BM27))+(('Выборка 1'!BJ27-'Выборка 1'!BO27)-('Выборка 1'!BI27-'Выборка 1'!BN27))+(('Выборка 1'!BK27-'Выборка 1'!BP27)-('Выборка 1'!BJ27-'Выборка 1'!BO27)))/4000</f>
        <v>-4162.25</v>
      </c>
      <c r="N27" s="17">
        <f>(('Выборка 1'!BR27-'Выборка 1'!BQ27)+('Выборка 1'!BS27-'Выборка 1'!BR27)+('Выборка 1'!BT27-'Выборка 1'!BS27)+('Выборка 1'!BU27-'Выборка 1'!BT27))/4000</f>
        <v>-3601.25</v>
      </c>
    </row>
    <row r="28" spans="1:14" x14ac:dyDescent="0.25">
      <c r="A28" s="17">
        <v>19</v>
      </c>
      <c r="B28" s="17">
        <f>(('Выборка 1'!E28-'Выборка 1'!D28)+('Выборка 1'!F28-'Выборка 1'!E28)+('Выборка 1'!G28-'Выборка 1'!F28)+('Выборка 1'!H28-'Выборка 1'!G28))/4000</f>
        <v>0</v>
      </c>
      <c r="C28" s="17">
        <f>(('Выборка 1'!J28-'Выборка 1'!I28)+('Выборка 1'!K28-'Выборка 1'!J28)+('Выборка 1'!L28-'Выборка 1'!K28)+('Выборка 1'!M28-'Выборка 1'!L28))/4000</f>
        <v>0</v>
      </c>
      <c r="D28" s="17">
        <f>(('Выборка 1'!O28-'Выборка 1'!N28)+('Выборка 1'!P28-'Выборка 1'!O28)+('Выборка 1'!Q28-'Выборка 1'!P28)+('Выборка 1'!R28-'Выборка 1'!Q28))/4000</f>
        <v>0</v>
      </c>
      <c r="E28" s="17">
        <f>(('Выборка 1'!T28-'Выборка 1'!S28)+('Выборка 1'!U28-'Выборка 1'!T28)+('Выборка 1'!V28-'Выборка 1'!U28)+('Выборка 1'!W28-'Выборка 1'!V28))/4000</f>
        <v>0</v>
      </c>
      <c r="F28" s="17">
        <f>(('Выборка 1'!Y28-'Выборка 1'!X28)+('Выборка 1'!Z28+'Выборка 1'!Y28)+('Выборка 1'!AA28-'Выборка 1'!Z28)+('Выборка 1'!AB28-'Выборка 1'!AA28))/4000</f>
        <v>0</v>
      </c>
      <c r="G28" s="17">
        <f>(('Выборка 1'!AD28-'Выборка 1'!AC28)+('Выборка 1'!AE28-'Выборка 1'!AD28)+('Выборка 1'!AF28-'Выборка 1'!AE28)+('Выборка 1'!AG28-'Выборка 1'!AF28))/4000</f>
        <v>0</v>
      </c>
      <c r="H28" s="17">
        <f>(('Выборка 1'!AI28-'Выборка 1'!AH28)+('Выборка 1'!AJ28-'Выборка 1'!AI28)+('Выборка 1'!AK28-'Выборка 1'!AJ28)+('Выборка 1'!AL28-'Выборка 1'!AK28))/4000</f>
        <v>2273.75</v>
      </c>
      <c r="I28" s="17">
        <f>(('Выборка 1'!AN28-'Выборка 1'!AM28)+('Выборка 1'!AO28-'Выборка 1'!AN28)+('Выборка 1'!AP28-'Выборка 1'!AO28)+('Выборка 1'!AQ28-'Выборка 1'!AP28))/4000</f>
        <v>0</v>
      </c>
      <c r="J28" s="17">
        <f>((('Выборка 1'!AS28+'Выборка 1'!AX28)-('Выборка 1'!AR28+'Выборка 1'!AW28))+(('Выборка 1'!AT28+'Выборка 1'!AY28)-('Выборка 1'!AS28+'Выборка 1'!AX28))+(('Выборка 1'!AU28+'Выборка 1'!AZ28)-('Выборка 1'!AT28+'Выборка 1'!AY28))+(('Выборка 1'!AV28+'Выборка 1'!BA28)-('Выборка 1'!AU28+'Выборка 1'!AZ28)))/4000</f>
        <v>-462.75</v>
      </c>
      <c r="K28" s="17">
        <f>(('Выборка 1'!BC28-'Выборка 1'!BB28)+('Выборка 1'!BD28-'Выборка 1'!BC28)+('Выборка 1'!BE28-'Выборка 1'!BD28)+('Выборка 1'!BF28-'Выборка 1'!BE28))/4000</f>
        <v>0</v>
      </c>
      <c r="L28" s="17">
        <f t="shared" si="0"/>
        <v>462.75</v>
      </c>
      <c r="M28" s="17">
        <f>((('Выборка 1'!BH28-'Выборка 1'!BM28)-('Выборка 1'!BG28-'Выборка 1'!BL28))+(('Выборка 1'!BI28-'Выборка 1'!BN28)-('Выборка 1'!BH28-'Выборка 1'!BM28))+(('Выборка 1'!BJ28-'Выборка 1'!BO28)-('Выборка 1'!BI28-'Выборка 1'!BN28))+(('Выборка 1'!BK28-'Выборка 1'!BP28)-('Выборка 1'!BJ28-'Выборка 1'!BO28)))/4000</f>
        <v>-1.25</v>
      </c>
      <c r="N28" s="17">
        <f>(('Выборка 1'!BR28-'Выборка 1'!BQ28)+('Выборка 1'!BS28-'Выборка 1'!BR28)+('Выборка 1'!BT28-'Выборка 1'!BS28)+('Выборка 1'!BU28-'Выборка 1'!BT28))/4000</f>
        <v>461.5</v>
      </c>
    </row>
    <row r="29" spans="1:14" x14ac:dyDescent="0.25">
      <c r="A29" s="17">
        <v>13</v>
      </c>
      <c r="B29" s="17">
        <f>(('Выборка 1'!E29-'Выборка 1'!D29)+('Выборка 1'!F29-'Выборка 1'!E29)+('Выборка 1'!G29-'Выборка 1'!F29)+('Выборка 1'!H29-'Выборка 1'!G29))/4000</f>
        <v>0</v>
      </c>
      <c r="C29" s="17">
        <f>(('Выборка 1'!J29-'Выборка 1'!I29)+('Выборка 1'!K29-'Выборка 1'!J29)+('Выборка 1'!L29-'Выборка 1'!K29)+('Выборка 1'!M29-'Выборка 1'!L29))/4000</f>
        <v>0</v>
      </c>
      <c r="D29" s="17">
        <f>(('Выборка 1'!O29-'Выборка 1'!N29)+('Выборка 1'!P29-'Выборка 1'!O29)+('Выборка 1'!Q29-'Выборка 1'!P29)+('Выборка 1'!R29-'Выборка 1'!Q29))/4000</f>
        <v>0</v>
      </c>
      <c r="E29" s="17">
        <f>(('Выборка 1'!T29-'Выборка 1'!S29)+('Выборка 1'!U29-'Выборка 1'!T29)+('Выборка 1'!V29-'Выборка 1'!U29)+('Выборка 1'!W29-'Выборка 1'!V29))/4000</f>
        <v>0</v>
      </c>
      <c r="F29" s="17">
        <f>(('Выборка 1'!Y29-'Выборка 1'!X29)+('Выборка 1'!Z29+'Выборка 1'!Y29)+('Выборка 1'!AA29-'Выборка 1'!Z29)+('Выборка 1'!AB29-'Выборка 1'!AA29))/4000</f>
        <v>0</v>
      </c>
      <c r="G29" s="17">
        <f>(('Выборка 1'!AD29-'Выборка 1'!AC29)+('Выборка 1'!AE29-'Выборка 1'!AD29)+('Выборка 1'!AF29-'Выборка 1'!AE29)+('Выборка 1'!AG29-'Выборка 1'!AF29))/4000</f>
        <v>0</v>
      </c>
      <c r="H29" s="17">
        <f>(('Выборка 1'!AI29-'Выборка 1'!AH29)+('Выборка 1'!AJ29-'Выборка 1'!AI29)+('Выборка 1'!AK29-'Выборка 1'!AJ29)+('Выборка 1'!AL29-'Выборка 1'!AK29))/4000</f>
        <v>0</v>
      </c>
      <c r="I29" s="17">
        <f>(('Выборка 1'!AN29-'Выборка 1'!AM29)+('Выборка 1'!AO29-'Выборка 1'!AN29)+('Выборка 1'!AP29-'Выборка 1'!AO29)+('Выборка 1'!AQ29-'Выборка 1'!AP29))/4000</f>
        <v>0</v>
      </c>
      <c r="J29" s="17">
        <f>((('Выборка 1'!AS29+'Выборка 1'!AX29)-('Выборка 1'!AR29+'Выборка 1'!AW29))+(('Выборка 1'!AT29+'Выборка 1'!AY29)-('Выборка 1'!AS29+'Выборка 1'!AX29))+(('Выборка 1'!AU29+'Выборка 1'!AZ29)-('Выборка 1'!AT29+'Выборка 1'!AY29))+(('Выборка 1'!AV29+'Выборка 1'!BA29)-('Выборка 1'!AU29+'Выборка 1'!AZ29)))/4000</f>
        <v>0</v>
      </c>
      <c r="K29" s="17">
        <f>(('Выборка 1'!BC29-'Выборка 1'!BB29)+('Выборка 1'!BD29-'Выборка 1'!BC29)+('Выборка 1'!BE29-'Выборка 1'!BD29)+('Выборка 1'!BF29-'Выборка 1'!BE29))/4000</f>
        <v>0</v>
      </c>
      <c r="L29" s="17">
        <f t="shared" si="0"/>
        <v>0</v>
      </c>
      <c r="M29" s="17">
        <f>((('Выборка 1'!BH29-'Выборка 1'!BM29)-('Выборка 1'!BG29-'Выборка 1'!BL29))+(('Выборка 1'!BI29-'Выборка 1'!BN29)-('Выборка 1'!BH29-'Выборка 1'!BM29))+(('Выборка 1'!BJ29-'Выборка 1'!BO29)-('Выборка 1'!BI29-'Выборка 1'!BN29))+(('Выборка 1'!BK29-'Выборка 1'!BP29)-('Выборка 1'!BJ29-'Выборка 1'!BO29)))/4000</f>
        <v>0</v>
      </c>
      <c r="N29" s="17">
        <f>(('Выборка 1'!BR29-'Выборка 1'!BQ29)+('Выборка 1'!BS29-'Выборка 1'!BR29)+('Выборка 1'!BT29-'Выборка 1'!BS29)+('Выборка 1'!BU29-'Выборка 1'!BT29))/4000</f>
        <v>0</v>
      </c>
    </row>
    <row r="30" spans="1:14" x14ac:dyDescent="0.25">
      <c r="A30" s="17">
        <v>6</v>
      </c>
      <c r="B30" s="17">
        <f>(('Выборка 1'!E30-'Выборка 1'!D30)+('Выборка 1'!F30-'Выборка 1'!E30)+('Выборка 1'!G30-'Выборка 1'!F30)+('Выборка 1'!H30-'Выборка 1'!G30))/4000</f>
        <v>25908.5</v>
      </c>
      <c r="C30" s="17">
        <f>(('Выборка 1'!J30-'Выборка 1'!I30)+('Выборка 1'!K30-'Выборка 1'!J30)+('Выборка 1'!L30-'Выборка 1'!K30)+('Выборка 1'!M30-'Выборка 1'!L30))/4000</f>
        <v>-73.75</v>
      </c>
      <c r="D30" s="17">
        <f>(('Выборка 1'!O30-'Выборка 1'!N30)+('Выборка 1'!P30-'Выборка 1'!O30)+('Выборка 1'!Q30-'Выборка 1'!P30)+('Выборка 1'!R30-'Выборка 1'!Q30))/4000</f>
        <v>3131.5</v>
      </c>
      <c r="E30" s="17">
        <f>(('Выборка 1'!T30-'Выборка 1'!S30)+('Выборка 1'!U30-'Выборка 1'!T30)+('Выборка 1'!V30-'Выборка 1'!U30)+('Выборка 1'!W30-'Выборка 1'!V30))/4000</f>
        <v>154</v>
      </c>
      <c r="F30" s="17">
        <f>(('Выборка 1'!Y30-'Выборка 1'!X30)+('Выборка 1'!Z30+'Выборка 1'!Y30)+('Выборка 1'!AA30-'Выборка 1'!Z30)+('Выборка 1'!AB30-'Выборка 1'!AA30))/4000</f>
        <v>1081.5</v>
      </c>
      <c r="G30" s="17">
        <f>(('Выборка 1'!AD30-'Выборка 1'!AC30)+('Выборка 1'!AE30-'Выборка 1'!AD30)+('Выборка 1'!AF30-'Выборка 1'!AE30)+('Выборка 1'!AG30-'Выборка 1'!AF30))/4000</f>
        <v>-2276</v>
      </c>
      <c r="H30" s="17">
        <f>(('Выборка 1'!AI30-'Выборка 1'!AH30)+('Выборка 1'!AJ30-'Выборка 1'!AI30)+('Выборка 1'!AK30-'Выборка 1'!AJ30)+('Выборка 1'!AL30-'Выборка 1'!AK30))/4000</f>
        <v>-837.25</v>
      </c>
      <c r="I30" s="17">
        <f>(('Выборка 1'!AN30-'Выборка 1'!AM30)+('Выборка 1'!AO30-'Выборка 1'!AN30)+('Выборка 1'!AP30-'Выборка 1'!AO30)+('Выборка 1'!AQ30-'Выборка 1'!AP30))/4000</f>
        <v>3712.75</v>
      </c>
      <c r="J30" s="17">
        <f>((('Выборка 1'!AS30+'Выборка 1'!AX30)-('Выборка 1'!AR30+'Выборка 1'!AW30))+(('Выборка 1'!AT30+'Выборка 1'!AY30)-('Выборка 1'!AS30+'Выборка 1'!AX30))+(('Выборка 1'!AU30+'Выборка 1'!AZ30)-('Выборка 1'!AT30+'Выборка 1'!AY30))+(('Выборка 1'!AV30+'Выборка 1'!BA30)-('Выборка 1'!AU30+'Выборка 1'!AZ30)))/4000</f>
        <v>7179</v>
      </c>
      <c r="K30" s="17">
        <f>(('Выборка 1'!BC30-'Выборка 1'!BB30)+('Выборка 1'!BD30-'Выборка 1'!BC30)+('Выборка 1'!BE30-'Выборка 1'!BD30)+('Выборка 1'!BF30-'Выборка 1'!BE30))/4000</f>
        <v>-1092.5</v>
      </c>
      <c r="L30" s="17">
        <f t="shared" si="0"/>
        <v>-2373.75</v>
      </c>
      <c r="M30" s="17">
        <f>((('Выборка 1'!BH30-'Выборка 1'!BM30)-('Выборка 1'!BG30-'Выборка 1'!BL30))+(('Выборка 1'!BI30-'Выборка 1'!BN30)-('Выборка 1'!BH30-'Выборка 1'!BM30))+(('Выборка 1'!BJ30-'Выборка 1'!BO30)-('Выборка 1'!BI30-'Выборка 1'!BN30))+(('Выборка 1'!BK30-'Выборка 1'!BP30)-('Выборка 1'!BJ30-'Выборка 1'!BO30)))/4000</f>
        <v>3893.75</v>
      </c>
      <c r="N30" s="17">
        <f>(('Выборка 1'!BR30-'Выборка 1'!BQ30)+('Выборка 1'!BS30-'Выборка 1'!BR30)+('Выборка 1'!BT30-'Выборка 1'!BS30)+('Выборка 1'!BU30-'Выборка 1'!BT30))/4000</f>
        <v>1291.75</v>
      </c>
    </row>
    <row r="31" spans="1:14" x14ac:dyDescent="0.25">
      <c r="A31" s="17">
        <v>9</v>
      </c>
      <c r="B31" s="17">
        <f>(('Выборка 1'!E31-'Выборка 1'!D31)+('Выборка 1'!F31-'Выборка 1'!E31)+('Выборка 1'!G31-'Выборка 1'!F31)+('Выборка 1'!H31-'Выборка 1'!G31))/4000</f>
        <v>0</v>
      </c>
      <c r="C31" s="17">
        <f>(('Выборка 1'!J31-'Выборка 1'!I31)+('Выборка 1'!K31-'Выборка 1'!J31)+('Выборка 1'!L31-'Выборка 1'!K31)+('Выборка 1'!M31-'Выборка 1'!L31))/4000</f>
        <v>0</v>
      </c>
      <c r="D31" s="17">
        <f>(('Выборка 1'!O31-'Выборка 1'!N31)+('Выборка 1'!P31-'Выборка 1'!O31)+('Выборка 1'!Q31-'Выборка 1'!P31)+('Выборка 1'!R31-'Выборка 1'!Q31))/4000</f>
        <v>2683.25</v>
      </c>
      <c r="E31" s="17">
        <f>(('Выборка 1'!T31-'Выборка 1'!S31)+('Выборка 1'!U31-'Выборка 1'!T31)+('Выборка 1'!V31-'Выборка 1'!U31)+('Выборка 1'!W31-'Выборка 1'!V31))/4000</f>
        <v>56.25</v>
      </c>
      <c r="F31" s="17">
        <f>(('Выборка 1'!Y31-'Выборка 1'!X31)+('Выборка 1'!Z31+'Выборка 1'!Y31)+('Выборка 1'!AA31-'Выборка 1'!Z31)+('Выборка 1'!AB31-'Выборка 1'!AA31))/4000</f>
        <v>0</v>
      </c>
      <c r="G31" s="17">
        <f>(('Выборка 1'!AD31-'Выборка 1'!AC31)+('Выборка 1'!AE31-'Выборка 1'!AD31)+('Выборка 1'!AF31-'Выборка 1'!AE31)+('Выборка 1'!AG31-'Выборка 1'!AF31))/4000</f>
        <v>0</v>
      </c>
      <c r="H31" s="17">
        <f>(('Выборка 1'!AI31-'Выборка 1'!AH31)+('Выборка 1'!AJ31-'Выборка 1'!AI31)+('Выборка 1'!AK31-'Выборка 1'!AJ31)+('Выборка 1'!AL31-'Выборка 1'!AK31))/4000</f>
        <v>3720.75</v>
      </c>
      <c r="I31" s="17">
        <f>(('Выборка 1'!AN31-'Выборка 1'!AM31)+('Выборка 1'!AO31-'Выборка 1'!AN31)+('Выборка 1'!AP31-'Выборка 1'!AO31)+('Выборка 1'!AQ31-'Выборка 1'!AP31))/4000</f>
        <v>0</v>
      </c>
      <c r="J31" s="17">
        <f>((('Выборка 1'!AS31+'Выборка 1'!AX31)-('Выборка 1'!AR31+'Выборка 1'!AW31))+(('Выборка 1'!AT31+'Выборка 1'!AY31)-('Выборка 1'!AS31+'Выборка 1'!AX31))+(('Выборка 1'!AU31+'Выборка 1'!AZ31)-('Выборка 1'!AT31+'Выборка 1'!AY31))+(('Выборка 1'!AV31+'Выборка 1'!BA31)-('Выборка 1'!AU31+'Выборка 1'!AZ31)))/4000</f>
        <v>0</v>
      </c>
      <c r="K31" s="17">
        <f>(('Выборка 1'!BC31-'Выборка 1'!BB31)+('Выборка 1'!BD31-'Выборка 1'!BC31)+('Выборка 1'!BE31-'Выборка 1'!BD31)+('Выборка 1'!BF31-'Выборка 1'!BE31))/4000</f>
        <v>0</v>
      </c>
      <c r="L31" s="17">
        <f t="shared" si="0"/>
        <v>0</v>
      </c>
      <c r="M31" s="17">
        <f>((('Выборка 1'!BH31-'Выборка 1'!BM31)-('Выборка 1'!BG31-'Выборка 1'!BL31))+(('Выборка 1'!BI31-'Выборка 1'!BN31)-('Выборка 1'!BH31-'Выборка 1'!BM31))+(('Выборка 1'!BJ31-'Выборка 1'!BO31)-('Выборка 1'!BI31-'Выборка 1'!BN31))+(('Выборка 1'!BK31-'Выборка 1'!BP31)-('Выборка 1'!BJ31-'Выборка 1'!BO31)))/4000</f>
        <v>-1784.75</v>
      </c>
      <c r="N31" s="17">
        <f>(('Выборка 1'!BR31-'Выборка 1'!BQ31)+('Выборка 1'!BS31-'Выборка 1'!BR31)+('Выборка 1'!BT31-'Выборка 1'!BS31)+('Выборка 1'!BU31-'Выборка 1'!BT31))/4000</f>
        <v>-1784.75</v>
      </c>
    </row>
    <row r="32" spans="1:14" x14ac:dyDescent="0.25">
      <c r="A32" s="17">
        <v>20</v>
      </c>
      <c r="B32" s="17">
        <f>(('Выборка 1'!E32-'Выборка 1'!D32)+('Выборка 1'!F32-'Выборка 1'!E32)+('Выборка 1'!G32-'Выборка 1'!F32)+('Выборка 1'!H32-'Выборка 1'!G32))/4000</f>
        <v>-158288.5</v>
      </c>
      <c r="C32" s="17">
        <f>(('Выборка 1'!J32-'Выборка 1'!I32)+('Выборка 1'!K32-'Выборка 1'!J32)+('Выборка 1'!L32-'Выборка 1'!K32)+('Выборка 1'!M32-'Выборка 1'!L32))/4000</f>
        <v>-2717783.25</v>
      </c>
      <c r="D32" s="17">
        <f>(('Выборка 1'!O32-'Выборка 1'!N32)+('Выборка 1'!P32-'Выборка 1'!O32)+('Выборка 1'!Q32-'Выборка 1'!P32)+('Выборка 1'!R32-'Выборка 1'!Q32))/4000</f>
        <v>-6371149</v>
      </c>
      <c r="E32" s="17">
        <f>(('Выборка 1'!T32-'Выборка 1'!S32)+('Выборка 1'!U32-'Выборка 1'!T32)+('Выборка 1'!V32-'Выборка 1'!U32)+('Выборка 1'!W32-'Выборка 1'!V32))/4000</f>
        <v>-810517.75</v>
      </c>
      <c r="F32" s="17">
        <f>(('Выборка 1'!Y32-'Выборка 1'!X32)+('Выборка 1'!Z32+'Выборка 1'!Y32)+('Выборка 1'!AA32-'Выборка 1'!Z32)+('Выборка 1'!AB32-'Выборка 1'!AA32))/4000</f>
        <v>-11252285</v>
      </c>
      <c r="G32" s="17">
        <f>(('Выборка 1'!AD32-'Выборка 1'!AC32)+('Выборка 1'!AE32-'Выборка 1'!AD32)+('Выборка 1'!AF32-'Выборка 1'!AE32)+('Выборка 1'!AG32-'Выборка 1'!AF32))/4000</f>
        <v>-2394480.75</v>
      </c>
      <c r="H32" s="17">
        <f>(('Выборка 1'!AI32-'Выборка 1'!AH32)+('Выборка 1'!AJ32-'Выборка 1'!AI32)+('Выборка 1'!AK32-'Выборка 1'!AJ32)+('Выборка 1'!AL32-'Выборка 1'!AK32))/4000</f>
        <v>-362521.75</v>
      </c>
      <c r="I32" s="17">
        <f>(('Выборка 1'!AN32-'Выборка 1'!AM32)+('Выборка 1'!AO32-'Выборка 1'!AN32)+('Выборка 1'!AP32-'Выборка 1'!AO32)+('Выборка 1'!AQ32-'Выборка 1'!AP32))/4000</f>
        <v>-25535453.25</v>
      </c>
      <c r="J32" s="17">
        <f>((('Выборка 1'!AS32+'Выборка 1'!AX32)-('Выборка 1'!AR32+'Выборка 1'!AW32))+(('Выборка 1'!AT32+'Выборка 1'!AY32)-('Выборка 1'!AS32+'Выборка 1'!AX32))+(('Выборка 1'!AU32+'Выборка 1'!AZ32)-('Выборка 1'!AT32+'Выборка 1'!AY32))+(('Выборка 1'!AV32+'Выборка 1'!BA32)-('Выборка 1'!AU32+'Выборка 1'!AZ32)))/4000</f>
        <v>-25301486.75</v>
      </c>
      <c r="K32" s="17">
        <f>(('Выборка 1'!BC32-'Выборка 1'!BB32)+('Выборка 1'!BD32-'Выборка 1'!BC32)+('Выборка 1'!BE32-'Выборка 1'!BD32)+('Выборка 1'!BF32-'Выборка 1'!BE32))/4000</f>
        <v>0</v>
      </c>
      <c r="L32" s="17">
        <f t="shared" si="0"/>
        <v>-233966.5</v>
      </c>
      <c r="M32" s="17">
        <f>((('Выборка 1'!BH32-'Выборка 1'!BM32)-('Выборка 1'!BG32-'Выборка 1'!BL32))+(('Выборка 1'!BI32-'Выборка 1'!BN32)-('Выборка 1'!BH32-'Выборка 1'!BM32))+(('Выборка 1'!BJ32-'Выборка 1'!BO32)-('Выборка 1'!BI32-'Выборка 1'!BN32))+(('Выборка 1'!BK32-'Выборка 1'!BP32)-('Выборка 1'!BJ32-'Выборка 1'!BO32)))/4000</f>
        <v>514162</v>
      </c>
      <c r="N32" s="17">
        <f>(('Выборка 1'!BR32-'Выборка 1'!BQ32)+('Выборка 1'!BS32-'Выборка 1'!BR32)+('Выборка 1'!BT32-'Выборка 1'!BS32)+('Выборка 1'!BU32-'Выборка 1'!BT32))/4000</f>
        <v>450278.75</v>
      </c>
    </row>
    <row r="33" spans="1:14" x14ac:dyDescent="0.25">
      <c r="A33" s="17">
        <v>24</v>
      </c>
      <c r="B33" s="17">
        <f>(('Выборка 1'!E33-'Выборка 1'!D33)+('Выборка 1'!F33-'Выборка 1'!E33)+('Выборка 1'!G33-'Выборка 1'!F33)+('Выборка 1'!H33-'Выборка 1'!G33))/4000</f>
        <v>89161.25</v>
      </c>
      <c r="C33" s="17">
        <f>(('Выборка 1'!J33-'Выборка 1'!I33)+('Выборка 1'!K33-'Выборка 1'!J33)+('Выборка 1'!L33-'Выборка 1'!K33)+('Выборка 1'!M33-'Выборка 1'!L33))/4000</f>
        <v>-63317.75</v>
      </c>
      <c r="D33" s="17">
        <f>(('Выборка 1'!O33-'Выборка 1'!N33)+('Выборка 1'!P33-'Выборка 1'!O33)+('Выборка 1'!Q33-'Выборка 1'!P33)+('Выборка 1'!R33-'Выборка 1'!Q33))/4000</f>
        <v>-7652.25</v>
      </c>
      <c r="E33" s="17">
        <f>(('Выборка 1'!T33-'Выборка 1'!S33)+('Выборка 1'!U33-'Выборка 1'!T33)+('Выборка 1'!V33-'Выборка 1'!U33)+('Выборка 1'!W33-'Выборка 1'!V33))/4000</f>
        <v>3883.75</v>
      </c>
      <c r="F33" s="17">
        <f>(('Выборка 1'!Y33-'Выборка 1'!X33)+('Выборка 1'!Z33+'Выборка 1'!Y33)+('Выборка 1'!AA33-'Выборка 1'!Z33)+('Выборка 1'!AB33-'Выборка 1'!AA33))/4000</f>
        <v>20374.25</v>
      </c>
      <c r="G33" s="17">
        <f>(('Выборка 1'!AD33-'Выборка 1'!AC33)+('Выборка 1'!AE33-'Выборка 1'!AD33)+('Выборка 1'!AF33-'Выборка 1'!AE33)+('Выборка 1'!AG33-'Выборка 1'!AF33))/4000</f>
        <v>-81.75</v>
      </c>
      <c r="H33" s="17">
        <f>(('Выборка 1'!AI33-'Выборка 1'!AH33)+('Выборка 1'!AJ33-'Выборка 1'!AI33)+('Выборка 1'!AK33-'Выборка 1'!AJ33)+('Выборка 1'!AL33-'Выборка 1'!AK33))/4000</f>
        <v>-2834.5</v>
      </c>
      <c r="I33" s="17">
        <f>(('Выборка 1'!AN33-'Выборка 1'!AM33)+('Выборка 1'!AO33-'Выборка 1'!AN33)+('Выборка 1'!AP33-'Выборка 1'!AO33)+('Выборка 1'!AQ33-'Выборка 1'!AP33))/4000</f>
        <v>-113909.5</v>
      </c>
      <c r="J33" s="17">
        <f>((('Выборка 1'!AS33+'Выборка 1'!AX33)-('Выборка 1'!AR33+'Выборка 1'!AW33))+(('Выборка 1'!AT33+'Выборка 1'!AY33)-('Выборка 1'!AS33+'Выборка 1'!AX33))+(('Выборка 1'!AU33+'Выборка 1'!AZ33)-('Выборка 1'!AT33+'Выборка 1'!AY33))+(('Выборка 1'!AV33+'Выборка 1'!BA33)-('Выборка 1'!AU33+'Выборка 1'!AZ33)))/4000</f>
        <v>-65956</v>
      </c>
      <c r="K33" s="17">
        <f>(('Выборка 1'!BC33-'Выборка 1'!BB33)+('Выборка 1'!BD33-'Выборка 1'!BC33)+('Выборка 1'!BE33-'Выборка 1'!BD33)+('Выборка 1'!BF33-'Выборка 1'!BE33))/4000</f>
        <v>0</v>
      </c>
      <c r="L33" s="17">
        <f t="shared" si="0"/>
        <v>-47953.5</v>
      </c>
      <c r="M33" s="17">
        <f>((('Выборка 1'!BH33-'Выборка 1'!BM33)-('Выборка 1'!BG33-'Выборка 1'!BL33))+(('Выборка 1'!BI33-'Выборка 1'!BN33)-('Выборка 1'!BH33-'Выборка 1'!BM33))+(('Выборка 1'!BJ33-'Выборка 1'!BO33)-('Выборка 1'!BI33-'Выборка 1'!BN33))+(('Выборка 1'!BK33-'Выборка 1'!BP33)-('Выборка 1'!BJ33-'Выборка 1'!BO33)))/4000</f>
        <v>-23034</v>
      </c>
      <c r="N33" s="17">
        <f>(('Выборка 1'!BR33-'Выборка 1'!BQ33)+('Выборка 1'!BS33-'Выборка 1'!BR33)+('Выборка 1'!BT33-'Выборка 1'!BS33)+('Выборка 1'!BU33-'Выборка 1'!BT33))/4000</f>
        <v>-74586</v>
      </c>
    </row>
    <row r="34" spans="1:14" x14ac:dyDescent="0.25">
      <c r="A34" s="17">
        <v>5</v>
      </c>
      <c r="B34" s="17">
        <f>(('Выборка 1'!E34-'Выборка 1'!D34)+('Выборка 1'!F34-'Выборка 1'!E34)+('Выборка 1'!G34-'Выборка 1'!F34)+('Выборка 1'!H34-'Выборка 1'!G34))/4000</f>
        <v>836.5</v>
      </c>
      <c r="C34" s="17">
        <f>(('Выборка 1'!J34-'Выборка 1'!I34)+('Выборка 1'!K34-'Выборка 1'!J34)+('Выборка 1'!L34-'Выборка 1'!K34)+('Выборка 1'!M34-'Выборка 1'!L34))/4000</f>
        <v>707</v>
      </c>
      <c r="D34" s="17">
        <f>(('Выборка 1'!O34-'Выборка 1'!N34)+('Выборка 1'!P34-'Выборка 1'!O34)+('Выборка 1'!Q34-'Выборка 1'!P34)+('Выборка 1'!R34-'Выборка 1'!Q34))/4000</f>
        <v>-216</v>
      </c>
      <c r="E34" s="17">
        <f>(('Выборка 1'!T34-'Выборка 1'!S34)+('Выборка 1'!U34-'Выборка 1'!T34)+('Выборка 1'!V34-'Выборка 1'!U34)+('Выборка 1'!W34-'Выборка 1'!V34))/4000</f>
        <v>-7.25</v>
      </c>
      <c r="F34" s="17">
        <f>(('Выборка 1'!Y34-'Выборка 1'!X34)+('Выборка 1'!Z34+'Выборка 1'!Y34)+('Выборка 1'!AA34-'Выборка 1'!Z34)+('Выборка 1'!AB34-'Выборка 1'!AA34))/4000</f>
        <v>0</v>
      </c>
      <c r="G34" s="17">
        <f>(('Выборка 1'!AD34-'Выборка 1'!AC34)+('Выборка 1'!AE34-'Выборка 1'!AD34)+('Выборка 1'!AF34-'Выборка 1'!AE34)+('Выборка 1'!AG34-'Выборка 1'!AF34))/4000</f>
        <v>1484.5</v>
      </c>
      <c r="H34" s="17">
        <f>(('Выборка 1'!AI34-'Выборка 1'!AH34)+('Выборка 1'!AJ34-'Выборка 1'!AI34)+('Выборка 1'!AK34-'Выборка 1'!AJ34)+('Выборка 1'!AL34-'Выборка 1'!AK34))/4000</f>
        <v>646</v>
      </c>
      <c r="I34" s="17">
        <f>(('Выборка 1'!AN34-'Выборка 1'!AM34)+('Выборка 1'!AO34-'Выборка 1'!AN34)+('Выборка 1'!AP34-'Выборка 1'!AO34)+('Выборка 1'!AQ34-'Выборка 1'!AP34))/4000</f>
        <v>4406.75</v>
      </c>
      <c r="J34" s="17">
        <f>((('Выборка 1'!AS34+'Выборка 1'!AX34)-('Выборка 1'!AR34+'Выборка 1'!AW34))+(('Выборка 1'!AT34+'Выборка 1'!AY34)-('Выборка 1'!AS34+'Выборка 1'!AX34))+(('Выборка 1'!AU34+'Выборка 1'!AZ34)-('Выборка 1'!AT34+'Выборка 1'!AY34))+(('Выборка 1'!AV34+'Выборка 1'!BA34)-('Выборка 1'!AU34+'Выборка 1'!AZ34)))/4000</f>
        <v>4532.25</v>
      </c>
      <c r="K34" s="17">
        <f>(('Выборка 1'!BC34-'Выборка 1'!BB34)+('Выборка 1'!BD34-'Выборка 1'!BC34)+('Выборка 1'!BE34-'Выборка 1'!BD34)+('Выборка 1'!BF34-'Выборка 1'!BE34))/4000</f>
        <v>0</v>
      </c>
      <c r="L34" s="17">
        <f t="shared" si="0"/>
        <v>-125.5</v>
      </c>
      <c r="M34" s="17">
        <f>((('Выборка 1'!BH34-'Выборка 1'!BM34)-('Выборка 1'!BG34-'Выборка 1'!BL34))+(('Выборка 1'!BI34-'Выборка 1'!BN34)-('Выборка 1'!BH34-'Выборка 1'!BM34))+(('Выборка 1'!BJ34-'Выборка 1'!BO34)-('Выборка 1'!BI34-'Выборка 1'!BN34))+(('Выборка 1'!BK34-'Выборка 1'!BP34)-('Выборка 1'!BJ34-'Выборка 1'!BO34)))/4000</f>
        <v>-1731</v>
      </c>
      <c r="N34" s="17">
        <f>(('Выборка 1'!BR34-'Выборка 1'!BQ34)+('Выборка 1'!BS34-'Выборка 1'!BR34)+('Выборка 1'!BT34-'Выборка 1'!BS34)+('Выборка 1'!BU34-'Выборка 1'!BT34))/4000</f>
        <v>-2002.5</v>
      </c>
    </row>
    <row r="35" spans="1:14" x14ac:dyDescent="0.25">
      <c r="A35" s="17">
        <v>11</v>
      </c>
      <c r="B35" s="17">
        <f>(('Выборка 1'!E35-'Выборка 1'!D35)+('Выборка 1'!F35-'Выборка 1'!E35)+('Выборка 1'!G35-'Выборка 1'!F35)+('Выборка 1'!H35-'Выборка 1'!G35))/4000</f>
        <v>0</v>
      </c>
      <c r="C35" s="17">
        <f>(('Выборка 1'!J35-'Выборка 1'!I35)+('Выборка 1'!K35-'Выборка 1'!J35)+('Выборка 1'!L35-'Выборка 1'!K35)+('Выборка 1'!M35-'Выборка 1'!L35))/4000</f>
        <v>0</v>
      </c>
      <c r="D35" s="17">
        <f>(('Выборка 1'!O35-'Выборка 1'!N35)+('Выборка 1'!P35-'Выборка 1'!O35)+('Выборка 1'!Q35-'Выборка 1'!P35)+('Выборка 1'!R35-'Выборка 1'!Q35))/4000</f>
        <v>0</v>
      </c>
      <c r="E35" s="17">
        <f>(('Выборка 1'!T35-'Выборка 1'!S35)+('Выборка 1'!U35-'Выборка 1'!T35)+('Выборка 1'!V35-'Выборка 1'!U35)+('Выборка 1'!W35-'Выборка 1'!V35))/4000</f>
        <v>0</v>
      </c>
      <c r="F35" s="17">
        <f>(('Выборка 1'!Y35-'Выборка 1'!X35)+('Выборка 1'!Z35+'Выборка 1'!Y35)+('Выборка 1'!AA35-'Выборка 1'!Z35)+('Выборка 1'!AB35-'Выборка 1'!AA35))/4000</f>
        <v>0</v>
      </c>
      <c r="G35" s="17">
        <f>(('Выборка 1'!AD35-'Выборка 1'!AC35)+('Выборка 1'!AE35-'Выборка 1'!AD35)+('Выборка 1'!AF35-'Выборка 1'!AE35)+('Выборка 1'!AG35-'Выборка 1'!AF35))/4000</f>
        <v>0</v>
      </c>
      <c r="H35" s="17">
        <f>(('Выборка 1'!AI35-'Выборка 1'!AH35)+('Выборка 1'!AJ35-'Выборка 1'!AI35)+('Выборка 1'!AK35-'Выборка 1'!AJ35)+('Выборка 1'!AL35-'Выборка 1'!AK35))/4000</f>
        <v>279.75</v>
      </c>
      <c r="I35" s="17">
        <f>(('Выборка 1'!AN35-'Выборка 1'!AM35)+('Выборка 1'!AO35-'Выборка 1'!AN35)+('Выборка 1'!AP35-'Выборка 1'!AO35)+('Выборка 1'!AQ35-'Выборка 1'!AP35))/4000</f>
        <v>0</v>
      </c>
      <c r="J35" s="17">
        <f>((('Выборка 1'!AS35+'Выборка 1'!AX35)-('Выборка 1'!AR35+'Выборка 1'!AW35))+(('Выборка 1'!AT35+'Выборка 1'!AY35)-('Выборка 1'!AS35+'Выборка 1'!AX35))+(('Выборка 1'!AU35+'Выборка 1'!AZ35)-('Выборка 1'!AT35+'Выборка 1'!AY35))+(('Выборка 1'!AV35+'Выборка 1'!BA35)-('Выборка 1'!AU35+'Выборка 1'!AZ35)))/4000</f>
        <v>0</v>
      </c>
      <c r="K35" s="17">
        <f>(('Выборка 1'!BC35-'Выборка 1'!BB35)+('Выборка 1'!BD35-'Выборка 1'!BC35)+('Выборка 1'!BE35-'Выборка 1'!BD35)+('Выборка 1'!BF35-'Выборка 1'!BE35))/4000</f>
        <v>0</v>
      </c>
      <c r="L35" s="17">
        <f t="shared" si="0"/>
        <v>0</v>
      </c>
      <c r="M35" s="17">
        <f>((('Выборка 1'!BH35-'Выборка 1'!BM35)-('Выборка 1'!BG35-'Выборка 1'!BL35))+(('Выборка 1'!BI35-'Выборка 1'!BN35)-('Выборка 1'!BH35-'Выборка 1'!BM35))+(('Выборка 1'!BJ35-'Выборка 1'!BO35)-('Выборка 1'!BI35-'Выборка 1'!BN35))+(('Выборка 1'!BK35-'Выборка 1'!BP35)-('Выборка 1'!BJ35-'Выборка 1'!BO35)))/4000</f>
        <v>0</v>
      </c>
      <c r="N35" s="17">
        <f>(('Выборка 1'!BR35-'Выборка 1'!BQ35)+('Выборка 1'!BS35-'Выборка 1'!BR35)+('Выборка 1'!BT35-'Выборка 1'!BS35)+('Выборка 1'!BU35-'Выборка 1'!BT35))/4000</f>
        <v>0</v>
      </c>
    </row>
    <row r="36" spans="1:14" x14ac:dyDescent="0.25">
      <c r="A36" s="17">
        <v>19</v>
      </c>
      <c r="B36" s="17">
        <f>(('Выборка 1'!E36-'Выборка 1'!D36)+('Выборка 1'!F36-'Выборка 1'!E36)+('Выборка 1'!G36-'Выборка 1'!F36)+('Выборка 1'!H36-'Выборка 1'!G36))/4000</f>
        <v>2959.5</v>
      </c>
      <c r="C36" s="17">
        <f>(('Выборка 1'!J36-'Выборка 1'!I36)+('Выборка 1'!K36-'Выборка 1'!J36)+('Выборка 1'!L36-'Выборка 1'!K36)+('Выборка 1'!M36-'Выборка 1'!L36))/4000</f>
        <v>0</v>
      </c>
      <c r="D36" s="17">
        <f>(('Выборка 1'!O36-'Выборка 1'!N36)+('Выборка 1'!P36-'Выборка 1'!O36)+('Выборка 1'!Q36-'Выборка 1'!P36)+('Выборка 1'!R36-'Выборка 1'!Q36))/4000</f>
        <v>0</v>
      </c>
      <c r="E36" s="17">
        <f>(('Выборка 1'!T36-'Выборка 1'!S36)+('Выборка 1'!U36-'Выборка 1'!T36)+('Выборка 1'!V36-'Выборка 1'!U36)+('Выборка 1'!W36-'Выборка 1'!V36))/4000</f>
        <v>0</v>
      </c>
      <c r="F36" s="17">
        <f>(('Выборка 1'!Y36-'Выборка 1'!X36)+('Выборка 1'!Z36+'Выборка 1'!Y36)+('Выборка 1'!AA36-'Выборка 1'!Z36)+('Выборка 1'!AB36-'Выборка 1'!AA36))/4000</f>
        <v>-131437.75</v>
      </c>
      <c r="G36" s="17">
        <f>(('Выборка 1'!AD36-'Выборка 1'!AC36)+('Выборка 1'!AE36-'Выборка 1'!AD36)+('Выборка 1'!AF36-'Выборка 1'!AE36)+('Выборка 1'!AG36-'Выборка 1'!AF36))/4000</f>
        <v>0</v>
      </c>
      <c r="H36" s="17">
        <f>(('Выборка 1'!AI36-'Выборка 1'!AH36)+('Выборка 1'!AJ36-'Выборка 1'!AI36)+('Выборка 1'!AK36-'Выборка 1'!AJ36)+('Выборка 1'!AL36-'Выборка 1'!AK36))/4000</f>
        <v>805.75</v>
      </c>
      <c r="I36" s="17">
        <f>(('Выборка 1'!AN36-'Выборка 1'!AM36)+('Выборка 1'!AO36-'Выборка 1'!AN36)+('Выборка 1'!AP36-'Выборка 1'!AO36)+('Выборка 1'!AQ36-'Выборка 1'!AP36))/4000</f>
        <v>-4748.25</v>
      </c>
      <c r="J36" s="17">
        <f>((('Выборка 1'!AS36+'Выборка 1'!AX36)-('Выборка 1'!AR36+'Выборка 1'!AW36))+(('Выборка 1'!AT36+'Выборка 1'!AY36)-('Выборка 1'!AS36+'Выборка 1'!AX36))+(('Выборка 1'!AU36+'Выборка 1'!AZ36)-('Выборка 1'!AT36+'Выборка 1'!AY36))+(('Выборка 1'!AV36+'Выборка 1'!BA36)-('Выборка 1'!AU36+'Выборка 1'!AZ36)))/4000</f>
        <v>0</v>
      </c>
      <c r="K36" s="17">
        <f>(('Выборка 1'!BC36-'Выборка 1'!BB36)+('Выборка 1'!BD36-'Выборка 1'!BC36)+('Выборка 1'!BE36-'Выборка 1'!BD36)+('Выборка 1'!BF36-'Выборка 1'!BE36))/4000</f>
        <v>0</v>
      </c>
      <c r="L36" s="17">
        <f t="shared" si="0"/>
        <v>-4748.25</v>
      </c>
      <c r="M36" s="17">
        <f>((('Выборка 1'!BH36-'Выборка 1'!BM36)-('Выборка 1'!BG36-'Выборка 1'!BL36))+(('Выборка 1'!BI36-'Выборка 1'!BN36)-('Выборка 1'!BH36-'Выборка 1'!BM36))+(('Выборка 1'!BJ36-'Выборка 1'!BO36)-('Выборка 1'!BI36-'Выборка 1'!BN36))+(('Выборка 1'!BK36-'Выборка 1'!BP36)-('Выборка 1'!BJ36-'Выборка 1'!BO36)))/4000</f>
        <v>4419</v>
      </c>
      <c r="N36" s="17">
        <f>(('Выборка 1'!BR36-'Выборка 1'!BQ36)+('Выборка 1'!BS36-'Выборка 1'!BR36)+('Выборка 1'!BT36-'Выборка 1'!BS36)+('Выборка 1'!BU36-'Выборка 1'!BT36))/4000</f>
        <v>-329.25</v>
      </c>
    </row>
    <row r="37" spans="1:14" x14ac:dyDescent="0.25">
      <c r="A37" s="17">
        <v>6</v>
      </c>
      <c r="B37" s="17">
        <f>(('Выборка 1'!E37-'Выборка 1'!D37)+('Выборка 1'!F37-'Выборка 1'!E37)+('Выборка 1'!G37-'Выборка 1'!F37)+('Выборка 1'!H37-'Выборка 1'!G37))/4000</f>
        <v>0</v>
      </c>
      <c r="C37" s="17">
        <f>(('Выборка 1'!J37-'Выборка 1'!I37)+('Выборка 1'!K37-'Выборка 1'!J37)+('Выборка 1'!L37-'Выборка 1'!K37)+('Выборка 1'!M37-'Выборка 1'!L37))/4000</f>
        <v>-1553.75</v>
      </c>
      <c r="D37" s="17">
        <f>(('Выборка 1'!O37-'Выборка 1'!N37)+('Выборка 1'!P37-'Выборка 1'!O37)+('Выборка 1'!Q37-'Выборка 1'!P37)+('Выборка 1'!R37-'Выборка 1'!Q37))/4000</f>
        <v>3514.5</v>
      </c>
      <c r="E37" s="17">
        <f>(('Выборка 1'!T37-'Выборка 1'!S37)+('Выборка 1'!U37-'Выборка 1'!T37)+('Выборка 1'!V37-'Выборка 1'!U37)+('Выборка 1'!W37-'Выборка 1'!V37))/4000</f>
        <v>-3370.25</v>
      </c>
      <c r="F37" s="17">
        <f>(('Выборка 1'!Y37-'Выборка 1'!X37)+('Выборка 1'!Z37+'Выборка 1'!Y37)+('Выборка 1'!AA37-'Выборка 1'!Z37)+('Выборка 1'!AB37-'Выборка 1'!AA37))/4000</f>
        <v>-730</v>
      </c>
      <c r="G37" s="17">
        <f>(('Выборка 1'!AD37-'Выборка 1'!AC37)+('Выборка 1'!AE37-'Выборка 1'!AD37)+('Выборка 1'!AF37-'Выборка 1'!AE37)+('Выборка 1'!AG37-'Выборка 1'!AF37))/4000</f>
        <v>-618.25</v>
      </c>
      <c r="H37" s="17">
        <f>(('Выборка 1'!AI37-'Выборка 1'!AH37)+('Выборка 1'!AJ37-'Выборка 1'!AI37)+('Выборка 1'!AK37-'Выборка 1'!AJ37)+('Выборка 1'!AL37-'Выборка 1'!AK37))/4000</f>
        <v>4724.5</v>
      </c>
      <c r="I37" s="17">
        <f>(('Выборка 1'!AN37-'Выборка 1'!AM37)+('Выборка 1'!AO37-'Выборка 1'!AN37)+('Выборка 1'!AP37-'Выборка 1'!AO37)+('Выборка 1'!AQ37-'Выборка 1'!AP37))/4000</f>
        <v>-37263.75</v>
      </c>
      <c r="J37" s="17">
        <f>((('Выборка 1'!AS37+'Выборка 1'!AX37)-('Выборка 1'!AR37+'Выборка 1'!AW37))+(('Выборка 1'!AT37+'Выборка 1'!AY37)-('Выборка 1'!AS37+'Выборка 1'!AX37))+(('Выборка 1'!AU37+'Выборка 1'!AZ37)-('Выборка 1'!AT37+'Выборка 1'!AY37))+(('Выборка 1'!AV37+'Выборка 1'!BA37)-('Выборка 1'!AU37+'Выборка 1'!AZ37)))/4000</f>
        <v>-32836.75</v>
      </c>
      <c r="K37" s="17">
        <f>(('Выборка 1'!BC37-'Выборка 1'!BB37)+('Выборка 1'!BD37-'Выборка 1'!BC37)+('Выборка 1'!BE37-'Выборка 1'!BD37)+('Выборка 1'!BF37-'Выборка 1'!BE37))/4000</f>
        <v>0</v>
      </c>
      <c r="L37" s="17">
        <f t="shared" si="0"/>
        <v>-4427</v>
      </c>
      <c r="M37" s="17">
        <f>((('Выборка 1'!BH37-'Выборка 1'!BM37)-('Выборка 1'!BG37-'Выборка 1'!BL37))+(('Выборка 1'!BI37-'Выборка 1'!BN37)-('Выборка 1'!BH37-'Выборка 1'!BM37))+(('Выборка 1'!BJ37-'Выборка 1'!BO37)-('Выборка 1'!BI37-'Выборка 1'!BN37))+(('Выборка 1'!BK37-'Выборка 1'!BP37)-('Выборка 1'!BJ37-'Выборка 1'!BO37)))/4000</f>
        <v>154.75</v>
      </c>
      <c r="N37" s="17">
        <f>(('Выборка 1'!BR37-'Выборка 1'!BQ37)+('Выборка 1'!BS37-'Выборка 1'!BR37)+('Выборка 1'!BT37-'Выборка 1'!BS37)+('Выборка 1'!BU37-'Выборка 1'!BT37))/4000</f>
        <v>-3772.75</v>
      </c>
    </row>
    <row r="38" spans="1:14" x14ac:dyDescent="0.25">
      <c r="A38" s="17">
        <v>10</v>
      </c>
      <c r="B38" s="17">
        <f>(('Выборка 1'!E38-'Выборка 1'!D38)+('Выборка 1'!F38-'Выборка 1'!E38)+('Выборка 1'!G38-'Выборка 1'!F38)+('Выборка 1'!H38-'Выборка 1'!G38))/4000</f>
        <v>-124</v>
      </c>
      <c r="C38" s="17">
        <f>(('Выборка 1'!J38-'Выборка 1'!I38)+('Выборка 1'!K38-'Выборка 1'!J38)+('Выборка 1'!L38-'Выборка 1'!K38)+('Выборка 1'!M38-'Выборка 1'!L38))/4000</f>
        <v>-151184.25</v>
      </c>
      <c r="D38" s="17">
        <f>(('Выборка 1'!O38-'Выборка 1'!N38)+('Выборка 1'!P38-'Выборка 1'!O38)+('Выборка 1'!Q38-'Выборка 1'!P38)+('Выборка 1'!R38-'Выборка 1'!Q38))/4000</f>
        <v>32046.5</v>
      </c>
      <c r="E38" s="17">
        <f>(('Выборка 1'!T38-'Выборка 1'!S38)+('Выборка 1'!U38-'Выборка 1'!T38)+('Выборка 1'!V38-'Выборка 1'!U38)+('Выборка 1'!W38-'Выборка 1'!V38))/4000</f>
        <v>-2178</v>
      </c>
      <c r="F38" s="17">
        <f>(('Выборка 1'!Y38-'Выборка 1'!X38)+('Выборка 1'!Z38+'Выборка 1'!Y38)+('Выборка 1'!AA38-'Выборка 1'!Z38)+('Выборка 1'!AB38-'Выборка 1'!AA38))/4000</f>
        <v>8428.75</v>
      </c>
      <c r="G38" s="17">
        <f>(('Выборка 1'!AD38-'Выборка 1'!AC38)+('Выборка 1'!AE38-'Выборка 1'!AD38)+('Выборка 1'!AF38-'Выборка 1'!AE38)+('Выборка 1'!AG38-'Выборка 1'!AF38))/4000</f>
        <v>197.5</v>
      </c>
      <c r="H38" s="17">
        <f>(('Выборка 1'!AI38-'Выборка 1'!AH38)+('Выборка 1'!AJ38-'Выборка 1'!AI38)+('Выборка 1'!AK38-'Выборка 1'!AJ38)+('Выборка 1'!AL38-'Выборка 1'!AK38))/4000</f>
        <v>-110007</v>
      </c>
      <c r="I38" s="17">
        <f>(('Выборка 1'!AN38-'Выборка 1'!AM38)+('Выборка 1'!AO38-'Выборка 1'!AN38)+('Выборка 1'!AP38-'Выборка 1'!AO38)+('Выборка 1'!AQ38-'Выборка 1'!AP38))/4000</f>
        <v>-72088.25</v>
      </c>
      <c r="J38" s="17">
        <f>((('Выборка 1'!AS38+'Выборка 1'!AX38)-('Выборка 1'!AR38+'Выборка 1'!AW38))+(('Выборка 1'!AT38+'Выборка 1'!AY38)-('Выборка 1'!AS38+'Выборка 1'!AX38))+(('Выборка 1'!AU38+'Выборка 1'!AZ38)-('Выборка 1'!AT38+'Выборка 1'!AY38))+(('Выборка 1'!AV38+'Выборка 1'!BA38)-('Выборка 1'!AU38+'Выборка 1'!AZ38)))/4000</f>
        <v>-76744.75</v>
      </c>
      <c r="K38" s="17">
        <f>(('Выборка 1'!BC38-'Выборка 1'!BB38)+('Выборка 1'!BD38-'Выборка 1'!BC38)+('Выборка 1'!BE38-'Выборка 1'!BD38)+('Выборка 1'!BF38-'Выборка 1'!BE38))/4000</f>
        <v>0</v>
      </c>
      <c r="L38" s="17">
        <f t="shared" si="0"/>
        <v>4656.5</v>
      </c>
      <c r="M38" s="17">
        <f>((('Выборка 1'!BH38-'Выборка 1'!BM38)-('Выборка 1'!BG38-'Выборка 1'!BL38))+(('Выборка 1'!BI38-'Выборка 1'!BN38)-('Выборка 1'!BH38-'Выборка 1'!BM38))+(('Выборка 1'!BJ38-'Выборка 1'!BO38)-('Выборка 1'!BI38-'Выборка 1'!BN38))+(('Выборка 1'!BK38-'Выборка 1'!BP38)-('Выборка 1'!BJ38-'Выборка 1'!BO38)))/4000</f>
        <v>-4543.25</v>
      </c>
      <c r="N38" s="17">
        <f>(('Выборка 1'!BR38-'Выборка 1'!BQ38)+('Выборка 1'!BS38-'Выборка 1'!BR38)+('Выборка 1'!BT38-'Выборка 1'!BS38)+('Выборка 1'!BU38-'Выборка 1'!BT38))/4000</f>
        <v>245.25</v>
      </c>
    </row>
    <row r="39" spans="1:14" x14ac:dyDescent="0.25">
      <c r="A39" s="17">
        <v>8</v>
      </c>
      <c r="B39" s="17">
        <f>(('Выборка 1'!E39-'Выборка 1'!D39)+('Выборка 1'!F39-'Выборка 1'!E39)+('Выборка 1'!G39-'Выборка 1'!F39)+('Выборка 1'!H39-'Выборка 1'!G39))/4000</f>
        <v>-20917.75</v>
      </c>
      <c r="C39" s="17">
        <f>(('Выборка 1'!J39-'Выборка 1'!I39)+('Выборка 1'!K39-'Выборка 1'!J39)+('Выборка 1'!L39-'Выборка 1'!K39)+('Выборка 1'!M39-'Выборка 1'!L39))/4000</f>
        <v>-182029</v>
      </c>
      <c r="D39" s="17">
        <f>(('Выборка 1'!O39-'Выборка 1'!N39)+('Выборка 1'!P39-'Выборка 1'!O39)+('Выборка 1'!Q39-'Выборка 1'!P39)+('Выборка 1'!R39-'Выборка 1'!Q39))/4000</f>
        <v>-338723.5</v>
      </c>
      <c r="E39" s="17">
        <f>(('Выборка 1'!T39-'Выборка 1'!S39)+('Выборка 1'!U39-'Выборка 1'!T39)+('Выборка 1'!V39-'Выборка 1'!U39)+('Выборка 1'!W39-'Выборка 1'!V39))/4000</f>
        <v>-2330.25</v>
      </c>
      <c r="F39" s="17">
        <f>(('Выборка 1'!Y39-'Выборка 1'!X39)+('Выборка 1'!Z39+'Выборка 1'!Y39)+('Выборка 1'!AA39-'Выборка 1'!Z39)+('Выборка 1'!AB39-'Выборка 1'!AA39))/4000</f>
        <v>-11388</v>
      </c>
      <c r="G39" s="17">
        <f>(('Выборка 1'!AD39-'Выборка 1'!AC39)+('Выборка 1'!AE39-'Выборка 1'!AD39)+('Выборка 1'!AF39-'Выборка 1'!AE39)+('Выборка 1'!AG39-'Выборка 1'!AF39))/4000</f>
        <v>-314287.5</v>
      </c>
      <c r="H39" s="17">
        <f>(('Выборка 1'!AI39-'Выборка 1'!AH39)+('Выборка 1'!AJ39-'Выборка 1'!AI39)+('Выборка 1'!AK39-'Выборка 1'!AJ39)+('Выборка 1'!AL39-'Выборка 1'!AK39))/4000</f>
        <v>-233075.75</v>
      </c>
      <c r="I39" s="17">
        <f>(('Выборка 1'!AN39-'Выборка 1'!AM39)+('Выборка 1'!AO39-'Выборка 1'!AN39)+('Выборка 1'!AP39-'Выборка 1'!AO39)+('Выборка 1'!AQ39-'Выборка 1'!AP39))/4000</f>
        <v>-460681.5</v>
      </c>
      <c r="J39" s="17">
        <f>((('Выборка 1'!AS39+'Выборка 1'!AX39)-('Выборка 1'!AR39+'Выборка 1'!AW39))+(('Выборка 1'!AT39+'Выборка 1'!AY39)-('Выборка 1'!AS39+'Выборка 1'!AX39))+(('Выборка 1'!AU39+'Выборка 1'!AZ39)-('Выборка 1'!AT39+'Выборка 1'!AY39))+(('Выборка 1'!AV39+'Выборка 1'!BA39)-('Выборка 1'!AU39+'Выборка 1'!AZ39)))/4000</f>
        <v>-394250.75</v>
      </c>
      <c r="K39" s="17">
        <f>(('Выборка 1'!BC39-'Выборка 1'!BB39)+('Выборка 1'!BD39-'Выборка 1'!BC39)+('Выборка 1'!BE39-'Выборка 1'!BD39)+('Выборка 1'!BF39-'Выборка 1'!BE39))/4000</f>
        <v>0</v>
      </c>
      <c r="L39" s="17">
        <f t="shared" si="0"/>
        <v>-66430.75</v>
      </c>
      <c r="M39" s="17">
        <f>((('Выборка 1'!BH39-'Выборка 1'!BM39)-('Выборка 1'!BG39-'Выборка 1'!BL39))+(('Выборка 1'!BI39-'Выборка 1'!BN39)-('Выборка 1'!BH39-'Выборка 1'!BM39))+(('Выборка 1'!BJ39-'Выборка 1'!BO39)-('Выборка 1'!BI39-'Выборка 1'!BN39))+(('Выборка 1'!BK39-'Выборка 1'!BP39)-('Выборка 1'!BJ39-'Выборка 1'!BO39)))/4000</f>
        <v>51543</v>
      </c>
      <c r="N39" s="17">
        <f>(('Выборка 1'!BR39-'Выборка 1'!BQ39)+('Выборка 1'!BS39-'Выборка 1'!BR39)+('Выборка 1'!BT39-'Выборка 1'!BS39)+('Выборка 1'!BU39-'Выборка 1'!BT39))/4000</f>
        <v>-2272</v>
      </c>
    </row>
    <row r="40" spans="1:14" x14ac:dyDescent="0.25">
      <c r="A40" s="17">
        <v>22</v>
      </c>
      <c r="B40" s="17">
        <f>(('Выборка 1'!E40-'Выборка 1'!D40)+('Выборка 1'!F40-'Выборка 1'!E40)+('Выборка 1'!G40-'Выборка 1'!F40)+('Выборка 1'!H40-'Выборка 1'!G40))/4000</f>
        <v>-65190.25</v>
      </c>
      <c r="C40" s="17">
        <f>(('Выборка 1'!J40-'Выборка 1'!I40)+('Выборка 1'!K40-'Выборка 1'!J40)+('Выборка 1'!L40-'Выборка 1'!K40)+('Выборка 1'!M40-'Выборка 1'!L40))/4000</f>
        <v>-4530739</v>
      </c>
      <c r="D40" s="17">
        <f>(('Выборка 1'!O40-'Выборка 1'!N40)+('Выборка 1'!P40-'Выборка 1'!O40)+('Выборка 1'!Q40-'Выборка 1'!P40)+('Выборка 1'!R40-'Выборка 1'!Q40))/4000</f>
        <v>-678990.25</v>
      </c>
      <c r="E40" s="17">
        <f>(('Выборка 1'!T40-'Выборка 1'!S40)+('Выборка 1'!U40-'Выборка 1'!T40)+('Выборка 1'!V40-'Выборка 1'!U40)+('Выборка 1'!W40-'Выборка 1'!V40))/4000</f>
        <v>-33714.25</v>
      </c>
      <c r="F40" s="17">
        <f>(('Выборка 1'!Y40-'Выборка 1'!X40)+('Выборка 1'!Z40+'Выборка 1'!Y40)+('Выборка 1'!AA40-'Выборка 1'!Z40)+('Выборка 1'!AB40-'Выборка 1'!AA40))/4000</f>
        <v>-4314795</v>
      </c>
      <c r="G40" s="17">
        <f>(('Выборка 1'!AD40-'Выборка 1'!AC40)+('Выборка 1'!AE40-'Выборка 1'!AD40)+('Выборка 1'!AF40-'Выборка 1'!AE40)+('Выборка 1'!AG40-'Выборка 1'!AF40))/4000</f>
        <v>345647.75</v>
      </c>
      <c r="H40" s="17">
        <f>(('Выборка 1'!AI40-'Выборка 1'!AH40)+('Выборка 1'!AJ40-'Выборка 1'!AI40)+('Выборка 1'!AK40-'Выборка 1'!AJ40)+('Выборка 1'!AL40-'Выборка 1'!AK40))/4000</f>
        <v>2036726</v>
      </c>
      <c r="I40" s="17">
        <f>(('Выборка 1'!AN40-'Выборка 1'!AM40)+('Выборка 1'!AO40-'Выборка 1'!AN40)+('Выборка 1'!AP40-'Выборка 1'!AO40)+('Выборка 1'!AQ40-'Выборка 1'!AP40))/4000</f>
        <v>-1810291.25</v>
      </c>
      <c r="J40" s="17">
        <f>((('Выборка 1'!AS40+'Выборка 1'!AX40)-('Выборка 1'!AR40+'Выборка 1'!AW40))+(('Выборка 1'!AT40+'Выборка 1'!AY40)-('Выборка 1'!AS40+'Выборка 1'!AX40))+(('Выборка 1'!AU40+'Выборка 1'!AZ40)-('Выборка 1'!AT40+'Выборка 1'!AY40))+(('Выборка 1'!AV40+'Выборка 1'!BA40)-('Выборка 1'!AU40+'Выборка 1'!AZ40)))/4000</f>
        <v>-1529557</v>
      </c>
      <c r="K40" s="17">
        <f>(('Выборка 1'!BC40-'Выборка 1'!BB40)+('Выборка 1'!BD40-'Выборка 1'!BC40)+('Выборка 1'!BE40-'Выборка 1'!BD40)+('Выборка 1'!BF40-'Выборка 1'!BE40))/4000</f>
        <v>-63440.25</v>
      </c>
      <c r="L40" s="17">
        <f t="shared" si="0"/>
        <v>-217294</v>
      </c>
      <c r="M40" s="17">
        <f>((('Выборка 1'!BH40-'Выборка 1'!BM40)-('Выборка 1'!BG40-'Выборка 1'!BL40))+(('Выборка 1'!BI40-'Выборка 1'!BN40)-('Выборка 1'!BH40-'Выборка 1'!BM40))+(('Выборка 1'!BJ40-'Выборка 1'!BO40)-('Выборка 1'!BI40-'Выборка 1'!BN40))+(('Выборка 1'!BK40-'Выборка 1'!BP40)-('Выборка 1'!BJ40-'Выборка 1'!BO40)))/4000</f>
        <v>10170</v>
      </c>
      <c r="N40" s="17">
        <f>(('Выборка 1'!BR40-'Выборка 1'!BQ40)+('Выборка 1'!BS40-'Выборка 1'!BR40)+('Выборка 1'!BT40-'Выборка 1'!BS40)+('Выборка 1'!BU40-'Выборка 1'!BT40))/4000</f>
        <v>-6294.25</v>
      </c>
    </row>
    <row r="41" spans="1:14" x14ac:dyDescent="0.25">
      <c r="A41" s="17">
        <v>23</v>
      </c>
      <c r="B41" s="17">
        <f>(('Выборка 1'!E41-'Выборка 1'!D41)+('Выборка 1'!F41-'Выборка 1'!E41)+('Выборка 1'!G41-'Выборка 1'!F41)+('Выборка 1'!H41-'Выборка 1'!G41))/4000</f>
        <v>-1006.75</v>
      </c>
      <c r="C41" s="17">
        <f>(('Выборка 1'!J41-'Выборка 1'!I41)+('Выборка 1'!K41-'Выборка 1'!J41)+('Выборка 1'!L41-'Выборка 1'!K41)+('Выборка 1'!M41-'Выборка 1'!L41))/4000</f>
        <v>-1327.5</v>
      </c>
      <c r="D41" s="17">
        <f>(('Выборка 1'!O41-'Выборка 1'!N41)+('Выборка 1'!P41-'Выборка 1'!O41)+('Выборка 1'!Q41-'Выборка 1'!P41)+('Выборка 1'!R41-'Выборка 1'!Q41))/4000</f>
        <v>-2159.75</v>
      </c>
      <c r="E41" s="17">
        <f>(('Выборка 1'!T41-'Выборка 1'!S41)+('Выборка 1'!U41-'Выборка 1'!T41)+('Выборка 1'!V41-'Выборка 1'!U41)+('Выборка 1'!W41-'Выборка 1'!V41))/4000</f>
        <v>-65.75</v>
      </c>
      <c r="F41" s="17">
        <f>(('Выборка 1'!Y41-'Выборка 1'!X41)+('Выборка 1'!Z41+'Выборка 1'!Y41)+('Выборка 1'!AA41-'Выборка 1'!Z41)+('Выборка 1'!AB41-'Выборка 1'!AA41))/4000</f>
        <v>5503.5</v>
      </c>
      <c r="G41" s="17">
        <f>(('Выборка 1'!AD41-'Выборка 1'!AC41)+('Выборка 1'!AE41-'Выборка 1'!AD41)+('Выборка 1'!AF41-'Выборка 1'!AE41)+('Выборка 1'!AG41-'Выборка 1'!AF41))/4000</f>
        <v>-380.75</v>
      </c>
      <c r="H41" s="17">
        <f>(('Выборка 1'!AI41-'Выборка 1'!AH41)+('Выборка 1'!AJ41-'Выборка 1'!AI41)+('Выборка 1'!AK41-'Выборка 1'!AJ41)+('Выборка 1'!AL41-'Выборка 1'!AK41))/4000</f>
        <v>0</v>
      </c>
      <c r="I41" s="17">
        <f>(('Выборка 1'!AN41-'Выборка 1'!AM41)+('Выборка 1'!AO41-'Выборка 1'!AN41)+('Выборка 1'!AP41-'Выборка 1'!AO41)+('Выборка 1'!AQ41-'Выборка 1'!AP41))/4000</f>
        <v>-15046.75</v>
      </c>
      <c r="J41" s="17">
        <f>((('Выборка 1'!AS41+'Выборка 1'!AX41)-('Выборка 1'!AR41+'Выборка 1'!AW41))+(('Выборка 1'!AT41+'Выборка 1'!AY41)-('Выборка 1'!AS41+'Выборка 1'!AX41))+(('Выборка 1'!AU41+'Выборка 1'!AZ41)-('Выборка 1'!AT41+'Выборка 1'!AY41))+(('Выборка 1'!AV41+'Выборка 1'!BA41)-('Выборка 1'!AU41+'Выборка 1'!AZ41)))/4000</f>
        <v>-14205.75</v>
      </c>
      <c r="K41" s="17">
        <f>(('Выборка 1'!BC41-'Выборка 1'!BB41)+('Выборка 1'!BD41-'Выборка 1'!BC41)+('Выборка 1'!BE41-'Выборка 1'!BD41)+('Выборка 1'!BF41-'Выборка 1'!BE41))/4000</f>
        <v>0</v>
      </c>
      <c r="L41" s="17">
        <f t="shared" si="0"/>
        <v>-841</v>
      </c>
      <c r="M41" s="17">
        <f>((('Выборка 1'!BH41-'Выборка 1'!BM41)-('Выборка 1'!BG41-'Выборка 1'!BL41))+(('Выборка 1'!BI41-'Выборка 1'!BN41)-('Выборка 1'!BH41-'Выборка 1'!BM41))+(('Выборка 1'!BJ41-'Выборка 1'!BO41)-('Выборка 1'!BI41-'Выборка 1'!BN41))+(('Выборка 1'!BK41-'Выборка 1'!BP41)-('Выборка 1'!BJ41-'Выборка 1'!BO41)))/4000</f>
        <v>-1075.25</v>
      </c>
      <c r="N41" s="17">
        <f>(('Выборка 1'!BR41-'Выборка 1'!BQ41)+('Выборка 1'!BS41-'Выборка 1'!BR41)+('Выборка 1'!BT41-'Выборка 1'!BS41)+('Выборка 1'!BU41-'Выборка 1'!BT41))/4000</f>
        <v>-1809.75</v>
      </c>
    </row>
    <row r="42" spans="1:14" x14ac:dyDescent="0.25">
      <c r="A42" s="17">
        <v>8</v>
      </c>
      <c r="B42" s="17">
        <f>(('Выборка 1'!E42-'Выборка 1'!D42)+('Выборка 1'!F42-'Выборка 1'!E42)+('Выборка 1'!G42-'Выборка 1'!F42)+('Выборка 1'!H42-'Выборка 1'!G42))/4000</f>
        <v>-322.75</v>
      </c>
      <c r="C42" s="17">
        <f>(('Выборка 1'!J42-'Выборка 1'!I42)+('Выборка 1'!K42-'Выборка 1'!J42)+('Выборка 1'!L42-'Выборка 1'!K42)+('Выборка 1'!M42-'Выборка 1'!L42))/4000</f>
        <v>-166105</v>
      </c>
      <c r="D42" s="17">
        <f>(('Выборка 1'!O42-'Выборка 1'!N42)+('Выборка 1'!P42-'Выборка 1'!O42)+('Выборка 1'!Q42-'Выборка 1'!P42)+('Выборка 1'!R42-'Выборка 1'!Q42))/4000</f>
        <v>-480522.75</v>
      </c>
      <c r="E42" s="17">
        <f>(('Выборка 1'!T42-'Выборка 1'!S42)+('Выборка 1'!U42-'Выборка 1'!T42)+('Выборка 1'!V42-'Выборка 1'!U42)+('Выборка 1'!W42-'Выборка 1'!V42))/4000</f>
        <v>-64.75</v>
      </c>
      <c r="F42" s="17">
        <f>(('Выборка 1'!Y42-'Выборка 1'!X42)+('Выборка 1'!Z42+'Выборка 1'!Y42)+('Выборка 1'!AA42-'Выборка 1'!Z42)+('Выборка 1'!AB42-'Выборка 1'!AA42))/4000</f>
        <v>-832007.5</v>
      </c>
      <c r="G42" s="17">
        <f>(('Выборка 1'!AD42-'Выборка 1'!AC42)+('Выборка 1'!AE42-'Выборка 1'!AD42)+('Выборка 1'!AF42-'Выборка 1'!AE42)+('Выборка 1'!AG42-'Выборка 1'!AF42))/4000</f>
        <v>-109957.25</v>
      </c>
      <c r="H42" s="17">
        <f>(('Выборка 1'!AI42-'Выборка 1'!AH42)+('Выборка 1'!AJ42-'Выборка 1'!AI42)+('Выборка 1'!AK42-'Выборка 1'!AJ42)+('Выборка 1'!AL42-'Выборка 1'!AK42))/4000</f>
        <v>172294.75</v>
      </c>
      <c r="I42" s="17">
        <f>(('Выборка 1'!AN42-'Выборка 1'!AM42)+('Выборка 1'!AO42-'Выборка 1'!AN42)+('Выборка 1'!AP42-'Выборка 1'!AO42)+('Выборка 1'!AQ42-'Выборка 1'!AP42))/4000</f>
        <v>-451459.25</v>
      </c>
      <c r="J42" s="17">
        <f>((('Выборка 1'!AS42+'Выборка 1'!AX42)-('Выборка 1'!AR42+'Выборка 1'!AW42))+(('Выборка 1'!AT42+'Выборка 1'!AY42)-('Выборка 1'!AS42+'Выборка 1'!AX42))+(('Выборка 1'!AU42+'Выборка 1'!AZ42)-('Выборка 1'!AT42+'Выборка 1'!AY42))+(('Выборка 1'!AV42+'Выборка 1'!BA42)-('Выборка 1'!AU42+'Выборка 1'!AZ42)))/4000</f>
        <v>-439013</v>
      </c>
      <c r="K42" s="17">
        <f>(('Выборка 1'!BC42-'Выборка 1'!BB42)+('Выборка 1'!BD42-'Выборка 1'!BC42)+('Выборка 1'!BE42-'Выборка 1'!BD42)+('Выборка 1'!BF42-'Выборка 1'!BE42))/4000</f>
        <v>0</v>
      </c>
      <c r="L42" s="17">
        <f t="shared" si="0"/>
        <v>-12446.25</v>
      </c>
      <c r="M42" s="17">
        <f>((('Выборка 1'!BH42-'Выборка 1'!BM42)-('Выборка 1'!BG42-'Выборка 1'!BL42))+(('Выборка 1'!BI42-'Выборка 1'!BN42)-('Выборка 1'!BH42-'Выборка 1'!BM42))+(('Выборка 1'!BJ42-'Выборка 1'!BO42)-('Выборка 1'!BI42-'Выборка 1'!BN42))+(('Выборка 1'!BK42-'Выборка 1'!BP42)-('Выборка 1'!BJ42-'Выборка 1'!BO42)))/4000</f>
        <v>-7465.75</v>
      </c>
      <c r="N42" s="17">
        <f>(('Выборка 1'!BR42-'Выборка 1'!BQ42)+('Выборка 1'!BS42-'Выборка 1'!BR42)+('Выборка 1'!BT42-'Выборка 1'!BS42)+('Выборка 1'!BU42-'Выборка 1'!BT42))/4000</f>
        <v>-11393</v>
      </c>
    </row>
    <row r="43" spans="1:14" x14ac:dyDescent="0.25">
      <c r="A43" s="17">
        <v>8</v>
      </c>
      <c r="B43" s="17">
        <f>(('Выборка 1'!E43-'Выборка 1'!D43)+('Выборка 1'!F43-'Выборка 1'!E43)+('Выборка 1'!G43-'Выборка 1'!F43)+('Выборка 1'!H43-'Выборка 1'!G43))/4000</f>
        <v>-50525</v>
      </c>
      <c r="C43" s="17">
        <f>(('Выборка 1'!J43-'Выборка 1'!I43)+('Выборка 1'!K43-'Выборка 1'!J43)+('Выборка 1'!L43-'Выборка 1'!K43)+('Выборка 1'!M43-'Выборка 1'!L43))/4000</f>
        <v>-560274</v>
      </c>
      <c r="D43" s="17">
        <f>(('Выборка 1'!O43-'Выборка 1'!N43)+('Выборка 1'!P43-'Выборка 1'!O43)+('Выборка 1'!Q43-'Выборка 1'!P43)+('Выборка 1'!R43-'Выборка 1'!Q43))/4000</f>
        <v>-375519</v>
      </c>
      <c r="E43" s="17">
        <f>(('Выборка 1'!T43-'Выборка 1'!S43)+('Выборка 1'!U43-'Выборка 1'!T43)+('Выборка 1'!V43-'Выборка 1'!U43)+('Выборка 1'!W43-'Выборка 1'!V43))/4000</f>
        <v>-120377</v>
      </c>
      <c r="F43" s="17">
        <f>(('Выборка 1'!Y43-'Выборка 1'!X43)+('Выборка 1'!Z43+'Выборка 1'!Y43)+('Выборка 1'!AA43-'Выборка 1'!Z43)+('Выборка 1'!AB43-'Выборка 1'!AA43))/4000</f>
        <v>-1289877.25</v>
      </c>
      <c r="G43" s="17">
        <f>(('Выборка 1'!AD43-'Выборка 1'!AC43)+('Выборка 1'!AE43-'Выборка 1'!AD43)+('Выборка 1'!AF43-'Выборка 1'!AE43)+('Выборка 1'!AG43-'Выборка 1'!AF43))/4000</f>
        <v>571785.25</v>
      </c>
      <c r="H43" s="17">
        <f>(('Выборка 1'!AI43-'Выборка 1'!AH43)+('Выборка 1'!AJ43-'Выборка 1'!AI43)+('Выборка 1'!AK43-'Выборка 1'!AJ43)+('Выборка 1'!AL43-'Выборка 1'!AK43))/4000</f>
        <v>-760210.75</v>
      </c>
      <c r="I43" s="17">
        <f>(('Выборка 1'!AN43-'Выборка 1'!AM43)+('Выборка 1'!AO43-'Выборка 1'!AN43)+('Выборка 1'!AP43-'Выборка 1'!AO43)+('Выборка 1'!AQ43-'Выборка 1'!AP43))/4000</f>
        <v>-2905041.5</v>
      </c>
      <c r="J43" s="17">
        <f>((('Выборка 1'!AS43+'Выборка 1'!AX43)-('Выборка 1'!AR43+'Выборка 1'!AW43))+(('Выборка 1'!AT43+'Выборка 1'!AY43)-('Выборка 1'!AS43+'Выборка 1'!AX43))+(('Выборка 1'!AU43+'Выборка 1'!AZ43)-('Выборка 1'!AT43+'Выборка 1'!AY43))+(('Выборка 1'!AV43+'Выборка 1'!BA43)-('Выборка 1'!AU43+'Выборка 1'!AZ43)))/4000</f>
        <v>-2863128.25</v>
      </c>
      <c r="K43" s="17">
        <f>(('Выборка 1'!BC43-'Выборка 1'!BB43)+('Выборка 1'!BD43-'Выборка 1'!BC43)+('Выборка 1'!BE43-'Выборка 1'!BD43)+('Выборка 1'!BF43-'Выборка 1'!BE43))/4000</f>
        <v>0</v>
      </c>
      <c r="L43" s="17">
        <f t="shared" si="0"/>
        <v>-41913.25</v>
      </c>
      <c r="M43" s="17">
        <f>((('Выборка 1'!BH43-'Выборка 1'!BM43)-('Выборка 1'!BG43-'Выборка 1'!BL43))+(('Выборка 1'!BI43-'Выборка 1'!BN43)-('Выборка 1'!BH43-'Выборка 1'!BM43))+(('Выборка 1'!BJ43-'Выборка 1'!BO43)-('Выборка 1'!BI43-'Выборка 1'!BN43))+(('Выборка 1'!BK43-'Выборка 1'!BP43)-('Выборка 1'!BJ43-'Выборка 1'!BO43)))/4000</f>
        <v>7814.25</v>
      </c>
      <c r="N43" s="17">
        <f>(('Выборка 1'!BR43-'Выборка 1'!BQ43)+('Выборка 1'!BS43-'Выборка 1'!BR43)+('Выборка 1'!BT43-'Выборка 1'!BS43)+('Выборка 1'!BU43-'Выборка 1'!BT43))/4000</f>
        <v>-14831.5</v>
      </c>
    </row>
    <row r="44" spans="1:14" x14ac:dyDescent="0.25">
      <c r="A44" s="17">
        <v>15</v>
      </c>
      <c r="B44" s="17">
        <f>(('Выборка 1'!E44-'Выборка 1'!D44)+('Выборка 1'!F44-'Выборка 1'!E44)+('Выборка 1'!G44-'Выборка 1'!F44)+('Выборка 1'!H44-'Выборка 1'!G44))/4000</f>
        <v>-6.25</v>
      </c>
      <c r="C44" s="17">
        <f>(('Выборка 1'!J44-'Выборка 1'!I44)+('Выборка 1'!K44-'Выборка 1'!J44)+('Выборка 1'!L44-'Выборка 1'!K44)+('Выборка 1'!M44-'Выборка 1'!L44))/4000</f>
        <v>-1449.75</v>
      </c>
      <c r="D44" s="17">
        <f>(('Выборка 1'!O44-'Выборка 1'!N44)+('Выборка 1'!P44-'Выборка 1'!O44)+('Выборка 1'!Q44-'Выборка 1'!P44)+('Выборка 1'!R44-'Выборка 1'!Q44))/4000</f>
        <v>-16331.25</v>
      </c>
      <c r="E44" s="17">
        <f>(('Выборка 1'!T44-'Выборка 1'!S44)+('Выборка 1'!U44-'Выборка 1'!T44)+('Выборка 1'!V44-'Выборка 1'!U44)+('Выборка 1'!W44-'Выборка 1'!V44))/4000</f>
        <v>-136.75</v>
      </c>
      <c r="F44" s="17">
        <f>(('Выборка 1'!Y44-'Выборка 1'!X44)+('Выборка 1'!Z44+'Выборка 1'!Y44)+('Выборка 1'!AA44-'Выборка 1'!Z44)+('Выборка 1'!AB44-'Выборка 1'!AA44))/4000</f>
        <v>2087.25</v>
      </c>
      <c r="G44" s="17">
        <f>(('Выборка 1'!AD44-'Выборка 1'!AC44)+('Выборка 1'!AE44-'Выборка 1'!AD44)+('Выборка 1'!AF44-'Выборка 1'!AE44)+('Выборка 1'!AG44-'Выборка 1'!AF44))/4000</f>
        <v>-437.5</v>
      </c>
      <c r="H44" s="17">
        <f>(('Выборка 1'!AI44-'Выборка 1'!AH44)+('Выборка 1'!AJ44-'Выборка 1'!AI44)+('Выборка 1'!AK44-'Выборка 1'!AJ44)+('Выборка 1'!AL44-'Выборка 1'!AK44))/4000</f>
        <v>-9930.5</v>
      </c>
      <c r="I44" s="17">
        <f>(('Выборка 1'!AN44-'Выборка 1'!AM44)+('Выборка 1'!AO44-'Выборка 1'!AN44)+('Выборка 1'!AP44-'Выборка 1'!AO44)+('Выборка 1'!AQ44-'Выборка 1'!AP44))/4000</f>
        <v>-19857</v>
      </c>
      <c r="J44" s="17">
        <f>((('Выборка 1'!AS44+'Выборка 1'!AX44)-('Выборка 1'!AR44+'Выборка 1'!AW44))+(('Выборка 1'!AT44+'Выборка 1'!AY44)-('Выборка 1'!AS44+'Выборка 1'!AX44))+(('Выборка 1'!AU44+'Выборка 1'!AZ44)-('Выборка 1'!AT44+'Выборка 1'!AY44))+(('Выборка 1'!AV44+'Выборка 1'!BA44)-('Выборка 1'!AU44+'Выборка 1'!AZ44)))/4000</f>
        <v>-19094.25</v>
      </c>
      <c r="K44" s="17">
        <f>(('Выборка 1'!BC44-'Выборка 1'!BB44)+('Выборка 1'!BD44-'Выборка 1'!BC44)+('Выборка 1'!BE44-'Выборка 1'!BD44)+('Выборка 1'!BF44-'Выборка 1'!BE44))/4000</f>
        <v>0</v>
      </c>
      <c r="L44" s="17">
        <f t="shared" si="0"/>
        <v>-762.75</v>
      </c>
      <c r="M44" s="17">
        <f>((('Выборка 1'!BH44-'Выборка 1'!BM44)-('Выборка 1'!BG44-'Выборка 1'!BL44))+(('Выборка 1'!BI44-'Выборка 1'!BN44)-('Выборка 1'!BH44-'Выборка 1'!BM44))+(('Выборка 1'!BJ44-'Выборка 1'!BO44)-('Выборка 1'!BI44-'Выборка 1'!BN44))+(('Выборка 1'!BK44-'Выборка 1'!BP44)-('Выборка 1'!BJ44-'Выборка 1'!BO44)))/4000</f>
        <v>107</v>
      </c>
      <c r="N44" s="17">
        <f>(('Выборка 1'!BR44-'Выборка 1'!BQ44)+('Выборка 1'!BS44-'Выборка 1'!BR44)+('Выборка 1'!BT44-'Выборка 1'!BS44)+('Выборка 1'!BU44-'Выборка 1'!BT44))/4000</f>
        <v>-518.75</v>
      </c>
    </row>
    <row r="45" spans="1:14" x14ac:dyDescent="0.25">
      <c r="A45" s="17">
        <v>18</v>
      </c>
      <c r="B45" s="17">
        <f>(('Выборка 1'!E45-'Выборка 1'!D45)+('Выборка 1'!F45-'Выборка 1'!E45)+('Выборка 1'!G45-'Выборка 1'!F45)+('Выборка 1'!H45-'Выборка 1'!G45))/4000</f>
        <v>-14792.75</v>
      </c>
      <c r="C45" s="17">
        <f>(('Выборка 1'!J45-'Выборка 1'!I45)+('Выборка 1'!K45-'Выборка 1'!J45)+('Выборка 1'!L45-'Выборка 1'!K45)+('Выборка 1'!M45-'Выборка 1'!L45))/4000</f>
        <v>-1533102.75</v>
      </c>
      <c r="D45" s="17">
        <f>(('Выборка 1'!O45-'Выборка 1'!N45)+('Выборка 1'!P45-'Выборка 1'!O45)+('Выборка 1'!Q45-'Выборка 1'!P45)+('Выборка 1'!R45-'Выборка 1'!Q45))/4000</f>
        <v>591190.25</v>
      </c>
      <c r="E45" s="17">
        <f>(('Выборка 1'!T45-'Выборка 1'!S45)+('Выборка 1'!U45-'Выборка 1'!T45)+('Выборка 1'!V45-'Выборка 1'!U45)+('Выборка 1'!W45-'Выборка 1'!V45))/4000</f>
        <v>-698</v>
      </c>
      <c r="F45" s="17">
        <f>(('Выборка 1'!Y45-'Выборка 1'!X45)+('Выборка 1'!Z45+'Выборка 1'!Y45)+('Выборка 1'!AA45-'Выборка 1'!Z45)+('Выборка 1'!AB45-'Выборка 1'!AA45))/4000</f>
        <v>-473083.75</v>
      </c>
      <c r="G45" s="17">
        <f>(('Выборка 1'!AD45-'Выборка 1'!AC45)+('Выборка 1'!AE45-'Выборка 1'!AD45)+('Выборка 1'!AF45-'Выборка 1'!AE45)+('Выборка 1'!AG45-'Выборка 1'!AF45))/4000</f>
        <v>-693500</v>
      </c>
      <c r="H45" s="17">
        <f>(('Выборка 1'!AI45-'Выборка 1'!AH45)+('Выборка 1'!AJ45-'Выборка 1'!AI45)+('Выборка 1'!AK45-'Выборка 1'!AJ45)+('Выборка 1'!AL45-'Выборка 1'!AK45))/4000</f>
        <v>-299673</v>
      </c>
      <c r="I45" s="17">
        <f>(('Выборка 1'!AN45-'Выборка 1'!AM45)+('Выборка 1'!AO45-'Выборка 1'!AN45)+('Выборка 1'!AP45-'Выборка 1'!AO45)+('Выборка 1'!AQ45-'Выборка 1'!AP45))/4000</f>
        <v>-5080645.75</v>
      </c>
      <c r="J45" s="17">
        <f>((('Выборка 1'!AS45+'Выборка 1'!AX45)-('Выборка 1'!AR45+'Выборка 1'!AW45))+(('Выборка 1'!AT45+'Выборка 1'!AY45)-('Выборка 1'!AS45+'Выборка 1'!AX45))+(('Выборка 1'!AU45+'Выборка 1'!AZ45)-('Выборка 1'!AT45+'Выборка 1'!AY45))+(('Выборка 1'!AV45+'Выборка 1'!BA45)-('Выборка 1'!AU45+'Выборка 1'!AZ45)))/4000</f>
        <v>-5189918</v>
      </c>
      <c r="K45" s="17">
        <f>(('Выборка 1'!BC45-'Выборка 1'!BB45)+('Выборка 1'!BD45-'Выборка 1'!BC45)+('Выборка 1'!BE45-'Выборка 1'!BD45)+('Выборка 1'!BF45-'Выборка 1'!BE45))/4000</f>
        <v>0</v>
      </c>
      <c r="L45" s="17">
        <f t="shared" si="0"/>
        <v>109272.25</v>
      </c>
      <c r="M45" s="17">
        <f>((('Выборка 1'!BH45-'Выборка 1'!BM45)-('Выборка 1'!BG45-'Выборка 1'!BL45))+(('Выборка 1'!BI45-'Выборка 1'!BN45)-('Выборка 1'!BH45-'Выборка 1'!BM45))+(('Выборка 1'!BJ45-'Выборка 1'!BO45)-('Выборка 1'!BI45-'Выборка 1'!BN45))+(('Выборка 1'!BK45-'Выборка 1'!BP45)-('Выборка 1'!BJ45-'Выборка 1'!BO45)))/4000</f>
        <v>-231112.5</v>
      </c>
      <c r="N45" s="17">
        <f>(('Выборка 1'!BR45-'Выборка 1'!BQ45)+('Выборка 1'!BS45-'Выборка 1'!BR45)+('Выборка 1'!BT45-'Выборка 1'!BS45)+('Выборка 1'!BU45-'Выборка 1'!BT45))/4000</f>
        <v>-50535.75</v>
      </c>
    </row>
    <row r="46" spans="1:14" x14ac:dyDescent="0.25">
      <c r="A46" s="17">
        <v>22</v>
      </c>
      <c r="B46" s="17">
        <f>(('Выборка 1'!E46-'Выборка 1'!D46)+('Выборка 1'!F46-'Выборка 1'!E46)+('Выборка 1'!G46-'Выборка 1'!F46)+('Выборка 1'!H46-'Выборка 1'!G46))/4000</f>
        <v>-26514.75</v>
      </c>
      <c r="C46" s="17">
        <f>(('Выборка 1'!J46-'Выборка 1'!I46)+('Выборка 1'!K46-'Выборка 1'!J46)+('Выборка 1'!L46-'Выборка 1'!K46)+('Выборка 1'!M46-'Выборка 1'!L46))/4000</f>
        <v>0</v>
      </c>
      <c r="D46" s="17">
        <f>(('Выборка 1'!O46-'Выборка 1'!N46)+('Выборка 1'!P46-'Выборка 1'!O46)+('Выборка 1'!Q46-'Выборка 1'!P46)+('Выборка 1'!R46-'Выборка 1'!Q46))/4000</f>
        <v>-106693.75</v>
      </c>
      <c r="E46" s="17">
        <f>(('Выборка 1'!T46-'Выборка 1'!S46)+('Выборка 1'!U46-'Выборка 1'!T46)+('Выборка 1'!V46-'Выборка 1'!U46)+('Выборка 1'!W46-'Выборка 1'!V46))/4000</f>
        <v>-7374</v>
      </c>
      <c r="F46" s="17">
        <f>(('Выборка 1'!Y46-'Выборка 1'!X46)+('Выборка 1'!Z46+'Выборка 1'!Y46)+('Выборка 1'!AA46-'Выборка 1'!Z46)+('Выборка 1'!AB46-'Выборка 1'!AA46))/4000</f>
        <v>6236976.5</v>
      </c>
      <c r="G46" s="17">
        <f>(('Выборка 1'!AD46-'Выборка 1'!AC46)+('Выборка 1'!AE46-'Выборка 1'!AD46)+('Выборка 1'!AF46-'Выборка 1'!AE46)+('Выборка 1'!AG46-'Выборка 1'!AF46))/4000</f>
        <v>0</v>
      </c>
      <c r="H46" s="17">
        <f>(('Выборка 1'!AI46-'Выборка 1'!AH46)+('Выборка 1'!AJ46-'Выборка 1'!AI46)+('Выборка 1'!AK46-'Выборка 1'!AJ46)+('Выборка 1'!AL46-'Выборка 1'!AK46))/4000</f>
        <v>-6377809</v>
      </c>
      <c r="I46" s="17">
        <f>(('Выборка 1'!AN46-'Выборка 1'!AM46)+('Выборка 1'!AO46-'Выборка 1'!AN46)+('Выборка 1'!AP46-'Выборка 1'!AO46)+('Выборка 1'!AQ46-'Выборка 1'!AP46))/4000</f>
        <v>0</v>
      </c>
      <c r="J46" s="17">
        <f>((('Выборка 1'!AS46+'Выборка 1'!AX46)-('Выборка 1'!AR46+'Выборка 1'!AW46))+(('Выборка 1'!AT46+'Выборка 1'!AY46)-('Выборка 1'!AS46+'Выборка 1'!AX46))+(('Выборка 1'!AU46+'Выборка 1'!AZ46)-('Выборка 1'!AT46+'Выборка 1'!AY46))+(('Выборка 1'!AV46+'Выборка 1'!BA46)-('Выборка 1'!AU46+'Выборка 1'!AZ46)))/4000</f>
        <v>0</v>
      </c>
      <c r="K46" s="17">
        <f>(('Выборка 1'!BC46-'Выборка 1'!BB46)+('Выборка 1'!BD46-'Выборка 1'!BC46)+('Выборка 1'!BE46-'Выборка 1'!BD46)+('Выборка 1'!BF46-'Выборка 1'!BE46))/4000</f>
        <v>0</v>
      </c>
      <c r="L46" s="17">
        <f t="shared" si="0"/>
        <v>0</v>
      </c>
      <c r="M46" s="17">
        <f>((('Выборка 1'!BH46-'Выборка 1'!BM46)-('Выборка 1'!BG46-'Выборка 1'!BL46))+(('Выборка 1'!BI46-'Выборка 1'!BN46)-('Выборка 1'!BH46-'Выборка 1'!BM46))+(('Выборка 1'!BJ46-'Выборка 1'!BO46)-('Выборка 1'!BI46-'Выборка 1'!BN46))+(('Выборка 1'!BK46-'Выборка 1'!BP46)-('Выборка 1'!BJ46-'Выборка 1'!BO46)))/4000</f>
        <v>2857249.25</v>
      </c>
      <c r="N46" s="17">
        <f>(('Выборка 1'!BR46-'Выборка 1'!BQ46)+('Выборка 1'!BS46-'Выборка 1'!BR46)+('Выборка 1'!BT46-'Выборка 1'!BS46)+('Выборка 1'!BU46-'Выборка 1'!BT46))/4000</f>
        <v>2857249.25</v>
      </c>
    </row>
    <row r="47" spans="1:14" x14ac:dyDescent="0.25">
      <c r="A47" s="17">
        <v>25</v>
      </c>
      <c r="B47" s="17">
        <f>(('Выборка 1'!E47-'Выборка 1'!D47)+('Выборка 1'!F47-'Выборка 1'!E47)+('Выборка 1'!G47-'Выборка 1'!F47)+('Выборка 1'!H47-'Выборка 1'!G47))/4000</f>
        <v>-10441</v>
      </c>
      <c r="C47" s="17">
        <f>(('Выборка 1'!J47-'Выборка 1'!I47)+('Выборка 1'!K47-'Выборка 1'!J47)+('Выборка 1'!L47-'Выборка 1'!K47)+('Выборка 1'!M47-'Выборка 1'!L47))/4000</f>
        <v>-24256</v>
      </c>
      <c r="D47" s="17">
        <f>(('Выборка 1'!O47-'Выборка 1'!N47)+('Выборка 1'!P47-'Выборка 1'!O47)+('Выборка 1'!Q47-'Выборка 1'!P47)+('Выборка 1'!R47-'Выборка 1'!Q47))/4000</f>
        <v>-24001.25</v>
      </c>
      <c r="E47" s="17">
        <f>(('Выборка 1'!T47-'Выборка 1'!S47)+('Выборка 1'!U47-'Выборка 1'!T47)+('Выборка 1'!V47-'Выборка 1'!U47)+('Выборка 1'!W47-'Выборка 1'!V47))/4000</f>
        <v>-1540.25</v>
      </c>
      <c r="F47" s="17">
        <f>(('Выборка 1'!Y47-'Выборка 1'!X47)+('Выборка 1'!Z47+'Выборка 1'!Y47)+('Выборка 1'!AA47-'Выборка 1'!Z47)+('Выборка 1'!AB47-'Выборка 1'!AA47))/4000</f>
        <v>-282748.75</v>
      </c>
      <c r="G47" s="17">
        <f>(('Выборка 1'!AD47-'Выборка 1'!AC47)+('Выборка 1'!AE47-'Выборка 1'!AD47)+('Выборка 1'!AF47-'Выборка 1'!AE47)+('Выборка 1'!AG47-'Выборка 1'!AF47))/4000</f>
        <v>-4711.75</v>
      </c>
      <c r="H47" s="17">
        <f>(('Выборка 1'!AI47-'Выборка 1'!AH47)+('Выборка 1'!AJ47-'Выборка 1'!AI47)+('Выборка 1'!AK47-'Выборка 1'!AJ47)+('Выборка 1'!AL47-'Выборка 1'!AK47))/4000</f>
        <v>-5789</v>
      </c>
      <c r="I47" s="17">
        <f>(('Выборка 1'!AN47-'Выборка 1'!AM47)+('Выборка 1'!AO47-'Выборка 1'!AN47)+('Выборка 1'!AP47-'Выборка 1'!AO47)+('Выборка 1'!AQ47-'Выборка 1'!AP47))/4000</f>
        <v>-5343.25</v>
      </c>
      <c r="J47" s="17">
        <f>((('Выборка 1'!AS47+'Выборка 1'!AX47)-('Выборка 1'!AR47+'Выборка 1'!AW47))+(('Выборка 1'!AT47+'Выборка 1'!AY47)-('Выборка 1'!AS47+'Выборка 1'!AX47))+(('Выборка 1'!AU47+'Выборка 1'!AZ47)-('Выборка 1'!AT47+'Выборка 1'!AY47))+(('Выборка 1'!AV47+'Выборка 1'!BA47)-('Выборка 1'!AU47+'Выборка 1'!AZ47)))/4000</f>
        <v>-7407.5</v>
      </c>
      <c r="K47" s="17">
        <f>(('Выборка 1'!BC47-'Выборка 1'!BB47)+('Выборка 1'!BD47-'Выборка 1'!BC47)+('Выборка 1'!BE47-'Выборка 1'!BD47)+('Выборка 1'!BF47-'Выборка 1'!BE47))/4000</f>
        <v>0</v>
      </c>
      <c r="L47" s="17">
        <f t="shared" si="0"/>
        <v>2064.25</v>
      </c>
      <c r="M47" s="17">
        <f>((('Выборка 1'!BH47-'Выборка 1'!BM47)-('Выборка 1'!BG47-'Выборка 1'!BL47))+(('Выборка 1'!BI47-'Выборка 1'!BN47)-('Выборка 1'!BH47-'Выборка 1'!BM47))+(('Выборка 1'!BJ47-'Выборка 1'!BO47)-('Выборка 1'!BI47-'Выборка 1'!BN47))+(('Выборка 1'!BK47-'Выборка 1'!BP47)-('Выборка 1'!BJ47-'Выборка 1'!BO47)))/4000</f>
        <v>5250</v>
      </c>
      <c r="N47" s="17">
        <f>(('Выборка 1'!BR47-'Выборка 1'!BQ47)+('Выборка 1'!BS47-'Выборка 1'!BR47)+('Выборка 1'!BT47-'Выборка 1'!BS47)+('Выборка 1'!BU47-'Выборка 1'!BT47))/4000</f>
        <v>7314.25</v>
      </c>
    </row>
    <row r="48" spans="1:14" x14ac:dyDescent="0.25">
      <c r="A48" s="17">
        <v>10</v>
      </c>
      <c r="B48" s="17">
        <f>(('Выборка 1'!E48-'Выборка 1'!D48)+('Выборка 1'!F48-'Выборка 1'!E48)+('Выборка 1'!G48-'Выборка 1'!F48)+('Выборка 1'!H48-'Выборка 1'!G48))/4000</f>
        <v>-13603.25</v>
      </c>
      <c r="C48" s="17">
        <f>(('Выборка 1'!J48-'Выборка 1'!I48)+('Выборка 1'!K48-'Выборка 1'!J48)+('Выборка 1'!L48-'Выборка 1'!K48)+('Выборка 1'!M48-'Выборка 1'!L48))/4000</f>
        <v>0</v>
      </c>
      <c r="D48" s="17">
        <f>(('Выборка 1'!O48-'Выборка 1'!N48)+('Выборка 1'!P48-'Выборка 1'!O48)+('Выборка 1'!Q48-'Выборка 1'!P48)+('Выборка 1'!R48-'Выборка 1'!Q48))/4000</f>
        <v>0</v>
      </c>
      <c r="E48" s="17">
        <f>(('Выборка 1'!T48-'Выборка 1'!S48)+('Выборка 1'!U48-'Выборка 1'!T48)+('Выборка 1'!V48-'Выборка 1'!U48)+('Выборка 1'!W48-'Выборка 1'!V48))/4000</f>
        <v>0</v>
      </c>
      <c r="F48" s="17">
        <f>(('Выборка 1'!Y48-'Выборка 1'!X48)+('Выборка 1'!Z48+'Выборка 1'!Y48)+('Выборка 1'!AA48-'Выборка 1'!Z48)+('Выборка 1'!AB48-'Выборка 1'!AA48))/4000</f>
        <v>39160.25</v>
      </c>
      <c r="G48" s="17">
        <f>(('Выборка 1'!AD48-'Выборка 1'!AC48)+('Выборка 1'!AE48-'Выборка 1'!AD48)+('Выборка 1'!AF48-'Выборка 1'!AE48)+('Выборка 1'!AG48-'Выборка 1'!AF48))/4000</f>
        <v>0</v>
      </c>
      <c r="H48" s="17">
        <f>(('Выборка 1'!AI48-'Выборка 1'!AH48)+('Выборка 1'!AJ48-'Выборка 1'!AI48)+('Выборка 1'!AK48-'Выборка 1'!AJ48)+('Выборка 1'!AL48-'Выборка 1'!AK48))/4000</f>
        <v>-16511</v>
      </c>
      <c r="I48" s="17">
        <f>(('Выборка 1'!AN48-'Выборка 1'!AM48)+('Выборка 1'!AO48-'Выборка 1'!AN48)+('Выборка 1'!AP48-'Выборка 1'!AO48)+('Выборка 1'!AQ48-'Выборка 1'!AP48))/4000</f>
        <v>0</v>
      </c>
      <c r="J48" s="17">
        <f>((('Выборка 1'!AS48+'Выборка 1'!AX48)-('Выборка 1'!AR48+'Выборка 1'!AW48))+(('Выборка 1'!AT48+'Выборка 1'!AY48)-('Выборка 1'!AS48+'Выборка 1'!AX48))+(('Выборка 1'!AU48+'Выборка 1'!AZ48)-('Выборка 1'!AT48+'Выборка 1'!AY48))+(('Выборка 1'!AV48+'Выборка 1'!BA48)-('Выборка 1'!AU48+'Выборка 1'!AZ48)))/4000</f>
        <v>0</v>
      </c>
      <c r="K48" s="17">
        <f>(('Выборка 1'!BC48-'Выборка 1'!BB48)+('Выборка 1'!BD48-'Выборка 1'!BC48)+('Выборка 1'!BE48-'Выборка 1'!BD48)+('Выборка 1'!BF48-'Выборка 1'!BE48))/4000</f>
        <v>0</v>
      </c>
      <c r="L48" s="17">
        <f t="shared" si="0"/>
        <v>0</v>
      </c>
      <c r="M48" s="17">
        <f>((('Выборка 1'!BH48-'Выборка 1'!BM48)-('Выборка 1'!BG48-'Выборка 1'!BL48))+(('Выборка 1'!BI48-'Выборка 1'!BN48)-('Выборка 1'!BH48-'Выборка 1'!BM48))+(('Выборка 1'!BJ48-'Выборка 1'!BO48)-('Выборка 1'!BI48-'Выборка 1'!BN48))+(('Выборка 1'!BK48-'Выборка 1'!BP48)-('Выборка 1'!BJ48-'Выборка 1'!BO48)))/4000</f>
        <v>0</v>
      </c>
      <c r="N48" s="17">
        <f>(('Выборка 1'!BR48-'Выборка 1'!BQ48)+('Выборка 1'!BS48-'Выборка 1'!BR48)+('Выборка 1'!BT48-'Выборка 1'!BS48)+('Выборка 1'!BU48-'Выборка 1'!BT48))/4000</f>
        <v>0</v>
      </c>
    </row>
    <row r="49" spans="1:14" x14ac:dyDescent="0.25">
      <c r="A49" s="17">
        <v>16</v>
      </c>
      <c r="B49" s="17">
        <f>(('Выборка 1'!E49-'Выборка 1'!D49)+('Выборка 1'!F49-'Выборка 1'!E49)+('Выборка 1'!G49-'Выборка 1'!F49)+('Выборка 1'!H49-'Выборка 1'!G49))/4000</f>
        <v>0</v>
      </c>
      <c r="C49" s="17">
        <f>(('Выборка 1'!J49-'Выборка 1'!I49)+('Выборка 1'!K49-'Выборка 1'!J49)+('Выборка 1'!L49-'Выборка 1'!K49)+('Выборка 1'!M49-'Выборка 1'!L49))/4000</f>
        <v>0</v>
      </c>
      <c r="D49" s="17">
        <f>(('Выборка 1'!O49-'Выборка 1'!N49)+('Выборка 1'!P49-'Выборка 1'!O49)+('Выборка 1'!Q49-'Выборка 1'!P49)+('Выборка 1'!R49-'Выборка 1'!Q49))/4000</f>
        <v>0</v>
      </c>
      <c r="E49" s="17">
        <f>(('Выборка 1'!T49-'Выборка 1'!S49)+('Выборка 1'!U49-'Выборка 1'!T49)+('Выборка 1'!V49-'Выборка 1'!U49)+('Выборка 1'!W49-'Выборка 1'!V49))/4000</f>
        <v>0</v>
      </c>
      <c r="F49" s="17">
        <f>(('Выборка 1'!Y49-'Выборка 1'!X49)+('Выборка 1'!Z49+'Выборка 1'!Y49)+('Выборка 1'!AA49-'Выборка 1'!Z49)+('Выборка 1'!AB49-'Выборка 1'!AA49))/4000</f>
        <v>0</v>
      </c>
      <c r="G49" s="17">
        <f>(('Выборка 1'!AD49-'Выборка 1'!AC49)+('Выборка 1'!AE49-'Выборка 1'!AD49)+('Выборка 1'!AF49-'Выборка 1'!AE49)+('Выборка 1'!AG49-'Выборка 1'!AF49))/4000</f>
        <v>0</v>
      </c>
      <c r="H49" s="17">
        <f>(('Выборка 1'!AI49-'Выборка 1'!AH49)+('Выборка 1'!AJ49-'Выборка 1'!AI49)+('Выборка 1'!AK49-'Выборка 1'!AJ49)+('Выборка 1'!AL49-'Выборка 1'!AK49))/4000</f>
        <v>0</v>
      </c>
      <c r="I49" s="17">
        <f>(('Выборка 1'!AN49-'Выборка 1'!AM49)+('Выборка 1'!AO49-'Выборка 1'!AN49)+('Выборка 1'!AP49-'Выборка 1'!AO49)+('Выборка 1'!AQ49-'Выборка 1'!AP49))/4000</f>
        <v>0</v>
      </c>
      <c r="J49" s="17">
        <f>((('Выборка 1'!AS49+'Выборка 1'!AX49)-('Выборка 1'!AR49+'Выборка 1'!AW49))+(('Выборка 1'!AT49+'Выборка 1'!AY49)-('Выборка 1'!AS49+'Выборка 1'!AX49))+(('Выборка 1'!AU49+'Выборка 1'!AZ49)-('Выборка 1'!AT49+'Выборка 1'!AY49))+(('Выборка 1'!AV49+'Выборка 1'!BA49)-('Выборка 1'!AU49+'Выборка 1'!AZ49)))/4000</f>
        <v>0</v>
      </c>
      <c r="K49" s="17">
        <f>(('Выборка 1'!BC49-'Выборка 1'!BB49)+('Выборка 1'!BD49-'Выборка 1'!BC49)+('Выборка 1'!BE49-'Выборка 1'!BD49)+('Выборка 1'!BF49-'Выборка 1'!BE49))/4000</f>
        <v>0</v>
      </c>
      <c r="L49" s="17">
        <f t="shared" si="0"/>
        <v>0</v>
      </c>
      <c r="M49" s="17">
        <f>((('Выборка 1'!BH49-'Выборка 1'!BM49)-('Выборка 1'!BG49-'Выборка 1'!BL49))+(('Выборка 1'!BI49-'Выборка 1'!BN49)-('Выборка 1'!BH49-'Выборка 1'!BM49))+(('Выборка 1'!BJ49-'Выборка 1'!BO49)-('Выборка 1'!BI49-'Выборка 1'!BN49))+(('Выборка 1'!BK49-'Выборка 1'!BP49)-('Выборка 1'!BJ49-'Выборка 1'!BO49)))/4000</f>
        <v>0</v>
      </c>
      <c r="N49" s="17">
        <f>(('Выборка 1'!BR49-'Выборка 1'!BQ49)+('Выборка 1'!BS49-'Выборка 1'!BR49)+('Выборка 1'!BT49-'Выборка 1'!BS49)+('Выборка 1'!BU49-'Выборка 1'!BT49))/4000</f>
        <v>0</v>
      </c>
    </row>
    <row r="50" spans="1:14" x14ac:dyDescent="0.25">
      <c r="A50" s="17">
        <v>14</v>
      </c>
      <c r="B50" s="17">
        <f>(('Выборка 1'!E50-'Выборка 1'!D50)+('Выборка 1'!F50-'Выборка 1'!E50)+('Выборка 1'!G50-'Выборка 1'!F50)+('Выборка 1'!H50-'Выборка 1'!G50))/4000</f>
        <v>-1670.5</v>
      </c>
      <c r="C50" s="17">
        <f>(('Выборка 1'!J50-'Выборка 1'!I50)+('Выборка 1'!K50-'Выборка 1'!J50)+('Выборка 1'!L50-'Выборка 1'!K50)+('Выборка 1'!M50-'Выборка 1'!L50))/4000</f>
        <v>-9802.5</v>
      </c>
      <c r="D50" s="17">
        <f>(('Выборка 1'!O50-'Выборка 1'!N50)+('Выборка 1'!P50-'Выборка 1'!O50)+('Выборка 1'!Q50-'Выборка 1'!P50)+('Выборка 1'!R50-'Выборка 1'!Q50))/4000</f>
        <v>-1111.5</v>
      </c>
      <c r="E50" s="17">
        <f>(('Выборка 1'!T50-'Выборка 1'!S50)+('Выборка 1'!U50-'Выборка 1'!T50)+('Выборка 1'!V50-'Выборка 1'!U50)+('Выборка 1'!W50-'Выборка 1'!V50))/4000</f>
        <v>-255.75</v>
      </c>
      <c r="F50" s="17">
        <f>(('Выборка 1'!Y50-'Выборка 1'!X50)+('Выборка 1'!Z50+'Выборка 1'!Y50)+('Выборка 1'!AA50-'Выборка 1'!Z50)+('Выборка 1'!AB50-'Выборка 1'!AA50))/4000</f>
        <v>64</v>
      </c>
      <c r="G50" s="17">
        <f>(('Выборка 1'!AD50-'Выборка 1'!AC50)+('Выборка 1'!AE50-'Выборка 1'!AD50)+('Выборка 1'!AF50-'Выборка 1'!AE50)+('Выборка 1'!AG50-'Выборка 1'!AF50))/4000</f>
        <v>-152.5</v>
      </c>
      <c r="H50" s="17">
        <f>(('Выборка 1'!AI50-'Выборка 1'!AH50)+('Выборка 1'!AJ50-'Выборка 1'!AI50)+('Выборка 1'!AK50-'Выборка 1'!AJ50)+('Выборка 1'!AL50-'Выборка 1'!AK50))/4000</f>
        <v>-11860</v>
      </c>
      <c r="I50" s="17">
        <f>(('Выборка 1'!AN50-'Выборка 1'!AM50)+('Выборка 1'!AO50-'Выборка 1'!AN50)+('Выборка 1'!AP50-'Выборка 1'!AO50)+('Выборка 1'!AQ50-'Выборка 1'!AP50))/4000</f>
        <v>-21778.5</v>
      </c>
      <c r="J50" s="17">
        <f>((('Выборка 1'!AS50+'Выборка 1'!AX50)-('Выборка 1'!AR50+'Выборка 1'!AW50))+(('Выборка 1'!AT50+'Выборка 1'!AY50)-('Выборка 1'!AS50+'Выборка 1'!AX50))+(('Выборка 1'!AU50+'Выборка 1'!AZ50)-('Выборка 1'!AT50+'Выборка 1'!AY50))+(('Выборка 1'!AV50+'Выборка 1'!BA50)-('Выборка 1'!AU50+'Выборка 1'!AZ50)))/4000</f>
        <v>-20288.5</v>
      </c>
      <c r="K50" s="17">
        <f>(('Выборка 1'!BC50-'Выборка 1'!BB50)+('Выборка 1'!BD50-'Выборка 1'!BC50)+('Выборка 1'!BE50-'Выборка 1'!BD50)+('Выборка 1'!BF50-'Выборка 1'!BE50))/4000</f>
        <v>-872.25</v>
      </c>
      <c r="L50" s="17">
        <f t="shared" si="0"/>
        <v>-617.75</v>
      </c>
      <c r="M50" s="17">
        <f>((('Выборка 1'!BH50-'Выборка 1'!BM50)-('Выборка 1'!BG50-'Выборка 1'!BL50))+(('Выборка 1'!BI50-'Выборка 1'!BN50)-('Выборка 1'!BH50-'Выборка 1'!BM50))+(('Выборка 1'!BJ50-'Выборка 1'!BO50)-('Выборка 1'!BI50-'Выборка 1'!BN50))+(('Выборка 1'!BK50-'Выборка 1'!BP50)-('Выборка 1'!BJ50-'Выборка 1'!BO50)))/4000</f>
        <v>476.75</v>
      </c>
      <c r="N50" s="17">
        <f>(('Выборка 1'!BR50-'Выборка 1'!BQ50)+('Выборка 1'!BS50-'Выборка 1'!BR50)+('Выборка 1'!BT50-'Выборка 1'!BS50)+('Выборка 1'!BU50-'Выборка 1'!BT50))/4000</f>
        <v>-108.75</v>
      </c>
    </row>
    <row r="51" spans="1:14" x14ac:dyDescent="0.25">
      <c r="A51" s="17">
        <v>20</v>
      </c>
      <c r="B51" s="17">
        <f>(('Выборка 1'!E51-'Выборка 1'!D51)+('Выборка 1'!F51-'Выборка 1'!E51)+('Выборка 1'!G51-'Выборка 1'!F51)+('Выборка 1'!H51-'Выборка 1'!G51))/4000</f>
        <v>-1502.75</v>
      </c>
      <c r="C51" s="17">
        <f>(('Выборка 1'!J51-'Выборка 1'!I51)+('Выборка 1'!K51-'Выборка 1'!J51)+('Выборка 1'!L51-'Выборка 1'!K51)+('Выборка 1'!M51-'Выборка 1'!L51))/4000</f>
        <v>-71403</v>
      </c>
      <c r="D51" s="17">
        <f>(('Выборка 1'!O51-'Выборка 1'!N51)+('Выборка 1'!P51-'Выборка 1'!O51)+('Выборка 1'!Q51-'Выборка 1'!P51)+('Выборка 1'!R51-'Выборка 1'!Q51))/4000</f>
        <v>-17642.25</v>
      </c>
      <c r="E51" s="17">
        <f>(('Выборка 1'!T51-'Выборка 1'!S51)+('Выборка 1'!U51-'Выборка 1'!T51)+('Выборка 1'!V51-'Выборка 1'!U51)+('Выборка 1'!W51-'Выборка 1'!V51))/4000</f>
        <v>9050.25</v>
      </c>
      <c r="F51" s="17">
        <f>(('Выборка 1'!Y51-'Выборка 1'!X51)+('Выборка 1'!Z51+'Выборка 1'!Y51)+('Выборка 1'!AA51-'Выборка 1'!Z51)+('Выборка 1'!AB51-'Выборка 1'!AA51))/4000</f>
        <v>-2176433.5</v>
      </c>
      <c r="G51" s="17">
        <f>(('Выборка 1'!AD51-'Выборка 1'!AC51)+('Выборка 1'!AE51-'Выборка 1'!AD51)+('Выборка 1'!AF51-'Выборка 1'!AE51)+('Выборка 1'!AG51-'Выборка 1'!AF51))/4000</f>
        <v>0</v>
      </c>
      <c r="H51" s="17">
        <f>(('Выборка 1'!AI51-'Выборка 1'!AH51)+('Выборка 1'!AJ51-'Выборка 1'!AI51)+('Выборка 1'!AK51-'Выборка 1'!AJ51)+('Выборка 1'!AL51-'Выборка 1'!AK51))/4000</f>
        <v>540083.75</v>
      </c>
      <c r="I51" s="17">
        <f>(('Выборка 1'!AN51-'Выборка 1'!AM51)+('Выборка 1'!AO51-'Выборка 1'!AN51)+('Выборка 1'!AP51-'Выборка 1'!AO51)+('Выборка 1'!AQ51-'Выборка 1'!AP51))/4000</f>
        <v>-116763</v>
      </c>
      <c r="J51" s="17">
        <f>((('Выборка 1'!AS51+'Выборка 1'!AX51)-('Выборка 1'!AR51+'Выборка 1'!AW51))+(('Выборка 1'!AT51+'Выборка 1'!AY51)-('Выборка 1'!AS51+'Выборка 1'!AX51))+(('Выборка 1'!AU51+'Выборка 1'!AZ51)-('Выборка 1'!AT51+'Выборка 1'!AY51))+(('Выборка 1'!AV51+'Выборка 1'!BA51)-('Выборка 1'!AU51+'Выборка 1'!AZ51)))/4000</f>
        <v>-138009.75</v>
      </c>
      <c r="K51" s="17">
        <f>(('Выборка 1'!BC51-'Выборка 1'!BB51)+('Выборка 1'!BD51-'Выборка 1'!BC51)+('Выборка 1'!BE51-'Выборка 1'!BD51)+('Выборка 1'!BF51-'Выборка 1'!BE51))/4000</f>
        <v>-31273.75</v>
      </c>
      <c r="L51" s="17">
        <f t="shared" si="0"/>
        <v>52520.5</v>
      </c>
      <c r="M51" s="17">
        <f>((('Выборка 1'!BH51-'Выборка 1'!BM51)-('Выборка 1'!BG51-'Выборка 1'!BL51))+(('Выборка 1'!BI51-'Выборка 1'!BN51)-('Выборка 1'!BH51-'Выборка 1'!BM51))+(('Выборка 1'!BJ51-'Выборка 1'!BO51)-('Выборка 1'!BI51-'Выборка 1'!BN51))+(('Выборка 1'!BK51-'Выборка 1'!BP51)-('Выборка 1'!BJ51-'Выборка 1'!BO51)))/4000</f>
        <v>45069</v>
      </c>
      <c r="N51" s="17">
        <f>(('Выборка 1'!BR51-'Выборка 1'!BQ51)+('Выборка 1'!BS51-'Выборка 1'!BR51)+('Выборка 1'!BT51-'Выборка 1'!BS51)+('Выборка 1'!BU51-'Выборка 1'!BT51))/4000</f>
        <v>70448.75</v>
      </c>
    </row>
    <row r="52" spans="1:14" x14ac:dyDescent="0.25">
      <c r="A52" s="17">
        <v>5</v>
      </c>
      <c r="B52" s="17">
        <f>(('Выборка 1'!E52-'Выборка 1'!D52)+('Выборка 1'!F52-'Выборка 1'!E52)+('Выборка 1'!G52-'Выборка 1'!F52)+('Выборка 1'!H52-'Выборка 1'!G52))/4000</f>
        <v>-12192.5</v>
      </c>
      <c r="C52" s="17">
        <f>(('Выборка 1'!J52-'Выборка 1'!I52)+('Выборка 1'!K52-'Выборка 1'!J52)+('Выборка 1'!L52-'Выборка 1'!K52)+('Выборка 1'!M52-'Выборка 1'!L52))/4000</f>
        <v>-329183.25</v>
      </c>
      <c r="D52" s="17">
        <f>(('Выборка 1'!O52-'Выборка 1'!N52)+('Выборка 1'!P52-'Выборка 1'!O52)+('Выборка 1'!Q52-'Выборка 1'!P52)+('Выборка 1'!R52-'Выборка 1'!Q52))/4000</f>
        <v>-1831271</v>
      </c>
      <c r="E52" s="17">
        <f>(('Выборка 1'!T52-'Выборка 1'!S52)+('Выборка 1'!U52-'Выборка 1'!T52)+('Выборка 1'!V52-'Выборка 1'!U52)+('Выборка 1'!W52-'Выборка 1'!V52))/4000</f>
        <v>-128860.5</v>
      </c>
      <c r="F52" s="17">
        <f>(('Выборка 1'!Y52-'Выборка 1'!X52)+('Выборка 1'!Z52+'Выборка 1'!Y52)+('Выборка 1'!AA52-'Выборка 1'!Z52)+('Выборка 1'!AB52-'Выборка 1'!AA52))/4000</f>
        <v>811762.25</v>
      </c>
      <c r="G52" s="17">
        <f>(('Выборка 1'!AD52-'Выборка 1'!AC52)+('Выборка 1'!AE52-'Выборка 1'!AD52)+('Выборка 1'!AF52-'Выборка 1'!AE52)+('Выборка 1'!AG52-'Выборка 1'!AF52))/4000</f>
        <v>-275389</v>
      </c>
      <c r="H52" s="17">
        <f>(('Выборка 1'!AI52-'Выборка 1'!AH52)+('Выборка 1'!AJ52-'Выборка 1'!AI52)+('Выборка 1'!AK52-'Выборка 1'!AJ52)+('Выборка 1'!AL52-'Выборка 1'!AK52))/4000</f>
        <v>-2072136</v>
      </c>
      <c r="I52" s="17">
        <f>(('Выборка 1'!AN52-'Выборка 1'!AM52)+('Выборка 1'!AO52-'Выборка 1'!AN52)+('Выборка 1'!AP52-'Выборка 1'!AO52)+('Выборка 1'!AQ52-'Выборка 1'!AP52))/4000</f>
        <v>-5937381</v>
      </c>
      <c r="J52" s="17">
        <f>((('Выборка 1'!AS52+'Выборка 1'!AX52)-('Выборка 1'!AR52+'Выборка 1'!AW52))+(('Выборка 1'!AT52+'Выборка 1'!AY52)-('Выборка 1'!AS52+'Выборка 1'!AX52))+(('Выборка 1'!AU52+'Выборка 1'!AZ52)-('Выборка 1'!AT52+'Выборка 1'!AY52))+(('Выборка 1'!AV52+'Выборка 1'!BA52)-('Выборка 1'!AU52+'Выборка 1'!AZ52)))/4000</f>
        <v>-5550772</v>
      </c>
      <c r="K52" s="17">
        <f>(('Выборка 1'!BC52-'Выборка 1'!BB52)+('Выборка 1'!BD52-'Выборка 1'!BC52)+('Выборка 1'!BE52-'Выборка 1'!BD52)+('Выборка 1'!BF52-'Выборка 1'!BE52))/4000</f>
        <v>-157545</v>
      </c>
      <c r="L52" s="17">
        <f t="shared" si="0"/>
        <v>-229064</v>
      </c>
      <c r="M52" s="17">
        <f>((('Выборка 1'!BH52-'Выборка 1'!BM52)-('Выборка 1'!BG52-'Выборка 1'!BL52))+(('Выборка 1'!BI52-'Выборка 1'!BN52)-('Выборка 1'!BH52-'Выборка 1'!BM52))+(('Выборка 1'!BJ52-'Выборка 1'!BO52)-('Выборка 1'!BI52-'Выборка 1'!BN52))+(('Выборка 1'!BK52-'Выборка 1'!BP52)-('Выборка 1'!BJ52-'Выборка 1'!BO52)))/4000</f>
        <v>258094</v>
      </c>
      <c r="N52" s="17">
        <f>(('Выборка 1'!BR52-'Выборка 1'!BQ52)+('Выборка 1'!BS52-'Выборка 1'!BR52)+('Выборка 1'!BT52-'Выборка 1'!BS52)+('Выборка 1'!BU52-'Выборка 1'!BT52))/4000</f>
        <v>28381.5</v>
      </c>
    </row>
    <row r="53" spans="1:14" x14ac:dyDescent="0.25">
      <c r="A53" s="17">
        <v>14</v>
      </c>
      <c r="B53" s="17">
        <f>(('Выборка 1'!E53-'Выборка 1'!D53)+('Выборка 1'!F53-'Выборка 1'!E53)+('Выборка 1'!G53-'Выборка 1'!F53)+('Выборка 1'!H53-'Выборка 1'!G53))/4000</f>
        <v>-966.75</v>
      </c>
      <c r="C53" s="17">
        <f>(('Выборка 1'!J53-'Выборка 1'!I53)+('Выборка 1'!K53-'Выборка 1'!J53)+('Выборка 1'!L53-'Выборка 1'!K53)+('Выборка 1'!M53-'Выборка 1'!L53))/4000</f>
        <v>-11487</v>
      </c>
      <c r="D53" s="17">
        <f>(('Выборка 1'!O53-'Выборка 1'!N53)+('Выборка 1'!P53-'Выборка 1'!O53)+('Выборка 1'!Q53-'Выборка 1'!P53)+('Выборка 1'!R53-'Выборка 1'!Q53))/4000</f>
        <v>4663.75</v>
      </c>
      <c r="E53" s="17">
        <f>(('Выборка 1'!T53-'Выборка 1'!S53)+('Выборка 1'!U53-'Выборка 1'!T53)+('Выборка 1'!V53-'Выборка 1'!U53)+('Выборка 1'!W53-'Выборка 1'!V53))/4000</f>
        <v>1</v>
      </c>
      <c r="F53" s="17">
        <f>(('Выборка 1'!Y53-'Выборка 1'!X53)+('Выборка 1'!Z53+'Выборка 1'!Y53)+('Выборка 1'!AA53-'Выборка 1'!Z53)+('Выборка 1'!AB53-'Выборка 1'!AA53))/4000</f>
        <v>1096.5</v>
      </c>
      <c r="G53" s="17">
        <f>(('Выборка 1'!AD53-'Выборка 1'!AC53)+('Выборка 1'!AE53-'Выборка 1'!AD53)+('Выборка 1'!AF53-'Выборка 1'!AE53)+('Выборка 1'!AG53-'Выборка 1'!AF53))/4000</f>
        <v>-3372.75</v>
      </c>
      <c r="H53" s="17">
        <f>(('Выборка 1'!AI53-'Выборка 1'!AH53)+('Выборка 1'!AJ53-'Выборка 1'!AI53)+('Выборка 1'!AK53-'Выборка 1'!AJ53)+('Выборка 1'!AL53-'Выборка 1'!AK53))/4000</f>
        <v>1761.5</v>
      </c>
      <c r="I53" s="17">
        <f>(('Выборка 1'!AN53-'Выборка 1'!AM53)+('Выборка 1'!AO53-'Выборка 1'!AN53)+('Выборка 1'!AP53-'Выборка 1'!AO53)+('Выборка 1'!AQ53-'Выборка 1'!AP53))/4000</f>
        <v>-21599.75</v>
      </c>
      <c r="J53" s="17">
        <f>((('Выборка 1'!AS53+'Выборка 1'!AX53)-('Выборка 1'!AR53+'Выборка 1'!AW53))+(('Выборка 1'!AT53+'Выборка 1'!AY53)-('Выборка 1'!AS53+'Выборка 1'!AX53))+(('Выборка 1'!AU53+'Выборка 1'!AZ53)-('Выборка 1'!AT53+'Выборка 1'!AY53))+(('Выборка 1'!AV53+'Выборка 1'!BA53)-('Выборка 1'!AU53+'Выборка 1'!AZ53)))/4000</f>
        <v>-9898</v>
      </c>
      <c r="K53" s="17">
        <f>(('Выборка 1'!BC53-'Выборка 1'!BB53)+('Выборка 1'!BD53-'Выборка 1'!BC53)+('Выборка 1'!BE53-'Выборка 1'!BD53)+('Выборка 1'!BF53-'Выборка 1'!BE53))/4000</f>
        <v>-9633.25</v>
      </c>
      <c r="L53" s="17">
        <f t="shared" si="0"/>
        <v>-2068.5</v>
      </c>
      <c r="M53" s="17">
        <f>((('Выборка 1'!BH53-'Выборка 1'!BM53)-('Выборка 1'!BG53-'Выборка 1'!BL53))+(('Выборка 1'!BI53-'Выборка 1'!BN53)-('Выборка 1'!BH53-'Выборка 1'!BM53))+(('Выборка 1'!BJ53-'Выборка 1'!BO53)-('Выборка 1'!BI53-'Выборка 1'!BN53))+(('Выборка 1'!BK53-'Выборка 1'!BP53)-('Выборка 1'!BJ53-'Выборка 1'!BO53)))/4000</f>
        <v>782.25</v>
      </c>
      <c r="N53" s="17">
        <f>(('Выборка 1'!BR53-'Выборка 1'!BQ53)+('Выборка 1'!BS53-'Выборка 1'!BR53)+('Выборка 1'!BT53-'Выборка 1'!BS53)+('Выборка 1'!BU53-'Выборка 1'!BT53))/4000</f>
        <v>1251.25</v>
      </c>
    </row>
    <row r="54" spans="1:14" x14ac:dyDescent="0.25">
      <c r="A54" s="17">
        <v>20</v>
      </c>
      <c r="B54" s="17">
        <f>(('Выборка 1'!E54-'Выборка 1'!D54)+('Выборка 1'!F54-'Выборка 1'!E54)+('Выборка 1'!G54-'Выборка 1'!F54)+('Выборка 1'!H54-'Выборка 1'!G54))/4000</f>
        <v>0</v>
      </c>
      <c r="C54" s="17">
        <f>(('Выборка 1'!J54-'Выборка 1'!I54)+('Выборка 1'!K54-'Выборка 1'!J54)+('Выборка 1'!L54-'Выборка 1'!K54)+('Выборка 1'!M54-'Выборка 1'!L54))/4000</f>
        <v>-578.5</v>
      </c>
      <c r="D54" s="17">
        <f>(('Выборка 1'!O54-'Выборка 1'!N54)+('Выборка 1'!P54-'Выборка 1'!O54)+('Выборка 1'!Q54-'Выборка 1'!P54)+('Выборка 1'!R54-'Выборка 1'!Q54))/4000</f>
        <v>-85.5</v>
      </c>
      <c r="E54" s="17">
        <f>(('Выборка 1'!T54-'Выборка 1'!S54)+('Выборка 1'!U54-'Выборка 1'!T54)+('Выборка 1'!V54-'Выборка 1'!U54)+('Выборка 1'!W54-'Выборка 1'!V54))/4000</f>
        <v>-41.25</v>
      </c>
      <c r="F54" s="17">
        <f>(('Выборка 1'!Y54-'Выборка 1'!X54)+('Выборка 1'!Z54+'Выборка 1'!Y54)+('Выборка 1'!AA54-'Выборка 1'!Z54)+('Выборка 1'!AB54-'Выборка 1'!AA54))/4000</f>
        <v>222.75</v>
      </c>
      <c r="G54" s="17">
        <f>(('Выборка 1'!AD54-'Выборка 1'!AC54)+('Выборка 1'!AE54-'Выборка 1'!AD54)+('Выборка 1'!AF54-'Выборка 1'!AE54)+('Выборка 1'!AG54-'Выборка 1'!AF54))/4000</f>
        <v>0</v>
      </c>
      <c r="H54" s="17">
        <f>(('Выборка 1'!AI54-'Выборка 1'!AH54)+('Выборка 1'!AJ54-'Выборка 1'!AI54)+('Выборка 1'!AK54-'Выборка 1'!AJ54)+('Выборка 1'!AL54-'Выборка 1'!AK54))/4000</f>
        <v>-644.25</v>
      </c>
      <c r="I54" s="17">
        <f>(('Выборка 1'!AN54-'Выборка 1'!AM54)+('Выборка 1'!AO54-'Выборка 1'!AN54)+('Выборка 1'!AP54-'Выборка 1'!AO54)+('Выборка 1'!AQ54-'Выборка 1'!AP54))/4000</f>
        <v>-1258.5</v>
      </c>
      <c r="J54" s="17">
        <f>((('Выборка 1'!AS54+'Выборка 1'!AX54)-('Выборка 1'!AR54+'Выборка 1'!AW54))+(('Выборка 1'!AT54+'Выборка 1'!AY54)-('Выборка 1'!AS54+'Выборка 1'!AX54))+(('Выборка 1'!AU54+'Выборка 1'!AZ54)-('Выборка 1'!AT54+'Выборка 1'!AY54))+(('Выборка 1'!AV54+'Выборка 1'!BA54)-('Выборка 1'!AU54+'Выборка 1'!AZ54)))/4000</f>
        <v>-1108.25</v>
      </c>
      <c r="K54" s="17">
        <f>(('Выборка 1'!BC54-'Выборка 1'!BB54)+('Выборка 1'!BD54-'Выборка 1'!BC54)+('Выборка 1'!BE54-'Выборка 1'!BD54)+('Выборка 1'!BF54-'Выборка 1'!BE54))/4000</f>
        <v>-100</v>
      </c>
      <c r="L54" s="17">
        <f t="shared" si="0"/>
        <v>-50.25</v>
      </c>
      <c r="M54" s="17">
        <f>((('Выборка 1'!BH54-'Выборка 1'!BM54)-('Выборка 1'!BG54-'Выборка 1'!BL54))+(('Выборка 1'!BI54-'Выборка 1'!BN54)-('Выборка 1'!BH54-'Выборка 1'!BM54))+(('Выборка 1'!BJ54-'Выборка 1'!BO54)-('Выборка 1'!BI54-'Выборка 1'!BN54))+(('Выборка 1'!BK54-'Выборка 1'!BP54)-('Выборка 1'!BJ54-'Выборка 1'!BO54)))/4000</f>
        <v>8.25</v>
      </c>
      <c r="N54" s="17">
        <f>(('Выборка 1'!BR54-'Выборка 1'!BQ54)+('Выборка 1'!BS54-'Выборка 1'!BR54)+('Выборка 1'!BT54-'Выборка 1'!BS54)+('Выборка 1'!BU54-'Выборка 1'!BT54))/4000</f>
        <v>-33.5</v>
      </c>
    </row>
    <row r="55" spans="1:14" x14ac:dyDescent="0.25">
      <c r="A55" s="17">
        <v>18</v>
      </c>
      <c r="B55" s="17">
        <f>(('Выборка 1'!E55-'Выборка 1'!D55)+('Выборка 1'!F55-'Выборка 1'!E55)+('Выборка 1'!G55-'Выборка 1'!F55)+('Выборка 1'!H55-'Выборка 1'!G55))/4000</f>
        <v>-814</v>
      </c>
      <c r="C55" s="17">
        <f>(('Выборка 1'!J55-'Выборка 1'!I55)+('Выборка 1'!K55-'Выборка 1'!J55)+('Выборка 1'!L55-'Выборка 1'!K55)+('Выборка 1'!M55-'Выборка 1'!L55))/4000</f>
        <v>-15765.5</v>
      </c>
      <c r="D55" s="17">
        <f>(('Выборка 1'!O55-'Выборка 1'!N55)+('Выборка 1'!P55-'Выборка 1'!O55)+('Выборка 1'!Q55-'Выборка 1'!P55)+('Выборка 1'!R55-'Выборка 1'!Q55))/4000</f>
        <v>-9100.5</v>
      </c>
      <c r="E55" s="17">
        <f>(('Выборка 1'!T55-'Выборка 1'!S55)+('Выборка 1'!U55-'Выборка 1'!T55)+('Выборка 1'!V55-'Выборка 1'!U55)+('Выборка 1'!W55-'Выборка 1'!V55))/4000</f>
        <v>-8.5</v>
      </c>
      <c r="F55" s="17">
        <f>(('Выборка 1'!Y55-'Выборка 1'!X55)+('Выборка 1'!Z55+'Выборка 1'!Y55)+('Выборка 1'!AA55-'Выборка 1'!Z55)+('Выборка 1'!AB55-'Выборка 1'!AA55))/4000</f>
        <v>-1346.5</v>
      </c>
      <c r="G55" s="17">
        <f>(('Выборка 1'!AD55-'Выборка 1'!AC55)+('Выборка 1'!AE55-'Выборка 1'!AD55)+('Выборка 1'!AF55-'Выборка 1'!AE55)+('Выборка 1'!AG55-'Выборка 1'!AF55))/4000</f>
        <v>-2724.75</v>
      </c>
      <c r="H55" s="17">
        <f>(('Выборка 1'!AI55-'Выборка 1'!AH55)+('Выборка 1'!AJ55-'Выборка 1'!AI55)+('Выборка 1'!AK55-'Выборка 1'!AJ55)+('Выборка 1'!AL55-'Выборка 1'!AK55))/4000</f>
        <v>-11182</v>
      </c>
      <c r="I55" s="17">
        <f>(('Выборка 1'!AN55-'Выборка 1'!AM55)+('Выборка 1'!AO55-'Выборка 1'!AN55)+('Выборка 1'!AP55-'Выборка 1'!AO55)+('Выборка 1'!AQ55-'Выборка 1'!AP55))/4000</f>
        <v>-34758.5</v>
      </c>
      <c r="J55" s="17">
        <f>((('Выборка 1'!AS55+'Выборка 1'!AX55)-('Выборка 1'!AR55+'Выборка 1'!AW55))+(('Выборка 1'!AT55+'Выборка 1'!AY55)-('Выборка 1'!AS55+'Выборка 1'!AX55))+(('Выборка 1'!AU55+'Выборка 1'!AZ55)-('Выборка 1'!AT55+'Выборка 1'!AY55))+(('Выборка 1'!AV55+'Выборка 1'!BA55)-('Выборка 1'!AU55+'Выборка 1'!AZ55)))/4000</f>
        <v>-33636</v>
      </c>
      <c r="K55" s="17">
        <f>(('Выборка 1'!BC55-'Выборка 1'!BB55)+('Выборка 1'!BD55-'Выборка 1'!BC55)+('Выборка 1'!BE55-'Выборка 1'!BD55)+('Выборка 1'!BF55-'Выборка 1'!BE55))/4000</f>
        <v>-7370.25</v>
      </c>
      <c r="L55" s="17">
        <f t="shared" si="0"/>
        <v>6247.75</v>
      </c>
      <c r="M55" s="17">
        <f>((('Выборка 1'!BH55-'Выборка 1'!BM55)-('Выборка 1'!BG55-'Выборка 1'!BL55))+(('Выборка 1'!BI55-'Выборка 1'!BN55)-('Выборка 1'!BH55-'Выборка 1'!BM55))+(('Выборка 1'!BJ55-'Выборка 1'!BO55)-('Выборка 1'!BI55-'Выборка 1'!BN55))+(('Выборка 1'!BK55-'Выборка 1'!BP55)-('Выборка 1'!BJ55-'Выборка 1'!BO55)))/4000</f>
        <v>-5959.5</v>
      </c>
      <c r="N55" s="17">
        <f>(('Выборка 1'!BR55-'Выборка 1'!BQ55)+('Выборка 1'!BS55-'Выборка 1'!BR55)+('Выборка 1'!BT55-'Выборка 1'!BS55)+('Выборка 1'!BU55-'Выборка 1'!BT55))/4000</f>
        <v>1144.5</v>
      </c>
    </row>
    <row r="56" spans="1:14" x14ac:dyDescent="0.25">
      <c r="A56" s="17">
        <v>16</v>
      </c>
      <c r="B56" s="17">
        <f>(('Выборка 1'!E56-'Выборка 1'!D56)+('Выборка 1'!F56-'Выборка 1'!E56)+('Выборка 1'!G56-'Выборка 1'!F56)+('Выборка 1'!H56-'Выборка 1'!G56))/4000</f>
        <v>0</v>
      </c>
      <c r="C56" s="17">
        <f>(('Выборка 1'!J56-'Выборка 1'!I56)+('Выборка 1'!K56-'Выборка 1'!J56)+('Выборка 1'!L56-'Выборка 1'!K56)+('Выборка 1'!M56-'Выборка 1'!L56))/4000</f>
        <v>0</v>
      </c>
      <c r="D56" s="17">
        <f>(('Выборка 1'!O56-'Выборка 1'!N56)+('Выборка 1'!P56-'Выборка 1'!O56)+('Выборка 1'!Q56-'Выборка 1'!P56)+('Выборка 1'!R56-'Выборка 1'!Q56))/4000</f>
        <v>-18225.25</v>
      </c>
      <c r="E56" s="17">
        <f>(('Выборка 1'!T56-'Выборка 1'!S56)+('Выборка 1'!U56-'Выборка 1'!T56)+('Выборка 1'!V56-'Выборка 1'!U56)+('Выборка 1'!W56-'Выборка 1'!V56))/4000</f>
        <v>0</v>
      </c>
      <c r="F56" s="17">
        <f>(('Выборка 1'!Y56-'Выборка 1'!X56)+('Выборка 1'!Z56+'Выборка 1'!Y56)+('Выборка 1'!AA56-'Выборка 1'!Z56)+('Выборка 1'!AB56-'Выборка 1'!AA56))/4000</f>
        <v>40287.5</v>
      </c>
      <c r="G56" s="17">
        <f>(('Выборка 1'!AD56-'Выборка 1'!AC56)+('Выборка 1'!AE56-'Выборка 1'!AD56)+('Выборка 1'!AF56-'Выборка 1'!AE56)+('Выборка 1'!AG56-'Выборка 1'!AF56))/4000</f>
        <v>-35970.25</v>
      </c>
      <c r="H56" s="17">
        <f>(('Выборка 1'!AI56-'Выборка 1'!AH56)+('Выборка 1'!AJ56-'Выборка 1'!AI56)+('Выборка 1'!AK56-'Выборка 1'!AJ56)+('Выборка 1'!AL56-'Выборка 1'!AK56))/4000</f>
        <v>-22540</v>
      </c>
      <c r="I56" s="17">
        <f>(('Выборка 1'!AN56-'Выборка 1'!AM56)+('Выборка 1'!AO56-'Выборка 1'!AN56)+('Выборка 1'!AP56-'Выборка 1'!AO56)+('Выборка 1'!AQ56-'Выборка 1'!AP56))/4000</f>
        <v>-45</v>
      </c>
      <c r="J56" s="17">
        <f>((('Выборка 1'!AS56+'Выборка 1'!AX56)-('Выборка 1'!AR56+'Выборка 1'!AW56))+(('Выборка 1'!AT56+'Выборка 1'!AY56)-('Выборка 1'!AS56+'Выборка 1'!AX56))+(('Выборка 1'!AU56+'Выборка 1'!AZ56)-('Выборка 1'!AT56+'Выборка 1'!AY56))+(('Выборка 1'!AV56+'Выборка 1'!BA56)-('Выборка 1'!AU56+'Выборка 1'!AZ56)))/4000</f>
        <v>0</v>
      </c>
      <c r="K56" s="17">
        <f>(('Выборка 1'!BC56-'Выборка 1'!BB56)+('Выборка 1'!BD56-'Выборка 1'!BC56)+('Выборка 1'!BE56-'Выборка 1'!BD56)+('Выборка 1'!BF56-'Выборка 1'!BE56))/4000</f>
        <v>0</v>
      </c>
      <c r="L56" s="17">
        <f t="shared" si="0"/>
        <v>-45</v>
      </c>
      <c r="M56" s="17">
        <f>((('Выборка 1'!BH56-'Выборка 1'!BM56)-('Выборка 1'!BG56-'Выборка 1'!BL56))+(('Выборка 1'!BI56-'Выборка 1'!BN56)-('Выборка 1'!BH56-'Выборка 1'!BM56))+(('Выборка 1'!BJ56-'Выборка 1'!BO56)-('Выборка 1'!BI56-'Выборка 1'!BN56))+(('Выборка 1'!BK56-'Выборка 1'!BP56)-('Выборка 1'!BJ56-'Выборка 1'!BO56)))/4000</f>
        <v>90.25</v>
      </c>
      <c r="N56" s="17">
        <f>(('Выборка 1'!BR56-'Выборка 1'!BQ56)+('Выборка 1'!BS56-'Выборка 1'!BR56)+('Выборка 1'!BT56-'Выборка 1'!BS56)+('Выборка 1'!BU56-'Выборка 1'!BT56))/4000</f>
        <v>45.25</v>
      </c>
    </row>
    <row r="57" spans="1:14" x14ac:dyDescent="0.25">
      <c r="A57" s="17">
        <v>17</v>
      </c>
      <c r="B57" s="17">
        <f>(('Выборка 1'!E57-'Выборка 1'!D57)+('Выборка 1'!F57-'Выборка 1'!E57)+('Выборка 1'!G57-'Выборка 1'!F57)+('Выборка 1'!H57-'Выборка 1'!G57))/4000</f>
        <v>-1465.5</v>
      </c>
      <c r="C57" s="17">
        <f>(('Выборка 1'!J57-'Выборка 1'!I57)+('Выборка 1'!K57-'Выборка 1'!J57)+('Выборка 1'!L57-'Выборка 1'!K57)+('Выборка 1'!M57-'Выборка 1'!L57))/4000</f>
        <v>-430.5</v>
      </c>
      <c r="D57" s="17">
        <f>(('Выборка 1'!O57-'Выборка 1'!N57)+('Выборка 1'!P57-'Выборка 1'!O57)+('Выборка 1'!Q57-'Выборка 1'!P57)+('Выборка 1'!R57-'Выборка 1'!Q57))/4000</f>
        <v>-2532.5</v>
      </c>
      <c r="E57" s="17">
        <f>(('Выборка 1'!T57-'Выборка 1'!S57)+('Выборка 1'!U57-'Выборка 1'!T57)+('Выборка 1'!V57-'Выборка 1'!U57)+('Выборка 1'!W57-'Выборка 1'!V57))/4000</f>
        <v>0</v>
      </c>
      <c r="F57" s="17">
        <f>(('Выборка 1'!Y57-'Выборка 1'!X57)+('Выборка 1'!Z57+'Выборка 1'!Y57)+('Выборка 1'!AA57-'Выборка 1'!Z57)+('Выборка 1'!AB57-'Выборка 1'!AA57))/4000</f>
        <v>0</v>
      </c>
      <c r="G57" s="17">
        <f>(('Выборка 1'!AD57-'Выборка 1'!AC57)+('Выборка 1'!AE57-'Выборка 1'!AD57)+('Выборка 1'!AF57-'Выборка 1'!AE57)+('Выборка 1'!AG57-'Выборка 1'!AF57))/4000</f>
        <v>0</v>
      </c>
      <c r="H57" s="17">
        <f>(('Выборка 1'!AI57-'Выборка 1'!AH57)+('Выборка 1'!AJ57-'Выборка 1'!AI57)+('Выборка 1'!AK57-'Выборка 1'!AJ57)+('Выборка 1'!AL57-'Выборка 1'!AK57))/4000</f>
        <v>-1296</v>
      </c>
      <c r="I57" s="17">
        <f>(('Выборка 1'!AN57-'Выборка 1'!AM57)+('Выборка 1'!AO57-'Выборка 1'!AN57)+('Выборка 1'!AP57-'Выборка 1'!AO57)+('Выборка 1'!AQ57-'Выборка 1'!AP57))/4000</f>
        <v>-13807.25</v>
      </c>
      <c r="J57" s="17">
        <f>((('Выборка 1'!AS57+'Выборка 1'!AX57)-('Выборка 1'!AR57+'Выборка 1'!AW57))+(('Выборка 1'!AT57+'Выборка 1'!AY57)-('Выборка 1'!AS57+'Выборка 1'!AX57))+(('Выборка 1'!AU57+'Выборка 1'!AZ57)-('Выборка 1'!AT57+'Выборка 1'!AY57))+(('Выборка 1'!AV57+'Выборка 1'!BA57)-('Выборка 1'!AU57+'Выборка 1'!AZ57)))/4000</f>
        <v>-13610.75</v>
      </c>
      <c r="K57" s="17">
        <f>(('Выборка 1'!BC57-'Выборка 1'!BB57)+('Выборка 1'!BD57-'Выборка 1'!BC57)+('Выборка 1'!BE57-'Выборка 1'!BD57)+('Выборка 1'!BF57-'Выборка 1'!BE57))/4000</f>
        <v>0</v>
      </c>
      <c r="L57" s="17">
        <f t="shared" si="0"/>
        <v>-196.5</v>
      </c>
      <c r="M57" s="17">
        <f>((('Выборка 1'!BH57-'Выборка 1'!BM57)-('Выборка 1'!BG57-'Выборка 1'!BL57))+(('Выборка 1'!BI57-'Выборка 1'!BN57)-('Выборка 1'!BH57-'Выборка 1'!BM57))+(('Выборка 1'!BJ57-'Выборка 1'!BO57)-('Выборка 1'!BI57-'Выборка 1'!BN57))+(('Выборка 1'!BK57-'Выборка 1'!BP57)-('Выборка 1'!BJ57-'Выборка 1'!BO57)))/4000</f>
        <v>0</v>
      </c>
      <c r="N57" s="17">
        <f>(('Выборка 1'!BR57-'Выборка 1'!BQ57)+('Выборка 1'!BS57-'Выборка 1'!BR57)+('Выборка 1'!BT57-'Выборка 1'!BS57)+('Выборка 1'!BU57-'Выборка 1'!BT57))/4000</f>
        <v>-61.75</v>
      </c>
    </row>
    <row r="58" spans="1:14" x14ac:dyDescent="0.25">
      <c r="A58" s="17">
        <v>20</v>
      </c>
      <c r="B58" s="17">
        <f>(('Выборка 1'!E58-'Выборка 1'!D58)+('Выборка 1'!F58-'Выборка 1'!E58)+('Выборка 1'!G58-'Выборка 1'!F58)+('Выборка 1'!H58-'Выборка 1'!G58))/4000</f>
        <v>-212.5</v>
      </c>
      <c r="C58" s="17">
        <f>(('Выборка 1'!J58-'Выборка 1'!I58)+('Выборка 1'!K58-'Выборка 1'!J58)+('Выборка 1'!L58-'Выборка 1'!K58)+('Выборка 1'!M58-'Выборка 1'!L58))/4000</f>
        <v>0</v>
      </c>
      <c r="D58" s="17">
        <f>(('Выборка 1'!O58-'Выборка 1'!N58)+('Выборка 1'!P58-'Выборка 1'!O58)+('Выборка 1'!Q58-'Выборка 1'!P58)+('Выборка 1'!R58-'Выборка 1'!Q58))/4000</f>
        <v>-5270.5</v>
      </c>
      <c r="E58" s="17">
        <f>(('Выборка 1'!T58-'Выборка 1'!S58)+('Выборка 1'!U58-'Выборка 1'!T58)+('Выборка 1'!V58-'Выборка 1'!U58)+('Выборка 1'!W58-'Выборка 1'!V58))/4000</f>
        <v>-1.25</v>
      </c>
      <c r="F58" s="17">
        <f>(('Выборка 1'!Y58-'Выборка 1'!X58)+('Выборка 1'!Z58+'Выборка 1'!Y58)+('Выборка 1'!AA58-'Выборка 1'!Z58)+('Выборка 1'!AB58-'Выборка 1'!AA58))/4000</f>
        <v>-62669.75</v>
      </c>
      <c r="G58" s="17">
        <f>(('Выборка 1'!AD58-'Выборка 1'!AC58)+('Выборка 1'!AE58-'Выборка 1'!AD58)+('Выборка 1'!AF58-'Выборка 1'!AE58)+('Выборка 1'!AG58-'Выборка 1'!AF58))/4000</f>
        <v>0</v>
      </c>
      <c r="H58" s="17">
        <f>(('Выборка 1'!AI58-'Выборка 1'!AH58)+('Выборка 1'!AJ58-'Выборка 1'!AI58)+('Выборка 1'!AK58-'Выборка 1'!AJ58)+('Выборка 1'!AL58-'Выборка 1'!AK58))/4000</f>
        <v>-6047.5</v>
      </c>
      <c r="I58" s="17">
        <f>(('Выборка 1'!AN58-'Выборка 1'!AM58)+('Выборка 1'!AO58-'Выборка 1'!AN58)+('Выборка 1'!AP58-'Выборка 1'!AO58)+('Выборка 1'!AQ58-'Выборка 1'!AP58))/4000</f>
        <v>-121504.75</v>
      </c>
      <c r="J58" s="17">
        <f>((('Выборка 1'!AS58+'Выборка 1'!AX58)-('Выборка 1'!AR58+'Выборка 1'!AW58))+(('Выборка 1'!AT58+'Выборка 1'!AY58)-('Выборка 1'!AS58+'Выборка 1'!AX58))+(('Выборка 1'!AU58+'Выборка 1'!AZ58)-('Выборка 1'!AT58+'Выборка 1'!AY58))+(('Выборка 1'!AV58+'Выборка 1'!BA58)-('Выборка 1'!AU58+'Выборка 1'!AZ58)))/4000</f>
        <v>-121762.5</v>
      </c>
      <c r="K58" s="17">
        <f>(('Выборка 1'!BC58-'Выборка 1'!BB58)+('Выборка 1'!BD58-'Выборка 1'!BC58)+('Выборка 1'!BE58-'Выборка 1'!BD58)+('Выборка 1'!BF58-'Выборка 1'!BE58))/4000</f>
        <v>-836.25</v>
      </c>
      <c r="L58" s="17">
        <f t="shared" si="0"/>
        <v>1094</v>
      </c>
      <c r="M58" s="17">
        <f>((('Выборка 1'!BH58-'Выборка 1'!BM58)-('Выборка 1'!BG58-'Выборка 1'!BL58))+(('Выборка 1'!BI58-'Выборка 1'!BN58)-('Выборка 1'!BH58-'Выборка 1'!BM58))+(('Выборка 1'!BJ58-'Выборка 1'!BO58)-('Выборка 1'!BI58-'Выборка 1'!BN58))+(('Выборка 1'!BK58-'Выборка 1'!BP58)-('Выборка 1'!BJ58-'Выборка 1'!BO58)))/4000</f>
        <v>1350.25</v>
      </c>
      <c r="N58" s="17">
        <f>(('Выборка 1'!BR58-'Выборка 1'!BQ58)+('Выборка 1'!BS58-'Выборка 1'!BR58)+('Выборка 1'!BT58-'Выборка 1'!BS58)+('Выборка 1'!BU58-'Выборка 1'!BT58))/4000</f>
        <v>2229.5</v>
      </c>
    </row>
    <row r="59" spans="1:14" x14ac:dyDescent="0.25">
      <c r="A59" s="17">
        <v>13</v>
      </c>
      <c r="B59" s="17">
        <f>(('Выборка 1'!E59-'Выборка 1'!D59)+('Выборка 1'!F59-'Выборка 1'!E59)+('Выборка 1'!G59-'Выборка 1'!F59)+('Выборка 1'!H59-'Выборка 1'!G59))/4000</f>
        <v>0</v>
      </c>
      <c r="C59" s="17">
        <f>(('Выборка 1'!J59-'Выборка 1'!I59)+('Выборка 1'!K59-'Выборка 1'!J59)+('Выборка 1'!L59-'Выборка 1'!K59)+('Выборка 1'!M59-'Выборка 1'!L59))/4000</f>
        <v>0</v>
      </c>
      <c r="D59" s="17">
        <f>(('Выборка 1'!O59-'Выборка 1'!N59)+('Выборка 1'!P59-'Выборка 1'!O59)+('Выборка 1'!Q59-'Выборка 1'!P59)+('Выборка 1'!R59-'Выборка 1'!Q59))/4000</f>
        <v>0</v>
      </c>
      <c r="E59" s="17">
        <f>(('Выборка 1'!T59-'Выборка 1'!S59)+('Выборка 1'!U59-'Выборка 1'!T59)+('Выборка 1'!V59-'Выборка 1'!U59)+('Выборка 1'!W59-'Выборка 1'!V59))/4000</f>
        <v>0</v>
      </c>
      <c r="F59" s="17">
        <f>(('Выборка 1'!Y59-'Выборка 1'!X59)+('Выборка 1'!Z59+'Выборка 1'!Y59)+('Выборка 1'!AA59-'Выборка 1'!Z59)+('Выборка 1'!AB59-'Выборка 1'!AA59))/4000</f>
        <v>0</v>
      </c>
      <c r="G59" s="17">
        <f>(('Выборка 1'!AD59-'Выборка 1'!AC59)+('Выборка 1'!AE59-'Выборка 1'!AD59)+('Выборка 1'!AF59-'Выборка 1'!AE59)+('Выборка 1'!AG59-'Выборка 1'!AF59))/4000</f>
        <v>0</v>
      </c>
      <c r="H59" s="17">
        <f>(('Выборка 1'!AI59-'Выборка 1'!AH59)+('Выборка 1'!AJ59-'Выборка 1'!AI59)+('Выборка 1'!AK59-'Выборка 1'!AJ59)+('Выборка 1'!AL59-'Выборка 1'!AK59))/4000</f>
        <v>0</v>
      </c>
      <c r="I59" s="17">
        <f>(('Выборка 1'!AN59-'Выборка 1'!AM59)+('Выборка 1'!AO59-'Выборка 1'!AN59)+('Выборка 1'!AP59-'Выборка 1'!AO59)+('Выборка 1'!AQ59-'Выборка 1'!AP59))/4000</f>
        <v>0</v>
      </c>
      <c r="J59" s="17">
        <f>((('Выборка 1'!AS59+'Выборка 1'!AX59)-('Выборка 1'!AR59+'Выборка 1'!AW59))+(('Выборка 1'!AT59+'Выборка 1'!AY59)-('Выборка 1'!AS59+'Выборка 1'!AX59))+(('Выборка 1'!AU59+'Выборка 1'!AZ59)-('Выборка 1'!AT59+'Выборка 1'!AY59))+(('Выборка 1'!AV59+'Выборка 1'!BA59)-('Выборка 1'!AU59+'Выборка 1'!AZ59)))/4000</f>
        <v>0</v>
      </c>
      <c r="K59" s="17">
        <f>(('Выборка 1'!BC59-'Выборка 1'!BB59)+('Выборка 1'!BD59-'Выборка 1'!BC59)+('Выборка 1'!BE59-'Выборка 1'!BD59)+('Выборка 1'!BF59-'Выборка 1'!BE59))/4000</f>
        <v>0</v>
      </c>
      <c r="L59" s="17">
        <f t="shared" si="0"/>
        <v>0</v>
      </c>
      <c r="M59" s="17">
        <f>((('Выборка 1'!BH59-'Выборка 1'!BM59)-('Выборка 1'!BG59-'Выборка 1'!BL59))+(('Выборка 1'!BI59-'Выборка 1'!BN59)-('Выборка 1'!BH59-'Выборка 1'!BM59))+(('Выборка 1'!BJ59-'Выборка 1'!BO59)-('Выборка 1'!BI59-'Выборка 1'!BN59))+(('Выборка 1'!BK59-'Выборка 1'!BP59)-('Выборка 1'!BJ59-'Выборка 1'!BO59)))/4000</f>
        <v>0</v>
      </c>
      <c r="N59" s="17">
        <f>(('Выборка 1'!BR59-'Выборка 1'!BQ59)+('Выборка 1'!BS59-'Выборка 1'!BR59)+('Выборка 1'!BT59-'Выборка 1'!BS59)+('Выборка 1'!BU59-'Выборка 1'!BT59))/4000</f>
        <v>0</v>
      </c>
    </row>
    <row r="60" spans="1:14" x14ac:dyDescent="0.25">
      <c r="A60" s="17">
        <v>14</v>
      </c>
      <c r="B60" s="17">
        <f>(('Выборка 1'!E60-'Выборка 1'!D60)+('Выборка 1'!F60-'Выборка 1'!E60)+('Выборка 1'!G60-'Выборка 1'!F60)+('Выборка 1'!H60-'Выборка 1'!G60))/4000</f>
        <v>0</v>
      </c>
      <c r="C60" s="17">
        <f>(('Выборка 1'!J60-'Выборка 1'!I60)+('Выборка 1'!K60-'Выборка 1'!J60)+('Выборка 1'!L60-'Выборка 1'!K60)+('Выборка 1'!M60-'Выборка 1'!L60))/4000</f>
        <v>-9907.5</v>
      </c>
      <c r="D60" s="17">
        <f>(('Выборка 1'!O60-'Выборка 1'!N60)+('Выборка 1'!P60-'Выборка 1'!O60)+('Выборка 1'!Q60-'Выборка 1'!P60)+('Выборка 1'!R60-'Выборка 1'!Q60))/4000</f>
        <v>-5134</v>
      </c>
      <c r="E60" s="17">
        <f>(('Выборка 1'!T60-'Выборка 1'!S60)+('Выборка 1'!U60-'Выборка 1'!T60)+('Выборка 1'!V60-'Выборка 1'!U60)+('Выборка 1'!W60-'Выборка 1'!V60))/4000</f>
        <v>-627.75</v>
      </c>
      <c r="F60" s="17">
        <f>(('Выборка 1'!Y60-'Выборка 1'!X60)+('Выборка 1'!Z60+'Выборка 1'!Y60)+('Выборка 1'!AA60-'Выборка 1'!Z60)+('Выборка 1'!AB60-'Выборка 1'!AA60))/4000</f>
        <v>1435.25</v>
      </c>
      <c r="G60" s="17">
        <f>(('Выборка 1'!AD60-'Выборка 1'!AC60)+('Выборка 1'!AE60-'Выборка 1'!AD60)+('Выборка 1'!AF60-'Выборка 1'!AE60)+('Выборка 1'!AG60-'Выборка 1'!AF60))/4000</f>
        <v>-1691</v>
      </c>
      <c r="H60" s="17">
        <f>(('Выборка 1'!AI60-'Выборка 1'!AH60)+('Выборка 1'!AJ60-'Выборка 1'!AI60)+('Выборка 1'!AK60-'Выборка 1'!AJ60)+('Выборка 1'!AL60-'Выборка 1'!AK60))/4000</f>
        <v>-13803</v>
      </c>
      <c r="I60" s="17">
        <f>(('Выборка 1'!AN60-'Выборка 1'!AM60)+('Выборка 1'!AO60-'Выборка 1'!AN60)+('Выборка 1'!AP60-'Выборка 1'!AO60)+('Выборка 1'!AQ60-'Выборка 1'!AP60))/4000</f>
        <v>-27529.25</v>
      </c>
      <c r="J60" s="17">
        <f>((('Выборка 1'!AS60+'Выборка 1'!AX60)-('Выборка 1'!AR60+'Выборка 1'!AW60))+(('Выборка 1'!AT60+'Выборка 1'!AY60)-('Выборка 1'!AS60+'Выборка 1'!AX60))+(('Выборка 1'!AU60+'Выборка 1'!AZ60)-('Выборка 1'!AT60+'Выборка 1'!AY60))+(('Выборка 1'!AV60+'Выборка 1'!BA60)-('Выборка 1'!AU60+'Выборка 1'!AZ60)))/4000</f>
        <v>-27023.25</v>
      </c>
      <c r="K60" s="17">
        <f>(('Выборка 1'!BC60-'Выборка 1'!BB60)+('Выборка 1'!BD60-'Выборка 1'!BC60)+('Выборка 1'!BE60-'Выборка 1'!BD60)+('Выборка 1'!BF60-'Выборка 1'!BE60))/4000</f>
        <v>0</v>
      </c>
      <c r="L60" s="17">
        <f t="shared" si="0"/>
        <v>-506</v>
      </c>
      <c r="M60" s="17">
        <f>((('Выборка 1'!BH60-'Выборка 1'!BM60)-('Выборка 1'!BG60-'Выборка 1'!BL60))+(('Выборка 1'!BI60-'Выборка 1'!BN60)-('Выборка 1'!BH60-'Выборка 1'!BM60))+(('Выборка 1'!BJ60-'Выборка 1'!BO60)-('Выборка 1'!BI60-'Выборка 1'!BN60))+(('Выборка 1'!BK60-'Выборка 1'!BP60)-('Выборка 1'!BJ60-'Выборка 1'!BO60)))/4000</f>
        <v>33</v>
      </c>
      <c r="N60" s="17">
        <f>(('Выборка 1'!BR60-'Выборка 1'!BQ60)+('Выборка 1'!BS60-'Выборка 1'!BR60)+('Выборка 1'!BT60-'Выборка 1'!BS60)+('Выборка 1'!BU60-'Выборка 1'!BT60))/4000</f>
        <v>-378.25</v>
      </c>
    </row>
    <row r="61" spans="1:14" x14ac:dyDescent="0.25">
      <c r="A61" s="17">
        <v>7</v>
      </c>
      <c r="B61" s="17">
        <f>(('Выборка 1'!E61-'Выборка 1'!D61)+('Выборка 1'!F61-'Выборка 1'!E61)+('Выборка 1'!G61-'Выборка 1'!F61)+('Выборка 1'!H61-'Выборка 1'!G61))/4000</f>
        <v>0</v>
      </c>
      <c r="C61" s="17">
        <f>(('Выборка 1'!J61-'Выборка 1'!I61)+('Выборка 1'!K61-'Выборка 1'!J61)+('Выборка 1'!L61-'Выборка 1'!K61)+('Выборка 1'!M61-'Выборка 1'!L61))/4000</f>
        <v>0</v>
      </c>
      <c r="D61" s="17">
        <f>(('Выборка 1'!O61-'Выборка 1'!N61)+('Выборка 1'!P61-'Выборка 1'!O61)+('Выборка 1'!Q61-'Выборка 1'!P61)+('Выборка 1'!R61-'Выборка 1'!Q61))/4000</f>
        <v>-15686.5</v>
      </c>
      <c r="E61" s="17">
        <f>(('Выборка 1'!T61-'Выборка 1'!S61)+('Выборка 1'!U61-'Выборка 1'!T61)+('Выборка 1'!V61-'Выборка 1'!U61)+('Выборка 1'!W61-'Выборка 1'!V61))/4000</f>
        <v>-33.75</v>
      </c>
      <c r="F61" s="17">
        <f>(('Выборка 1'!Y61-'Выборка 1'!X61)+('Выборка 1'!Z61+'Выборка 1'!Y61)+('Выборка 1'!AA61-'Выборка 1'!Z61)+('Выборка 1'!AB61-'Выборка 1'!AA61))/4000</f>
        <v>-6603</v>
      </c>
      <c r="G61" s="17">
        <f>(('Выборка 1'!AD61-'Выборка 1'!AC61)+('Выборка 1'!AE61-'Выборка 1'!AD61)+('Выборка 1'!AF61-'Выборка 1'!AE61)+('Выборка 1'!AG61-'Выборка 1'!AF61))/4000</f>
        <v>-1250</v>
      </c>
      <c r="H61" s="17">
        <f>(('Выборка 1'!AI61-'Выборка 1'!AH61)+('Выборка 1'!AJ61-'Выборка 1'!AI61)+('Выборка 1'!AK61-'Выборка 1'!AJ61)+('Выборка 1'!AL61-'Выборка 1'!AK61))/4000</f>
        <v>-7774.25</v>
      </c>
      <c r="I61" s="17">
        <f>(('Выборка 1'!AN61-'Выборка 1'!AM61)+('Выборка 1'!AO61-'Выборка 1'!AN61)+('Выборка 1'!AP61-'Выборка 1'!AO61)+('Выборка 1'!AQ61-'Выборка 1'!AP61))/4000</f>
        <v>-350</v>
      </c>
      <c r="J61" s="17">
        <f>((('Выборка 1'!AS61+'Выборка 1'!AX61)-('Выборка 1'!AR61+'Выборка 1'!AW61))+(('Выборка 1'!AT61+'Выборка 1'!AY61)-('Выборка 1'!AS61+'Выборка 1'!AX61))+(('Выборка 1'!AU61+'Выборка 1'!AZ61)-('Выборка 1'!AT61+'Выборка 1'!AY61))+(('Выборка 1'!AV61+'Выборка 1'!BA61)-('Выборка 1'!AU61+'Выборка 1'!AZ61)))/4000</f>
        <v>-326</v>
      </c>
      <c r="K61" s="17">
        <f>(('Выборка 1'!BC61-'Выборка 1'!BB61)+('Выборка 1'!BD61-'Выборка 1'!BC61)+('Выборка 1'!BE61-'Выборка 1'!BD61)+('Выборка 1'!BF61-'Выборка 1'!BE61))/4000</f>
        <v>0</v>
      </c>
      <c r="L61" s="17">
        <f t="shared" si="0"/>
        <v>-24</v>
      </c>
      <c r="M61" s="17">
        <f>((('Выборка 1'!BH61-'Выборка 1'!BM61)-('Выборка 1'!BG61-'Выборка 1'!BL61))+(('Выборка 1'!BI61-'Выборка 1'!BN61)-('Выборка 1'!BH61-'Выборка 1'!BM61))+(('Выборка 1'!BJ61-'Выборка 1'!BO61)-('Выборка 1'!BI61-'Выборка 1'!BN61))+(('Выборка 1'!BK61-'Выборка 1'!BP61)-('Выборка 1'!BJ61-'Выборка 1'!BO61)))/4000</f>
        <v>-122.5</v>
      </c>
      <c r="N61" s="17">
        <f>(('Выборка 1'!BR61-'Выборка 1'!BQ61)+('Выборка 1'!BS61-'Выборка 1'!BR61)+('Выборка 1'!BT61-'Выборка 1'!BS61)+('Выборка 1'!BU61-'Выборка 1'!BT61))/4000</f>
        <v>-141.75</v>
      </c>
    </row>
    <row r="62" spans="1:14" x14ac:dyDescent="0.25">
      <c r="A62" s="17">
        <v>19</v>
      </c>
      <c r="B62" s="17">
        <f>(('Выборка 1'!E62-'Выборка 1'!D62)+('Выборка 1'!F62-'Выборка 1'!E62)+('Выборка 1'!G62-'Выборка 1'!F62)+('Выборка 1'!H62-'Выборка 1'!G62))/4000</f>
        <v>0</v>
      </c>
      <c r="C62" s="17">
        <f>(('Выборка 1'!J62-'Выборка 1'!I62)+('Выборка 1'!K62-'Выборка 1'!J62)+('Выборка 1'!L62-'Выборка 1'!K62)+('Выборка 1'!M62-'Выборка 1'!L62))/4000</f>
        <v>0</v>
      </c>
      <c r="D62" s="17">
        <f>(('Выборка 1'!O62-'Выборка 1'!N62)+('Выборка 1'!P62-'Выборка 1'!O62)+('Выборка 1'!Q62-'Выборка 1'!P62)+('Выборка 1'!R62-'Выборка 1'!Q62))/4000</f>
        <v>0</v>
      </c>
      <c r="E62" s="17">
        <f>(('Выборка 1'!T62-'Выборка 1'!S62)+('Выборка 1'!U62-'Выборка 1'!T62)+('Выборка 1'!V62-'Выборка 1'!U62)+('Выборка 1'!W62-'Выборка 1'!V62))/4000</f>
        <v>0</v>
      </c>
      <c r="F62" s="17">
        <f>(('Выборка 1'!Y62-'Выборка 1'!X62)+('Выборка 1'!Z62+'Выборка 1'!Y62)+('Выборка 1'!AA62-'Выборка 1'!Z62)+('Выборка 1'!AB62-'Выборка 1'!AA62))/4000</f>
        <v>0</v>
      </c>
      <c r="G62" s="17">
        <f>(('Выборка 1'!AD62-'Выборка 1'!AC62)+('Выборка 1'!AE62-'Выборка 1'!AD62)+('Выборка 1'!AF62-'Выборка 1'!AE62)+('Выборка 1'!AG62-'Выборка 1'!AF62))/4000</f>
        <v>0</v>
      </c>
      <c r="H62" s="17">
        <f>(('Выборка 1'!AI62-'Выборка 1'!AH62)+('Выборка 1'!AJ62-'Выборка 1'!AI62)+('Выборка 1'!AK62-'Выборка 1'!AJ62)+('Выборка 1'!AL62-'Выборка 1'!AK62))/4000</f>
        <v>0</v>
      </c>
      <c r="I62" s="17">
        <f>(('Выборка 1'!AN62-'Выборка 1'!AM62)+('Выборка 1'!AO62-'Выборка 1'!AN62)+('Выборка 1'!AP62-'Выборка 1'!AO62)+('Выборка 1'!AQ62-'Выборка 1'!AP62))/4000</f>
        <v>0</v>
      </c>
      <c r="J62" s="17">
        <f>((('Выборка 1'!AS62+'Выборка 1'!AX62)-('Выборка 1'!AR62+'Выборка 1'!AW62))+(('Выборка 1'!AT62+'Выборка 1'!AY62)-('Выборка 1'!AS62+'Выборка 1'!AX62))+(('Выборка 1'!AU62+'Выборка 1'!AZ62)-('Выборка 1'!AT62+'Выборка 1'!AY62))+(('Выборка 1'!AV62+'Выборка 1'!BA62)-('Выборка 1'!AU62+'Выборка 1'!AZ62)))/4000</f>
        <v>0</v>
      </c>
      <c r="K62" s="17">
        <f>(('Выборка 1'!BC62-'Выборка 1'!BB62)+('Выборка 1'!BD62-'Выборка 1'!BC62)+('Выборка 1'!BE62-'Выборка 1'!BD62)+('Выборка 1'!BF62-'Выборка 1'!BE62))/4000</f>
        <v>0</v>
      </c>
      <c r="L62" s="17">
        <f t="shared" si="0"/>
        <v>0</v>
      </c>
      <c r="M62" s="17">
        <f>((('Выборка 1'!BH62-'Выборка 1'!BM62)-('Выборка 1'!BG62-'Выборка 1'!BL62))+(('Выборка 1'!BI62-'Выборка 1'!BN62)-('Выборка 1'!BH62-'Выборка 1'!BM62))+(('Выборка 1'!BJ62-'Выборка 1'!BO62)-('Выборка 1'!BI62-'Выборка 1'!BN62))+(('Выборка 1'!BK62-'Выборка 1'!BP62)-('Выборка 1'!BJ62-'Выборка 1'!BO62)))/4000</f>
        <v>0</v>
      </c>
      <c r="N62" s="17">
        <f>(('Выборка 1'!BR62-'Выборка 1'!BQ62)+('Выборка 1'!BS62-'Выборка 1'!BR62)+('Выборка 1'!BT62-'Выборка 1'!BS62)+('Выборка 1'!BU62-'Выборка 1'!BT62))/4000</f>
        <v>0</v>
      </c>
    </row>
    <row r="63" spans="1:14" x14ac:dyDescent="0.25">
      <c r="A63" s="17">
        <v>9</v>
      </c>
      <c r="B63" s="17">
        <f>(('Выборка 1'!E63-'Выборка 1'!D63)+('Выборка 1'!F63-'Выборка 1'!E63)+('Выборка 1'!G63-'Выборка 1'!F63)+('Выборка 1'!H63-'Выборка 1'!G63))/4000</f>
        <v>-4585.5</v>
      </c>
      <c r="C63" s="17">
        <f>(('Выборка 1'!J63-'Выборка 1'!I63)+('Выборка 1'!K63-'Выборка 1'!J63)+('Выборка 1'!L63-'Выборка 1'!K63)+('Выборка 1'!M63-'Выборка 1'!L63))/4000</f>
        <v>-2056</v>
      </c>
      <c r="D63" s="17">
        <f>(('Выборка 1'!O63-'Выборка 1'!N63)+('Выборка 1'!P63-'Выборка 1'!O63)+('Выборка 1'!Q63-'Выборка 1'!P63)+('Выборка 1'!R63-'Выборка 1'!Q63))/4000</f>
        <v>-15814.25</v>
      </c>
      <c r="E63" s="17">
        <f>(('Выборка 1'!T63-'Выборка 1'!S63)+('Выборка 1'!U63-'Выборка 1'!T63)+('Выборка 1'!V63-'Выборка 1'!U63)+('Выборка 1'!W63-'Выборка 1'!V63))/4000</f>
        <v>-14.25</v>
      </c>
      <c r="F63" s="17">
        <f>(('Выборка 1'!Y63-'Выборка 1'!X63)+('Выборка 1'!Z63+'Выборка 1'!Y63)+('Выборка 1'!AA63-'Выборка 1'!Z63)+('Выборка 1'!AB63-'Выборка 1'!AA63))/4000</f>
        <v>-11086</v>
      </c>
      <c r="G63" s="17">
        <f>(('Выборка 1'!AD63-'Выборка 1'!AC63)+('Выборка 1'!AE63-'Выборка 1'!AD63)+('Выборка 1'!AF63-'Выборка 1'!AE63)+('Выборка 1'!AG63-'Выборка 1'!AF63))/4000</f>
        <v>-1181.75</v>
      </c>
      <c r="H63" s="17">
        <f>(('Выборка 1'!AI63-'Выборка 1'!AH63)+('Выборка 1'!AJ63-'Выборка 1'!AI63)+('Выборка 1'!AK63-'Выборка 1'!AJ63)+('Выборка 1'!AL63-'Выборка 1'!AK63))/4000</f>
        <v>-29669.75</v>
      </c>
      <c r="I63" s="17">
        <f>(('Выборка 1'!AN63-'Выборка 1'!AM63)+('Выборка 1'!AO63-'Выборка 1'!AN63)+('Выборка 1'!AP63-'Выборка 1'!AO63)+('Выборка 1'!AQ63-'Выборка 1'!AP63))/4000</f>
        <v>-25888.75</v>
      </c>
      <c r="J63" s="17">
        <f>((('Выборка 1'!AS63+'Выборка 1'!AX63)-('Выборка 1'!AR63+'Выборка 1'!AW63))+(('Выборка 1'!AT63+'Выборка 1'!AY63)-('Выборка 1'!AS63+'Выборка 1'!AX63))+(('Выборка 1'!AU63+'Выборка 1'!AZ63)-('Выборка 1'!AT63+'Выборка 1'!AY63))+(('Выборка 1'!AV63+'Выборка 1'!BA63)-('Выборка 1'!AU63+'Выборка 1'!AZ63)))/4000</f>
        <v>-25684.75</v>
      </c>
      <c r="K63" s="17">
        <f>(('Выборка 1'!BC63-'Выборка 1'!BB63)+('Выборка 1'!BD63-'Выборка 1'!BC63)+('Выборка 1'!BE63-'Выборка 1'!BD63)+('Выборка 1'!BF63-'Выборка 1'!BE63))/4000</f>
        <v>-5241</v>
      </c>
      <c r="L63" s="17">
        <f t="shared" si="0"/>
        <v>5037</v>
      </c>
      <c r="M63" s="17">
        <f>((('Выборка 1'!BH63-'Выборка 1'!BM63)-('Выборка 1'!BG63-'Выборка 1'!BL63))+(('Выборка 1'!BI63-'Выборка 1'!BN63)-('Выборка 1'!BH63-'Выборка 1'!BM63))+(('Выборка 1'!BJ63-'Выборка 1'!BO63)-('Выборка 1'!BI63-'Выборка 1'!BN63))+(('Выборка 1'!BK63-'Выборка 1'!BP63)-('Выборка 1'!BJ63-'Выборка 1'!BO63)))/4000</f>
        <v>-3067</v>
      </c>
      <c r="N63" s="17">
        <f>(('Выборка 1'!BR63-'Выборка 1'!BQ63)+('Выборка 1'!BS63-'Выборка 1'!BR63)+('Выборка 1'!BT63-'Выборка 1'!BS63)+('Выборка 1'!BU63-'Выборка 1'!BT63))/4000</f>
        <v>1797.25</v>
      </c>
    </row>
    <row r="64" spans="1:14" x14ac:dyDescent="0.25">
      <c r="A64" s="17">
        <v>15</v>
      </c>
      <c r="B64" s="17">
        <f>(('Выборка 1'!E64-'Выборка 1'!D64)+('Выборка 1'!F64-'Выборка 1'!E64)+('Выборка 1'!G64-'Выборка 1'!F64)+('Выборка 1'!H64-'Выборка 1'!G64))/4000</f>
        <v>0</v>
      </c>
      <c r="C64" s="17">
        <f>(('Выборка 1'!J64-'Выборка 1'!I64)+('Выборка 1'!K64-'Выборка 1'!J64)+('Выборка 1'!L64-'Выборка 1'!K64)+('Выборка 1'!M64-'Выборка 1'!L64))/4000</f>
        <v>0</v>
      </c>
      <c r="D64" s="17">
        <f>(('Выборка 1'!O64-'Выборка 1'!N64)+('Выборка 1'!P64-'Выборка 1'!O64)+('Выборка 1'!Q64-'Выборка 1'!P64)+('Выборка 1'!R64-'Выборка 1'!Q64))/4000</f>
        <v>0</v>
      </c>
      <c r="E64" s="17">
        <f>(('Выборка 1'!T64-'Выборка 1'!S64)+('Выборка 1'!U64-'Выборка 1'!T64)+('Выборка 1'!V64-'Выборка 1'!U64)+('Выборка 1'!W64-'Выборка 1'!V64))/4000</f>
        <v>0</v>
      </c>
      <c r="F64" s="17">
        <f>(('Выборка 1'!Y64-'Выборка 1'!X64)+('Выборка 1'!Z64+'Выборка 1'!Y64)+('Выборка 1'!AA64-'Выборка 1'!Z64)+('Выборка 1'!AB64-'Выборка 1'!AA64))/4000</f>
        <v>0</v>
      </c>
      <c r="G64" s="17">
        <f>(('Выборка 1'!AD64-'Выборка 1'!AC64)+('Выборка 1'!AE64-'Выборка 1'!AD64)+('Выборка 1'!AF64-'Выборка 1'!AE64)+('Выборка 1'!AG64-'Выборка 1'!AF64))/4000</f>
        <v>0</v>
      </c>
      <c r="H64" s="17">
        <f>(('Выборка 1'!AI64-'Выборка 1'!AH64)+('Выборка 1'!AJ64-'Выборка 1'!AI64)+('Выборка 1'!AK64-'Выборка 1'!AJ64)+('Выборка 1'!AL64-'Выборка 1'!AK64))/4000</f>
        <v>0</v>
      </c>
      <c r="I64" s="17">
        <f>(('Выборка 1'!AN64-'Выборка 1'!AM64)+('Выборка 1'!AO64-'Выборка 1'!AN64)+('Выборка 1'!AP64-'Выборка 1'!AO64)+('Выборка 1'!AQ64-'Выборка 1'!AP64))/4000</f>
        <v>0</v>
      </c>
      <c r="J64" s="17">
        <f>((('Выборка 1'!AS64+'Выборка 1'!AX64)-('Выборка 1'!AR64+'Выборка 1'!AW64))+(('Выборка 1'!AT64+'Выборка 1'!AY64)-('Выборка 1'!AS64+'Выборка 1'!AX64))+(('Выборка 1'!AU64+'Выборка 1'!AZ64)-('Выборка 1'!AT64+'Выборка 1'!AY64))+(('Выборка 1'!AV64+'Выборка 1'!BA64)-('Выборка 1'!AU64+'Выборка 1'!AZ64)))/4000</f>
        <v>0</v>
      </c>
      <c r="K64" s="17">
        <f>(('Выборка 1'!BC64-'Выборка 1'!BB64)+('Выборка 1'!BD64-'Выборка 1'!BC64)+('Выборка 1'!BE64-'Выборка 1'!BD64)+('Выборка 1'!BF64-'Выборка 1'!BE64))/4000</f>
        <v>0</v>
      </c>
      <c r="L64" s="17">
        <f t="shared" si="0"/>
        <v>0</v>
      </c>
      <c r="M64" s="17">
        <f>((('Выборка 1'!BH64-'Выборка 1'!BM64)-('Выборка 1'!BG64-'Выборка 1'!BL64))+(('Выборка 1'!BI64-'Выборка 1'!BN64)-('Выборка 1'!BH64-'Выборка 1'!BM64))+(('Выборка 1'!BJ64-'Выборка 1'!BO64)-('Выборка 1'!BI64-'Выборка 1'!BN64))+(('Выборка 1'!BK64-'Выборка 1'!BP64)-('Выборка 1'!BJ64-'Выборка 1'!BO64)))/4000</f>
        <v>0</v>
      </c>
      <c r="N64" s="17">
        <f>(('Выборка 1'!BR64-'Выборка 1'!BQ64)+('Выборка 1'!BS64-'Выборка 1'!BR64)+('Выборка 1'!BT64-'Выборка 1'!BS64)+('Выборка 1'!BU64-'Выборка 1'!BT64))/4000</f>
        <v>0</v>
      </c>
    </row>
    <row r="65" spans="1:14" x14ac:dyDescent="0.25">
      <c r="A65" s="17">
        <v>17</v>
      </c>
      <c r="B65" s="17">
        <f>(('Выборка 1'!E65-'Выборка 1'!D65)+('Выборка 1'!F65-'Выборка 1'!E65)+('Выборка 1'!G65-'Выборка 1'!F65)+('Выборка 1'!H65-'Выборка 1'!G65))/4000</f>
        <v>0</v>
      </c>
      <c r="C65" s="17">
        <f>(('Выборка 1'!J65-'Выборка 1'!I65)+('Выборка 1'!K65-'Выборка 1'!J65)+('Выборка 1'!L65-'Выборка 1'!K65)+('Выборка 1'!M65-'Выборка 1'!L65))/4000</f>
        <v>0</v>
      </c>
      <c r="D65" s="17">
        <f>(('Выборка 1'!O65-'Выборка 1'!N65)+('Выборка 1'!P65-'Выборка 1'!O65)+('Выборка 1'!Q65-'Выборка 1'!P65)+('Выборка 1'!R65-'Выборка 1'!Q65))/4000</f>
        <v>-1065.25</v>
      </c>
      <c r="E65" s="17">
        <f>(('Выборка 1'!T65-'Выборка 1'!S65)+('Выборка 1'!U65-'Выборка 1'!T65)+('Выборка 1'!V65-'Выборка 1'!U65)+('Выборка 1'!W65-'Выборка 1'!V65))/4000</f>
        <v>0</v>
      </c>
      <c r="F65" s="17">
        <f>(('Выборка 1'!Y65-'Выборка 1'!X65)+('Выборка 1'!Z65+'Выборка 1'!Y65)+('Выборка 1'!AA65-'Выборка 1'!Z65)+('Выборка 1'!AB65-'Выборка 1'!AA65))/4000</f>
        <v>-264953.25</v>
      </c>
      <c r="G65" s="17">
        <f>(('Выборка 1'!AD65-'Выборка 1'!AC65)+('Выборка 1'!AE65-'Выборка 1'!AD65)+('Выборка 1'!AF65-'Выборка 1'!AE65)+('Выборка 1'!AG65-'Выборка 1'!AF65))/4000</f>
        <v>0</v>
      </c>
      <c r="H65" s="17">
        <f>(('Выборка 1'!AI65-'Выборка 1'!AH65)+('Выборка 1'!AJ65-'Выборка 1'!AI65)+('Выборка 1'!AK65-'Выборка 1'!AJ65)+('Выборка 1'!AL65-'Выборка 1'!AK65))/4000</f>
        <v>0</v>
      </c>
      <c r="I65" s="17">
        <f>(('Выборка 1'!AN65-'Выборка 1'!AM65)+('Выборка 1'!AO65-'Выборка 1'!AN65)+('Выборка 1'!AP65-'Выборка 1'!AO65)+('Выборка 1'!AQ65-'Выборка 1'!AP65))/4000</f>
        <v>-17.25</v>
      </c>
      <c r="J65" s="17">
        <f>((('Выборка 1'!AS65+'Выборка 1'!AX65)-('Выборка 1'!AR65+'Выборка 1'!AW65))+(('Выборка 1'!AT65+'Выборка 1'!AY65)-('Выборка 1'!AS65+'Выборка 1'!AX65))+(('Выборка 1'!AU65+'Выборка 1'!AZ65)-('Выборка 1'!AT65+'Выборка 1'!AY65))+(('Выборка 1'!AV65+'Выборка 1'!BA65)-('Выборка 1'!AU65+'Выборка 1'!AZ65)))/4000</f>
        <v>0</v>
      </c>
      <c r="K65" s="17">
        <f>(('Выборка 1'!BC65-'Выборка 1'!BB65)+('Выборка 1'!BD65-'Выборка 1'!BC65)+('Выборка 1'!BE65-'Выборка 1'!BD65)+('Выборка 1'!BF65-'Выборка 1'!BE65))/4000</f>
        <v>0</v>
      </c>
      <c r="L65" s="17">
        <f t="shared" si="0"/>
        <v>-17.25</v>
      </c>
      <c r="M65" s="17">
        <f>((('Выборка 1'!BH65-'Выборка 1'!BM65)-('Выборка 1'!BG65-'Выборка 1'!BL65))+(('Выборка 1'!BI65-'Выборка 1'!BN65)-('Выборка 1'!BH65-'Выборка 1'!BM65))+(('Выборка 1'!BJ65-'Выборка 1'!BO65)-('Выборка 1'!BI65-'Выборка 1'!BN65))+(('Выборка 1'!BK65-'Выборка 1'!BP65)-('Выборка 1'!BJ65-'Выборка 1'!BO65)))/4000</f>
        <v>17.25</v>
      </c>
      <c r="N65" s="17">
        <f>(('Выборка 1'!BR65-'Выборка 1'!BQ65)+('Выборка 1'!BS65-'Выборка 1'!BR65)+('Выборка 1'!BT65-'Выборка 1'!BS65)+('Выборка 1'!BU65-'Выборка 1'!BT65))/4000</f>
        <v>0</v>
      </c>
    </row>
    <row r="66" spans="1:14" x14ac:dyDescent="0.25">
      <c r="A66" s="17">
        <v>6</v>
      </c>
      <c r="B66" s="17">
        <f>(('Выборка 1'!E66-'Выборка 1'!D66)+('Выборка 1'!F66-'Выборка 1'!E66)+('Выборка 1'!G66-'Выборка 1'!F66)+('Выборка 1'!H66-'Выборка 1'!G66))/4000</f>
        <v>0</v>
      </c>
      <c r="C66" s="17">
        <f>(('Выборка 1'!J66-'Выборка 1'!I66)+('Выборка 1'!K66-'Выборка 1'!J66)+('Выборка 1'!L66-'Выборка 1'!K66)+('Выборка 1'!M66-'Выборка 1'!L66))/4000</f>
        <v>-38</v>
      </c>
      <c r="D66" s="17">
        <f>(('Выборка 1'!O66-'Выборка 1'!N66)+('Выборка 1'!P66-'Выборка 1'!O66)+('Выборка 1'!Q66-'Выборка 1'!P66)+('Выборка 1'!R66-'Выборка 1'!Q66))/4000</f>
        <v>-796</v>
      </c>
      <c r="E66" s="17">
        <f>(('Выборка 1'!T66-'Выборка 1'!S66)+('Выборка 1'!U66-'Выборка 1'!T66)+('Выборка 1'!V66-'Выборка 1'!U66)+('Выборка 1'!W66-'Выборка 1'!V66))/4000</f>
        <v>-78</v>
      </c>
      <c r="F66" s="17">
        <f>(('Выборка 1'!Y66-'Выборка 1'!X66)+('Выборка 1'!Z66+'Выборка 1'!Y66)+('Выборка 1'!AA66-'Выборка 1'!Z66)+('Выборка 1'!AB66-'Выборка 1'!AA66))/4000</f>
        <v>-7824.5</v>
      </c>
      <c r="G66" s="17">
        <f>(('Выборка 1'!AD66-'Выборка 1'!AC66)+('Выборка 1'!AE66-'Выборка 1'!AD66)+('Выборка 1'!AF66-'Выборка 1'!AE66)+('Выборка 1'!AG66-'Выборка 1'!AF66))/4000</f>
        <v>0</v>
      </c>
      <c r="H66" s="17">
        <f>(('Выборка 1'!AI66-'Выборка 1'!AH66)+('Выборка 1'!AJ66-'Выборка 1'!AI66)+('Выборка 1'!AK66-'Выборка 1'!AJ66)+('Выборка 1'!AL66-'Выборка 1'!AK66))/4000</f>
        <v>-1147.5</v>
      </c>
      <c r="I66" s="17">
        <f>(('Выборка 1'!AN66-'Выборка 1'!AM66)+('Выборка 1'!AO66-'Выборка 1'!AN66)+('Выборка 1'!AP66-'Выборка 1'!AO66)+('Выборка 1'!AQ66-'Выборка 1'!AP66))/4000</f>
        <v>-15128.75</v>
      </c>
      <c r="J66" s="17">
        <f>((('Выборка 1'!AS66+'Выборка 1'!AX66)-('Выборка 1'!AR66+'Выборка 1'!AW66))+(('Выборка 1'!AT66+'Выборка 1'!AY66)-('Выборка 1'!AS66+'Выборка 1'!AX66))+(('Выборка 1'!AU66+'Выборка 1'!AZ66)-('Выборка 1'!AT66+'Выборка 1'!AY66))+(('Выборка 1'!AV66+'Выборка 1'!BA66)-('Выборка 1'!AU66+'Выборка 1'!AZ66)))/4000</f>
        <v>-16201.25</v>
      </c>
      <c r="K66" s="17">
        <f>(('Выборка 1'!BC66-'Выборка 1'!BB66)+('Выборка 1'!BD66-'Выборка 1'!BC66)+('Выборка 1'!BE66-'Выборка 1'!BD66)+('Выборка 1'!BF66-'Выборка 1'!BE66))/4000</f>
        <v>-12.25</v>
      </c>
      <c r="L66" s="17">
        <f t="shared" si="0"/>
        <v>1084.75</v>
      </c>
      <c r="M66" s="17">
        <f>((('Выборка 1'!BH66-'Выборка 1'!BM66)-('Выборка 1'!BG66-'Выборка 1'!BL66))+(('Выборка 1'!BI66-'Выборка 1'!BN66)-('Выборка 1'!BH66-'Выборка 1'!BM66))+(('Выборка 1'!BJ66-'Выборка 1'!BO66)-('Выборка 1'!BI66-'Выборка 1'!BN66))+(('Выборка 1'!BK66-'Выборка 1'!BP66)-('Выборка 1'!BJ66-'Выборка 1'!BO66)))/4000</f>
        <v>31.25</v>
      </c>
      <c r="N66" s="17">
        <f>(('Выборка 1'!BR66-'Выборка 1'!BQ66)+('Выборка 1'!BS66-'Выборка 1'!BR66)+('Выборка 1'!BT66-'Выборка 1'!BS66)+('Выборка 1'!BU66-'Выборка 1'!BT66))/4000</f>
        <v>952.5</v>
      </c>
    </row>
    <row r="67" spans="1:14" x14ac:dyDescent="0.25">
      <c r="A67" s="17">
        <v>17</v>
      </c>
      <c r="B67" s="17">
        <f>(('Выборка 1'!E67-'Выборка 1'!D67)+('Выборка 1'!F67-'Выборка 1'!E67)+('Выборка 1'!G67-'Выборка 1'!F67)+('Выборка 1'!H67-'Выборка 1'!G67))/4000</f>
        <v>-1004</v>
      </c>
      <c r="C67" s="17">
        <f>(('Выборка 1'!J67-'Выборка 1'!I67)+('Выборка 1'!K67-'Выборка 1'!J67)+('Выборка 1'!L67-'Выборка 1'!K67)+('Выборка 1'!M67-'Выборка 1'!L67))/4000</f>
        <v>-24.25</v>
      </c>
      <c r="D67" s="17">
        <f>(('Выборка 1'!O67-'Выборка 1'!N67)+('Выборка 1'!P67-'Выборка 1'!O67)+('Выборка 1'!Q67-'Выборка 1'!P67)+('Выборка 1'!R67-'Выборка 1'!Q67))/4000</f>
        <v>-4952.75</v>
      </c>
      <c r="E67" s="17">
        <f>(('Выборка 1'!T67-'Выборка 1'!S67)+('Выборка 1'!U67-'Выборка 1'!T67)+('Выборка 1'!V67-'Выборка 1'!U67)+('Выборка 1'!W67-'Выборка 1'!V67))/4000</f>
        <v>-120.75</v>
      </c>
      <c r="F67" s="17">
        <f>(('Выборка 1'!Y67-'Выборка 1'!X67)+('Выборка 1'!Z67+'Выборка 1'!Y67)+('Выборка 1'!AA67-'Выборка 1'!Z67)+('Выборка 1'!AB67-'Выборка 1'!AA67))/4000</f>
        <v>0</v>
      </c>
      <c r="G67" s="17">
        <f>(('Выборка 1'!AD67-'Выборка 1'!AC67)+('Выборка 1'!AE67-'Выборка 1'!AD67)+('Выборка 1'!AF67-'Выборка 1'!AE67)+('Выборка 1'!AG67-'Выборка 1'!AF67))/4000</f>
        <v>-60</v>
      </c>
      <c r="H67" s="17">
        <f>(('Выборка 1'!AI67-'Выборка 1'!AH67)+('Выборка 1'!AJ67-'Выборка 1'!AI67)+('Выборка 1'!AK67-'Выборка 1'!AJ67)+('Выборка 1'!AL67-'Выборка 1'!AK67))/4000</f>
        <v>-5328.75</v>
      </c>
      <c r="I67" s="17">
        <f>(('Выборка 1'!AN67-'Выборка 1'!AM67)+('Выборка 1'!AO67-'Выборка 1'!AN67)+('Выборка 1'!AP67-'Выборка 1'!AO67)+('Выборка 1'!AQ67-'Выборка 1'!AP67))/4000</f>
        <v>-7928.25</v>
      </c>
      <c r="J67" s="17">
        <f>((('Выборка 1'!AS67+'Выборка 1'!AX67)-('Выборка 1'!AR67+'Выборка 1'!AW67))+(('Выборка 1'!AT67+'Выборка 1'!AY67)-('Выборка 1'!AS67+'Выборка 1'!AX67))+(('Выборка 1'!AU67+'Выборка 1'!AZ67)-('Выборка 1'!AT67+'Выборка 1'!AY67))+(('Выборка 1'!AV67+'Выборка 1'!BA67)-('Выборка 1'!AU67+'Выборка 1'!AZ67)))/4000</f>
        <v>-7373</v>
      </c>
      <c r="K67" s="17">
        <f>(('Выборка 1'!BC67-'Выборка 1'!BB67)+('Выборка 1'!BD67-'Выборка 1'!BC67)+('Выборка 1'!BE67-'Выборка 1'!BD67)+('Выборка 1'!BF67-'Выборка 1'!BE67))/4000</f>
        <v>0</v>
      </c>
      <c r="L67" s="17">
        <f t="shared" ref="L67:L130" si="1">I67-J67-K67</f>
        <v>-555.25</v>
      </c>
      <c r="M67" s="17">
        <f>((('Выборка 1'!BH67-'Выборка 1'!BM67)-('Выборка 1'!BG67-'Выборка 1'!BL67))+(('Выборка 1'!BI67-'Выборка 1'!BN67)-('Выборка 1'!BH67-'Выборка 1'!BM67))+(('Выборка 1'!BJ67-'Выборка 1'!BO67)-('Выборка 1'!BI67-'Выборка 1'!BN67))+(('Выборка 1'!BK67-'Выборка 1'!BP67)-('Выборка 1'!BJ67-'Выборка 1'!BO67)))/4000</f>
        <v>271.25</v>
      </c>
      <c r="N67" s="17">
        <f>(('Выборка 1'!BR67-'Выборка 1'!BQ67)+('Выборка 1'!BS67-'Выборка 1'!BR67)+('Выборка 1'!BT67-'Выборка 1'!BS67)+('Выборка 1'!BU67-'Выборка 1'!BT67))/4000</f>
        <v>-209.25</v>
      </c>
    </row>
    <row r="68" spans="1:14" x14ac:dyDescent="0.25">
      <c r="A68" s="17">
        <v>8</v>
      </c>
      <c r="B68" s="17">
        <f>(('Выборка 1'!E68-'Выборка 1'!D68)+('Выборка 1'!F68-'Выборка 1'!E68)+('Выборка 1'!G68-'Выборка 1'!F68)+('Выборка 1'!H68-'Выборка 1'!G68))/4000</f>
        <v>0</v>
      </c>
      <c r="C68" s="17">
        <f>(('Выборка 1'!J68-'Выборка 1'!I68)+('Выборка 1'!K68-'Выборка 1'!J68)+('Выборка 1'!L68-'Выборка 1'!K68)+('Выборка 1'!M68-'Выборка 1'!L68))/4000</f>
        <v>0</v>
      </c>
      <c r="D68" s="17">
        <f>(('Выборка 1'!O68-'Выборка 1'!N68)+('Выборка 1'!P68-'Выборка 1'!O68)+('Выборка 1'!Q68-'Выборка 1'!P68)+('Выборка 1'!R68-'Выборка 1'!Q68))/4000</f>
        <v>0</v>
      </c>
      <c r="E68" s="17">
        <f>(('Выборка 1'!T68-'Выборка 1'!S68)+('Выборка 1'!U68-'Выборка 1'!T68)+('Выборка 1'!V68-'Выборка 1'!U68)+('Выборка 1'!W68-'Выборка 1'!V68))/4000</f>
        <v>0</v>
      </c>
      <c r="F68" s="17">
        <f>(('Выборка 1'!Y68-'Выборка 1'!X68)+('Выборка 1'!Z68+'Выборка 1'!Y68)+('Выборка 1'!AA68-'Выборка 1'!Z68)+('Выборка 1'!AB68-'Выборка 1'!AA68))/4000</f>
        <v>0</v>
      </c>
      <c r="G68" s="17">
        <f>(('Выборка 1'!AD68-'Выборка 1'!AC68)+('Выборка 1'!AE68-'Выборка 1'!AD68)+('Выборка 1'!AF68-'Выборка 1'!AE68)+('Выборка 1'!AG68-'Выборка 1'!AF68))/4000</f>
        <v>0</v>
      </c>
      <c r="H68" s="17">
        <f>(('Выборка 1'!AI68-'Выборка 1'!AH68)+('Выборка 1'!AJ68-'Выборка 1'!AI68)+('Выборка 1'!AK68-'Выборка 1'!AJ68)+('Выборка 1'!AL68-'Выборка 1'!AK68))/4000</f>
        <v>0</v>
      </c>
      <c r="I68" s="17">
        <f>(('Выборка 1'!AN68-'Выборка 1'!AM68)+('Выборка 1'!AO68-'Выборка 1'!AN68)+('Выборка 1'!AP68-'Выборка 1'!AO68)+('Выборка 1'!AQ68-'Выборка 1'!AP68))/4000</f>
        <v>0</v>
      </c>
      <c r="J68" s="17">
        <f>((('Выборка 1'!AS68+'Выборка 1'!AX68)-('Выборка 1'!AR68+'Выборка 1'!AW68))+(('Выборка 1'!AT68+'Выборка 1'!AY68)-('Выборка 1'!AS68+'Выборка 1'!AX68))+(('Выборка 1'!AU68+'Выборка 1'!AZ68)-('Выборка 1'!AT68+'Выборка 1'!AY68))+(('Выборка 1'!AV68+'Выборка 1'!BA68)-('Выборка 1'!AU68+'Выборка 1'!AZ68)))/4000</f>
        <v>0</v>
      </c>
      <c r="K68" s="17">
        <f>(('Выборка 1'!BC68-'Выборка 1'!BB68)+('Выборка 1'!BD68-'Выборка 1'!BC68)+('Выборка 1'!BE68-'Выборка 1'!BD68)+('Выборка 1'!BF68-'Выборка 1'!BE68))/4000</f>
        <v>0</v>
      </c>
      <c r="L68" s="17">
        <f t="shared" si="1"/>
        <v>0</v>
      </c>
      <c r="M68" s="17">
        <f>((('Выборка 1'!BH68-'Выборка 1'!BM68)-('Выборка 1'!BG68-'Выборка 1'!BL68))+(('Выборка 1'!BI68-'Выборка 1'!BN68)-('Выборка 1'!BH68-'Выборка 1'!BM68))+(('Выборка 1'!BJ68-'Выборка 1'!BO68)-('Выборка 1'!BI68-'Выборка 1'!BN68))+(('Выборка 1'!BK68-'Выборка 1'!BP68)-('Выборка 1'!BJ68-'Выборка 1'!BO68)))/4000</f>
        <v>0</v>
      </c>
      <c r="N68" s="17">
        <f>(('Выборка 1'!BR68-'Выборка 1'!BQ68)+('Выборка 1'!BS68-'Выборка 1'!BR68)+('Выборка 1'!BT68-'Выборка 1'!BS68)+('Выборка 1'!BU68-'Выборка 1'!BT68))/4000</f>
        <v>0</v>
      </c>
    </row>
    <row r="69" spans="1:14" x14ac:dyDescent="0.25">
      <c r="A69" s="17">
        <v>17</v>
      </c>
      <c r="B69" s="17">
        <f>(('Выборка 1'!E69-'Выборка 1'!D69)+('Выборка 1'!F69-'Выборка 1'!E69)+('Выборка 1'!G69-'Выборка 1'!F69)+('Выборка 1'!H69-'Выборка 1'!G69))/4000</f>
        <v>-274.5</v>
      </c>
      <c r="C69" s="17">
        <f>(('Выборка 1'!J69-'Выборка 1'!I69)+('Выборка 1'!K69-'Выборка 1'!J69)+('Выборка 1'!L69-'Выборка 1'!K69)+('Выборка 1'!M69-'Выборка 1'!L69))/4000</f>
        <v>0</v>
      </c>
      <c r="D69" s="17">
        <f>(('Выборка 1'!O69-'Выборка 1'!N69)+('Выборка 1'!P69-'Выборка 1'!O69)+('Выборка 1'!Q69-'Выборка 1'!P69)+('Выборка 1'!R69-'Выборка 1'!Q69))/4000</f>
        <v>-1727.75</v>
      </c>
      <c r="E69" s="17">
        <f>(('Выборка 1'!T69-'Выборка 1'!S69)+('Выборка 1'!U69-'Выборка 1'!T69)+('Выборка 1'!V69-'Выборка 1'!U69)+('Выборка 1'!W69-'Выборка 1'!V69))/4000</f>
        <v>-34.5</v>
      </c>
      <c r="F69" s="17">
        <f>(('Выборка 1'!Y69-'Выборка 1'!X69)+('Выборка 1'!Z69+'Выборка 1'!Y69)+('Выборка 1'!AA69-'Выборка 1'!Z69)+('Выборка 1'!AB69-'Выборка 1'!AA69))/4000</f>
        <v>0</v>
      </c>
      <c r="G69" s="17">
        <f>(('Выборка 1'!AD69-'Выборка 1'!AC69)+('Выборка 1'!AE69-'Выборка 1'!AD69)+('Выборка 1'!AF69-'Выборка 1'!AE69)+('Выборка 1'!AG69-'Выборка 1'!AF69))/4000</f>
        <v>0</v>
      </c>
      <c r="H69" s="17">
        <f>(('Выборка 1'!AI69-'Выборка 1'!AH69)+('Выборка 1'!AJ69-'Выборка 1'!AI69)+('Выборка 1'!AK69-'Выборка 1'!AJ69)+('Выборка 1'!AL69-'Выборка 1'!AK69))/4000</f>
        <v>-1563.5</v>
      </c>
      <c r="I69" s="17">
        <f>(('Выборка 1'!AN69-'Выборка 1'!AM69)+('Выборка 1'!AO69-'Выборка 1'!AN69)+('Выборка 1'!AP69-'Выборка 1'!AO69)+('Выборка 1'!AQ69-'Выборка 1'!AP69))/4000</f>
        <v>-2116</v>
      </c>
      <c r="J69" s="17">
        <f>((('Выборка 1'!AS69+'Выборка 1'!AX69)-('Выборка 1'!AR69+'Выборка 1'!AW69))+(('Выборка 1'!AT69+'Выборка 1'!AY69)-('Выборка 1'!AS69+'Выборка 1'!AX69))+(('Выборка 1'!AU69+'Выборка 1'!AZ69)-('Выборка 1'!AT69+'Выборка 1'!AY69))+(('Выборка 1'!AV69+'Выборка 1'!BA69)-('Выборка 1'!AU69+'Выборка 1'!AZ69)))/4000</f>
        <v>-1801.25</v>
      </c>
      <c r="K69" s="17">
        <f>(('Выборка 1'!BC69-'Выборка 1'!BB69)+('Выборка 1'!BD69-'Выборка 1'!BC69)+('Выборка 1'!BE69-'Выборка 1'!BD69)+('Выборка 1'!BF69-'Выборка 1'!BE69))/4000</f>
        <v>0</v>
      </c>
      <c r="L69" s="17">
        <f t="shared" si="1"/>
        <v>-314.75</v>
      </c>
      <c r="M69" s="17">
        <f>((('Выборка 1'!BH69-'Выборка 1'!BM69)-('Выборка 1'!BG69-'Выборка 1'!BL69))+(('Выборка 1'!BI69-'Выборка 1'!BN69)-('Выборка 1'!BH69-'Выборка 1'!BM69))+(('Выборка 1'!BJ69-'Выборка 1'!BO69)-('Выборка 1'!BI69-'Выборка 1'!BN69))+(('Выборка 1'!BK69-'Выборка 1'!BP69)-('Выборка 1'!BJ69-'Выборка 1'!BO69)))/4000</f>
        <v>-201.5</v>
      </c>
      <c r="N69" s="17">
        <f>(('Выборка 1'!BR69-'Выборка 1'!BQ69)+('Выборка 1'!BS69-'Выборка 1'!BR69)+('Выборка 1'!BT69-'Выборка 1'!BS69)+('Выборка 1'!BU69-'Выборка 1'!BT69))/4000</f>
        <v>-375</v>
      </c>
    </row>
    <row r="70" spans="1:14" x14ac:dyDescent="0.25">
      <c r="A70" s="17">
        <v>17</v>
      </c>
      <c r="B70" s="17">
        <f>(('Выборка 1'!E70-'Выборка 1'!D70)+('Выборка 1'!F70-'Выборка 1'!E70)+('Выборка 1'!G70-'Выборка 1'!F70)+('Выборка 1'!H70-'Выборка 1'!G70))/4000</f>
        <v>418.5</v>
      </c>
      <c r="C70" s="17">
        <f>(('Выборка 1'!J70-'Выборка 1'!I70)+('Выборка 1'!K70-'Выборка 1'!J70)+('Выборка 1'!L70-'Выборка 1'!K70)+('Выборка 1'!M70-'Выборка 1'!L70))/4000</f>
        <v>4470</v>
      </c>
      <c r="D70" s="17">
        <f>(('Выборка 1'!O70-'Выборка 1'!N70)+('Выборка 1'!P70-'Выборка 1'!O70)+('Выборка 1'!Q70-'Выборка 1'!P70)+('Выборка 1'!R70-'Выборка 1'!Q70))/4000</f>
        <v>-474.25</v>
      </c>
      <c r="E70" s="17">
        <f>(('Выборка 1'!T70-'Выборка 1'!S70)+('Выборка 1'!U70-'Выборка 1'!T70)+('Выборка 1'!V70-'Выборка 1'!U70)+('Выборка 1'!W70-'Выборка 1'!V70))/4000</f>
        <v>97.25</v>
      </c>
      <c r="F70" s="17">
        <f>(('Выборка 1'!Y70-'Выборка 1'!X70)+('Выборка 1'!Z70+'Выборка 1'!Y70)+('Выборка 1'!AA70-'Выборка 1'!Z70)+('Выборка 1'!AB70-'Выборка 1'!AA70))/4000</f>
        <v>2776</v>
      </c>
      <c r="G70" s="17">
        <f>(('Выборка 1'!AD70-'Выборка 1'!AC70)+('Выборка 1'!AE70-'Выборка 1'!AD70)+('Выборка 1'!AF70-'Выборка 1'!AE70)+('Выборка 1'!AG70-'Выборка 1'!AF70))/4000</f>
        <v>0</v>
      </c>
      <c r="H70" s="17">
        <f>(('Выборка 1'!AI70-'Выборка 1'!AH70)+('Выборка 1'!AJ70-'Выборка 1'!AI70)+('Выборка 1'!AK70-'Выборка 1'!AJ70)+('Выборка 1'!AL70-'Выборка 1'!AK70))/4000</f>
        <v>5049.75</v>
      </c>
      <c r="I70" s="17">
        <f>(('Выборка 1'!AN70-'Выборка 1'!AM70)+('Выборка 1'!AO70-'Выборка 1'!AN70)+('Выборка 1'!AP70-'Выборка 1'!AO70)+('Выборка 1'!AQ70-'Выборка 1'!AP70))/4000</f>
        <v>-2613</v>
      </c>
      <c r="J70" s="17">
        <f>((('Выборка 1'!AS70+'Выборка 1'!AX70)-('Выборка 1'!AR70+'Выборка 1'!AW70))+(('Выборка 1'!AT70+'Выборка 1'!AY70)-('Выборка 1'!AS70+'Выборка 1'!AX70))+(('Выборка 1'!AU70+'Выборка 1'!AZ70)-('Выборка 1'!AT70+'Выборка 1'!AY70))+(('Выборка 1'!AV70+'Выборка 1'!BA70)-('Выборка 1'!AU70+'Выборка 1'!AZ70)))/4000</f>
        <v>-2349.75</v>
      </c>
      <c r="K70" s="17">
        <f>(('Выборка 1'!BC70-'Выборка 1'!BB70)+('Выборка 1'!BD70-'Выборка 1'!BC70)+('Выборка 1'!BE70-'Выборка 1'!BD70)+('Выборка 1'!BF70-'Выборка 1'!BE70))/4000</f>
        <v>0</v>
      </c>
      <c r="L70" s="17">
        <f t="shared" si="1"/>
        <v>-263.25</v>
      </c>
      <c r="M70" s="17">
        <f>((('Выборка 1'!BH70-'Выборка 1'!BM70)-('Выборка 1'!BG70-'Выборка 1'!BL70))+(('Выборка 1'!BI70-'Выборка 1'!BN70)-('Выборка 1'!BH70-'Выборка 1'!BM70))+(('Выборка 1'!BJ70-'Выборка 1'!BO70)-('Выборка 1'!BI70-'Выборка 1'!BN70))+(('Выборка 1'!BK70-'Выборка 1'!BP70)-('Выборка 1'!BJ70-'Выборка 1'!BO70)))/4000</f>
        <v>15.5</v>
      </c>
      <c r="N70" s="17">
        <f>(('Выборка 1'!BR70-'Выборка 1'!BQ70)+('Выборка 1'!BS70-'Выборка 1'!BR70)+('Выборка 1'!BT70-'Выборка 1'!BS70)+('Выборка 1'!BU70-'Выборка 1'!BT70))/4000</f>
        <v>-152.5</v>
      </c>
    </row>
    <row r="71" spans="1:14" x14ac:dyDescent="0.25">
      <c r="A71" s="17">
        <v>28</v>
      </c>
      <c r="B71" s="17">
        <f>(('Выборка 1'!E71-'Выборка 1'!D71)+('Выборка 1'!F71-'Выборка 1'!E71)+('Выборка 1'!G71-'Выборка 1'!F71)+('Выборка 1'!H71-'Выборка 1'!G71))/4000</f>
        <v>-179.5</v>
      </c>
      <c r="C71" s="17">
        <f>(('Выборка 1'!J71-'Выборка 1'!I71)+('Выборка 1'!K71-'Выборка 1'!J71)+('Выборка 1'!L71-'Выборка 1'!K71)+('Выборка 1'!M71-'Выборка 1'!L71))/4000</f>
        <v>-8828.5</v>
      </c>
      <c r="D71" s="17">
        <f>(('Выборка 1'!O71-'Выборка 1'!N71)+('Выборка 1'!P71-'Выборка 1'!O71)+('Выборка 1'!Q71-'Выборка 1'!P71)+('Выборка 1'!R71-'Выборка 1'!Q71))/4000</f>
        <v>-1110.75</v>
      </c>
      <c r="E71" s="17">
        <f>(('Выборка 1'!T71-'Выборка 1'!S71)+('Выборка 1'!U71-'Выборка 1'!T71)+('Выборка 1'!V71-'Выборка 1'!U71)+('Выборка 1'!W71-'Выборка 1'!V71))/4000</f>
        <v>-6052.25</v>
      </c>
      <c r="F71" s="17">
        <f>(('Выборка 1'!Y71-'Выборка 1'!X71)+('Выборка 1'!Z71+'Выборка 1'!Y71)+('Выборка 1'!AA71-'Выборка 1'!Z71)+('Выборка 1'!AB71-'Выборка 1'!AA71))/4000</f>
        <v>-384196.75</v>
      </c>
      <c r="G71" s="17">
        <f>(('Выборка 1'!AD71-'Выборка 1'!AC71)+('Выборка 1'!AE71-'Выборка 1'!AD71)+('Выборка 1'!AF71-'Выборка 1'!AE71)+('Выборка 1'!AG71-'Выборка 1'!AF71))/4000</f>
        <v>0</v>
      </c>
      <c r="H71" s="17">
        <f>(('Выборка 1'!AI71-'Выборка 1'!AH71)+('Выборка 1'!AJ71-'Выборка 1'!AI71)+('Выборка 1'!AK71-'Выборка 1'!AJ71)+('Выборка 1'!AL71-'Выборка 1'!AK71))/4000</f>
        <v>-27985.5</v>
      </c>
      <c r="I71" s="17">
        <f>(('Выборка 1'!AN71-'Выборка 1'!AM71)+('Выборка 1'!AO71-'Выборка 1'!AN71)+('Выборка 1'!AP71-'Выборка 1'!AO71)+('Выборка 1'!AQ71-'Выборка 1'!AP71))/4000</f>
        <v>-711.5</v>
      </c>
      <c r="J71" s="17">
        <f>((('Выборка 1'!AS71+'Выборка 1'!AX71)-('Выборка 1'!AR71+'Выборка 1'!AW71))+(('Выборка 1'!AT71+'Выборка 1'!AY71)-('Выборка 1'!AS71+'Выборка 1'!AX71))+(('Выборка 1'!AU71+'Выборка 1'!AZ71)-('Выборка 1'!AT71+'Выборка 1'!AY71))+(('Выборка 1'!AV71+'Выборка 1'!BA71)-('Выборка 1'!AU71+'Выборка 1'!AZ71)))/4000</f>
        <v>0</v>
      </c>
      <c r="K71" s="17">
        <f>(('Выборка 1'!BC71-'Выборка 1'!BB71)+('Выборка 1'!BD71-'Выборка 1'!BC71)+('Выборка 1'!BE71-'Выборка 1'!BD71)+('Выборка 1'!BF71-'Выборка 1'!BE71))/4000</f>
        <v>-2880.75</v>
      </c>
      <c r="L71" s="17">
        <f t="shared" si="1"/>
        <v>2169.25</v>
      </c>
      <c r="M71" s="17">
        <f>((('Выборка 1'!BH71-'Выборка 1'!BM71)-('Выборка 1'!BG71-'Выборка 1'!BL71))+(('Выборка 1'!BI71-'Выборка 1'!BN71)-('Выборка 1'!BH71-'Выборка 1'!BM71))+(('Выборка 1'!BJ71-'Выборка 1'!BO71)-('Выборка 1'!BI71-'Выборка 1'!BN71))+(('Выборка 1'!BK71-'Выборка 1'!BP71)-('Выборка 1'!BJ71-'Выборка 1'!BO71)))/4000</f>
        <v>-128683</v>
      </c>
      <c r="N71" s="17">
        <f>(('Выборка 1'!BR71-'Выборка 1'!BQ71)+('Выборка 1'!BS71-'Выборка 1'!BR71)+('Выборка 1'!BT71-'Выборка 1'!BS71)+('Выборка 1'!BU71-'Выборка 1'!BT71))/4000</f>
        <v>-127161.5</v>
      </c>
    </row>
    <row r="72" spans="1:14" x14ac:dyDescent="0.25">
      <c r="A72" s="17">
        <v>10</v>
      </c>
      <c r="B72" s="17">
        <f>(('Выборка 1'!E72-'Выборка 1'!D72)+('Выборка 1'!F72-'Выборка 1'!E72)+('Выборка 1'!G72-'Выборка 1'!F72)+('Выборка 1'!H72-'Выборка 1'!G72))/4000</f>
        <v>-396.75</v>
      </c>
      <c r="C72" s="17">
        <f>(('Выборка 1'!J72-'Выборка 1'!I72)+('Выборка 1'!K72-'Выборка 1'!J72)+('Выборка 1'!L72-'Выборка 1'!K72)+('Выборка 1'!M72-'Выборка 1'!L72))/4000</f>
        <v>-15949</v>
      </c>
      <c r="D72" s="17">
        <f>(('Выборка 1'!O72-'Выборка 1'!N72)+('Выборка 1'!P72-'Выборка 1'!O72)+('Выборка 1'!Q72-'Выборка 1'!P72)+('Выборка 1'!R72-'Выборка 1'!Q72))/4000</f>
        <v>4968.5</v>
      </c>
      <c r="E72" s="17">
        <f>(('Выборка 1'!T72-'Выборка 1'!S72)+('Выборка 1'!U72-'Выборка 1'!T72)+('Выборка 1'!V72-'Выборка 1'!U72)+('Выборка 1'!W72-'Выборка 1'!V72))/4000</f>
        <v>-5143</v>
      </c>
      <c r="F72" s="17">
        <f>(('Выборка 1'!Y72-'Выборка 1'!X72)+('Выборка 1'!Z72+'Выборка 1'!Y72)+('Выборка 1'!AA72-'Выборка 1'!Z72)+('Выборка 1'!AB72-'Выборка 1'!AA72))/4000</f>
        <v>-7796.75</v>
      </c>
      <c r="G72" s="17">
        <f>(('Выборка 1'!AD72-'Выборка 1'!AC72)+('Выборка 1'!AE72-'Выборка 1'!AD72)+('Выборка 1'!AF72-'Выборка 1'!AE72)+('Выборка 1'!AG72-'Выборка 1'!AF72))/4000</f>
        <v>3095.5</v>
      </c>
      <c r="H72" s="17">
        <f>(('Выборка 1'!AI72-'Выборка 1'!AH72)+('Выборка 1'!AJ72-'Выборка 1'!AI72)+('Выборка 1'!AK72-'Выборка 1'!AJ72)+('Выборка 1'!AL72-'Выборка 1'!AK72))/4000</f>
        <v>-9432.5</v>
      </c>
      <c r="I72" s="17">
        <f>(('Выборка 1'!AN72-'Выборка 1'!AM72)+('Выборка 1'!AO72-'Выборка 1'!AN72)+('Выборка 1'!AP72-'Выборка 1'!AO72)+('Выборка 1'!AQ72-'Выборка 1'!AP72))/4000</f>
        <v>-71707</v>
      </c>
      <c r="J72" s="17">
        <f>((('Выборка 1'!AS72+'Выборка 1'!AX72)-('Выборка 1'!AR72+'Выборка 1'!AW72))+(('Выборка 1'!AT72+'Выборка 1'!AY72)-('Выборка 1'!AS72+'Выборка 1'!AX72))+(('Выборка 1'!AU72+'Выборка 1'!AZ72)-('Выборка 1'!AT72+'Выборка 1'!AY72))+(('Выборка 1'!AV72+'Выборка 1'!BA72)-('Выборка 1'!AU72+'Выборка 1'!AZ72)))/4000</f>
        <v>-68100.75</v>
      </c>
      <c r="K72" s="17">
        <f>(('Выборка 1'!BC72-'Выборка 1'!BB72)+('Выборка 1'!BD72-'Выборка 1'!BC72)+('Выборка 1'!BE72-'Выборка 1'!BD72)+('Выборка 1'!BF72-'Выборка 1'!BE72))/4000</f>
        <v>-2913.25</v>
      </c>
      <c r="L72" s="17">
        <f t="shared" si="1"/>
        <v>-693</v>
      </c>
      <c r="M72" s="17">
        <f>((('Выборка 1'!BH72-'Выборка 1'!BM72)-('Выборка 1'!BG72-'Выборка 1'!BL72))+(('Выборка 1'!BI72-'Выборка 1'!BN72)-('Выборка 1'!BH72-'Выборка 1'!BM72))+(('Выборка 1'!BJ72-'Выборка 1'!BO72)-('Выборка 1'!BI72-'Выборка 1'!BN72))+(('Выборка 1'!BK72-'Выборка 1'!BP72)-('Выборка 1'!BJ72-'Выборка 1'!BO72)))/4000</f>
        <v>-20.75</v>
      </c>
      <c r="N72" s="17">
        <f>(('Выборка 1'!BR72-'Выборка 1'!BQ72)+('Выборка 1'!BS72-'Выборка 1'!BR72)+('Выборка 1'!BT72-'Выборка 1'!BS72)+('Выборка 1'!BU72-'Выборка 1'!BT72))/4000</f>
        <v>-713.75</v>
      </c>
    </row>
    <row r="73" spans="1:14" x14ac:dyDescent="0.25">
      <c r="A73" s="17">
        <v>14</v>
      </c>
      <c r="B73" s="17">
        <f>(('Выборка 1'!E73-'Выборка 1'!D73)+('Выборка 1'!F73-'Выборка 1'!E73)+('Выборка 1'!G73-'Выборка 1'!F73)+('Выборка 1'!H73-'Выборка 1'!G73))/4000</f>
        <v>-19319.25</v>
      </c>
      <c r="C73" s="17">
        <f>(('Выборка 1'!J73-'Выборка 1'!I73)+('Выборка 1'!K73-'Выборка 1'!J73)+('Выборка 1'!L73-'Выборка 1'!K73)+('Выборка 1'!M73-'Выборка 1'!L73))/4000</f>
        <v>2935</v>
      </c>
      <c r="D73" s="17">
        <f>(('Выборка 1'!O73-'Выборка 1'!N73)+('Выборка 1'!P73-'Выборка 1'!O73)+('Выборка 1'!Q73-'Выборка 1'!P73)+('Выборка 1'!R73-'Выборка 1'!Q73))/4000</f>
        <v>-19596.25</v>
      </c>
      <c r="E73" s="17">
        <f>(('Выборка 1'!T73-'Выборка 1'!S73)+('Выборка 1'!U73-'Выборка 1'!T73)+('Выборка 1'!V73-'Выборка 1'!U73)+('Выборка 1'!W73-'Выборка 1'!V73))/4000</f>
        <v>6812.75</v>
      </c>
      <c r="F73" s="17">
        <f>(('Выборка 1'!Y73-'Выборка 1'!X73)+('Выборка 1'!Z73+'Выборка 1'!Y73)+('Выборка 1'!AA73-'Выборка 1'!Z73)+('Выборка 1'!AB73-'Выборка 1'!AA73))/4000</f>
        <v>-59350.25</v>
      </c>
      <c r="G73" s="17">
        <f>(('Выборка 1'!AD73-'Выборка 1'!AC73)+('Выборка 1'!AE73-'Выборка 1'!AD73)+('Выборка 1'!AF73-'Выборка 1'!AE73)+('Выборка 1'!AG73-'Выборка 1'!AF73))/4000</f>
        <v>-1.5</v>
      </c>
      <c r="H73" s="17">
        <f>(('Выборка 1'!AI73-'Выборка 1'!AH73)+('Выборка 1'!AJ73-'Выборка 1'!AI73)+('Выборка 1'!AK73-'Выборка 1'!AJ73)+('Выборка 1'!AL73-'Выборка 1'!AK73))/4000</f>
        <v>-12699.5</v>
      </c>
      <c r="I73" s="17">
        <f>(('Выборка 1'!AN73-'Выборка 1'!AM73)+('Выборка 1'!AO73-'Выборка 1'!AN73)+('Выборка 1'!AP73-'Выборка 1'!AO73)+('Выборка 1'!AQ73-'Выборка 1'!AP73))/4000</f>
        <v>-17958.75</v>
      </c>
      <c r="J73" s="17">
        <f>((('Выборка 1'!AS73+'Выборка 1'!AX73)-('Выборка 1'!AR73+'Выборка 1'!AW73))+(('Выборка 1'!AT73+'Выборка 1'!AY73)-('Выборка 1'!AS73+'Выборка 1'!AX73))+(('Выборка 1'!AU73+'Выборка 1'!AZ73)-('Выборка 1'!AT73+'Выборка 1'!AY73))+(('Выборка 1'!AV73+'Выборка 1'!BA73)-('Выборка 1'!AU73+'Выборка 1'!AZ73)))/4000</f>
        <v>-21433.25</v>
      </c>
      <c r="K73" s="17">
        <f>(('Выборка 1'!BC73-'Выборка 1'!BB73)+('Выборка 1'!BD73-'Выборка 1'!BC73)+('Выборка 1'!BE73-'Выборка 1'!BD73)+('Выборка 1'!BF73-'Выборка 1'!BE73))/4000</f>
        <v>-11895.25</v>
      </c>
      <c r="L73" s="17">
        <f t="shared" si="1"/>
        <v>15369.75</v>
      </c>
      <c r="M73" s="17">
        <f>((('Выборка 1'!BH73-'Выборка 1'!BM73)-('Выборка 1'!BG73-'Выборка 1'!BL73))+(('Выборка 1'!BI73-'Выборка 1'!BN73)-('Выборка 1'!BH73-'Выборка 1'!BM73))+(('Выборка 1'!BJ73-'Выборка 1'!BO73)-('Выборка 1'!BI73-'Выборка 1'!BN73))+(('Выборка 1'!BK73-'Выборка 1'!BP73)-('Выборка 1'!BJ73-'Выборка 1'!BO73)))/4000</f>
        <v>-3275.75</v>
      </c>
      <c r="N73" s="17">
        <f>(('Выборка 1'!BR73-'Выборка 1'!BQ73)+('Выборка 1'!BS73-'Выборка 1'!BR73)+('Выборка 1'!BT73-'Выборка 1'!BS73)+('Выборка 1'!BU73-'Выборка 1'!BT73))/4000</f>
        <v>7930.75</v>
      </c>
    </row>
    <row r="74" spans="1:14" x14ac:dyDescent="0.25">
      <c r="A74" s="17">
        <v>5</v>
      </c>
      <c r="B74" s="17">
        <f>(('Выборка 1'!E74-'Выборка 1'!D74)+('Выборка 1'!F74-'Выборка 1'!E74)+('Выборка 1'!G74-'Выборка 1'!F74)+('Выборка 1'!H74-'Выборка 1'!G74))/4000</f>
        <v>-4</v>
      </c>
      <c r="C74" s="17">
        <f>(('Выборка 1'!J74-'Выборка 1'!I74)+('Выборка 1'!K74-'Выборка 1'!J74)+('Выборка 1'!L74-'Выборка 1'!K74)+('Выборка 1'!M74-'Выборка 1'!L74))/4000</f>
        <v>25770.75</v>
      </c>
      <c r="D74" s="17">
        <f>(('Выборка 1'!O74-'Выборка 1'!N74)+('Выборка 1'!P74-'Выборка 1'!O74)+('Выборка 1'!Q74-'Выборка 1'!P74)+('Выборка 1'!R74-'Выборка 1'!Q74))/4000</f>
        <v>7825.75</v>
      </c>
      <c r="E74" s="17">
        <f>(('Выборка 1'!T74-'Выборка 1'!S74)+('Выборка 1'!U74-'Выборка 1'!T74)+('Выборка 1'!V74-'Выборка 1'!U74)+('Выборка 1'!W74-'Выборка 1'!V74))/4000</f>
        <v>-367.75</v>
      </c>
      <c r="F74" s="17">
        <f>(('Выборка 1'!Y74-'Выборка 1'!X74)+('Выборка 1'!Z74+'Выборка 1'!Y74)+('Выборка 1'!AA74-'Выборка 1'!Z74)+('Выборка 1'!AB74-'Выборка 1'!AA74))/4000</f>
        <v>0</v>
      </c>
      <c r="G74" s="17">
        <f>(('Выборка 1'!AD74-'Выборка 1'!AC74)+('Выборка 1'!AE74-'Выборка 1'!AD74)+('Выборка 1'!AF74-'Выборка 1'!AE74)+('Выборка 1'!AG74-'Выборка 1'!AF74))/4000</f>
        <v>-162.5</v>
      </c>
      <c r="H74" s="17">
        <f>(('Выборка 1'!AI74-'Выборка 1'!AH74)+('Выборка 1'!AJ74-'Выборка 1'!AI74)+('Выборка 1'!AK74-'Выборка 1'!AJ74)+('Выборка 1'!AL74-'Выборка 1'!AK74))/4000</f>
        <v>16913</v>
      </c>
      <c r="I74" s="17">
        <f>(('Выборка 1'!AN74-'Выборка 1'!AM74)+('Выборка 1'!AO74-'Выборка 1'!AN74)+('Выборка 1'!AP74-'Выборка 1'!AO74)+('Выборка 1'!AQ74-'Выборка 1'!AP74))/4000</f>
        <v>18846</v>
      </c>
      <c r="J74" s="17">
        <f>((('Выборка 1'!AS74+'Выборка 1'!AX74)-('Выборка 1'!AR74+'Выборка 1'!AW74))+(('Выборка 1'!AT74+'Выборка 1'!AY74)-('Выборка 1'!AS74+'Выборка 1'!AX74))+(('Выборка 1'!AU74+'Выборка 1'!AZ74)-('Выборка 1'!AT74+'Выборка 1'!AY74))+(('Выборка 1'!AV74+'Выборка 1'!BA74)-('Выборка 1'!AU74+'Выборка 1'!AZ74)))/4000</f>
        <v>18843.25</v>
      </c>
      <c r="K74" s="17">
        <f>(('Выборка 1'!BC74-'Выборка 1'!BB74)+('Выборка 1'!BD74-'Выборка 1'!BC74)+('Выборка 1'!BE74-'Выборка 1'!BD74)+('Выборка 1'!BF74-'Выборка 1'!BE74))/4000</f>
        <v>0</v>
      </c>
      <c r="L74" s="17">
        <f t="shared" si="1"/>
        <v>2.75</v>
      </c>
      <c r="M74" s="17">
        <f>((('Выборка 1'!BH74-'Выборка 1'!BM74)-('Выборка 1'!BG74-'Выборка 1'!BL74))+(('Выборка 1'!BI74-'Выборка 1'!BN74)-('Выборка 1'!BH74-'Выборка 1'!BM74))+(('Выборка 1'!BJ74-'Выборка 1'!BO74)-('Выборка 1'!BI74-'Выборка 1'!BN74))+(('Выборка 1'!BK74-'Выборка 1'!BP74)-('Выборка 1'!BJ74-'Выборка 1'!BO74)))/4000</f>
        <v>1413.25</v>
      </c>
      <c r="N74" s="17">
        <f>(('Выборка 1'!BR74-'Выборка 1'!BQ74)+('Выборка 1'!BS74-'Выборка 1'!BR74)+('Выборка 1'!BT74-'Выборка 1'!BS74)+('Выборка 1'!BU74-'Выборка 1'!BT74))/4000</f>
        <v>28.5</v>
      </c>
    </row>
    <row r="75" spans="1:14" x14ac:dyDescent="0.25">
      <c r="A75" s="17">
        <v>32</v>
      </c>
      <c r="B75" s="17">
        <f>(('Выборка 1'!E75-'Выборка 1'!D75)+('Выборка 1'!F75-'Выборка 1'!E75)+('Выборка 1'!G75-'Выборка 1'!F75)+('Выборка 1'!H75-'Выборка 1'!G75))/4000</f>
        <v>-63644.5</v>
      </c>
      <c r="C75" s="17">
        <f>(('Выборка 1'!J75-'Выборка 1'!I75)+('Выборка 1'!K75-'Выборка 1'!J75)+('Выборка 1'!L75-'Выборка 1'!K75)+('Выборка 1'!M75-'Выборка 1'!L75))/4000</f>
        <v>-6672.25</v>
      </c>
      <c r="D75" s="17">
        <f>(('Выборка 1'!O75-'Выборка 1'!N75)+('Выборка 1'!P75-'Выборка 1'!O75)+('Выборка 1'!Q75-'Выборка 1'!P75)+('Выборка 1'!R75-'Выборка 1'!Q75))/4000</f>
        <v>107867</v>
      </c>
      <c r="E75" s="17">
        <f>(('Выборка 1'!T75-'Выборка 1'!S75)+('Выборка 1'!U75-'Выборка 1'!T75)+('Выборка 1'!V75-'Выборка 1'!U75)+('Выборка 1'!W75-'Выборка 1'!V75))/4000</f>
        <v>-13134.5</v>
      </c>
      <c r="F75" s="17">
        <f>(('Выборка 1'!Y75-'Выборка 1'!X75)+('Выборка 1'!Z75+'Выборка 1'!Y75)+('Выборка 1'!AA75-'Выборка 1'!Z75)+('Выборка 1'!AB75-'Выборка 1'!AA75))/4000</f>
        <v>-1142935.5</v>
      </c>
      <c r="G75" s="17">
        <f>(('Выборка 1'!AD75-'Выборка 1'!AC75)+('Выборка 1'!AE75-'Выборка 1'!AD75)+('Выборка 1'!AF75-'Выборка 1'!AE75)+('Выборка 1'!AG75-'Выборка 1'!AF75))/4000</f>
        <v>-6661</v>
      </c>
      <c r="H75" s="17">
        <f>(('Выборка 1'!AI75-'Выборка 1'!AH75)+('Выборка 1'!AJ75-'Выборка 1'!AI75)+('Выборка 1'!AK75-'Выборка 1'!AJ75)+('Выборка 1'!AL75-'Выборка 1'!AK75))/4000</f>
        <v>-37274</v>
      </c>
      <c r="I75" s="17">
        <f>(('Выборка 1'!AN75-'Выборка 1'!AM75)+('Выборка 1'!AO75-'Выборка 1'!AN75)+('Выборка 1'!AP75-'Выборка 1'!AO75)+('Выборка 1'!AQ75-'Выборка 1'!AP75))/4000</f>
        <v>-78292.5</v>
      </c>
      <c r="J75" s="17">
        <f>((('Выборка 1'!AS75+'Выборка 1'!AX75)-('Выборка 1'!AR75+'Выборка 1'!AW75))+(('Выборка 1'!AT75+'Выборка 1'!AY75)-('Выборка 1'!AS75+'Выборка 1'!AX75))+(('Выборка 1'!AU75+'Выборка 1'!AZ75)-('Выборка 1'!AT75+'Выборка 1'!AY75))+(('Выборка 1'!AV75+'Выборка 1'!BA75)-('Выборка 1'!AU75+'Выборка 1'!AZ75)))/4000</f>
        <v>-105441</v>
      </c>
      <c r="K75" s="17">
        <f>(('Выборка 1'!BC75-'Выборка 1'!BB75)+('Выборка 1'!BD75-'Выборка 1'!BC75)+('Выборка 1'!BE75-'Выборка 1'!BD75)+('Выборка 1'!BF75-'Выборка 1'!BE75))/4000</f>
        <v>9939</v>
      </c>
      <c r="L75" s="17">
        <f t="shared" si="1"/>
        <v>17209.5</v>
      </c>
      <c r="M75" s="17">
        <f>((('Выборка 1'!BH75-'Выборка 1'!BM75)-('Выборка 1'!BG75-'Выборка 1'!BL75))+(('Выборка 1'!BI75-'Выборка 1'!BN75)-('Выборка 1'!BH75-'Выборка 1'!BM75))+(('Выборка 1'!BJ75-'Выборка 1'!BO75)-('Выборка 1'!BI75-'Выборка 1'!BN75))+(('Выборка 1'!BK75-'Выборка 1'!BP75)-('Выборка 1'!BJ75-'Выборка 1'!BO75)))/4000</f>
        <v>104765.25</v>
      </c>
      <c r="N75" s="17">
        <f>(('Выборка 1'!BR75-'Выборка 1'!BQ75)+('Выборка 1'!BS75-'Выборка 1'!BR75)+('Выборка 1'!BT75-'Выборка 1'!BS75)+('Выборка 1'!BU75-'Выборка 1'!BT75))/4000</f>
        <v>133538.75</v>
      </c>
    </row>
    <row r="76" spans="1:14" x14ac:dyDescent="0.25">
      <c r="A76" s="17">
        <v>32</v>
      </c>
      <c r="B76" s="17">
        <f>(('Выборка 1'!E76-'Выборка 1'!D76)+('Выборка 1'!F76-'Выборка 1'!E76)+('Выборка 1'!G76-'Выборка 1'!F76)+('Выборка 1'!H76-'Выборка 1'!G76))/4000</f>
        <v>0</v>
      </c>
      <c r="C76" s="17">
        <f>(('Выборка 1'!J76-'Выборка 1'!I76)+('Выборка 1'!K76-'Выборка 1'!J76)+('Выборка 1'!L76-'Выборка 1'!K76)+('Выборка 1'!M76-'Выборка 1'!L76))/4000</f>
        <v>-2</v>
      </c>
      <c r="D76" s="17">
        <f>(('Выборка 1'!O76-'Выборка 1'!N76)+('Выборка 1'!P76-'Выборка 1'!O76)+('Выборка 1'!Q76-'Выборка 1'!P76)+('Выборка 1'!R76-'Выборка 1'!Q76))/4000</f>
        <v>-539</v>
      </c>
      <c r="E76" s="17">
        <f>(('Выборка 1'!T76-'Выборка 1'!S76)+('Выборка 1'!U76-'Выборка 1'!T76)+('Выборка 1'!V76-'Выборка 1'!U76)+('Выборка 1'!W76-'Выборка 1'!V76))/4000</f>
        <v>-41.75</v>
      </c>
      <c r="F76" s="17">
        <f>(('Выборка 1'!Y76-'Выборка 1'!X76)+('Выборка 1'!Z76+'Выборка 1'!Y76)+('Выборка 1'!AA76-'Выборка 1'!Z76)+('Выборка 1'!AB76-'Выборка 1'!AA76))/4000</f>
        <v>-156770.5</v>
      </c>
      <c r="G76" s="17">
        <f>(('Выборка 1'!AD76-'Выборка 1'!AC76)+('Выборка 1'!AE76-'Выборка 1'!AD76)+('Выборка 1'!AF76-'Выборка 1'!AE76)+('Выборка 1'!AG76-'Выборка 1'!AF76))/4000</f>
        <v>0</v>
      </c>
      <c r="H76" s="17">
        <f>(('Выборка 1'!AI76-'Выборка 1'!AH76)+('Выборка 1'!AJ76-'Выборка 1'!AI76)+('Выборка 1'!AK76-'Выборка 1'!AJ76)+('Выборка 1'!AL76-'Выборка 1'!AK76))/4000</f>
        <v>70071.5</v>
      </c>
      <c r="I76" s="17">
        <f>(('Выборка 1'!AN76-'Выборка 1'!AM76)+('Выборка 1'!AO76-'Выборка 1'!AN76)+('Выборка 1'!AP76-'Выборка 1'!AO76)+('Выборка 1'!AQ76-'Выборка 1'!AP76))/4000</f>
        <v>0</v>
      </c>
      <c r="J76" s="17">
        <f>((('Выборка 1'!AS76+'Выборка 1'!AX76)-('Выборка 1'!AR76+'Выборка 1'!AW76))+(('Выборка 1'!AT76+'Выборка 1'!AY76)-('Выборка 1'!AS76+'Выборка 1'!AX76))+(('Выборка 1'!AU76+'Выборка 1'!AZ76)-('Выборка 1'!AT76+'Выборка 1'!AY76))+(('Выборка 1'!AV76+'Выборка 1'!BA76)-('Выборка 1'!AU76+'Выборка 1'!AZ76)))/4000</f>
        <v>-124.25</v>
      </c>
      <c r="K76" s="17">
        <f>(('Выборка 1'!BC76-'Выборка 1'!BB76)+('Выборка 1'!BD76-'Выборка 1'!BC76)+('Выборка 1'!BE76-'Выборка 1'!BD76)+('Выборка 1'!BF76-'Выборка 1'!BE76))/4000</f>
        <v>112.75</v>
      </c>
      <c r="L76" s="17">
        <f t="shared" si="1"/>
        <v>11.5</v>
      </c>
      <c r="M76" s="17">
        <f>((('Выборка 1'!BH76-'Выборка 1'!BM76)-('Выборка 1'!BG76-'Выборка 1'!BL76))+(('Выборка 1'!BI76-'Выборка 1'!BN76)-('Выборка 1'!BH76-'Выборка 1'!BM76))+(('Выборка 1'!BJ76-'Выборка 1'!BO76)-('Выборка 1'!BI76-'Выборка 1'!BN76))+(('Выборка 1'!BK76-'Выборка 1'!BP76)-('Выборка 1'!BJ76-'Выборка 1'!BO76)))/4000</f>
        <v>-798.75</v>
      </c>
      <c r="N76" s="17">
        <f>(('Выборка 1'!BR76-'Выборка 1'!BQ76)+('Выборка 1'!BS76-'Выборка 1'!BR76)+('Выборка 1'!BT76-'Выборка 1'!BS76)+('Выборка 1'!BU76-'Выборка 1'!BT76))/4000</f>
        <v>-787.25</v>
      </c>
    </row>
    <row r="77" spans="1:14" x14ac:dyDescent="0.25">
      <c r="A77" s="17">
        <v>8</v>
      </c>
      <c r="B77" s="17">
        <f>(('Выборка 1'!E77-'Выборка 1'!D77)+('Выборка 1'!F77-'Выборка 1'!E77)+('Выборка 1'!G77-'Выборка 1'!F77)+('Выборка 1'!H77-'Выборка 1'!G77))/4000</f>
        <v>1760.75</v>
      </c>
      <c r="C77" s="17">
        <f>(('Выборка 1'!J77-'Выборка 1'!I77)+('Выборка 1'!K77-'Выборка 1'!J77)+('Выборка 1'!L77-'Выборка 1'!K77)+('Выборка 1'!M77-'Выборка 1'!L77))/4000</f>
        <v>1426</v>
      </c>
      <c r="D77" s="17">
        <f>(('Выборка 1'!O77-'Выборка 1'!N77)+('Выборка 1'!P77-'Выборка 1'!O77)+('Выборка 1'!Q77-'Выборка 1'!P77)+('Выборка 1'!R77-'Выборка 1'!Q77))/4000</f>
        <v>8699.75</v>
      </c>
      <c r="E77" s="17">
        <f>(('Выборка 1'!T77-'Выборка 1'!S77)+('Выборка 1'!U77-'Выборка 1'!T77)+('Выборка 1'!V77-'Выборка 1'!U77)+('Выборка 1'!W77-'Выборка 1'!V77))/4000</f>
        <v>-7.75</v>
      </c>
      <c r="F77" s="17">
        <f>(('Выборка 1'!Y77-'Выборка 1'!X77)+('Выборка 1'!Z77+'Выборка 1'!Y77)+('Выборка 1'!AA77-'Выборка 1'!Z77)+('Выборка 1'!AB77-'Выборка 1'!AA77))/4000</f>
        <v>0</v>
      </c>
      <c r="G77" s="17">
        <f>(('Выборка 1'!AD77-'Выборка 1'!AC77)+('Выборка 1'!AE77-'Выборка 1'!AD77)+('Выборка 1'!AF77-'Выборка 1'!AE77)+('Выборка 1'!AG77-'Выборка 1'!AF77))/4000</f>
        <v>524</v>
      </c>
      <c r="H77" s="17">
        <f>(('Выборка 1'!AI77-'Выборка 1'!AH77)+('Выборка 1'!AJ77-'Выборка 1'!AI77)+('Выборка 1'!AK77-'Выборка 1'!AJ77)+('Выборка 1'!AL77-'Выборка 1'!AK77))/4000</f>
        <v>6336.25</v>
      </c>
      <c r="I77" s="17">
        <f>(('Выборка 1'!AN77-'Выборка 1'!AM77)+('Выборка 1'!AO77-'Выборка 1'!AN77)+('Выборка 1'!AP77-'Выборка 1'!AO77)+('Выборка 1'!AQ77-'Выборка 1'!AP77))/4000</f>
        <v>4577</v>
      </c>
      <c r="J77" s="17">
        <f>((('Выборка 1'!AS77+'Выборка 1'!AX77)-('Выборка 1'!AR77+'Выборка 1'!AW77))+(('Выборка 1'!AT77+'Выборка 1'!AY77)-('Выборка 1'!AS77+'Выборка 1'!AX77))+(('Выборка 1'!AU77+'Выборка 1'!AZ77)-('Выборка 1'!AT77+'Выборка 1'!AY77))+(('Выборка 1'!AV77+'Выборка 1'!BA77)-('Выборка 1'!AU77+'Выборка 1'!AZ77)))/4000</f>
        <v>4823.75</v>
      </c>
      <c r="K77" s="17">
        <f>(('Выборка 1'!BC77-'Выборка 1'!BB77)+('Выборка 1'!BD77-'Выборка 1'!BC77)+('Выборка 1'!BE77-'Выборка 1'!BD77)+('Выборка 1'!BF77-'Выборка 1'!BE77))/4000</f>
        <v>0</v>
      </c>
      <c r="L77" s="17">
        <f t="shared" si="1"/>
        <v>-246.75</v>
      </c>
      <c r="M77" s="17">
        <f>((('Выборка 1'!BH77-'Выборка 1'!BM77)-('Выборка 1'!BG77-'Выборка 1'!BL77))+(('Выборка 1'!BI77-'Выборка 1'!BN77)-('Выборка 1'!BH77-'Выборка 1'!BM77))+(('Выборка 1'!BJ77-'Выборка 1'!BO77)-('Выборка 1'!BI77-'Выборка 1'!BN77))+(('Выборка 1'!BK77-'Выборка 1'!BP77)-('Выборка 1'!BJ77-'Выборка 1'!BO77)))/4000</f>
        <v>-378.25</v>
      </c>
      <c r="N77" s="17">
        <f>(('Выборка 1'!BR77-'Выборка 1'!BQ77)+('Выборка 1'!BS77-'Выборка 1'!BR77)+('Выборка 1'!BT77-'Выборка 1'!BS77)+('Выборка 1'!BU77-'Выборка 1'!BT77))/4000</f>
        <v>-1134.5</v>
      </c>
    </row>
    <row r="78" spans="1:14" x14ac:dyDescent="0.25">
      <c r="A78" s="17">
        <v>17</v>
      </c>
      <c r="B78" s="17">
        <f>(('Выборка 1'!E78-'Выборка 1'!D78)+('Выборка 1'!F78-'Выборка 1'!E78)+('Выборка 1'!G78-'Выборка 1'!F78)+('Выборка 1'!H78-'Выборка 1'!G78))/4000</f>
        <v>0</v>
      </c>
      <c r="C78" s="17">
        <f>(('Выборка 1'!J78-'Выборка 1'!I78)+('Выборка 1'!K78-'Выборка 1'!J78)+('Выборка 1'!L78-'Выборка 1'!K78)+('Выборка 1'!M78-'Выборка 1'!L78))/4000</f>
        <v>0</v>
      </c>
      <c r="D78" s="17">
        <f>(('Выборка 1'!O78-'Выборка 1'!N78)+('Выборка 1'!P78-'Выборка 1'!O78)+('Выборка 1'!Q78-'Выборка 1'!P78)+('Выборка 1'!R78-'Выборка 1'!Q78))/4000</f>
        <v>0</v>
      </c>
      <c r="E78" s="17">
        <f>(('Выборка 1'!T78-'Выборка 1'!S78)+('Выборка 1'!U78-'Выборка 1'!T78)+('Выборка 1'!V78-'Выборка 1'!U78)+('Выборка 1'!W78-'Выборка 1'!V78))/4000</f>
        <v>0</v>
      </c>
      <c r="F78" s="17">
        <f>(('Выборка 1'!Y78-'Выборка 1'!X78)+('Выборка 1'!Z78+'Выборка 1'!Y78)+('Выборка 1'!AA78-'Выборка 1'!Z78)+('Выборка 1'!AB78-'Выборка 1'!AA78))/4000</f>
        <v>0</v>
      </c>
      <c r="G78" s="17">
        <f>(('Выборка 1'!AD78-'Выборка 1'!AC78)+('Выборка 1'!AE78-'Выборка 1'!AD78)+('Выборка 1'!AF78-'Выборка 1'!AE78)+('Выборка 1'!AG78-'Выборка 1'!AF78))/4000</f>
        <v>0</v>
      </c>
      <c r="H78" s="17">
        <f>(('Выборка 1'!AI78-'Выборка 1'!AH78)+('Выборка 1'!AJ78-'Выборка 1'!AI78)+('Выборка 1'!AK78-'Выборка 1'!AJ78)+('Выборка 1'!AL78-'Выборка 1'!AK78))/4000</f>
        <v>0</v>
      </c>
      <c r="I78" s="17">
        <f>(('Выборка 1'!AN78-'Выборка 1'!AM78)+('Выборка 1'!AO78-'Выборка 1'!AN78)+('Выборка 1'!AP78-'Выборка 1'!AO78)+('Выборка 1'!AQ78-'Выборка 1'!AP78))/4000</f>
        <v>0</v>
      </c>
      <c r="J78" s="17">
        <f>((('Выборка 1'!AS78+'Выборка 1'!AX78)-('Выборка 1'!AR78+'Выборка 1'!AW78))+(('Выборка 1'!AT78+'Выборка 1'!AY78)-('Выборка 1'!AS78+'Выборка 1'!AX78))+(('Выборка 1'!AU78+'Выборка 1'!AZ78)-('Выборка 1'!AT78+'Выборка 1'!AY78))+(('Выборка 1'!AV78+'Выборка 1'!BA78)-('Выборка 1'!AU78+'Выборка 1'!AZ78)))/4000</f>
        <v>0</v>
      </c>
      <c r="K78" s="17">
        <f>(('Выборка 1'!BC78-'Выборка 1'!BB78)+('Выборка 1'!BD78-'Выборка 1'!BC78)+('Выборка 1'!BE78-'Выборка 1'!BD78)+('Выборка 1'!BF78-'Выборка 1'!BE78))/4000</f>
        <v>0</v>
      </c>
      <c r="L78" s="17">
        <f t="shared" si="1"/>
        <v>0</v>
      </c>
      <c r="M78" s="17">
        <f>((('Выборка 1'!BH78-'Выборка 1'!BM78)-('Выборка 1'!BG78-'Выборка 1'!BL78))+(('Выборка 1'!BI78-'Выборка 1'!BN78)-('Выборка 1'!BH78-'Выборка 1'!BM78))+(('Выборка 1'!BJ78-'Выборка 1'!BO78)-('Выборка 1'!BI78-'Выборка 1'!BN78))+(('Выборка 1'!BK78-'Выборка 1'!BP78)-('Выборка 1'!BJ78-'Выборка 1'!BO78)))/4000</f>
        <v>0</v>
      </c>
      <c r="N78" s="17">
        <f>(('Выборка 1'!BR78-'Выборка 1'!BQ78)+('Выборка 1'!BS78-'Выборка 1'!BR78)+('Выборка 1'!BT78-'Выборка 1'!BS78)+('Выборка 1'!BU78-'Выборка 1'!BT78))/4000</f>
        <v>0</v>
      </c>
    </row>
    <row r="79" spans="1:14" x14ac:dyDescent="0.25">
      <c r="A79" s="17">
        <v>16</v>
      </c>
      <c r="B79" s="17">
        <f>(('Выборка 1'!E79-'Выборка 1'!D79)+('Выборка 1'!F79-'Выборка 1'!E79)+('Выборка 1'!G79-'Выборка 1'!F79)+('Выборка 1'!H79-'Выборка 1'!G79))/4000</f>
        <v>-186.5</v>
      </c>
      <c r="C79" s="17">
        <f>(('Выборка 1'!J79-'Выборка 1'!I79)+('Выборка 1'!K79-'Выборка 1'!J79)+('Выборка 1'!L79-'Выборка 1'!K79)+('Выборка 1'!M79-'Выборка 1'!L79))/4000</f>
        <v>-7434.25</v>
      </c>
      <c r="D79" s="17">
        <f>(('Выборка 1'!O79-'Выборка 1'!N79)+('Выборка 1'!P79-'Выборка 1'!O79)+('Выборка 1'!Q79-'Выборка 1'!P79)+('Выборка 1'!R79-'Выборка 1'!Q79))/4000</f>
        <v>-3469</v>
      </c>
      <c r="E79" s="17">
        <f>(('Выборка 1'!T79-'Выборка 1'!S79)+('Выборка 1'!U79-'Выборка 1'!T79)+('Выборка 1'!V79-'Выборка 1'!U79)+('Выборка 1'!W79-'Выборка 1'!V79))/4000</f>
        <v>-0.25</v>
      </c>
      <c r="F79" s="17">
        <f>(('Выборка 1'!Y79-'Выборка 1'!X79)+('Выборка 1'!Z79+'Выборка 1'!Y79)+('Выборка 1'!AA79-'Выборка 1'!Z79)+('Выборка 1'!AB79-'Выборка 1'!AA79))/4000</f>
        <v>0</v>
      </c>
      <c r="G79" s="17">
        <f>(('Выборка 1'!AD79-'Выборка 1'!AC79)+('Выборка 1'!AE79-'Выборка 1'!AD79)+('Выборка 1'!AF79-'Выборка 1'!AE79)+('Выборка 1'!AG79-'Выборка 1'!AF79))/4000</f>
        <v>-91.75</v>
      </c>
      <c r="H79" s="17">
        <f>(('Выборка 1'!AI79-'Выборка 1'!AH79)+('Выборка 1'!AJ79-'Выборка 1'!AI79)+('Выборка 1'!AK79-'Выборка 1'!AJ79)+('Выборка 1'!AL79-'Выборка 1'!AK79))/4000</f>
        <v>-8151.75</v>
      </c>
      <c r="I79" s="17">
        <f>(('Выборка 1'!AN79-'Выборка 1'!AM79)+('Выборка 1'!AO79-'Выборка 1'!AN79)+('Выборка 1'!AP79-'Выборка 1'!AO79)+('Выборка 1'!AQ79-'Выборка 1'!AP79))/4000</f>
        <v>-10144</v>
      </c>
      <c r="J79" s="17">
        <f>((('Выборка 1'!AS79+'Выборка 1'!AX79)-('Выборка 1'!AR79+'Выборка 1'!AW79))+(('Выборка 1'!AT79+'Выборка 1'!AY79)-('Выборка 1'!AS79+'Выборка 1'!AX79))+(('Выборка 1'!AU79+'Выборка 1'!AZ79)-('Выборка 1'!AT79+'Выборка 1'!AY79))+(('Выборка 1'!AV79+'Выборка 1'!BA79)-('Выборка 1'!AU79+'Выборка 1'!AZ79)))/4000</f>
        <v>-9868.75</v>
      </c>
      <c r="K79" s="17">
        <f>(('Выборка 1'!BC79-'Выборка 1'!BB79)+('Выборка 1'!BD79-'Выборка 1'!BC79)+('Выборка 1'!BE79-'Выборка 1'!BD79)+('Выборка 1'!BF79-'Выборка 1'!BE79))/4000</f>
        <v>0</v>
      </c>
      <c r="L79" s="17">
        <f t="shared" si="1"/>
        <v>-275.25</v>
      </c>
      <c r="M79" s="17">
        <f>((('Выборка 1'!BH79-'Выборка 1'!BM79)-('Выборка 1'!BG79-'Выборка 1'!BL79))+(('Выборка 1'!BI79-'Выборка 1'!BN79)-('Выборка 1'!BH79-'Выборка 1'!BM79))+(('Выборка 1'!BJ79-'Выборка 1'!BO79)-('Выборка 1'!BI79-'Выборка 1'!BN79))+(('Выборка 1'!BK79-'Выборка 1'!BP79)-('Выборка 1'!BJ79-'Выборка 1'!BO79)))/4000</f>
        <v>-28</v>
      </c>
      <c r="N79" s="17">
        <f>(('Выборка 1'!BR79-'Выборка 1'!BQ79)+('Выборка 1'!BS79-'Выборка 1'!BR79)+('Выборка 1'!BT79-'Выборка 1'!BS79)+('Выборка 1'!BU79-'Выборка 1'!BT79))/4000</f>
        <v>-25.75</v>
      </c>
    </row>
    <row r="80" spans="1:14" x14ac:dyDescent="0.25">
      <c r="A80" s="17">
        <v>31</v>
      </c>
      <c r="B80" s="17">
        <f>(('Выборка 1'!E80-'Выборка 1'!D80)+('Выборка 1'!F80-'Выборка 1'!E80)+('Выборка 1'!G80-'Выборка 1'!F80)+('Выборка 1'!H80-'Выборка 1'!G80))/4000</f>
        <v>0</v>
      </c>
      <c r="C80" s="17">
        <f>(('Выборка 1'!J80-'Выборка 1'!I80)+('Выборка 1'!K80-'Выборка 1'!J80)+('Выборка 1'!L80-'Выборка 1'!K80)+('Выборка 1'!M80-'Выборка 1'!L80))/4000</f>
        <v>0</v>
      </c>
      <c r="D80" s="17">
        <f>(('Выборка 1'!O80-'Выборка 1'!N80)+('Выборка 1'!P80-'Выборка 1'!O80)+('Выборка 1'!Q80-'Выборка 1'!P80)+('Выборка 1'!R80-'Выборка 1'!Q80))/4000</f>
        <v>0</v>
      </c>
      <c r="E80" s="17">
        <f>(('Выборка 1'!T80-'Выборка 1'!S80)+('Выборка 1'!U80-'Выборка 1'!T80)+('Выборка 1'!V80-'Выборка 1'!U80)+('Выборка 1'!W80-'Выборка 1'!V80))/4000</f>
        <v>0</v>
      </c>
      <c r="F80" s="17">
        <f>(('Выборка 1'!Y80-'Выборка 1'!X80)+('Выборка 1'!Z80+'Выборка 1'!Y80)+('Выборка 1'!AA80-'Выборка 1'!Z80)+('Выборка 1'!AB80-'Выборка 1'!AA80))/4000</f>
        <v>0</v>
      </c>
      <c r="G80" s="17">
        <f>(('Выборка 1'!AD80-'Выборка 1'!AC80)+('Выборка 1'!AE80-'Выборка 1'!AD80)+('Выборка 1'!AF80-'Выборка 1'!AE80)+('Выборка 1'!AG80-'Выборка 1'!AF80))/4000</f>
        <v>0</v>
      </c>
      <c r="H80" s="17">
        <f>(('Выборка 1'!AI80-'Выборка 1'!AH80)+('Выборка 1'!AJ80-'Выборка 1'!AI80)+('Выборка 1'!AK80-'Выборка 1'!AJ80)+('Выборка 1'!AL80-'Выборка 1'!AK80))/4000</f>
        <v>0</v>
      </c>
      <c r="I80" s="17">
        <f>(('Выборка 1'!AN80-'Выборка 1'!AM80)+('Выборка 1'!AO80-'Выборка 1'!AN80)+('Выборка 1'!AP80-'Выборка 1'!AO80)+('Выборка 1'!AQ80-'Выборка 1'!AP80))/4000</f>
        <v>0</v>
      </c>
      <c r="J80" s="17">
        <f>((('Выборка 1'!AS80+'Выборка 1'!AX80)-('Выборка 1'!AR80+'Выборка 1'!AW80))+(('Выборка 1'!AT80+'Выборка 1'!AY80)-('Выборка 1'!AS80+'Выборка 1'!AX80))+(('Выборка 1'!AU80+'Выборка 1'!AZ80)-('Выборка 1'!AT80+'Выборка 1'!AY80))+(('Выборка 1'!AV80+'Выборка 1'!BA80)-('Выборка 1'!AU80+'Выборка 1'!AZ80)))/4000</f>
        <v>0</v>
      </c>
      <c r="K80" s="17">
        <f>(('Выборка 1'!BC80-'Выборка 1'!BB80)+('Выборка 1'!BD80-'Выборка 1'!BC80)+('Выборка 1'!BE80-'Выборка 1'!BD80)+('Выборка 1'!BF80-'Выборка 1'!BE80))/4000</f>
        <v>0</v>
      </c>
      <c r="L80" s="17">
        <f t="shared" si="1"/>
        <v>0</v>
      </c>
      <c r="M80" s="17">
        <f>((('Выборка 1'!BH80-'Выборка 1'!BM80)-('Выборка 1'!BG80-'Выборка 1'!BL80))+(('Выборка 1'!BI80-'Выборка 1'!BN80)-('Выборка 1'!BH80-'Выборка 1'!BM80))+(('Выборка 1'!BJ80-'Выборка 1'!BO80)-('Выборка 1'!BI80-'Выборка 1'!BN80))+(('Выборка 1'!BK80-'Выборка 1'!BP80)-('Выборка 1'!BJ80-'Выборка 1'!BO80)))/4000</f>
        <v>0</v>
      </c>
      <c r="N80" s="17">
        <f>(('Выборка 1'!BR80-'Выборка 1'!BQ80)+('Выборка 1'!BS80-'Выборка 1'!BR80)+('Выборка 1'!BT80-'Выборка 1'!BS80)+('Выборка 1'!BU80-'Выборка 1'!BT80))/4000</f>
        <v>0</v>
      </c>
    </row>
    <row r="81" spans="1:14" x14ac:dyDescent="0.25">
      <c r="A81" s="17">
        <v>14</v>
      </c>
      <c r="B81" s="17">
        <f>(('Выборка 1'!E81-'Выборка 1'!D81)+('Выборка 1'!F81-'Выборка 1'!E81)+('Выборка 1'!G81-'Выборка 1'!F81)+('Выборка 1'!H81-'Выборка 1'!G81))/4000</f>
        <v>0</v>
      </c>
      <c r="C81" s="17">
        <f>(('Выборка 1'!J81-'Выборка 1'!I81)+('Выборка 1'!K81-'Выборка 1'!J81)+('Выборка 1'!L81-'Выборка 1'!K81)+('Выборка 1'!M81-'Выборка 1'!L81))/4000</f>
        <v>0</v>
      </c>
      <c r="D81" s="17">
        <f>(('Выборка 1'!O81-'Выборка 1'!N81)+('Выборка 1'!P81-'Выборка 1'!O81)+('Выборка 1'!Q81-'Выборка 1'!P81)+('Выборка 1'!R81-'Выборка 1'!Q81))/4000</f>
        <v>-3282.25</v>
      </c>
      <c r="E81" s="17">
        <f>(('Выборка 1'!T81-'Выборка 1'!S81)+('Выборка 1'!U81-'Выборка 1'!T81)+('Выборка 1'!V81-'Выборка 1'!U81)+('Выборка 1'!W81-'Выборка 1'!V81))/4000</f>
        <v>-53.5</v>
      </c>
      <c r="F81" s="17">
        <f>(('Выборка 1'!Y81-'Выборка 1'!X81)+('Выборка 1'!Z81+'Выборка 1'!Y81)+('Выборка 1'!AA81-'Выборка 1'!Z81)+('Выборка 1'!AB81-'Выборка 1'!AA81))/4000</f>
        <v>-2663.5</v>
      </c>
      <c r="G81" s="17">
        <f>(('Выборка 1'!AD81-'Выборка 1'!AC81)+('Выборка 1'!AE81-'Выборка 1'!AD81)+('Выборка 1'!AF81-'Выборка 1'!AE81)+('Выборка 1'!AG81-'Выборка 1'!AF81))/4000</f>
        <v>0</v>
      </c>
      <c r="H81" s="17">
        <f>(('Выборка 1'!AI81-'Выборка 1'!AH81)+('Выборка 1'!AJ81-'Выборка 1'!AI81)+('Выборка 1'!AK81-'Выборка 1'!AJ81)+('Выборка 1'!AL81-'Выборка 1'!AK81))/4000</f>
        <v>-669.75</v>
      </c>
      <c r="I81" s="17">
        <f>(('Выборка 1'!AN81-'Выборка 1'!AM81)+('Выборка 1'!AO81-'Выборка 1'!AN81)+('Выборка 1'!AP81-'Выборка 1'!AO81)+('Выборка 1'!AQ81-'Выборка 1'!AP81))/4000</f>
        <v>-3234.75</v>
      </c>
      <c r="J81" s="17">
        <f>((('Выборка 1'!AS81+'Выборка 1'!AX81)-('Выборка 1'!AR81+'Выборка 1'!AW81))+(('Выборка 1'!AT81+'Выборка 1'!AY81)-('Выборка 1'!AS81+'Выборка 1'!AX81))+(('Выборка 1'!AU81+'Выборка 1'!AZ81)-('Выборка 1'!AT81+'Выборка 1'!AY81))+(('Выборка 1'!AV81+'Выборка 1'!BA81)-('Выборка 1'!AU81+'Выборка 1'!AZ81)))/4000</f>
        <v>-1849.75</v>
      </c>
      <c r="K81" s="17">
        <f>(('Выборка 1'!BC81-'Выборка 1'!BB81)+('Выборка 1'!BD81-'Выборка 1'!BC81)+('Выборка 1'!BE81-'Выборка 1'!BD81)+('Выборка 1'!BF81-'Выборка 1'!BE81))/4000</f>
        <v>0</v>
      </c>
      <c r="L81" s="17">
        <f t="shared" si="1"/>
        <v>-1385</v>
      </c>
      <c r="M81" s="17">
        <f>((('Выборка 1'!BH81-'Выборка 1'!BM81)-('Выборка 1'!BG81-'Выборка 1'!BL81))+(('Выборка 1'!BI81-'Выборка 1'!BN81)-('Выборка 1'!BH81-'Выборка 1'!BM81))+(('Выборка 1'!BJ81-'Выборка 1'!BO81)-('Выборка 1'!BI81-'Выборка 1'!BN81))+(('Выборка 1'!BK81-'Выборка 1'!BP81)-('Выборка 1'!BJ81-'Выборка 1'!BO81)))/4000</f>
        <v>0</v>
      </c>
      <c r="N81" s="17">
        <f>(('Выборка 1'!BR81-'Выборка 1'!BQ81)+('Выборка 1'!BS81-'Выборка 1'!BR81)+('Выборка 1'!BT81-'Выборка 1'!BS81)+('Выборка 1'!BU81-'Выборка 1'!BT81))/4000</f>
        <v>-1108</v>
      </c>
    </row>
    <row r="82" spans="1:14" x14ac:dyDescent="0.25">
      <c r="A82" s="17">
        <v>22</v>
      </c>
      <c r="B82" s="17">
        <f>(('Выборка 1'!E82-'Выборка 1'!D82)+('Выборка 1'!F82-'Выборка 1'!E82)+('Выборка 1'!G82-'Выборка 1'!F82)+('Выборка 1'!H82-'Выборка 1'!G82))/4000</f>
        <v>-38</v>
      </c>
      <c r="C82" s="17">
        <f>(('Выборка 1'!J82-'Выборка 1'!I82)+('Выборка 1'!K82-'Выборка 1'!J82)+('Выборка 1'!L82-'Выборка 1'!K82)+('Выборка 1'!M82-'Выборка 1'!L82))/4000</f>
        <v>-4442</v>
      </c>
      <c r="D82" s="17">
        <f>(('Выборка 1'!O82-'Выборка 1'!N82)+('Выборка 1'!P82-'Выборка 1'!O82)+('Выборка 1'!Q82-'Выборка 1'!P82)+('Выборка 1'!R82-'Выборка 1'!Q82))/4000</f>
        <v>-4135.5</v>
      </c>
      <c r="E82" s="17">
        <f>(('Выборка 1'!T82-'Выборка 1'!S82)+('Выборка 1'!U82-'Выборка 1'!T82)+('Выборка 1'!V82-'Выборка 1'!U82)+('Выборка 1'!W82-'Выборка 1'!V82))/4000</f>
        <v>-3219.75</v>
      </c>
      <c r="F82" s="17">
        <f>(('Выборка 1'!Y82-'Выборка 1'!X82)+('Выборка 1'!Z82+'Выборка 1'!Y82)+('Выборка 1'!AA82-'Выборка 1'!Z82)+('Выборка 1'!AB82-'Выборка 1'!AA82))/4000</f>
        <v>794.75</v>
      </c>
      <c r="G82" s="17">
        <f>(('Выборка 1'!AD82-'Выборка 1'!AC82)+('Выборка 1'!AE82-'Выборка 1'!AD82)+('Выборка 1'!AF82-'Выборка 1'!AE82)+('Выборка 1'!AG82-'Выборка 1'!AF82))/4000</f>
        <v>-675</v>
      </c>
      <c r="H82" s="17">
        <f>(('Выборка 1'!AI82-'Выборка 1'!AH82)+('Выборка 1'!AJ82-'Выборка 1'!AI82)+('Выборка 1'!AK82-'Выборка 1'!AJ82)+('Выборка 1'!AL82-'Выборка 1'!AK82))/4000</f>
        <v>-11285.25</v>
      </c>
      <c r="I82" s="17">
        <f>(('Выборка 1'!AN82-'Выборка 1'!AM82)+('Выборка 1'!AO82-'Выборка 1'!AN82)+('Выборка 1'!AP82-'Выборка 1'!AO82)+('Выборка 1'!AQ82-'Выборка 1'!AP82))/4000</f>
        <v>-1349.25</v>
      </c>
      <c r="J82" s="17">
        <f>((('Выборка 1'!AS82+'Выборка 1'!AX82)-('Выборка 1'!AR82+'Выборка 1'!AW82))+(('Выборка 1'!AT82+'Выборка 1'!AY82)-('Выборка 1'!AS82+'Выборка 1'!AX82))+(('Выборка 1'!AU82+'Выборка 1'!AZ82)-('Выборка 1'!AT82+'Выборка 1'!AY82))+(('Выборка 1'!AV82+'Выборка 1'!BA82)-('Выборка 1'!AU82+'Выборка 1'!AZ82)))/4000</f>
        <v>-1384</v>
      </c>
      <c r="K82" s="17">
        <f>(('Выборка 1'!BC82-'Выборка 1'!BB82)+('Выборка 1'!BD82-'Выборка 1'!BC82)+('Выборка 1'!BE82-'Выборка 1'!BD82)+('Выборка 1'!BF82-'Выборка 1'!BE82))/4000</f>
        <v>-754.5</v>
      </c>
      <c r="L82" s="17">
        <f t="shared" si="1"/>
        <v>789.25</v>
      </c>
      <c r="M82" s="17">
        <f>((('Выборка 1'!BH82-'Выборка 1'!BM82)-('Выборка 1'!BG82-'Выборка 1'!BL82))+(('Выборка 1'!BI82-'Выборка 1'!BN82)-('Выборка 1'!BH82-'Выборка 1'!BM82))+(('Выборка 1'!BJ82-'Выборка 1'!BO82)-('Выборка 1'!BI82-'Выборка 1'!BN82))+(('Выборка 1'!BK82-'Выборка 1'!BP82)-('Выборка 1'!BJ82-'Выборка 1'!BO82)))/4000</f>
        <v>-898</v>
      </c>
      <c r="N82" s="17">
        <f>(('Выборка 1'!BR82-'Выборка 1'!BQ82)+('Выборка 1'!BS82-'Выборка 1'!BR82)+('Выборка 1'!BT82-'Выборка 1'!BS82)+('Выборка 1'!BU82-'Выборка 1'!BT82))/4000</f>
        <v>-86.25</v>
      </c>
    </row>
    <row r="83" spans="1:14" x14ac:dyDescent="0.25">
      <c r="A83" s="17">
        <v>9</v>
      </c>
      <c r="B83" s="17">
        <f>(('Выборка 1'!E83-'Выборка 1'!D83)+('Выборка 1'!F83-'Выборка 1'!E83)+('Выборка 1'!G83-'Выборка 1'!F83)+('Выборка 1'!H83-'Выборка 1'!G83))/4000</f>
        <v>-907</v>
      </c>
      <c r="C83" s="17">
        <f>(('Выборка 1'!J83-'Выборка 1'!I83)+('Выборка 1'!K83-'Выборка 1'!J83)+('Выборка 1'!L83-'Выборка 1'!K83)+('Выборка 1'!M83-'Выборка 1'!L83))/4000</f>
        <v>-585.5</v>
      </c>
      <c r="D83" s="17">
        <f>(('Выборка 1'!O83-'Выборка 1'!N83)+('Выборка 1'!P83-'Выборка 1'!O83)+('Выборка 1'!Q83-'Выборка 1'!P83)+('Выборка 1'!R83-'Выборка 1'!Q83))/4000</f>
        <v>-633.75</v>
      </c>
      <c r="E83" s="17">
        <f>(('Выборка 1'!T83-'Выборка 1'!S83)+('Выборка 1'!U83-'Выборка 1'!T83)+('Выборка 1'!V83-'Выборка 1'!U83)+('Выборка 1'!W83-'Выборка 1'!V83))/4000</f>
        <v>0</v>
      </c>
      <c r="F83" s="17">
        <f>(('Выборка 1'!Y83-'Выборка 1'!X83)+('Выборка 1'!Z83+'Выборка 1'!Y83)+('Выборка 1'!AA83-'Выборка 1'!Z83)+('Выборка 1'!AB83-'Выборка 1'!AA83))/4000</f>
        <v>-1701.25</v>
      </c>
      <c r="G83" s="17">
        <f>(('Выборка 1'!AD83-'Выборка 1'!AC83)+('Выборка 1'!AE83-'Выборка 1'!AD83)+('Выборка 1'!AF83-'Выборка 1'!AE83)+('Выборка 1'!AG83-'Выборка 1'!AF83))/4000</f>
        <v>0</v>
      </c>
      <c r="H83" s="17">
        <f>(('Выборка 1'!AI83-'Выборка 1'!AH83)+('Выборка 1'!AJ83-'Выборка 1'!AI83)+('Выборка 1'!AK83-'Выборка 1'!AJ83)+('Выборка 1'!AL83-'Выборка 1'!AK83))/4000</f>
        <v>-2763.25</v>
      </c>
      <c r="I83" s="17">
        <f>(('Выборка 1'!AN83-'Выборка 1'!AM83)+('Выборка 1'!AO83-'Выборка 1'!AN83)+('Выборка 1'!AP83-'Выборка 1'!AO83)+('Выборка 1'!AQ83-'Выборка 1'!AP83))/4000</f>
        <v>-365.25</v>
      </c>
      <c r="J83" s="17">
        <f>((('Выборка 1'!AS83+'Выборка 1'!AX83)-('Выборка 1'!AR83+'Выборка 1'!AW83))+(('Выборка 1'!AT83+'Выборка 1'!AY83)-('Выборка 1'!AS83+'Выборка 1'!AX83))+(('Выборка 1'!AU83+'Выборка 1'!AZ83)-('Выборка 1'!AT83+'Выборка 1'!AY83))+(('Выборка 1'!AV83+'Выборка 1'!BA83)-('Выборка 1'!AU83+'Выборка 1'!AZ83)))/4000</f>
        <v>-280.25</v>
      </c>
      <c r="K83" s="17">
        <f>(('Выборка 1'!BC83-'Выборка 1'!BB83)+('Выборка 1'!BD83-'Выборка 1'!BC83)+('Выборка 1'!BE83-'Выборка 1'!BD83)+('Выборка 1'!BF83-'Выборка 1'!BE83))/4000</f>
        <v>-593</v>
      </c>
      <c r="L83" s="17">
        <f t="shared" si="1"/>
        <v>508</v>
      </c>
      <c r="M83" s="17">
        <f>((('Выборка 1'!BH83-'Выборка 1'!BM83)-('Выборка 1'!BG83-'Выборка 1'!BL83))+(('Выборка 1'!BI83-'Выборка 1'!BN83)-('Выборка 1'!BH83-'Выборка 1'!BM83))+(('Выборка 1'!BJ83-'Выборка 1'!BO83)-('Выборка 1'!BI83-'Выборка 1'!BN83))+(('Выборка 1'!BK83-'Выборка 1'!BP83)-('Выборка 1'!BJ83-'Выборка 1'!BO83)))/4000</f>
        <v>-406.75</v>
      </c>
      <c r="N83" s="17">
        <f>(('Выборка 1'!BR83-'Выборка 1'!BQ83)+('Выборка 1'!BS83-'Выборка 1'!BR83)+('Выборка 1'!BT83-'Выборка 1'!BS83)+('Выборка 1'!BU83-'Выборка 1'!BT83))/4000</f>
        <v>105.75</v>
      </c>
    </row>
    <row r="84" spans="1:14" x14ac:dyDescent="0.25">
      <c r="A84" s="17">
        <v>29</v>
      </c>
      <c r="B84" s="17">
        <f>(('Выборка 1'!E84-'Выборка 1'!D84)+('Выборка 1'!F84-'Выборка 1'!E84)+('Выборка 1'!G84-'Выборка 1'!F84)+('Выборка 1'!H84-'Выборка 1'!G84))/4000</f>
        <v>0</v>
      </c>
      <c r="C84" s="17">
        <f>(('Выборка 1'!J84-'Выборка 1'!I84)+('Выборка 1'!K84-'Выборка 1'!J84)+('Выборка 1'!L84-'Выборка 1'!K84)+('Выборка 1'!M84-'Выборка 1'!L84))/4000</f>
        <v>0</v>
      </c>
      <c r="D84" s="17">
        <f>(('Выборка 1'!O84-'Выборка 1'!N84)+('Выборка 1'!P84-'Выборка 1'!O84)+('Выборка 1'!Q84-'Выборка 1'!P84)+('Выборка 1'!R84-'Выборка 1'!Q84))/4000</f>
        <v>-92.75</v>
      </c>
      <c r="E84" s="17">
        <f>(('Выборка 1'!T84-'Выборка 1'!S84)+('Выборка 1'!U84-'Выборка 1'!T84)+('Выборка 1'!V84-'Выборка 1'!U84)+('Выборка 1'!W84-'Выборка 1'!V84))/4000</f>
        <v>-2.5</v>
      </c>
      <c r="F84" s="17">
        <f>(('Выборка 1'!Y84-'Выборка 1'!X84)+('Выборка 1'!Z84+'Выборка 1'!Y84)+('Выборка 1'!AA84-'Выборка 1'!Z84)+('Выборка 1'!AB84-'Выборка 1'!AA84))/4000</f>
        <v>-4765</v>
      </c>
      <c r="G84" s="17">
        <f>(('Выборка 1'!AD84-'Выборка 1'!AC84)+('Выборка 1'!AE84-'Выборка 1'!AD84)+('Выборка 1'!AF84-'Выборка 1'!AE84)+('Выборка 1'!AG84-'Выборка 1'!AF84))/4000</f>
        <v>0</v>
      </c>
      <c r="H84" s="17">
        <f>(('Выборка 1'!AI84-'Выборка 1'!AH84)+('Выборка 1'!AJ84-'Выборка 1'!AI84)+('Выборка 1'!AK84-'Выборка 1'!AJ84)+('Выборка 1'!AL84-'Выборка 1'!AK84))/4000</f>
        <v>6253.5</v>
      </c>
      <c r="I84" s="17">
        <f>(('Выборка 1'!AN84-'Выборка 1'!AM84)+('Выборка 1'!AO84-'Выборка 1'!AN84)+('Выборка 1'!AP84-'Выборка 1'!AO84)+('Выборка 1'!AQ84-'Выборка 1'!AP84))/4000</f>
        <v>0</v>
      </c>
      <c r="J84" s="17">
        <f>((('Выборка 1'!AS84+'Выборка 1'!AX84)-('Выборка 1'!AR84+'Выборка 1'!AW84))+(('Выборка 1'!AT84+'Выборка 1'!AY84)-('Выборка 1'!AS84+'Выборка 1'!AX84))+(('Выборка 1'!AU84+'Выборка 1'!AZ84)-('Выборка 1'!AT84+'Выборка 1'!AY84))+(('Выборка 1'!AV84+'Выборка 1'!BA84)-('Выборка 1'!AU84+'Выборка 1'!AZ84)))/4000</f>
        <v>-170.25</v>
      </c>
      <c r="K84" s="17">
        <f>(('Выборка 1'!BC84-'Выборка 1'!BB84)+('Выборка 1'!BD84-'Выборка 1'!BC84)+('Выборка 1'!BE84-'Выборка 1'!BD84)+('Выборка 1'!BF84-'Выборка 1'!BE84))/4000</f>
        <v>246.75</v>
      </c>
      <c r="L84" s="17">
        <f t="shared" si="1"/>
        <v>-76.5</v>
      </c>
      <c r="M84" s="17">
        <f>((('Выборка 1'!BH84-'Выборка 1'!BM84)-('Выборка 1'!BG84-'Выборка 1'!BL84))+(('Выборка 1'!BI84-'Выборка 1'!BN84)-('Выборка 1'!BH84-'Выборка 1'!BM84))+(('Выборка 1'!BJ84-'Выборка 1'!BO84)-('Выборка 1'!BI84-'Выборка 1'!BN84))+(('Выборка 1'!BK84-'Выборка 1'!BP84)-('Выборка 1'!BJ84-'Выборка 1'!BO84)))/4000</f>
        <v>280.5</v>
      </c>
      <c r="N84" s="17">
        <f>(('Выборка 1'!BR84-'Выборка 1'!BQ84)+('Выборка 1'!BS84-'Выборка 1'!BR84)+('Выборка 1'!BT84-'Выборка 1'!BS84)+('Выборка 1'!BU84-'Выборка 1'!BT84))/4000</f>
        <v>205</v>
      </c>
    </row>
    <row r="85" spans="1:14" x14ac:dyDescent="0.25">
      <c r="A85" s="17">
        <v>12</v>
      </c>
      <c r="B85" s="17">
        <f>(('Выборка 1'!E85-'Выборка 1'!D85)+('Выборка 1'!F85-'Выборка 1'!E85)+('Выборка 1'!G85-'Выборка 1'!F85)+('Выборка 1'!H85-'Выборка 1'!G85))/4000</f>
        <v>0</v>
      </c>
      <c r="C85" s="17">
        <f>(('Выборка 1'!J85-'Выборка 1'!I85)+('Выборка 1'!K85-'Выборка 1'!J85)+('Выборка 1'!L85-'Выборка 1'!K85)+('Выборка 1'!M85-'Выборка 1'!L85))/4000</f>
        <v>0</v>
      </c>
      <c r="D85" s="17">
        <f>(('Выборка 1'!O85-'Выборка 1'!N85)+('Выборка 1'!P85-'Выборка 1'!O85)+('Выборка 1'!Q85-'Выборка 1'!P85)+('Выборка 1'!R85-'Выборка 1'!Q85))/4000</f>
        <v>0</v>
      </c>
      <c r="E85" s="17">
        <f>(('Выборка 1'!T85-'Выборка 1'!S85)+('Выборка 1'!U85-'Выборка 1'!T85)+('Выборка 1'!V85-'Выборка 1'!U85)+('Выборка 1'!W85-'Выборка 1'!V85))/4000</f>
        <v>0</v>
      </c>
      <c r="F85" s="17">
        <f>(('Выборка 1'!Y85-'Выборка 1'!X85)+('Выборка 1'!Z85+'Выборка 1'!Y85)+('Выборка 1'!AA85-'Выборка 1'!Z85)+('Выборка 1'!AB85-'Выборка 1'!AA85))/4000</f>
        <v>0</v>
      </c>
      <c r="G85" s="17">
        <f>(('Выборка 1'!AD85-'Выборка 1'!AC85)+('Выборка 1'!AE85-'Выборка 1'!AD85)+('Выборка 1'!AF85-'Выборка 1'!AE85)+('Выборка 1'!AG85-'Выборка 1'!AF85))/4000</f>
        <v>0</v>
      </c>
      <c r="H85" s="17">
        <f>(('Выборка 1'!AI85-'Выборка 1'!AH85)+('Выборка 1'!AJ85-'Выборка 1'!AI85)+('Выборка 1'!AK85-'Выборка 1'!AJ85)+('Выборка 1'!AL85-'Выборка 1'!AK85))/4000</f>
        <v>0</v>
      </c>
      <c r="I85" s="17">
        <f>(('Выборка 1'!AN85-'Выборка 1'!AM85)+('Выборка 1'!AO85-'Выборка 1'!AN85)+('Выборка 1'!AP85-'Выборка 1'!AO85)+('Выборка 1'!AQ85-'Выборка 1'!AP85))/4000</f>
        <v>0</v>
      </c>
      <c r="J85" s="17">
        <f>((('Выборка 1'!AS85+'Выборка 1'!AX85)-('Выборка 1'!AR85+'Выборка 1'!AW85))+(('Выборка 1'!AT85+'Выборка 1'!AY85)-('Выборка 1'!AS85+'Выборка 1'!AX85))+(('Выборка 1'!AU85+'Выборка 1'!AZ85)-('Выборка 1'!AT85+'Выборка 1'!AY85))+(('Выборка 1'!AV85+'Выборка 1'!BA85)-('Выборка 1'!AU85+'Выборка 1'!AZ85)))/4000</f>
        <v>0</v>
      </c>
      <c r="K85" s="17">
        <f>(('Выборка 1'!BC85-'Выборка 1'!BB85)+('Выборка 1'!BD85-'Выборка 1'!BC85)+('Выборка 1'!BE85-'Выборка 1'!BD85)+('Выборка 1'!BF85-'Выборка 1'!BE85))/4000</f>
        <v>0</v>
      </c>
      <c r="L85" s="17">
        <f t="shared" si="1"/>
        <v>0</v>
      </c>
      <c r="M85" s="17">
        <f>((('Выборка 1'!BH85-'Выборка 1'!BM85)-('Выборка 1'!BG85-'Выборка 1'!BL85))+(('Выборка 1'!BI85-'Выборка 1'!BN85)-('Выборка 1'!BH85-'Выборка 1'!BM85))+(('Выборка 1'!BJ85-'Выборка 1'!BO85)-('Выборка 1'!BI85-'Выборка 1'!BN85))+(('Выборка 1'!BK85-'Выборка 1'!BP85)-('Выборка 1'!BJ85-'Выборка 1'!BO85)))/4000</f>
        <v>0</v>
      </c>
      <c r="N85" s="17">
        <f>(('Выборка 1'!BR85-'Выборка 1'!BQ85)+('Выборка 1'!BS85-'Выборка 1'!BR85)+('Выборка 1'!BT85-'Выборка 1'!BS85)+('Выборка 1'!BU85-'Выборка 1'!BT85))/4000</f>
        <v>0</v>
      </c>
    </row>
    <row r="86" spans="1:14" x14ac:dyDescent="0.25">
      <c r="A86" s="17">
        <v>8</v>
      </c>
      <c r="B86" s="17">
        <f>(('Выборка 1'!E86-'Выборка 1'!D86)+('Выборка 1'!F86-'Выборка 1'!E86)+('Выборка 1'!G86-'Выборка 1'!F86)+('Выборка 1'!H86-'Выборка 1'!G86))/4000</f>
        <v>110.25</v>
      </c>
      <c r="C86" s="17">
        <f>(('Выборка 1'!J86-'Выборка 1'!I86)+('Выборка 1'!K86-'Выборка 1'!J86)+('Выборка 1'!L86-'Выборка 1'!K86)+('Выборка 1'!M86-'Выборка 1'!L86))/4000</f>
        <v>-9</v>
      </c>
      <c r="D86" s="17">
        <f>(('Выборка 1'!O86-'Выборка 1'!N86)+('Выборка 1'!P86-'Выборка 1'!O86)+('Выборка 1'!Q86-'Выборка 1'!P86)+('Выборка 1'!R86-'Выборка 1'!Q86))/4000</f>
        <v>-75</v>
      </c>
      <c r="E86" s="17">
        <f>(('Выборка 1'!T86-'Выборка 1'!S86)+('Выборка 1'!U86-'Выборка 1'!T86)+('Выборка 1'!V86-'Выборка 1'!U86)+('Выборка 1'!W86-'Выборка 1'!V86))/4000</f>
        <v>-30.5</v>
      </c>
      <c r="F86" s="17">
        <f>(('Выборка 1'!Y86-'Выборка 1'!X86)+('Выборка 1'!Z86+'Выборка 1'!Y86)+('Выборка 1'!AA86-'Выборка 1'!Z86)+('Выборка 1'!AB86-'Выборка 1'!AA86))/4000</f>
        <v>-30.75</v>
      </c>
      <c r="G86" s="17">
        <f>(('Выборка 1'!AD86-'Выборка 1'!AC86)+('Выборка 1'!AE86-'Выборка 1'!AD86)+('Выборка 1'!AF86-'Выборка 1'!AE86)+('Выборка 1'!AG86-'Выборка 1'!AF86))/4000</f>
        <v>0</v>
      </c>
      <c r="H86" s="17">
        <f>(('Выборка 1'!AI86-'Выборка 1'!AH86)+('Выборка 1'!AJ86-'Выборка 1'!AI86)+('Выборка 1'!AK86-'Выборка 1'!AJ86)+('Выборка 1'!AL86-'Выборка 1'!AK86))/4000</f>
        <v>3824</v>
      </c>
      <c r="I86" s="17">
        <f>(('Выборка 1'!AN86-'Выборка 1'!AM86)+('Выборка 1'!AO86-'Выборка 1'!AN86)+('Выборка 1'!AP86-'Выборка 1'!AO86)+('Выборка 1'!AQ86-'Выборка 1'!AP86))/4000</f>
        <v>6231.25</v>
      </c>
      <c r="J86" s="17">
        <f>((('Выборка 1'!AS86+'Выборка 1'!AX86)-('Выборка 1'!AR86+'Выборка 1'!AW86))+(('Выборка 1'!AT86+'Выборка 1'!AY86)-('Выборка 1'!AS86+'Выборка 1'!AX86))+(('Выборка 1'!AU86+'Выборка 1'!AZ86)-('Выборка 1'!AT86+'Выборка 1'!AY86))+(('Выборка 1'!AV86+'Выборка 1'!BA86)-('Выборка 1'!AU86+'Выборка 1'!AZ86)))/4000</f>
        <v>14162.75</v>
      </c>
      <c r="K86" s="17">
        <f>(('Выборка 1'!BC86-'Выборка 1'!BB86)+('Выборка 1'!BD86-'Выборка 1'!BC86)+('Выборка 1'!BE86-'Выборка 1'!BD86)+('Выборка 1'!BF86-'Выборка 1'!BE86))/4000</f>
        <v>-40.75</v>
      </c>
      <c r="L86" s="17">
        <f t="shared" si="1"/>
        <v>-7890.75</v>
      </c>
      <c r="M86" s="17">
        <f>((('Выборка 1'!BH86-'Выборка 1'!BM86)-('Выборка 1'!BG86-'Выборка 1'!BL86))+(('Выборка 1'!BI86-'Выборка 1'!BN86)-('Выборка 1'!BH86-'Выборка 1'!BM86))+(('Выборка 1'!BJ86-'Выборка 1'!BO86)-('Выборка 1'!BI86-'Выборка 1'!BN86))+(('Выборка 1'!BK86-'Выборка 1'!BP86)-('Выборка 1'!BJ86-'Выборка 1'!BO86)))/4000</f>
        <v>-263.75</v>
      </c>
      <c r="N86" s="17">
        <f>(('Выборка 1'!BR86-'Выборка 1'!BQ86)+('Выборка 1'!BS86-'Выборка 1'!BR86)+('Выборка 1'!BT86-'Выборка 1'!BS86)+('Выборка 1'!BU86-'Выборка 1'!BT86))/4000</f>
        <v>-8379.75</v>
      </c>
    </row>
    <row r="87" spans="1:14" x14ac:dyDescent="0.25">
      <c r="A87" s="17">
        <v>17</v>
      </c>
      <c r="B87" s="17">
        <f>(('Выборка 1'!E87-'Выборка 1'!D87)+('Выборка 1'!F87-'Выборка 1'!E87)+('Выборка 1'!G87-'Выборка 1'!F87)+('Выборка 1'!H87-'Выборка 1'!G87))/4000</f>
        <v>-246.25</v>
      </c>
      <c r="C87" s="17">
        <f>(('Выборка 1'!J87-'Выборка 1'!I87)+('Выборка 1'!K87-'Выборка 1'!J87)+('Выборка 1'!L87-'Выборка 1'!K87)+('Выборка 1'!M87-'Выборка 1'!L87))/4000</f>
        <v>-756.5</v>
      </c>
      <c r="D87" s="17">
        <f>(('Выборка 1'!O87-'Выборка 1'!N87)+('Выборка 1'!P87-'Выборка 1'!O87)+('Выборка 1'!Q87-'Выборка 1'!P87)+('Выборка 1'!R87-'Выборка 1'!Q87))/4000</f>
        <v>-27042.75</v>
      </c>
      <c r="E87" s="17">
        <f>(('Выборка 1'!T87-'Выборка 1'!S87)+('Выборка 1'!U87-'Выборка 1'!T87)+('Выборка 1'!V87-'Выборка 1'!U87)+('Выборка 1'!W87-'Выборка 1'!V87))/4000</f>
        <v>0</v>
      </c>
      <c r="F87" s="17">
        <f>(('Выборка 1'!Y87-'Выборка 1'!X87)+('Выборка 1'!Z87+'Выборка 1'!Y87)+('Выборка 1'!AA87-'Выборка 1'!Z87)+('Выборка 1'!AB87-'Выборка 1'!AA87))/4000</f>
        <v>0</v>
      </c>
      <c r="G87" s="17">
        <f>(('Выборка 1'!AD87-'Выборка 1'!AC87)+('Выборка 1'!AE87-'Выборка 1'!AD87)+('Выборка 1'!AF87-'Выборка 1'!AE87)+('Выборка 1'!AG87-'Выборка 1'!AF87))/4000</f>
        <v>-2622.75</v>
      </c>
      <c r="H87" s="17">
        <f>(('Выборка 1'!AI87-'Выборка 1'!AH87)+('Выборка 1'!AJ87-'Выборка 1'!AI87)+('Выборка 1'!AK87-'Выборка 1'!AJ87)+('Выборка 1'!AL87-'Выборка 1'!AK87))/4000</f>
        <v>-10486.5</v>
      </c>
      <c r="I87" s="17">
        <f>(('Выборка 1'!AN87-'Выборка 1'!AM87)+('Выборка 1'!AO87-'Выборка 1'!AN87)+('Выборка 1'!AP87-'Выборка 1'!AO87)+('Выборка 1'!AQ87-'Выборка 1'!AP87))/4000</f>
        <v>-18631</v>
      </c>
      <c r="J87" s="17">
        <f>((('Выборка 1'!AS87+'Выборка 1'!AX87)-('Выборка 1'!AR87+'Выборка 1'!AW87))+(('Выборка 1'!AT87+'Выборка 1'!AY87)-('Выборка 1'!AS87+'Выборка 1'!AX87))+(('Выборка 1'!AU87+'Выборка 1'!AZ87)-('Выборка 1'!AT87+'Выборка 1'!AY87))+(('Выборка 1'!AV87+'Выборка 1'!BA87)-('Выборка 1'!AU87+'Выборка 1'!AZ87)))/4000</f>
        <v>-16084</v>
      </c>
      <c r="K87" s="17">
        <f>(('Выборка 1'!BC87-'Выборка 1'!BB87)+('Выборка 1'!BD87-'Выборка 1'!BC87)+('Выборка 1'!BE87-'Выборка 1'!BD87)+('Выборка 1'!BF87-'Выборка 1'!BE87))/4000</f>
        <v>0</v>
      </c>
      <c r="L87" s="17">
        <f t="shared" si="1"/>
        <v>-2547</v>
      </c>
      <c r="M87" s="17">
        <f>((('Выборка 1'!BH87-'Выборка 1'!BM87)-('Выборка 1'!BG87-'Выборка 1'!BL87))+(('Выборка 1'!BI87-'Выборка 1'!BN87)-('Выборка 1'!BH87-'Выборка 1'!BM87))+(('Выборка 1'!BJ87-'Выборка 1'!BO87)-('Выборка 1'!BI87-'Выборка 1'!BN87))+(('Выборка 1'!BK87-'Выборка 1'!BP87)-('Выборка 1'!BJ87-'Выборка 1'!BO87)))/4000</f>
        <v>6291</v>
      </c>
      <c r="N87" s="17">
        <f>(('Выборка 1'!BR87-'Выборка 1'!BQ87)+('Выборка 1'!BS87-'Выборка 1'!BR87)+('Выборка 1'!BT87-'Выборка 1'!BS87)+('Выборка 1'!BU87-'Выборка 1'!BT87))/4000</f>
        <v>3744</v>
      </c>
    </row>
    <row r="88" spans="1:14" x14ac:dyDescent="0.25">
      <c r="A88" s="17">
        <v>11</v>
      </c>
      <c r="B88" s="17">
        <f>(('Выборка 1'!E88-'Выборка 1'!D88)+('Выборка 1'!F88-'Выборка 1'!E88)+('Выборка 1'!G88-'Выборка 1'!F88)+('Выборка 1'!H88-'Выборка 1'!G88))/4000</f>
        <v>-1958.75</v>
      </c>
      <c r="C88" s="17">
        <f>(('Выборка 1'!J88-'Выборка 1'!I88)+('Выборка 1'!K88-'Выборка 1'!J88)+('Выборка 1'!L88-'Выборка 1'!K88)+('Выборка 1'!M88-'Выборка 1'!L88))/4000</f>
        <v>-3543.5</v>
      </c>
      <c r="D88" s="17">
        <f>(('Выборка 1'!O88-'Выборка 1'!N88)+('Выборка 1'!P88-'Выборка 1'!O88)+('Выборка 1'!Q88-'Выборка 1'!P88)+('Выборка 1'!R88-'Выборка 1'!Q88))/4000</f>
        <v>14989.75</v>
      </c>
      <c r="E88" s="17">
        <f>(('Выборка 1'!T88-'Выборка 1'!S88)+('Выборка 1'!U88-'Выборка 1'!T88)+('Выборка 1'!V88-'Выборка 1'!U88)+('Выборка 1'!W88-'Выборка 1'!V88))/4000</f>
        <v>-465.75</v>
      </c>
      <c r="F88" s="17">
        <f>(('Выборка 1'!Y88-'Выборка 1'!X88)+('Выборка 1'!Z88+'Выборка 1'!Y88)+('Выборка 1'!AA88-'Выборка 1'!Z88)+('Выборка 1'!AB88-'Выборка 1'!AA88))/4000</f>
        <v>9955.5</v>
      </c>
      <c r="G88" s="17">
        <f>(('Выборка 1'!AD88-'Выборка 1'!AC88)+('Выборка 1'!AE88-'Выборка 1'!AD88)+('Выборка 1'!AF88-'Выборка 1'!AE88)+('Выборка 1'!AG88-'Выборка 1'!AF88))/4000</f>
        <v>0</v>
      </c>
      <c r="H88" s="17">
        <f>(('Выборка 1'!AI88-'Выборка 1'!AH88)+('Выборка 1'!AJ88-'Выборка 1'!AI88)+('Выборка 1'!AK88-'Выборка 1'!AJ88)+('Выборка 1'!AL88-'Выборка 1'!AK88))/4000</f>
        <v>34179.75</v>
      </c>
      <c r="I88" s="17">
        <f>(('Выборка 1'!AN88-'Выборка 1'!AM88)+('Выборка 1'!AO88-'Выборка 1'!AN88)+('Выборка 1'!AP88-'Выборка 1'!AO88)+('Выборка 1'!AQ88-'Выборка 1'!AP88))/4000</f>
        <v>-9083.5</v>
      </c>
      <c r="J88" s="17">
        <f>((('Выборка 1'!AS88+'Выборка 1'!AX88)-('Выборка 1'!AR88+'Выборка 1'!AW88))+(('Выборка 1'!AT88+'Выборка 1'!AY88)-('Выборка 1'!AS88+'Выборка 1'!AX88))+(('Выборка 1'!AU88+'Выборка 1'!AZ88)-('Выборка 1'!AT88+'Выборка 1'!AY88))+(('Выборка 1'!AV88+'Выборка 1'!BA88)-('Выборка 1'!AU88+'Выборка 1'!AZ88)))/4000</f>
        <v>-6522.5</v>
      </c>
      <c r="K88" s="17">
        <f>(('Выборка 1'!BC88-'Выборка 1'!BB88)+('Выборка 1'!BD88-'Выборка 1'!BC88)+('Выборка 1'!BE88-'Выборка 1'!BD88)+('Выборка 1'!BF88-'Выборка 1'!BE88))/4000</f>
        <v>31.75</v>
      </c>
      <c r="L88" s="17">
        <f t="shared" si="1"/>
        <v>-2592.75</v>
      </c>
      <c r="M88" s="17">
        <f>((('Выборка 1'!BH88-'Выборка 1'!BM88)-('Выборка 1'!BG88-'Выборка 1'!BL88))+(('Выборка 1'!BI88-'Выборка 1'!BN88)-('Выборка 1'!BH88-'Выборка 1'!BM88))+(('Выборка 1'!BJ88-'Выборка 1'!BO88)-('Выборка 1'!BI88-'Выборка 1'!BN88))+(('Выборка 1'!BK88-'Выборка 1'!BP88)-('Выборка 1'!BJ88-'Выборка 1'!BO88)))/4000</f>
        <v>-577.5</v>
      </c>
      <c r="N88" s="17">
        <f>(('Выборка 1'!BR88-'Выборка 1'!BQ88)+('Выборка 1'!BS88-'Выборка 1'!BR88)+('Выборка 1'!BT88-'Выборка 1'!BS88)+('Выборка 1'!BU88-'Выборка 1'!BT88))/4000</f>
        <v>-2805</v>
      </c>
    </row>
    <row r="89" spans="1:14" x14ac:dyDescent="0.25">
      <c r="A89" s="17">
        <v>22</v>
      </c>
      <c r="B89" s="17">
        <f>(('Выборка 1'!E89-'Выборка 1'!D89)+('Выборка 1'!F89-'Выборка 1'!E89)+('Выборка 1'!G89-'Выборка 1'!F89)+('Выборка 1'!H89-'Выборка 1'!G89))/4000</f>
        <v>0</v>
      </c>
      <c r="C89" s="17">
        <f>(('Выборка 1'!J89-'Выборка 1'!I89)+('Выборка 1'!K89-'Выборка 1'!J89)+('Выборка 1'!L89-'Выборка 1'!K89)+('Выборка 1'!M89-'Выборка 1'!L89))/4000</f>
        <v>0</v>
      </c>
      <c r="D89" s="17">
        <f>(('Выборка 1'!O89-'Выборка 1'!N89)+('Выборка 1'!P89-'Выборка 1'!O89)+('Выборка 1'!Q89-'Выборка 1'!P89)+('Выборка 1'!R89-'Выборка 1'!Q89))/4000</f>
        <v>-3.75</v>
      </c>
      <c r="E89" s="17">
        <f>(('Выборка 1'!T89-'Выборка 1'!S89)+('Выборка 1'!U89-'Выборка 1'!T89)+('Выборка 1'!V89-'Выборка 1'!U89)+('Выборка 1'!W89-'Выборка 1'!V89))/4000</f>
        <v>-132.75</v>
      </c>
      <c r="F89" s="17">
        <f>(('Выборка 1'!Y89-'Выборка 1'!X89)+('Выборка 1'!Z89+'Выборка 1'!Y89)+('Выборка 1'!AA89-'Выборка 1'!Z89)+('Выборка 1'!AB89-'Выборка 1'!AA89))/4000</f>
        <v>-11109.25</v>
      </c>
      <c r="G89" s="17">
        <f>(('Выборка 1'!AD89-'Выборка 1'!AC89)+('Выборка 1'!AE89-'Выборка 1'!AD89)+('Выборка 1'!AF89-'Выборка 1'!AE89)+('Выборка 1'!AG89-'Выборка 1'!AF89))/4000</f>
        <v>5182.75</v>
      </c>
      <c r="H89" s="17">
        <f>(('Выборка 1'!AI89-'Выборка 1'!AH89)+('Выборка 1'!AJ89-'Выборка 1'!AI89)+('Выборка 1'!AK89-'Выборка 1'!AJ89)+('Выборка 1'!AL89-'Выборка 1'!AK89))/4000</f>
        <v>34.5</v>
      </c>
      <c r="I89" s="17">
        <f>(('Выборка 1'!AN89-'Выборка 1'!AM89)+('Выборка 1'!AO89-'Выборка 1'!AN89)+('Выборка 1'!AP89-'Выборка 1'!AO89)+('Выборка 1'!AQ89-'Выборка 1'!AP89))/4000</f>
        <v>-1212.5</v>
      </c>
      <c r="J89" s="17">
        <f>((('Выборка 1'!AS89+'Выборка 1'!AX89)-('Выборка 1'!AR89+'Выборка 1'!AW89))+(('Выборка 1'!AT89+'Выборка 1'!AY89)-('Выборка 1'!AS89+'Выборка 1'!AX89))+(('Выборка 1'!AU89+'Выборка 1'!AZ89)-('Выборка 1'!AT89+'Выборка 1'!AY89))+(('Выборка 1'!AV89+'Выборка 1'!BA89)-('Выборка 1'!AU89+'Выборка 1'!AZ89)))/4000</f>
        <v>-1175.75</v>
      </c>
      <c r="K89" s="17">
        <f>(('Выборка 1'!BC89-'Выборка 1'!BB89)+('Выборка 1'!BD89-'Выборка 1'!BC89)+('Выборка 1'!BE89-'Выборка 1'!BD89)+('Выборка 1'!BF89-'Выборка 1'!BE89))/4000</f>
        <v>-91</v>
      </c>
      <c r="L89" s="17">
        <f t="shared" si="1"/>
        <v>54.25</v>
      </c>
      <c r="M89" s="17">
        <f>((('Выборка 1'!BH89-'Выборка 1'!BM89)-('Выборка 1'!BG89-'Выборка 1'!BL89))+(('Выборка 1'!BI89-'Выборка 1'!BN89)-('Выборка 1'!BH89-'Выборка 1'!BM89))+(('Выборка 1'!BJ89-'Выборка 1'!BO89)-('Выборка 1'!BI89-'Выборка 1'!BN89))+(('Выборка 1'!BK89-'Выборка 1'!BP89)-('Выборка 1'!BJ89-'Выборка 1'!BO89)))/4000</f>
        <v>11.25</v>
      </c>
      <c r="N89" s="17">
        <f>(('Выборка 1'!BR89-'Выборка 1'!BQ89)+('Выборка 1'!BS89-'Выборка 1'!BR89)+('Выборка 1'!BT89-'Выборка 1'!BS89)+('Выборка 1'!BU89-'Выборка 1'!BT89))/4000</f>
        <v>50</v>
      </c>
    </row>
    <row r="90" spans="1:14" x14ac:dyDescent="0.25">
      <c r="A90" s="17">
        <v>12</v>
      </c>
      <c r="B90" s="17">
        <f>(('Выборка 1'!E90-'Выборка 1'!D90)+('Выборка 1'!F90-'Выборка 1'!E90)+('Выборка 1'!G90-'Выборка 1'!F90)+('Выборка 1'!H90-'Выборка 1'!G90))/4000</f>
        <v>0</v>
      </c>
      <c r="C90" s="17">
        <f>(('Выборка 1'!J90-'Выборка 1'!I90)+('Выборка 1'!K90-'Выборка 1'!J90)+('Выборка 1'!L90-'Выборка 1'!K90)+('Выборка 1'!M90-'Выборка 1'!L90))/4000</f>
        <v>0</v>
      </c>
      <c r="D90" s="17">
        <f>(('Выборка 1'!O90-'Выборка 1'!N90)+('Выборка 1'!P90-'Выборка 1'!O90)+('Выборка 1'!Q90-'Выборка 1'!P90)+('Выборка 1'!R90-'Выборка 1'!Q90))/4000</f>
        <v>2673</v>
      </c>
      <c r="E90" s="17">
        <f>(('Выборка 1'!T90-'Выборка 1'!S90)+('Выборка 1'!U90-'Выборка 1'!T90)+('Выборка 1'!V90-'Выборка 1'!U90)+('Выборка 1'!W90-'Выборка 1'!V90))/4000</f>
        <v>132.75</v>
      </c>
      <c r="F90" s="17">
        <f>(('Выборка 1'!Y90-'Выборка 1'!X90)+('Выборка 1'!Z90+'Выборка 1'!Y90)+('Выборка 1'!AA90-'Выборка 1'!Z90)+('Выборка 1'!AB90-'Выборка 1'!AA90))/4000</f>
        <v>-1975.5</v>
      </c>
      <c r="G90" s="17">
        <f>(('Выборка 1'!AD90-'Выборка 1'!AC90)+('Выборка 1'!AE90-'Выборка 1'!AD90)+('Выборка 1'!AF90-'Выборка 1'!AE90)+('Выборка 1'!AG90-'Выборка 1'!AF90))/4000</f>
        <v>0</v>
      </c>
      <c r="H90" s="17">
        <f>(('Выборка 1'!AI90-'Выборка 1'!AH90)+('Выборка 1'!AJ90-'Выборка 1'!AI90)+('Выборка 1'!AK90-'Выборка 1'!AJ90)+('Выборка 1'!AL90-'Выборка 1'!AK90))/4000</f>
        <v>4705.5</v>
      </c>
      <c r="I90" s="17">
        <f>(('Выборка 1'!AN90-'Выборка 1'!AM90)+('Выборка 1'!AO90-'Выборка 1'!AN90)+('Выборка 1'!AP90-'Выборка 1'!AO90)+('Выборка 1'!AQ90-'Выборка 1'!AP90))/4000</f>
        <v>0</v>
      </c>
      <c r="J90" s="17">
        <f>((('Выборка 1'!AS90+'Выборка 1'!AX90)-('Выборка 1'!AR90+'Выборка 1'!AW90))+(('Выборка 1'!AT90+'Выборка 1'!AY90)-('Выборка 1'!AS90+'Выборка 1'!AX90))+(('Выборка 1'!AU90+'Выборка 1'!AZ90)-('Выборка 1'!AT90+'Выборка 1'!AY90))+(('Выборка 1'!AV90+'Выборка 1'!BA90)-('Выборка 1'!AU90+'Выборка 1'!AZ90)))/4000</f>
        <v>0</v>
      </c>
      <c r="K90" s="17">
        <f>(('Выборка 1'!BC90-'Выборка 1'!BB90)+('Выборка 1'!BD90-'Выборка 1'!BC90)+('Выборка 1'!BE90-'Выборка 1'!BD90)+('Выборка 1'!BF90-'Выборка 1'!BE90))/4000</f>
        <v>0</v>
      </c>
      <c r="L90" s="17">
        <f t="shared" si="1"/>
        <v>0</v>
      </c>
      <c r="M90" s="17">
        <f>((('Выборка 1'!BH90-'Выборка 1'!BM90)-('Выборка 1'!BG90-'Выборка 1'!BL90))+(('Выборка 1'!BI90-'Выборка 1'!BN90)-('Выборка 1'!BH90-'Выборка 1'!BM90))+(('Выборка 1'!BJ90-'Выборка 1'!BO90)-('Выборка 1'!BI90-'Выборка 1'!BN90))+(('Выборка 1'!BK90-'Выборка 1'!BP90)-('Выборка 1'!BJ90-'Выборка 1'!BO90)))/4000</f>
        <v>-111</v>
      </c>
      <c r="N90" s="17">
        <f>(('Выборка 1'!BR90-'Выборка 1'!BQ90)+('Выборка 1'!BS90-'Выборка 1'!BR90)+('Выборка 1'!BT90-'Выборка 1'!BS90)+('Выборка 1'!BU90-'Выборка 1'!BT90))/4000</f>
        <v>-111</v>
      </c>
    </row>
    <row r="91" spans="1:14" x14ac:dyDescent="0.25">
      <c r="A91" s="17">
        <v>14</v>
      </c>
      <c r="B91" s="17">
        <f>(('Выборка 1'!E91-'Выборка 1'!D91)+('Выборка 1'!F91-'Выборка 1'!E91)+('Выборка 1'!G91-'Выборка 1'!F91)+('Выборка 1'!H91-'Выборка 1'!G91))/4000</f>
        <v>233.75</v>
      </c>
      <c r="C91" s="17">
        <f>(('Выборка 1'!J91-'Выборка 1'!I91)+('Выборка 1'!K91-'Выборка 1'!J91)+('Выборка 1'!L91-'Выборка 1'!K91)+('Выборка 1'!M91-'Выборка 1'!L91))/4000</f>
        <v>-949.75</v>
      </c>
      <c r="D91" s="17">
        <f>(('Выборка 1'!O91-'Выборка 1'!N91)+('Выборка 1'!P91-'Выборка 1'!O91)+('Выборка 1'!Q91-'Выборка 1'!P91)+('Выборка 1'!R91-'Выборка 1'!Q91))/4000</f>
        <v>-8820.25</v>
      </c>
      <c r="E91" s="17">
        <f>(('Выборка 1'!T91-'Выборка 1'!S91)+('Выборка 1'!U91-'Выборка 1'!T91)+('Выборка 1'!V91-'Выборка 1'!U91)+('Выборка 1'!W91-'Выборка 1'!V91))/4000</f>
        <v>-576</v>
      </c>
      <c r="F91" s="17">
        <f>(('Выборка 1'!Y91-'Выборка 1'!X91)+('Выборка 1'!Z91+'Выборка 1'!Y91)+('Выборка 1'!AA91-'Выборка 1'!Z91)+('Выборка 1'!AB91-'Выборка 1'!AA91))/4000</f>
        <v>-13548.75</v>
      </c>
      <c r="G91" s="17">
        <f>(('Выборка 1'!AD91-'Выборка 1'!AC91)+('Выборка 1'!AE91-'Выборка 1'!AD91)+('Выборка 1'!AF91-'Выборка 1'!AE91)+('Выборка 1'!AG91-'Выборка 1'!AF91))/4000</f>
        <v>-4304.25</v>
      </c>
      <c r="H91" s="17">
        <f>(('Выборка 1'!AI91-'Выборка 1'!AH91)+('Выборка 1'!AJ91-'Выборка 1'!AI91)+('Выборка 1'!AK91-'Выборка 1'!AJ91)+('Выборка 1'!AL91-'Выборка 1'!AK91))/4000</f>
        <v>17271.75</v>
      </c>
      <c r="I91" s="17">
        <f>(('Выборка 1'!AN91-'Выборка 1'!AM91)+('Выборка 1'!AO91-'Выборка 1'!AN91)+('Выборка 1'!AP91-'Выборка 1'!AO91)+('Выборка 1'!AQ91-'Выборка 1'!AP91))/4000</f>
        <v>-6524.75</v>
      </c>
      <c r="J91" s="17">
        <f>((('Выборка 1'!AS91+'Выборка 1'!AX91)-('Выборка 1'!AR91+'Выборка 1'!AW91))+(('Выборка 1'!AT91+'Выборка 1'!AY91)-('Выборка 1'!AS91+'Выборка 1'!AX91))+(('Выборка 1'!AU91+'Выборка 1'!AZ91)-('Выборка 1'!AT91+'Выборка 1'!AY91))+(('Выборка 1'!AV91+'Выборка 1'!BA91)-('Выборка 1'!AU91+'Выборка 1'!AZ91)))/4000</f>
        <v>-4835.75</v>
      </c>
      <c r="K91" s="17">
        <f>(('Выборка 1'!BC91-'Выборка 1'!BB91)+('Выборка 1'!BD91-'Выборка 1'!BC91)+('Выборка 1'!BE91-'Выборка 1'!BD91)+('Выборка 1'!BF91-'Выборка 1'!BE91))/4000</f>
        <v>-187.75</v>
      </c>
      <c r="L91" s="17">
        <f t="shared" si="1"/>
        <v>-1501.25</v>
      </c>
      <c r="M91" s="17">
        <f>((('Выборка 1'!BH91-'Выборка 1'!BM91)-('Выборка 1'!BG91-'Выборка 1'!BL91))+(('Выборка 1'!BI91-'Выборка 1'!BN91)-('Выборка 1'!BH91-'Выборка 1'!BM91))+(('Выборка 1'!BJ91-'Выборка 1'!BO91)-('Выборка 1'!BI91-'Выборка 1'!BN91))+(('Выборка 1'!BK91-'Выборка 1'!BP91)-('Выборка 1'!BJ91-'Выборка 1'!BO91)))/4000</f>
        <v>-593</v>
      </c>
      <c r="N91" s="17">
        <f>(('Выборка 1'!BR91-'Выборка 1'!BQ91)+('Выборка 1'!BS91-'Выборка 1'!BR91)+('Выборка 1'!BT91-'Выборка 1'!BS91)+('Выборка 1'!BU91-'Выборка 1'!BT91))/4000</f>
        <v>-2094.25</v>
      </c>
    </row>
    <row r="92" spans="1:14" x14ac:dyDescent="0.25">
      <c r="A92" s="17">
        <v>19</v>
      </c>
      <c r="B92" s="17">
        <f>(('Выборка 1'!E92-'Выборка 1'!D92)+('Выборка 1'!F92-'Выборка 1'!E92)+('Выборка 1'!G92-'Выборка 1'!F92)+('Выборка 1'!H92-'Выборка 1'!G92))/4000</f>
        <v>-5704.5</v>
      </c>
      <c r="C92" s="17">
        <f>(('Выборка 1'!J92-'Выборка 1'!I92)+('Выборка 1'!K92-'Выборка 1'!J92)+('Выборка 1'!L92-'Выборка 1'!K92)+('Выборка 1'!M92-'Выборка 1'!L92))/4000</f>
        <v>-14530.5</v>
      </c>
      <c r="D92" s="17">
        <f>(('Выборка 1'!O92-'Выборка 1'!N92)+('Выборка 1'!P92-'Выборка 1'!O92)+('Выборка 1'!Q92-'Выборка 1'!P92)+('Выборка 1'!R92-'Выборка 1'!Q92))/4000</f>
        <v>-14864.75</v>
      </c>
      <c r="E92" s="17">
        <f>(('Выборка 1'!T92-'Выборка 1'!S92)+('Выборка 1'!U92-'Выборка 1'!T92)+('Выборка 1'!V92-'Выборка 1'!U92)+('Выборка 1'!W92-'Выборка 1'!V92))/4000</f>
        <v>-1119</v>
      </c>
      <c r="F92" s="17">
        <f>(('Выборка 1'!Y92-'Выборка 1'!X92)+('Выборка 1'!Z92+'Выборка 1'!Y92)+('Выборка 1'!AA92-'Выборка 1'!Z92)+('Выборка 1'!AB92-'Выборка 1'!AA92))/4000</f>
        <v>6742.5</v>
      </c>
      <c r="G92" s="17">
        <f>(('Выборка 1'!AD92-'Выборка 1'!AC92)+('Выборка 1'!AE92-'Выборка 1'!AD92)+('Выборка 1'!AF92-'Выборка 1'!AE92)+('Выборка 1'!AG92-'Выборка 1'!AF92))/4000</f>
        <v>0</v>
      </c>
      <c r="H92" s="17">
        <f>(('Выборка 1'!AI92-'Выборка 1'!AH92)+('Выборка 1'!AJ92-'Выборка 1'!AI92)+('Выборка 1'!AK92-'Выборка 1'!AJ92)+('Выборка 1'!AL92-'Выборка 1'!AK92))/4000</f>
        <v>-6578.5</v>
      </c>
      <c r="I92" s="17">
        <f>(('Выборка 1'!AN92-'Выборка 1'!AM92)+('Выборка 1'!AO92-'Выборка 1'!AN92)+('Выборка 1'!AP92-'Выборка 1'!AO92)+('Выборка 1'!AQ92-'Выборка 1'!AP92))/4000</f>
        <v>-66059.25</v>
      </c>
      <c r="J92" s="17">
        <f>((('Выборка 1'!AS92+'Выборка 1'!AX92)-('Выборка 1'!AR92+'Выборка 1'!AW92))+(('Выборка 1'!AT92+'Выборка 1'!AY92)-('Выборка 1'!AS92+'Выборка 1'!AX92))+(('Выборка 1'!AU92+'Выборка 1'!AZ92)-('Выборка 1'!AT92+'Выборка 1'!AY92))+(('Выборка 1'!AV92+'Выборка 1'!BA92)-('Выборка 1'!AU92+'Выборка 1'!AZ92)))/4000</f>
        <v>-63782.25</v>
      </c>
      <c r="K92" s="17">
        <f>(('Выборка 1'!BC92-'Выборка 1'!BB92)+('Выборка 1'!BD92-'Выборка 1'!BC92)+('Выборка 1'!BE92-'Выборка 1'!BD92)+('Выборка 1'!BF92-'Выборка 1'!BE92))/4000</f>
        <v>0</v>
      </c>
      <c r="L92" s="17">
        <f t="shared" si="1"/>
        <v>-2277</v>
      </c>
      <c r="M92" s="17">
        <f>((('Выборка 1'!BH92-'Выборка 1'!BM92)-('Выборка 1'!BG92-'Выборка 1'!BL92))+(('Выборка 1'!BI92-'Выборка 1'!BN92)-('Выборка 1'!BH92-'Выборка 1'!BM92))+(('Выборка 1'!BJ92-'Выборка 1'!BO92)-('Выборка 1'!BI92-'Выборка 1'!BN92))+(('Выборка 1'!BK92-'Выборка 1'!BP92)-('Выборка 1'!BJ92-'Выборка 1'!BO92)))/4000</f>
        <v>0</v>
      </c>
      <c r="N92" s="17">
        <f>(('Выборка 1'!BR92-'Выборка 1'!BQ92)+('Выборка 1'!BS92-'Выборка 1'!BR92)+('Выборка 1'!BT92-'Выборка 1'!BS92)+('Выборка 1'!BU92-'Выборка 1'!BT92))/4000</f>
        <v>-1821.5</v>
      </c>
    </row>
    <row r="93" spans="1:14" x14ac:dyDescent="0.25">
      <c r="A93" s="17">
        <v>9</v>
      </c>
      <c r="B93" s="17">
        <f>(('Выборка 1'!E93-'Выборка 1'!D93)+('Выборка 1'!F93-'Выборка 1'!E93)+('Выборка 1'!G93-'Выборка 1'!F93)+('Выборка 1'!H93-'Выборка 1'!G93))/4000</f>
        <v>-1132.75</v>
      </c>
      <c r="C93" s="17">
        <f>(('Выборка 1'!J93-'Выборка 1'!I93)+('Выборка 1'!K93-'Выборка 1'!J93)+('Выборка 1'!L93-'Выборка 1'!K93)+('Выборка 1'!M93-'Выборка 1'!L93))/4000</f>
        <v>-50015</v>
      </c>
      <c r="D93" s="17">
        <f>(('Выборка 1'!O93-'Выборка 1'!N93)+('Выборка 1'!P93-'Выборка 1'!O93)+('Выборка 1'!Q93-'Выборка 1'!P93)+('Выборка 1'!R93-'Выборка 1'!Q93))/4000</f>
        <v>-396608.25</v>
      </c>
      <c r="E93" s="17">
        <f>(('Выборка 1'!T93-'Выборка 1'!S93)+('Выборка 1'!U93-'Выборка 1'!T93)+('Выборка 1'!V93-'Выборка 1'!U93)+('Выборка 1'!W93-'Выборка 1'!V93))/4000</f>
        <v>-14967.75</v>
      </c>
      <c r="F93" s="17">
        <f>(('Выборка 1'!Y93-'Выборка 1'!X93)+('Выборка 1'!Z93+'Выборка 1'!Y93)+('Выборка 1'!AA93-'Выборка 1'!Z93)+('Выборка 1'!AB93-'Выборка 1'!AA93))/4000</f>
        <v>-43419</v>
      </c>
      <c r="G93" s="17">
        <f>(('Выборка 1'!AD93-'Выборка 1'!AC93)+('Выборка 1'!AE93-'Выборка 1'!AD93)+('Выборка 1'!AF93-'Выборка 1'!AE93)+('Выборка 1'!AG93-'Выборка 1'!AF93))/4000</f>
        <v>-9282.75</v>
      </c>
      <c r="H93" s="17">
        <f>(('Выборка 1'!AI93-'Выборка 1'!AH93)+('Выборка 1'!AJ93-'Выборка 1'!AI93)+('Выборка 1'!AK93-'Выборка 1'!AJ93)+('Выборка 1'!AL93-'Выборка 1'!AK93))/4000</f>
        <v>-472793.75</v>
      </c>
      <c r="I93" s="17">
        <f>(('Выборка 1'!AN93-'Выборка 1'!AM93)+('Выборка 1'!AO93-'Выборка 1'!AN93)+('Выборка 1'!AP93-'Выборка 1'!AO93)+('Выборка 1'!AQ93-'Выборка 1'!AP93))/4000</f>
        <v>-82779.75</v>
      </c>
      <c r="J93" s="17">
        <f>((('Выборка 1'!AS93+'Выборка 1'!AX93)-('Выборка 1'!AR93+'Выборка 1'!AW93))+(('Выборка 1'!AT93+'Выборка 1'!AY93)-('Выборка 1'!AS93+'Выборка 1'!AX93))+(('Выборка 1'!AU93+'Выборка 1'!AZ93)-('Выборка 1'!AT93+'Выборка 1'!AY93))+(('Выборка 1'!AV93+'Выборка 1'!BA93)-('Выборка 1'!AU93+'Выборка 1'!AZ93)))/4000</f>
        <v>-74641</v>
      </c>
      <c r="K93" s="17">
        <f>(('Выборка 1'!BC93-'Выборка 1'!BB93)+('Выборка 1'!BD93-'Выборка 1'!BC93)+('Выборка 1'!BE93-'Выборка 1'!BD93)+('Выборка 1'!BF93-'Выборка 1'!BE93))/4000</f>
        <v>-8585.75</v>
      </c>
      <c r="L93" s="17">
        <f t="shared" si="1"/>
        <v>447</v>
      </c>
      <c r="M93" s="17">
        <f>((('Выборка 1'!BH93-'Выборка 1'!BM93)-('Выборка 1'!BG93-'Выборка 1'!BL93))+(('Выборка 1'!BI93-'Выборка 1'!BN93)-('Выборка 1'!BH93-'Выборка 1'!BM93))+(('Выборка 1'!BJ93-'Выборка 1'!BO93)-('Выборка 1'!BI93-'Выборка 1'!BN93))+(('Выборка 1'!BK93-'Выборка 1'!BP93)-('Выборка 1'!BJ93-'Выборка 1'!BO93)))/4000</f>
        <v>1249</v>
      </c>
      <c r="N93" s="17">
        <f>(('Выборка 1'!BR93-'Выборка 1'!BQ93)+('Выборка 1'!BS93-'Выборка 1'!BR93)+('Выборка 1'!BT93-'Выборка 1'!BS93)+('Выборка 1'!BU93-'Выборка 1'!BT93))/4000</f>
        <v>1741.25</v>
      </c>
    </row>
    <row r="94" spans="1:14" x14ac:dyDescent="0.25">
      <c r="A94" s="17">
        <v>17</v>
      </c>
      <c r="B94" s="17">
        <f>(('Выборка 1'!E94-'Выборка 1'!D94)+('Выборка 1'!F94-'Выборка 1'!E94)+('Выборка 1'!G94-'Выборка 1'!F94)+('Выборка 1'!H94-'Выборка 1'!G94))/4000</f>
        <v>-279.25</v>
      </c>
      <c r="C94" s="17">
        <f>(('Выборка 1'!J94-'Выборка 1'!I94)+('Выборка 1'!K94-'Выборка 1'!J94)+('Выборка 1'!L94-'Выборка 1'!K94)+('Выборка 1'!M94-'Выборка 1'!L94))/4000</f>
        <v>0</v>
      </c>
      <c r="D94" s="17">
        <f>(('Выборка 1'!O94-'Выборка 1'!N94)+('Выборка 1'!P94-'Выборка 1'!O94)+('Выборка 1'!Q94-'Выборка 1'!P94)+('Выборка 1'!R94-'Выборка 1'!Q94))/4000</f>
        <v>-3843</v>
      </c>
      <c r="E94" s="17">
        <f>(('Выборка 1'!T94-'Выборка 1'!S94)+('Выборка 1'!U94-'Выборка 1'!T94)+('Выборка 1'!V94-'Выборка 1'!U94)+('Выборка 1'!W94-'Выборка 1'!V94))/4000</f>
        <v>0</v>
      </c>
      <c r="F94" s="17">
        <f>(('Выборка 1'!Y94-'Выборка 1'!X94)+('Выборка 1'!Z94+'Выборка 1'!Y94)+('Выборка 1'!AA94-'Выборка 1'!Z94)+('Выборка 1'!AB94-'Выборка 1'!AA94))/4000</f>
        <v>0</v>
      </c>
      <c r="G94" s="17">
        <f>(('Выборка 1'!AD94-'Выборка 1'!AC94)+('Выборка 1'!AE94-'Выборка 1'!AD94)+('Выборка 1'!AF94-'Выборка 1'!AE94)+('Выборка 1'!AG94-'Выборка 1'!AF94))/4000</f>
        <v>0</v>
      </c>
      <c r="H94" s="17">
        <f>(('Выборка 1'!AI94-'Выборка 1'!AH94)+('Выборка 1'!AJ94-'Выборка 1'!AI94)+('Выборка 1'!AK94-'Выборка 1'!AJ94)+('Выборка 1'!AL94-'Выборка 1'!AK94))/4000</f>
        <v>-5888</v>
      </c>
      <c r="I94" s="17">
        <f>(('Выборка 1'!AN94-'Выборка 1'!AM94)+('Выборка 1'!AO94-'Выборка 1'!AN94)+('Выборка 1'!AP94-'Выборка 1'!AO94)+('Выборка 1'!AQ94-'Выборка 1'!AP94))/4000</f>
        <v>0</v>
      </c>
      <c r="J94" s="17">
        <f>((('Выборка 1'!AS94+'Выборка 1'!AX94)-('Выборка 1'!AR94+'Выборка 1'!AW94))+(('Выборка 1'!AT94+'Выборка 1'!AY94)-('Выборка 1'!AS94+'Выборка 1'!AX94))+(('Выборка 1'!AU94+'Выборка 1'!AZ94)-('Выборка 1'!AT94+'Выборка 1'!AY94))+(('Выборка 1'!AV94+'Выборка 1'!BA94)-('Выборка 1'!AU94+'Выборка 1'!AZ94)))/4000</f>
        <v>0</v>
      </c>
      <c r="K94" s="17">
        <f>(('Выборка 1'!BC94-'Выборка 1'!BB94)+('Выборка 1'!BD94-'Выборка 1'!BC94)+('Выборка 1'!BE94-'Выборка 1'!BD94)+('Выборка 1'!BF94-'Выборка 1'!BE94))/4000</f>
        <v>0</v>
      </c>
      <c r="L94" s="17">
        <f t="shared" si="1"/>
        <v>0</v>
      </c>
      <c r="M94" s="17">
        <f>((('Выборка 1'!BH94-'Выборка 1'!BM94)-('Выборка 1'!BG94-'Выборка 1'!BL94))+(('Выборка 1'!BI94-'Выборка 1'!BN94)-('Выборка 1'!BH94-'Выборка 1'!BM94))+(('Выборка 1'!BJ94-'Выборка 1'!BO94)-('Выборка 1'!BI94-'Выборка 1'!BN94))+(('Выборка 1'!BK94-'Выборка 1'!BP94)-('Выборка 1'!BJ94-'Выборка 1'!BO94)))/4000</f>
        <v>0</v>
      </c>
      <c r="N94" s="17">
        <f>(('Выборка 1'!BR94-'Выборка 1'!BQ94)+('Выборка 1'!BS94-'Выборка 1'!BR94)+('Выборка 1'!BT94-'Выборка 1'!BS94)+('Выборка 1'!BU94-'Выборка 1'!BT94))/4000</f>
        <v>0</v>
      </c>
    </row>
    <row r="95" spans="1:14" x14ac:dyDescent="0.25">
      <c r="A95" s="17">
        <v>20</v>
      </c>
      <c r="B95" s="17">
        <f>(('Выборка 1'!E95-'Выборка 1'!D95)+('Выборка 1'!F95-'Выборка 1'!E95)+('Выборка 1'!G95-'Выборка 1'!F95)+('Выборка 1'!H95-'Выборка 1'!G95))/4000</f>
        <v>-11765</v>
      </c>
      <c r="C95" s="17">
        <f>(('Выборка 1'!J95-'Выборка 1'!I95)+('Выборка 1'!K95-'Выборка 1'!J95)+('Выборка 1'!L95-'Выборка 1'!K95)+('Выборка 1'!M95-'Выборка 1'!L95))/4000</f>
        <v>-68242.25</v>
      </c>
      <c r="D95" s="17">
        <f>(('Выборка 1'!O95-'Выборка 1'!N95)+('Выборка 1'!P95-'Выборка 1'!O95)+('Выборка 1'!Q95-'Выборка 1'!P95)+('Выборка 1'!R95-'Выборка 1'!Q95))/4000</f>
        <v>57914.75</v>
      </c>
      <c r="E95" s="17">
        <f>(('Выборка 1'!T95-'Выборка 1'!S95)+('Выборка 1'!U95-'Выборка 1'!T95)+('Выборка 1'!V95-'Выборка 1'!U95)+('Выборка 1'!W95-'Выборка 1'!V95))/4000</f>
        <v>-100793</v>
      </c>
      <c r="F95" s="17">
        <f>(('Выборка 1'!Y95-'Выборка 1'!X95)+('Выборка 1'!Z95+'Выборка 1'!Y95)+('Выборка 1'!AA95-'Выборка 1'!Z95)+('Выборка 1'!AB95-'Выборка 1'!AA95))/4000</f>
        <v>-8226</v>
      </c>
      <c r="G95" s="17">
        <f>(('Выборка 1'!AD95-'Выборка 1'!AC95)+('Выборка 1'!AE95-'Выборка 1'!AD95)+('Выборка 1'!AF95-'Выборка 1'!AE95)+('Выборка 1'!AG95-'Выборка 1'!AF95))/4000</f>
        <v>2197.5</v>
      </c>
      <c r="H95" s="17">
        <f>(('Выборка 1'!AI95-'Выборка 1'!AH95)+('Выборка 1'!AJ95-'Выборка 1'!AI95)+('Выборка 1'!AK95-'Выборка 1'!AJ95)+('Выборка 1'!AL95-'Выборка 1'!AK95))/4000</f>
        <v>-108806</v>
      </c>
      <c r="I95" s="17">
        <f>(('Выборка 1'!AN95-'Выборка 1'!AM95)+('Выборка 1'!AO95-'Выборка 1'!AN95)+('Выборка 1'!AP95-'Выборка 1'!AO95)+('Выборка 1'!AQ95-'Выборка 1'!AP95))/4000</f>
        <v>8622</v>
      </c>
      <c r="J95" s="17">
        <f>((('Выборка 1'!AS95+'Выборка 1'!AX95)-('Выборка 1'!AR95+'Выборка 1'!AW95))+(('Выборка 1'!AT95+'Выборка 1'!AY95)-('Выборка 1'!AS95+'Выборка 1'!AX95))+(('Выборка 1'!AU95+'Выборка 1'!AZ95)-('Выборка 1'!AT95+'Выборка 1'!AY95))+(('Выборка 1'!AV95+'Выборка 1'!BA95)-('Выборка 1'!AU95+'Выборка 1'!AZ95)))/4000</f>
        <v>34783.25</v>
      </c>
      <c r="K95" s="17">
        <f>(('Выборка 1'!BC95-'Выборка 1'!BB95)+('Выборка 1'!BD95-'Выборка 1'!BC95)+('Выборка 1'!BE95-'Выборка 1'!BD95)+('Выборка 1'!BF95-'Выборка 1'!BE95))/4000</f>
        <v>-12365</v>
      </c>
      <c r="L95" s="17">
        <f t="shared" si="1"/>
        <v>-13796.25</v>
      </c>
      <c r="M95" s="17">
        <f>((('Выборка 1'!BH95-'Выборка 1'!BM95)-('Выборка 1'!BG95-'Выборка 1'!BL95))+(('Выборка 1'!BI95-'Выборка 1'!BN95)-('Выборка 1'!BH95-'Выборка 1'!BM95))+(('Выборка 1'!BJ95-'Выборка 1'!BO95)-('Выборка 1'!BI95-'Выборка 1'!BN95))+(('Выборка 1'!BK95-'Выборка 1'!BP95)-('Выборка 1'!BJ95-'Выборка 1'!BO95)))/4000</f>
        <v>-9790.75</v>
      </c>
      <c r="N95" s="17">
        <f>(('Выборка 1'!BR95-'Выборка 1'!BQ95)+('Выборка 1'!BS95-'Выборка 1'!BR95)+('Выборка 1'!BT95-'Выборка 1'!BS95)+('Выборка 1'!BU95-'Выборка 1'!BT95))/4000</f>
        <v>-19492</v>
      </c>
    </row>
    <row r="96" spans="1:14" x14ac:dyDescent="0.25">
      <c r="A96" s="17">
        <v>14</v>
      </c>
      <c r="B96" s="17">
        <f>(('Выборка 1'!E96-'Выборка 1'!D96)+('Выборка 1'!F96-'Выборка 1'!E96)+('Выборка 1'!G96-'Выборка 1'!F96)+('Выборка 1'!H96-'Выборка 1'!G96))/4000</f>
        <v>-1494.75</v>
      </c>
      <c r="C96" s="17">
        <f>(('Выборка 1'!J96-'Выборка 1'!I96)+('Выборка 1'!K96-'Выборка 1'!J96)+('Выборка 1'!L96-'Выборка 1'!K96)+('Выборка 1'!M96-'Выборка 1'!L96))/4000</f>
        <v>0</v>
      </c>
      <c r="D96" s="17">
        <f>(('Выборка 1'!O96-'Выборка 1'!N96)+('Выборка 1'!P96-'Выборка 1'!O96)+('Выборка 1'!Q96-'Выборка 1'!P96)+('Выборка 1'!R96-'Выборка 1'!Q96))/4000</f>
        <v>-373622</v>
      </c>
      <c r="E96" s="17">
        <f>(('Выборка 1'!T96-'Выборка 1'!S96)+('Выборка 1'!U96-'Выборка 1'!T96)+('Выборка 1'!V96-'Выборка 1'!U96)+('Выборка 1'!W96-'Выборка 1'!V96))/4000</f>
        <v>17.5</v>
      </c>
      <c r="F96" s="17">
        <f>(('Выборка 1'!Y96-'Выборка 1'!X96)+('Выборка 1'!Z96+'Выборка 1'!Y96)+('Выборка 1'!AA96-'Выборка 1'!Z96)+('Выборка 1'!AB96-'Выборка 1'!AA96))/4000</f>
        <v>-13587.25</v>
      </c>
      <c r="G96" s="17">
        <f>(('Выборка 1'!AD96-'Выборка 1'!AC96)+('Выборка 1'!AE96-'Выборка 1'!AD96)+('Выборка 1'!AF96-'Выборка 1'!AE96)+('Выборка 1'!AG96-'Выборка 1'!AF96))/4000</f>
        <v>2424.25</v>
      </c>
      <c r="H96" s="17">
        <f>(('Выборка 1'!AI96-'Выборка 1'!AH96)+('Выборка 1'!AJ96-'Выборка 1'!AI96)+('Выборка 1'!AK96-'Выборка 1'!AJ96)+('Выборка 1'!AL96-'Выборка 1'!AK96))/4000</f>
        <v>19646</v>
      </c>
      <c r="I96" s="17">
        <f>(('Выборка 1'!AN96-'Выборка 1'!AM96)+('Выборка 1'!AO96-'Выборка 1'!AN96)+('Выборка 1'!AP96-'Выборка 1'!AO96)+('Выборка 1'!AQ96-'Выборка 1'!AP96))/4000</f>
        <v>0</v>
      </c>
      <c r="J96" s="17">
        <f>((('Выборка 1'!AS96+'Выборка 1'!AX96)-('Выборка 1'!AR96+'Выборка 1'!AW96))+(('Выборка 1'!AT96+'Выборка 1'!AY96)-('Выборка 1'!AS96+'Выборка 1'!AX96))+(('Выборка 1'!AU96+'Выборка 1'!AZ96)-('Выборка 1'!AT96+'Выборка 1'!AY96))+(('Выборка 1'!AV96+'Выборка 1'!BA96)-('Выборка 1'!AU96+'Выборка 1'!AZ96)))/4000</f>
        <v>0</v>
      </c>
      <c r="K96" s="17">
        <f>(('Выборка 1'!BC96-'Выборка 1'!BB96)+('Выборка 1'!BD96-'Выборка 1'!BC96)+('Выборка 1'!BE96-'Выборка 1'!BD96)+('Выборка 1'!BF96-'Выборка 1'!BE96))/4000</f>
        <v>0</v>
      </c>
      <c r="L96" s="17">
        <f t="shared" si="1"/>
        <v>0</v>
      </c>
      <c r="M96" s="17">
        <f>((('Выборка 1'!BH96-'Выборка 1'!BM96)-('Выборка 1'!BG96-'Выборка 1'!BL96))+(('Выборка 1'!BI96-'Выборка 1'!BN96)-('Выборка 1'!BH96-'Выборка 1'!BM96))+(('Выборка 1'!BJ96-'Выборка 1'!BO96)-('Выборка 1'!BI96-'Выборка 1'!BN96))+(('Выборка 1'!BK96-'Выборка 1'!BP96)-('Выборка 1'!BJ96-'Выборка 1'!BO96)))/4000</f>
        <v>4126</v>
      </c>
      <c r="N96" s="17">
        <f>(('Выборка 1'!BR96-'Выборка 1'!BQ96)+('Выборка 1'!BS96-'Выборка 1'!BR96)+('Выборка 1'!BT96-'Выборка 1'!BS96)+('Выборка 1'!BU96-'Выборка 1'!BT96))/4000</f>
        <v>4126</v>
      </c>
    </row>
    <row r="97" spans="1:14" x14ac:dyDescent="0.25">
      <c r="A97" s="17">
        <v>10</v>
      </c>
      <c r="B97" s="17">
        <f>(('Выборка 1'!E97-'Выборка 1'!D97)+('Выборка 1'!F97-'Выборка 1'!E97)+('Выборка 1'!G97-'Выборка 1'!F97)+('Выборка 1'!H97-'Выборка 1'!G97))/4000</f>
        <v>-246.25</v>
      </c>
      <c r="C97" s="17">
        <f>(('Выборка 1'!J97-'Выборка 1'!I97)+('Выборка 1'!K97-'Выборка 1'!J97)+('Выборка 1'!L97-'Выборка 1'!K97)+('Выборка 1'!M97-'Выборка 1'!L97))/4000</f>
        <v>0.5</v>
      </c>
      <c r="D97" s="17">
        <f>(('Выборка 1'!O97-'Выборка 1'!N97)+('Выборка 1'!P97-'Выборка 1'!O97)+('Выборка 1'!Q97-'Выборка 1'!P97)+('Выборка 1'!R97-'Выборка 1'!Q97))/4000</f>
        <v>452.5</v>
      </c>
      <c r="E97" s="17">
        <f>(('Выборка 1'!T97-'Выборка 1'!S97)+('Выборка 1'!U97-'Выборка 1'!T97)+('Выборка 1'!V97-'Выборка 1'!U97)+('Выборка 1'!W97-'Выборка 1'!V97))/4000</f>
        <v>42.5</v>
      </c>
      <c r="F97" s="17">
        <f>(('Выборка 1'!Y97-'Выборка 1'!X97)+('Выборка 1'!Z97+'Выборка 1'!Y97)+('Выборка 1'!AA97-'Выборка 1'!Z97)+('Выборка 1'!AB97-'Выборка 1'!AA97))/4000</f>
        <v>-2497.75</v>
      </c>
      <c r="G97" s="17">
        <f>(('Выборка 1'!AD97-'Выборка 1'!AC97)+('Выборка 1'!AE97-'Выборка 1'!AD97)+('Выборка 1'!AF97-'Выборка 1'!AE97)+('Выборка 1'!AG97-'Выборка 1'!AF97))/4000</f>
        <v>-0.75</v>
      </c>
      <c r="H97" s="17">
        <f>(('Выборка 1'!AI97-'Выборка 1'!AH97)+('Выборка 1'!AJ97-'Выборка 1'!AI97)+('Выборка 1'!AK97-'Выборка 1'!AJ97)+('Выборка 1'!AL97-'Выборка 1'!AK97))/4000</f>
        <v>533</v>
      </c>
      <c r="I97" s="17">
        <f>(('Выборка 1'!AN97-'Выборка 1'!AM97)+('Выборка 1'!AO97-'Выборка 1'!AN97)+('Выборка 1'!AP97-'Выборка 1'!AO97)+('Выборка 1'!AQ97-'Выборка 1'!AP97))/4000</f>
        <v>-183</v>
      </c>
      <c r="J97" s="17">
        <f>((('Выборка 1'!AS97+'Выборка 1'!AX97)-('Выборка 1'!AR97+'Выборка 1'!AW97))+(('Выборка 1'!AT97+'Выборка 1'!AY97)-('Выборка 1'!AS97+'Выборка 1'!AX97))+(('Выборка 1'!AU97+'Выборка 1'!AZ97)-('Выборка 1'!AT97+'Выборка 1'!AY97))+(('Выборка 1'!AV97+'Выборка 1'!BA97)-('Выборка 1'!AU97+'Выборка 1'!AZ97)))/4000</f>
        <v>-376.25</v>
      </c>
      <c r="K97" s="17">
        <f>(('Выборка 1'!BC97-'Выборка 1'!BB97)+('Выборка 1'!BD97-'Выборка 1'!BC97)+('Выборка 1'!BE97-'Выборка 1'!BD97)+('Выборка 1'!BF97-'Выборка 1'!BE97))/4000</f>
        <v>-1136</v>
      </c>
      <c r="L97" s="17">
        <f t="shared" si="1"/>
        <v>1329.25</v>
      </c>
      <c r="M97" s="17">
        <f>((('Выборка 1'!BH97-'Выборка 1'!BM97)-('Выборка 1'!BG97-'Выборка 1'!BL97))+(('Выборка 1'!BI97-'Выборка 1'!BN97)-('Выборка 1'!BH97-'Выборка 1'!BM97))+(('Выборка 1'!BJ97-'Выборка 1'!BO97)-('Выборка 1'!BI97-'Выборка 1'!BN97))+(('Выборка 1'!BK97-'Выборка 1'!BP97)-('Выборка 1'!BJ97-'Выборка 1'!BO97)))/4000</f>
        <v>-277.75</v>
      </c>
      <c r="N97" s="17">
        <f>(('Выборка 1'!BR97-'Выборка 1'!BQ97)+('Выборка 1'!BS97-'Выборка 1'!BR97)+('Выборка 1'!BT97-'Выборка 1'!BS97)+('Выборка 1'!BU97-'Выборка 1'!BT97))/4000</f>
        <v>1051.5</v>
      </c>
    </row>
    <row r="98" spans="1:14" x14ac:dyDescent="0.25">
      <c r="A98" s="17">
        <v>10</v>
      </c>
      <c r="B98" s="17">
        <f>(('Выборка 1'!E98-'Выборка 1'!D98)+('Выборка 1'!F98-'Выборка 1'!E98)+('Выборка 1'!G98-'Выборка 1'!F98)+('Выборка 1'!H98-'Выборка 1'!G98))/4000</f>
        <v>-19455.75</v>
      </c>
      <c r="C98" s="17">
        <f>(('Выборка 1'!J98-'Выборка 1'!I98)+('Выборка 1'!K98-'Выборка 1'!J98)+('Выборка 1'!L98-'Выборка 1'!K98)+('Выборка 1'!M98-'Выборка 1'!L98))/4000</f>
        <v>-11957.75</v>
      </c>
      <c r="D98" s="17">
        <f>(('Выборка 1'!O98-'Выборка 1'!N98)+('Выборка 1'!P98-'Выборка 1'!O98)+('Выборка 1'!Q98-'Выборка 1'!P98)+('Выборка 1'!R98-'Выборка 1'!Q98))/4000</f>
        <v>-36720.75</v>
      </c>
      <c r="E98" s="17">
        <f>(('Выборка 1'!T98-'Выборка 1'!S98)+('Выборка 1'!U98-'Выборка 1'!T98)+('Выборка 1'!V98-'Выборка 1'!U98)+('Выборка 1'!W98-'Выборка 1'!V98))/4000</f>
        <v>-21191.25</v>
      </c>
      <c r="F98" s="17">
        <f>(('Выборка 1'!Y98-'Выборка 1'!X98)+('Выборка 1'!Z98+'Выборка 1'!Y98)+('Выборка 1'!AA98-'Выборка 1'!Z98)+('Выборка 1'!AB98-'Выборка 1'!AA98))/4000</f>
        <v>3043</v>
      </c>
      <c r="G98" s="17">
        <f>(('Выборка 1'!AD98-'Выборка 1'!AC98)+('Выборка 1'!AE98-'Выборка 1'!AD98)+('Выборка 1'!AF98-'Выборка 1'!AE98)+('Выборка 1'!AG98-'Выборка 1'!AF98))/4000</f>
        <v>0</v>
      </c>
      <c r="H98" s="17">
        <f>(('Выборка 1'!AI98-'Выборка 1'!AH98)+('Выборка 1'!AJ98-'Выборка 1'!AI98)+('Выборка 1'!AK98-'Выборка 1'!AJ98)+('Выборка 1'!AL98-'Выборка 1'!AK98))/4000</f>
        <v>-95468</v>
      </c>
      <c r="I98" s="17">
        <f>(('Выборка 1'!AN98-'Выборка 1'!AM98)+('Выборка 1'!AO98-'Выборка 1'!AN98)+('Выборка 1'!AP98-'Выборка 1'!AO98)+('Выборка 1'!AQ98-'Выборка 1'!AP98))/4000</f>
        <v>-27129.5</v>
      </c>
      <c r="J98" s="17">
        <f>((('Выборка 1'!AS98+'Выборка 1'!AX98)-('Выборка 1'!AR98+'Выборка 1'!AW98))+(('Выборка 1'!AT98+'Выборка 1'!AY98)-('Выборка 1'!AS98+'Выборка 1'!AX98))+(('Выборка 1'!AU98+'Выборка 1'!AZ98)-('Выборка 1'!AT98+'Выборка 1'!AY98))+(('Выборка 1'!AV98+'Выборка 1'!BA98)-('Выборка 1'!AU98+'Выборка 1'!AZ98)))/4000</f>
        <v>-19981.5</v>
      </c>
      <c r="K98" s="17">
        <f>(('Выборка 1'!BC98-'Выборка 1'!BB98)+('Выборка 1'!BD98-'Выборка 1'!BC98)+('Выборка 1'!BE98-'Выборка 1'!BD98)+('Выборка 1'!BF98-'Выборка 1'!BE98))/4000</f>
        <v>-5743</v>
      </c>
      <c r="L98" s="17">
        <f t="shared" si="1"/>
        <v>-1405</v>
      </c>
      <c r="M98" s="17">
        <f>((('Выборка 1'!BH98-'Выборка 1'!BM98)-('Выборка 1'!BG98-'Выборка 1'!BL98))+(('Выборка 1'!BI98-'Выборка 1'!BN98)-('Выборка 1'!BH98-'Выборка 1'!BM98))+(('Выборка 1'!BJ98-'Выборка 1'!BO98)-('Выборка 1'!BI98-'Выборка 1'!BN98))+(('Выборка 1'!BK98-'Выборка 1'!BP98)-('Выборка 1'!BJ98-'Выборка 1'!BO98)))/4000</f>
        <v>678</v>
      </c>
      <c r="N98" s="17">
        <f>(('Выборка 1'!BR98-'Выборка 1'!BQ98)+('Выборка 1'!BS98-'Выборка 1'!BR98)+('Выборка 1'!BT98-'Выборка 1'!BS98)+('Выборка 1'!BU98-'Выборка 1'!BT98))/4000</f>
        <v>-819.5</v>
      </c>
    </row>
    <row r="99" spans="1:14" x14ac:dyDescent="0.25">
      <c r="A99" s="17">
        <v>33</v>
      </c>
      <c r="B99" s="17">
        <f>(('Выборка 1'!E99-'Выборка 1'!D99)+('Выборка 1'!F99-'Выборка 1'!E99)+('Выборка 1'!G99-'Выборка 1'!F99)+('Выборка 1'!H99-'Выборка 1'!G99))/4000</f>
        <v>-17670</v>
      </c>
      <c r="C99" s="17">
        <f>(('Выборка 1'!J99-'Выборка 1'!I99)+('Выборка 1'!K99-'Выборка 1'!J99)+('Выборка 1'!L99-'Выборка 1'!K99)+('Выборка 1'!M99-'Выборка 1'!L99))/4000</f>
        <v>-236388.5</v>
      </c>
      <c r="D99" s="17">
        <f>(('Выборка 1'!O99-'Выборка 1'!N99)+('Выборка 1'!P99-'Выборка 1'!O99)+('Выборка 1'!Q99-'Выборка 1'!P99)+('Выборка 1'!R99-'Выборка 1'!Q99))/4000</f>
        <v>-14778.5</v>
      </c>
      <c r="E99" s="17">
        <f>(('Выборка 1'!T99-'Выборка 1'!S99)+('Выборка 1'!U99-'Выборка 1'!T99)+('Выборка 1'!V99-'Выборка 1'!U99)+('Выборка 1'!W99-'Выборка 1'!V99))/4000</f>
        <v>7227.5</v>
      </c>
      <c r="F99" s="17">
        <f>(('Выборка 1'!Y99-'Выборка 1'!X99)+('Выборка 1'!Z99+'Выборка 1'!Y99)+('Выборка 1'!AA99-'Выборка 1'!Z99)+('Выборка 1'!AB99-'Выборка 1'!AA99))/4000</f>
        <v>-173424.75</v>
      </c>
      <c r="G99" s="17">
        <f>(('Выборка 1'!AD99-'Выборка 1'!AC99)+('Выборка 1'!AE99-'Выборка 1'!AD99)+('Выборка 1'!AF99-'Выборка 1'!AE99)+('Выборка 1'!AG99-'Выборка 1'!AF99))/4000</f>
        <v>0</v>
      </c>
      <c r="H99" s="17">
        <f>(('Выборка 1'!AI99-'Выборка 1'!AH99)+('Выборка 1'!AJ99-'Выборка 1'!AI99)+('Выборка 1'!AK99-'Выборка 1'!AJ99)+('Выборка 1'!AL99-'Выборка 1'!AK99))/4000</f>
        <v>14768</v>
      </c>
      <c r="I99" s="17">
        <f>(('Выборка 1'!AN99-'Выборка 1'!AM99)+('Выборка 1'!AO99-'Выборка 1'!AN99)+('Выборка 1'!AP99-'Выборка 1'!AO99)+('Выборка 1'!AQ99-'Выборка 1'!AP99))/4000</f>
        <v>-149490.25</v>
      </c>
      <c r="J99" s="17">
        <f>((('Выборка 1'!AS99+'Выборка 1'!AX99)-('Выборка 1'!AR99+'Выборка 1'!AW99))+(('Выборка 1'!AT99+'Выборка 1'!AY99)-('Выборка 1'!AS99+'Выборка 1'!AX99))+(('Выборка 1'!AU99+'Выборка 1'!AZ99)-('Выборка 1'!AT99+'Выборка 1'!AY99))+(('Выборка 1'!AV99+'Выборка 1'!BA99)-('Выборка 1'!AU99+'Выборка 1'!AZ99)))/4000</f>
        <v>-151805.75</v>
      </c>
      <c r="K99" s="17">
        <f>(('Выборка 1'!BC99-'Выборка 1'!BB99)+('Выборка 1'!BD99-'Выборка 1'!BC99)+('Выборка 1'!BE99-'Выборка 1'!BD99)+('Выборка 1'!BF99-'Выборка 1'!BE99))/4000</f>
        <v>0</v>
      </c>
      <c r="L99" s="17">
        <f t="shared" si="1"/>
        <v>2315.5</v>
      </c>
      <c r="M99" s="17">
        <f>((('Выборка 1'!BH99-'Выборка 1'!BM99)-('Выборка 1'!BG99-'Выборка 1'!BL99))+(('Выборка 1'!BI99-'Выборка 1'!BN99)-('Выборка 1'!BH99-'Выборка 1'!BM99))+(('Выборка 1'!BJ99-'Выборка 1'!BO99)-('Выборка 1'!BI99-'Выборка 1'!BN99))+(('Выборка 1'!BK99-'Выборка 1'!BP99)-('Выборка 1'!BJ99-'Выборка 1'!BO99)))/4000</f>
        <v>-20740</v>
      </c>
      <c r="N99" s="17">
        <f>(('Выборка 1'!BR99-'Выборка 1'!BQ99)+('Выборка 1'!BS99-'Выборка 1'!BR99)+('Выборка 1'!BT99-'Выборка 1'!BS99)+('Выборка 1'!BU99-'Выборка 1'!BT99))/4000</f>
        <v>-39416</v>
      </c>
    </row>
    <row r="100" spans="1:14" x14ac:dyDescent="0.25">
      <c r="A100" s="17">
        <v>16</v>
      </c>
      <c r="B100" s="17">
        <f>(('Выборка 1'!E100-'Выборка 1'!D100)+('Выборка 1'!F100-'Выборка 1'!E100)+('Выборка 1'!G100-'Выборка 1'!F100)+('Выборка 1'!H100-'Выборка 1'!G100))/4000</f>
        <v>0</v>
      </c>
      <c r="C100" s="17">
        <f>(('Выборка 1'!J100-'Выборка 1'!I100)+('Выборка 1'!K100-'Выборка 1'!J100)+('Выборка 1'!L100-'Выборка 1'!K100)+('Выборка 1'!M100-'Выборка 1'!L100))/4000</f>
        <v>0</v>
      </c>
      <c r="D100" s="17">
        <f>(('Выборка 1'!O100-'Выборка 1'!N100)+('Выборка 1'!P100-'Выборка 1'!O100)+('Выборка 1'!Q100-'Выборка 1'!P100)+('Выборка 1'!R100-'Выборка 1'!Q100))/4000</f>
        <v>0</v>
      </c>
      <c r="E100" s="17">
        <f>(('Выборка 1'!T100-'Выборка 1'!S100)+('Выборка 1'!U100-'Выборка 1'!T100)+('Выборка 1'!V100-'Выборка 1'!U100)+('Выборка 1'!W100-'Выборка 1'!V100))/4000</f>
        <v>0</v>
      </c>
      <c r="F100" s="17">
        <f>(('Выборка 1'!Y100-'Выборка 1'!X100)+('Выборка 1'!Z100+'Выборка 1'!Y100)+('Выборка 1'!AA100-'Выборка 1'!Z100)+('Выборка 1'!AB100-'Выборка 1'!AA100))/4000</f>
        <v>0</v>
      </c>
      <c r="G100" s="17">
        <f>(('Выборка 1'!AD100-'Выборка 1'!AC100)+('Выборка 1'!AE100-'Выборка 1'!AD100)+('Выборка 1'!AF100-'Выборка 1'!AE100)+('Выборка 1'!AG100-'Выборка 1'!AF100))/4000</f>
        <v>0</v>
      </c>
      <c r="H100" s="17">
        <f>(('Выборка 1'!AI100-'Выборка 1'!AH100)+('Выборка 1'!AJ100-'Выборка 1'!AI100)+('Выборка 1'!AK100-'Выборка 1'!AJ100)+('Выборка 1'!AL100-'Выборка 1'!AK100))/4000</f>
        <v>0</v>
      </c>
      <c r="I100" s="17">
        <f>(('Выборка 1'!AN100-'Выборка 1'!AM100)+('Выборка 1'!AO100-'Выборка 1'!AN100)+('Выборка 1'!AP100-'Выборка 1'!AO100)+('Выборка 1'!AQ100-'Выборка 1'!AP100))/4000</f>
        <v>0</v>
      </c>
      <c r="J100" s="17">
        <f>((('Выборка 1'!AS100+'Выборка 1'!AX100)-('Выборка 1'!AR100+'Выборка 1'!AW100))+(('Выборка 1'!AT100+'Выборка 1'!AY100)-('Выборка 1'!AS100+'Выборка 1'!AX100))+(('Выборка 1'!AU100+'Выборка 1'!AZ100)-('Выборка 1'!AT100+'Выборка 1'!AY100))+(('Выборка 1'!AV100+'Выборка 1'!BA100)-('Выборка 1'!AU100+'Выборка 1'!AZ100)))/4000</f>
        <v>0</v>
      </c>
      <c r="K100" s="17">
        <f>(('Выборка 1'!BC100-'Выборка 1'!BB100)+('Выборка 1'!BD100-'Выборка 1'!BC100)+('Выборка 1'!BE100-'Выборка 1'!BD100)+('Выборка 1'!BF100-'Выборка 1'!BE100))/4000</f>
        <v>0</v>
      </c>
      <c r="L100" s="17">
        <f t="shared" si="1"/>
        <v>0</v>
      </c>
      <c r="M100" s="17">
        <f>((('Выборка 1'!BH100-'Выборка 1'!BM100)-('Выборка 1'!BG100-'Выборка 1'!BL100))+(('Выборка 1'!BI100-'Выборка 1'!BN100)-('Выборка 1'!BH100-'Выборка 1'!BM100))+(('Выборка 1'!BJ100-'Выборка 1'!BO100)-('Выборка 1'!BI100-'Выборка 1'!BN100))+(('Выборка 1'!BK100-'Выборка 1'!BP100)-('Выборка 1'!BJ100-'Выборка 1'!BO100)))/4000</f>
        <v>0</v>
      </c>
      <c r="N100" s="17">
        <f>(('Выборка 1'!BR100-'Выборка 1'!BQ100)+('Выборка 1'!BS100-'Выборка 1'!BR100)+('Выборка 1'!BT100-'Выборка 1'!BS100)+('Выборка 1'!BU100-'Выборка 1'!BT100))/4000</f>
        <v>0</v>
      </c>
    </row>
    <row r="101" spans="1:14" x14ac:dyDescent="0.25">
      <c r="A101" s="17">
        <v>19</v>
      </c>
      <c r="B101" s="17">
        <f>(('Выборка 1'!E101-'Выборка 1'!D101)+('Выборка 1'!F101-'Выборка 1'!E101)+('Выборка 1'!G101-'Выборка 1'!F101)+('Выборка 1'!H101-'Выборка 1'!G101))/4000</f>
        <v>-6.75</v>
      </c>
      <c r="C101" s="17">
        <f>(('Выборка 1'!J101-'Выборка 1'!I101)+('Выборка 1'!K101-'Выборка 1'!J101)+('Выборка 1'!L101-'Выборка 1'!K101)+('Выборка 1'!M101-'Выборка 1'!L101))/4000</f>
        <v>-2071.5</v>
      </c>
      <c r="D101" s="17">
        <f>(('Выборка 1'!O101-'Выборка 1'!N101)+('Выборка 1'!P101-'Выборка 1'!O101)+('Выборка 1'!Q101-'Выборка 1'!P101)+('Выборка 1'!R101-'Выборка 1'!Q101))/4000</f>
        <v>-11020.5</v>
      </c>
      <c r="E101" s="17">
        <f>(('Выборка 1'!T101-'Выборка 1'!S101)+('Выборка 1'!U101-'Выборка 1'!T101)+('Выборка 1'!V101-'Выборка 1'!U101)+('Выборка 1'!W101-'Выборка 1'!V101))/4000</f>
        <v>-19.75</v>
      </c>
      <c r="F101" s="17">
        <f>(('Выборка 1'!Y101-'Выборка 1'!X101)+('Выборка 1'!Z101+'Выборка 1'!Y101)+('Выборка 1'!AA101-'Выборка 1'!Z101)+('Выборка 1'!AB101-'Выборка 1'!AA101))/4000</f>
        <v>631</v>
      </c>
      <c r="G101" s="17">
        <f>(('Выборка 1'!AD101-'Выборка 1'!AC101)+('Выборка 1'!AE101-'Выборка 1'!AD101)+('Выборка 1'!AF101-'Выборка 1'!AE101)+('Выборка 1'!AG101-'Выборка 1'!AF101))/4000</f>
        <v>-203</v>
      </c>
      <c r="H101" s="17">
        <f>(('Выборка 1'!AI101-'Выборка 1'!AH101)+('Выборка 1'!AJ101-'Выборка 1'!AI101)+('Выборка 1'!AK101-'Выборка 1'!AJ101)+('Выборка 1'!AL101-'Выборка 1'!AK101))/4000</f>
        <v>-1974</v>
      </c>
      <c r="I101" s="17">
        <f>(('Выборка 1'!AN101-'Выборка 1'!AM101)+('Выборка 1'!AO101-'Выборка 1'!AN101)+('Выборка 1'!AP101-'Выборка 1'!AO101)+('Выборка 1'!AQ101-'Выборка 1'!AP101))/4000</f>
        <v>-7284.5</v>
      </c>
      <c r="J101" s="17">
        <f>((('Выборка 1'!AS101+'Выборка 1'!AX101)-('Выборка 1'!AR101+'Выборка 1'!AW101))+(('Выборка 1'!AT101+'Выборка 1'!AY101)-('Выборка 1'!AS101+'Выборка 1'!AX101))+(('Выборка 1'!AU101+'Выборка 1'!AZ101)-('Выборка 1'!AT101+'Выборка 1'!AY101))+(('Выборка 1'!AV101+'Выборка 1'!BA101)-('Выборка 1'!AU101+'Выборка 1'!AZ101)))/4000</f>
        <v>-5338.75</v>
      </c>
      <c r="K101" s="17">
        <f>(('Выборка 1'!BC101-'Выборка 1'!BB101)+('Выборка 1'!BD101-'Выборка 1'!BC101)+('Выборка 1'!BE101-'Выборка 1'!BD101)+('Выборка 1'!BF101-'Выборка 1'!BE101))/4000</f>
        <v>-1488.5</v>
      </c>
      <c r="L101" s="17">
        <f t="shared" si="1"/>
        <v>-457.25</v>
      </c>
      <c r="M101" s="17">
        <f>((('Выборка 1'!BH101-'Выборка 1'!BM101)-('Выборка 1'!BG101-'Выборка 1'!BL101))+(('Выборка 1'!BI101-'Выборка 1'!BN101)-('Выборка 1'!BH101-'Выборка 1'!BM101))+(('Выборка 1'!BJ101-'Выборка 1'!BO101)-('Выборка 1'!BI101-'Выборка 1'!BN101))+(('Выборка 1'!BK101-'Выборка 1'!BP101)-('Выборка 1'!BJ101-'Выборка 1'!BO101)))/4000</f>
        <v>274.75</v>
      </c>
      <c r="N101" s="17">
        <f>(('Выборка 1'!BR101-'Выборка 1'!BQ101)+('Выборка 1'!BS101-'Выборка 1'!BR101)+('Выборка 1'!BT101-'Выборка 1'!BS101)+('Выборка 1'!BU101-'Выборка 1'!BT101))/4000</f>
        <v>185.5</v>
      </c>
    </row>
    <row r="102" spans="1:14" x14ac:dyDescent="0.25">
      <c r="A102" s="17">
        <v>14</v>
      </c>
      <c r="B102" s="17">
        <f>(('Выборка 1'!E102-'Выборка 1'!D102)+('Выборка 1'!F102-'Выборка 1'!E102)+('Выборка 1'!G102-'Выборка 1'!F102)+('Выборка 1'!H102-'Выборка 1'!G102))/4000</f>
        <v>-2616.25</v>
      </c>
      <c r="C102" s="17">
        <f>(('Выборка 1'!J102-'Выборка 1'!I102)+('Выборка 1'!K102-'Выборка 1'!J102)+('Выборка 1'!L102-'Выборка 1'!K102)+('Выборка 1'!M102-'Выборка 1'!L102))/4000</f>
        <v>-52120</v>
      </c>
      <c r="D102" s="17">
        <f>(('Выборка 1'!O102-'Выборка 1'!N102)+('Выборка 1'!P102-'Выборка 1'!O102)+('Выборка 1'!Q102-'Выборка 1'!P102)+('Выборка 1'!R102-'Выборка 1'!Q102))/4000</f>
        <v>-3922.25</v>
      </c>
      <c r="E102" s="17">
        <f>(('Выборка 1'!T102-'Выборка 1'!S102)+('Выборка 1'!U102-'Выборка 1'!T102)+('Выборка 1'!V102-'Выборка 1'!U102)+('Выборка 1'!W102-'Выборка 1'!V102))/4000</f>
        <v>-14646</v>
      </c>
      <c r="F102" s="17">
        <f>(('Выборка 1'!Y102-'Выборка 1'!X102)+('Выборка 1'!Z102+'Выборка 1'!Y102)+('Выборка 1'!AA102-'Выборка 1'!Z102)+('Выборка 1'!AB102-'Выборка 1'!AA102))/4000</f>
        <v>-24939.75</v>
      </c>
      <c r="G102" s="17">
        <f>(('Выборка 1'!AD102-'Выборка 1'!AC102)+('Выборка 1'!AE102-'Выборка 1'!AD102)+('Выборка 1'!AF102-'Выборка 1'!AE102)+('Выборка 1'!AG102-'Выборка 1'!AF102))/4000</f>
        <v>-102.75</v>
      </c>
      <c r="H102" s="17">
        <f>(('Выборка 1'!AI102-'Выборка 1'!AH102)+('Выборка 1'!AJ102-'Выборка 1'!AI102)+('Выборка 1'!AK102-'Выборка 1'!AJ102)+('Выборка 1'!AL102-'Выборка 1'!AK102))/4000</f>
        <v>-55054</v>
      </c>
      <c r="I102" s="17">
        <f>(('Выборка 1'!AN102-'Выборка 1'!AM102)+('Выборка 1'!AO102-'Выборка 1'!AN102)+('Выборка 1'!AP102-'Выборка 1'!AO102)+('Выборка 1'!AQ102-'Выборка 1'!AP102))/4000</f>
        <v>-186568</v>
      </c>
      <c r="J102" s="17">
        <f>((('Выборка 1'!AS102+'Выборка 1'!AX102)-('Выборка 1'!AR102+'Выборка 1'!AW102))+(('Выборка 1'!AT102+'Выборка 1'!AY102)-('Выборка 1'!AS102+'Выборка 1'!AX102))+(('Выборка 1'!AU102+'Выборка 1'!AZ102)-('Выборка 1'!AT102+'Выборка 1'!AY102))+(('Выборка 1'!AV102+'Выборка 1'!BA102)-('Выборка 1'!AU102+'Выборка 1'!AZ102)))/4000</f>
        <v>-198749.75</v>
      </c>
      <c r="K102" s="17">
        <f>(('Выборка 1'!BC102-'Выборка 1'!BB102)+('Выборка 1'!BD102-'Выборка 1'!BC102)+('Выборка 1'!BE102-'Выборка 1'!BD102)+('Выборка 1'!BF102-'Выборка 1'!BE102))/4000</f>
        <v>-16504</v>
      </c>
      <c r="L102" s="17">
        <f t="shared" si="1"/>
        <v>28685.75</v>
      </c>
      <c r="M102" s="17">
        <f>((('Выборка 1'!BH102-'Выборка 1'!BM102)-('Выборка 1'!BG102-'Выборка 1'!BL102))+(('Выборка 1'!BI102-'Выборка 1'!BN102)-('Выборка 1'!BH102-'Выборка 1'!BM102))+(('Выборка 1'!BJ102-'Выборка 1'!BO102)-('Выборка 1'!BI102-'Выборка 1'!BN102))+(('Выборка 1'!BK102-'Выборка 1'!BP102)-('Выборка 1'!BJ102-'Выборка 1'!BO102)))/4000</f>
        <v>-30350</v>
      </c>
      <c r="N102" s="17">
        <f>(('Выборка 1'!BR102-'Выборка 1'!BQ102)+('Выборка 1'!BS102-'Выборка 1'!BR102)+('Выборка 1'!BT102-'Выборка 1'!BS102)+('Выборка 1'!BU102-'Выборка 1'!BT102))/4000</f>
        <v>-617.5</v>
      </c>
    </row>
    <row r="103" spans="1:14" x14ac:dyDescent="0.25">
      <c r="A103" s="17">
        <v>17</v>
      </c>
      <c r="B103" s="17">
        <f>(('Выборка 1'!E103-'Выборка 1'!D103)+('Выборка 1'!F103-'Выборка 1'!E103)+('Выборка 1'!G103-'Выборка 1'!F103)+('Выборка 1'!H103-'Выборка 1'!G103))/4000</f>
        <v>-865.75</v>
      </c>
      <c r="C103" s="17">
        <f>(('Выборка 1'!J103-'Выборка 1'!I103)+('Выборка 1'!K103-'Выборка 1'!J103)+('Выборка 1'!L103-'Выборка 1'!K103)+('Выборка 1'!M103-'Выборка 1'!L103))/4000</f>
        <v>3677.25</v>
      </c>
      <c r="D103" s="17">
        <f>(('Выборка 1'!O103-'Выборка 1'!N103)+('Выборка 1'!P103-'Выборка 1'!O103)+('Выборка 1'!Q103-'Выборка 1'!P103)+('Выборка 1'!R103-'Выборка 1'!Q103))/4000</f>
        <v>6515</v>
      </c>
      <c r="E103" s="17">
        <f>(('Выборка 1'!T103-'Выборка 1'!S103)+('Выборка 1'!U103-'Выборка 1'!T103)+('Выборка 1'!V103-'Выборка 1'!U103)+('Выборка 1'!W103-'Выборка 1'!V103))/4000</f>
        <v>-1154.5</v>
      </c>
      <c r="F103" s="17">
        <f>(('Выборка 1'!Y103-'Выборка 1'!X103)+('Выборка 1'!Z103+'Выборка 1'!Y103)+('Выборка 1'!AA103-'Выборка 1'!Z103)+('Выборка 1'!AB103-'Выборка 1'!AA103))/4000</f>
        <v>-51340.25</v>
      </c>
      <c r="G103" s="17">
        <f>(('Выборка 1'!AD103-'Выборка 1'!AC103)+('Выборка 1'!AE103-'Выборка 1'!AD103)+('Выборка 1'!AF103-'Выборка 1'!AE103)+('Выборка 1'!AG103-'Выборка 1'!AF103))/4000</f>
        <v>0</v>
      </c>
      <c r="H103" s="17">
        <f>(('Выборка 1'!AI103-'Выборка 1'!AH103)+('Выборка 1'!AJ103-'Выборка 1'!AI103)+('Выборка 1'!AK103-'Выборка 1'!AJ103)+('Выборка 1'!AL103-'Выборка 1'!AK103))/4000</f>
        <v>7382</v>
      </c>
      <c r="I103" s="17">
        <f>(('Выборка 1'!AN103-'Выборка 1'!AM103)+('Выборка 1'!AO103-'Выборка 1'!AN103)+('Выборка 1'!AP103-'Выборка 1'!AO103)+('Выборка 1'!AQ103-'Выборка 1'!AP103))/4000</f>
        <v>-158631</v>
      </c>
      <c r="J103" s="17">
        <f>((('Выборка 1'!AS103+'Выборка 1'!AX103)-('Выборка 1'!AR103+'Выборка 1'!AW103))+(('Выборка 1'!AT103+'Выборка 1'!AY103)-('Выборка 1'!AS103+'Выборка 1'!AX103))+(('Выборка 1'!AU103+'Выборка 1'!AZ103)-('Выборка 1'!AT103+'Выборка 1'!AY103))+(('Выборка 1'!AV103+'Выборка 1'!BA103)-('Выборка 1'!AU103+'Выборка 1'!AZ103)))/4000</f>
        <v>-176976.5</v>
      </c>
      <c r="K103" s="17">
        <f>(('Выборка 1'!BC103-'Выборка 1'!BB103)+('Выборка 1'!BD103-'Выборка 1'!BC103)+('Выборка 1'!BE103-'Выборка 1'!BD103)+('Выборка 1'!BF103-'Выборка 1'!BE103))/4000</f>
        <v>-7050.75</v>
      </c>
      <c r="L103" s="17">
        <f t="shared" si="1"/>
        <v>25396.25</v>
      </c>
      <c r="M103" s="17">
        <f>((('Выборка 1'!BH103-'Выборка 1'!BM103)-('Выборка 1'!BG103-'Выборка 1'!BL103))+(('Выборка 1'!BI103-'Выборка 1'!BN103)-('Выборка 1'!BH103-'Выборка 1'!BM103))+(('Выборка 1'!BJ103-'Выборка 1'!BO103)-('Выборка 1'!BI103-'Выборка 1'!BN103))+(('Выборка 1'!BK103-'Выборка 1'!BP103)-('Выборка 1'!BJ103-'Выборка 1'!BO103)))/4000</f>
        <v>4797.75</v>
      </c>
      <c r="N103" s="17">
        <f>(('Выборка 1'!BR103-'Выборка 1'!BQ103)+('Выборка 1'!BS103-'Выборка 1'!BR103)+('Выборка 1'!BT103-'Выборка 1'!BS103)+('Выборка 1'!BU103-'Выборка 1'!BT103))/4000</f>
        <v>31034.5</v>
      </c>
    </row>
    <row r="104" spans="1:14" x14ac:dyDescent="0.25">
      <c r="A104" s="17">
        <v>9</v>
      </c>
      <c r="B104" s="17">
        <f>(('Выборка 1'!E104-'Выборка 1'!D104)+('Выборка 1'!F104-'Выборка 1'!E104)+('Выборка 1'!G104-'Выборка 1'!F104)+('Выборка 1'!H104-'Выборка 1'!G104))/4000</f>
        <v>-36316</v>
      </c>
      <c r="C104" s="17">
        <f>(('Выборка 1'!J104-'Выборка 1'!I104)+('Выборка 1'!K104-'Выборка 1'!J104)+('Выборка 1'!L104-'Выборка 1'!K104)+('Выборка 1'!M104-'Выборка 1'!L104))/4000</f>
        <v>0</v>
      </c>
      <c r="D104" s="17">
        <f>(('Выборка 1'!O104-'Выборка 1'!N104)+('Выборка 1'!P104-'Выборка 1'!O104)+('Выборка 1'!Q104-'Выборка 1'!P104)+('Выборка 1'!R104-'Выборка 1'!Q104))/4000</f>
        <v>0</v>
      </c>
      <c r="E104" s="17">
        <f>(('Выборка 1'!T104-'Выборка 1'!S104)+('Выборка 1'!U104-'Выборка 1'!T104)+('Выборка 1'!V104-'Выборка 1'!U104)+('Выборка 1'!W104-'Выборка 1'!V104))/4000</f>
        <v>736</v>
      </c>
      <c r="F104" s="17">
        <f>(('Выборка 1'!Y104-'Выборка 1'!X104)+('Выборка 1'!Z104+'Выборка 1'!Y104)+('Выборка 1'!AA104-'Выборка 1'!Z104)+('Выборка 1'!AB104-'Выборка 1'!AA104))/4000</f>
        <v>-56347.75</v>
      </c>
      <c r="G104" s="17">
        <f>(('Выборка 1'!AD104-'Выборка 1'!AC104)+('Выборка 1'!AE104-'Выборка 1'!AD104)+('Выборка 1'!AF104-'Выборка 1'!AE104)+('Выборка 1'!AG104-'Выборка 1'!AF104))/4000</f>
        <v>0</v>
      </c>
      <c r="H104" s="17">
        <f>(('Выборка 1'!AI104-'Выборка 1'!AH104)+('Выборка 1'!AJ104-'Выборка 1'!AI104)+('Выборка 1'!AK104-'Выборка 1'!AJ104)+('Выборка 1'!AL104-'Выборка 1'!AK104))/4000</f>
        <v>-5031</v>
      </c>
      <c r="I104" s="17">
        <f>(('Выборка 1'!AN104-'Выборка 1'!AM104)+('Выборка 1'!AO104-'Выборка 1'!AN104)+('Выборка 1'!AP104-'Выборка 1'!AO104)+('Выборка 1'!AQ104-'Выборка 1'!AP104))/4000</f>
        <v>0</v>
      </c>
      <c r="J104" s="17">
        <f>((('Выборка 1'!AS104+'Выборка 1'!AX104)-('Выборка 1'!AR104+'Выборка 1'!AW104))+(('Выборка 1'!AT104+'Выборка 1'!AY104)-('Выборка 1'!AS104+'Выборка 1'!AX104))+(('Выборка 1'!AU104+'Выборка 1'!AZ104)-('Выборка 1'!AT104+'Выборка 1'!AY104))+(('Выборка 1'!AV104+'Выборка 1'!BA104)-('Выборка 1'!AU104+'Выборка 1'!AZ104)))/4000</f>
        <v>0</v>
      </c>
      <c r="K104" s="17">
        <f>(('Выборка 1'!BC104-'Выборка 1'!BB104)+('Выборка 1'!BD104-'Выборка 1'!BC104)+('Выборка 1'!BE104-'Выборка 1'!BD104)+('Выборка 1'!BF104-'Выборка 1'!BE104))/4000</f>
        <v>0</v>
      </c>
      <c r="L104" s="17">
        <f t="shared" si="1"/>
        <v>0</v>
      </c>
      <c r="M104" s="17">
        <f>((('Выборка 1'!BH104-'Выборка 1'!BM104)-('Выборка 1'!BG104-'Выборка 1'!BL104))+(('Выборка 1'!BI104-'Выборка 1'!BN104)-('Выборка 1'!BH104-'Выборка 1'!BM104))+(('Выборка 1'!BJ104-'Выборка 1'!BO104)-('Выборка 1'!BI104-'Выборка 1'!BN104))+(('Выборка 1'!BK104-'Выборка 1'!BP104)-('Выборка 1'!BJ104-'Выборка 1'!BO104)))/4000</f>
        <v>139.75</v>
      </c>
      <c r="N104" s="17">
        <f>(('Выборка 1'!BR104-'Выборка 1'!BQ104)+('Выборка 1'!BS104-'Выборка 1'!BR104)+('Выборка 1'!BT104-'Выборка 1'!BS104)+('Выборка 1'!BU104-'Выборка 1'!BT104))/4000</f>
        <v>153.75</v>
      </c>
    </row>
    <row r="105" spans="1:14" x14ac:dyDescent="0.25">
      <c r="A105" s="17">
        <v>20</v>
      </c>
      <c r="B105" s="17">
        <f>(('Выборка 1'!E105-'Выборка 1'!D105)+('Выборка 1'!F105-'Выборка 1'!E105)+('Выборка 1'!G105-'Выборка 1'!F105)+('Выборка 1'!H105-'Выборка 1'!G105))/4000</f>
        <v>-333.75</v>
      </c>
      <c r="C105" s="17">
        <f>(('Выборка 1'!J105-'Выборка 1'!I105)+('Выборка 1'!K105-'Выборка 1'!J105)+('Выборка 1'!L105-'Выборка 1'!K105)+('Выборка 1'!M105-'Выборка 1'!L105))/4000</f>
        <v>-531</v>
      </c>
      <c r="D105" s="17">
        <f>(('Выборка 1'!O105-'Выборка 1'!N105)+('Выборка 1'!P105-'Выборка 1'!O105)+('Выборка 1'!Q105-'Выборка 1'!P105)+('Выборка 1'!R105-'Выборка 1'!Q105))/4000</f>
        <v>-13002.25</v>
      </c>
      <c r="E105" s="17">
        <f>(('Выборка 1'!T105-'Выборка 1'!S105)+('Выборка 1'!U105-'Выборка 1'!T105)+('Выборка 1'!V105-'Выборка 1'!U105)+('Выборка 1'!W105-'Выборка 1'!V105))/4000</f>
        <v>-4487.25</v>
      </c>
      <c r="F105" s="17">
        <f>(('Выборка 1'!Y105-'Выборка 1'!X105)+('Выборка 1'!Z105+'Выборка 1'!Y105)+('Выборка 1'!AA105-'Выборка 1'!Z105)+('Выборка 1'!AB105-'Выборка 1'!AA105))/4000</f>
        <v>3496.5</v>
      </c>
      <c r="G105" s="17">
        <f>(('Выборка 1'!AD105-'Выборка 1'!AC105)+('Выборка 1'!AE105-'Выборка 1'!AD105)+('Выборка 1'!AF105-'Выборка 1'!AE105)+('Выборка 1'!AG105-'Выборка 1'!AF105))/4000</f>
        <v>0</v>
      </c>
      <c r="H105" s="17">
        <f>(('Выборка 1'!AI105-'Выборка 1'!AH105)+('Выборка 1'!AJ105-'Выборка 1'!AI105)+('Выборка 1'!AK105-'Выборка 1'!AJ105)+('Выборка 1'!AL105-'Выборка 1'!AK105))/4000</f>
        <v>-11558.25</v>
      </c>
      <c r="I105" s="17">
        <f>(('Выборка 1'!AN105-'Выборка 1'!AM105)+('Выборка 1'!AO105-'Выборка 1'!AN105)+('Выборка 1'!AP105-'Выборка 1'!AO105)+('Выборка 1'!AQ105-'Выборка 1'!AP105))/4000</f>
        <v>-56215.25</v>
      </c>
      <c r="J105" s="17">
        <f>((('Выборка 1'!AS105+'Выборка 1'!AX105)-('Выборка 1'!AR105+'Выборка 1'!AW105))+(('Выборка 1'!AT105+'Выборка 1'!AY105)-('Выборка 1'!AS105+'Выборка 1'!AX105))+(('Выборка 1'!AU105+'Выборка 1'!AZ105)-('Выборка 1'!AT105+'Выборка 1'!AY105))+(('Выборка 1'!AV105+'Выборка 1'!BA105)-('Выборка 1'!AU105+'Выборка 1'!AZ105)))/4000</f>
        <v>-50157</v>
      </c>
      <c r="K105" s="17">
        <f>(('Выборка 1'!BC105-'Выборка 1'!BB105)+('Выборка 1'!BD105-'Выборка 1'!BC105)+('Выборка 1'!BE105-'Выборка 1'!BD105)+('Выборка 1'!BF105-'Выборка 1'!BE105))/4000</f>
        <v>-5835.5</v>
      </c>
      <c r="L105" s="17">
        <f t="shared" si="1"/>
        <v>-222.75</v>
      </c>
      <c r="M105" s="17">
        <f>((('Выборка 1'!BH105-'Выборка 1'!BM105)-('Выборка 1'!BG105-'Выборка 1'!BL105))+(('Выборка 1'!BI105-'Выборка 1'!BN105)-('Выборка 1'!BH105-'Выборка 1'!BM105))+(('Выборка 1'!BJ105-'Выборка 1'!BO105)-('Выборка 1'!BI105-'Выборка 1'!BN105))+(('Выборка 1'!BK105-'Выборка 1'!BP105)-('Выборка 1'!BJ105-'Выборка 1'!BO105)))/4000</f>
        <v>-457.25</v>
      </c>
      <c r="N105" s="17">
        <f>(('Выборка 1'!BR105-'Выборка 1'!BQ105)+('Выборка 1'!BS105-'Выборка 1'!BR105)+('Выборка 1'!BT105-'Выборка 1'!BS105)+('Выборка 1'!BU105-'Выборка 1'!BT105))/4000</f>
        <v>-618</v>
      </c>
    </row>
    <row r="106" spans="1:14" x14ac:dyDescent="0.25">
      <c r="A106" s="17">
        <v>12</v>
      </c>
      <c r="B106" s="17">
        <f>(('Выборка 1'!E106-'Выборка 1'!D106)+('Выборка 1'!F106-'Выборка 1'!E106)+('Выборка 1'!G106-'Выборка 1'!F106)+('Выборка 1'!H106-'Выборка 1'!G106))/4000</f>
        <v>0</v>
      </c>
      <c r="C106" s="17">
        <f>(('Выборка 1'!J106-'Выборка 1'!I106)+('Выборка 1'!K106-'Выборка 1'!J106)+('Выборка 1'!L106-'Выборка 1'!K106)+('Выборка 1'!M106-'Выборка 1'!L106))/4000</f>
        <v>-153918.75</v>
      </c>
      <c r="D106" s="17">
        <f>(('Выборка 1'!O106-'Выборка 1'!N106)+('Выборка 1'!P106-'Выборка 1'!O106)+('Выборка 1'!Q106-'Выборка 1'!P106)+('Выборка 1'!R106-'Выборка 1'!Q106))/4000</f>
        <v>-65236.25</v>
      </c>
      <c r="E106" s="17">
        <f>(('Выборка 1'!T106-'Выборка 1'!S106)+('Выборка 1'!U106-'Выборка 1'!T106)+('Выборка 1'!V106-'Выборка 1'!U106)+('Выборка 1'!W106-'Выборка 1'!V106))/4000</f>
        <v>-5276.75</v>
      </c>
      <c r="F106" s="17">
        <f>(('Выборка 1'!Y106-'Выборка 1'!X106)+('Выборка 1'!Z106+'Выборка 1'!Y106)+('Выборка 1'!AA106-'Выборка 1'!Z106)+('Выборка 1'!AB106-'Выборка 1'!AA106))/4000</f>
        <v>149978.5</v>
      </c>
      <c r="G106" s="17">
        <f>(('Выборка 1'!AD106-'Выборка 1'!AC106)+('Выборка 1'!AE106-'Выборка 1'!AD106)+('Выборка 1'!AF106-'Выборка 1'!AE106)+('Выборка 1'!AG106-'Выборка 1'!AF106))/4000</f>
        <v>-29216.75</v>
      </c>
      <c r="H106" s="17">
        <f>(('Выборка 1'!AI106-'Выборка 1'!AH106)+('Выборка 1'!AJ106-'Выборка 1'!AI106)+('Выборка 1'!AK106-'Выборка 1'!AJ106)+('Выборка 1'!AL106-'Выборка 1'!AK106))/4000</f>
        <v>-352020.25</v>
      </c>
      <c r="I106" s="17">
        <f>(('Выборка 1'!AN106-'Выборка 1'!AM106)+('Выборка 1'!AO106-'Выборка 1'!AN106)+('Выборка 1'!AP106-'Выборка 1'!AO106)+('Выборка 1'!AQ106-'Выборка 1'!AP106))/4000</f>
        <v>-24946.5</v>
      </c>
      <c r="J106" s="17">
        <f>((('Выборка 1'!AS106+'Выборка 1'!AX106)-('Выборка 1'!AR106+'Выборка 1'!AW106))+(('Выборка 1'!AT106+'Выборка 1'!AY106)-('Выборка 1'!AS106+'Выборка 1'!AX106))+(('Выборка 1'!AU106+'Выборка 1'!AZ106)-('Выборка 1'!AT106+'Выборка 1'!AY106))+(('Выборка 1'!AV106+'Выборка 1'!BA106)-('Выборка 1'!AU106+'Выборка 1'!AZ106)))/4000</f>
        <v>-29737</v>
      </c>
      <c r="K106" s="17">
        <f>(('Выборка 1'!BC106-'Выборка 1'!BB106)+('Выборка 1'!BD106-'Выборка 1'!BC106)+('Выборка 1'!BE106-'Выборка 1'!BD106)+('Выборка 1'!BF106-'Выборка 1'!BE106))/4000</f>
        <v>-1439.5</v>
      </c>
      <c r="L106" s="17">
        <f t="shared" si="1"/>
        <v>6230</v>
      </c>
      <c r="M106" s="17">
        <f>((('Выборка 1'!BH106-'Выборка 1'!BM106)-('Выборка 1'!BG106-'Выборка 1'!BL106))+(('Выборка 1'!BI106-'Выборка 1'!BN106)-('Выборка 1'!BH106-'Выборка 1'!BM106))+(('Выборка 1'!BJ106-'Выборка 1'!BO106)-('Выборка 1'!BI106-'Выборка 1'!BN106))+(('Выборка 1'!BK106-'Выборка 1'!BP106)-('Выборка 1'!BJ106-'Выборка 1'!BO106)))/4000</f>
        <v>-1410.25</v>
      </c>
      <c r="N106" s="17">
        <f>(('Выборка 1'!BR106-'Выборка 1'!BQ106)+('Выборка 1'!BS106-'Выборка 1'!BR106)+('Выборка 1'!BT106-'Выборка 1'!BS106)+('Выборка 1'!BU106-'Выборка 1'!BT106))/4000</f>
        <v>4780.5</v>
      </c>
    </row>
    <row r="107" spans="1:14" x14ac:dyDescent="0.25">
      <c r="A107" s="17">
        <v>22</v>
      </c>
      <c r="B107" s="17">
        <f>(('Выборка 1'!E107-'Выборка 1'!D107)+('Выборка 1'!F107-'Выборка 1'!E107)+('Выборка 1'!G107-'Выборка 1'!F107)+('Выборка 1'!H107-'Выборка 1'!G107))/4000</f>
        <v>0</v>
      </c>
      <c r="C107" s="17">
        <f>(('Выборка 1'!J107-'Выборка 1'!I107)+('Выборка 1'!K107-'Выборка 1'!J107)+('Выборка 1'!L107-'Выборка 1'!K107)+('Выборка 1'!M107-'Выборка 1'!L107))/4000</f>
        <v>2.5</v>
      </c>
      <c r="D107" s="17">
        <f>(('Выборка 1'!O107-'Выборка 1'!N107)+('Выборка 1'!P107-'Выборка 1'!O107)+('Выборка 1'!Q107-'Выборка 1'!P107)+('Выборка 1'!R107-'Выборка 1'!Q107))/4000</f>
        <v>0</v>
      </c>
      <c r="E107" s="17">
        <f>(('Выборка 1'!T107-'Выборка 1'!S107)+('Выборка 1'!U107-'Выборка 1'!T107)+('Выборка 1'!V107-'Выборка 1'!U107)+('Выборка 1'!W107-'Выборка 1'!V107))/4000</f>
        <v>-2.5</v>
      </c>
      <c r="F107" s="17">
        <f>(('Выборка 1'!Y107-'Выборка 1'!X107)+('Выборка 1'!Z107+'Выборка 1'!Y107)+('Выборка 1'!AA107-'Выборка 1'!Z107)+('Выборка 1'!AB107-'Выборка 1'!AA107))/4000</f>
        <v>0</v>
      </c>
      <c r="G107" s="17">
        <f>(('Выборка 1'!AD107-'Выборка 1'!AC107)+('Выборка 1'!AE107-'Выборка 1'!AD107)+('Выборка 1'!AF107-'Выборка 1'!AE107)+('Выборка 1'!AG107-'Выборка 1'!AF107))/4000</f>
        <v>0</v>
      </c>
      <c r="H107" s="17">
        <f>(('Выборка 1'!AI107-'Выборка 1'!AH107)+('Выборка 1'!AJ107-'Выборка 1'!AI107)+('Выборка 1'!AK107-'Выборка 1'!AJ107)+('Выборка 1'!AL107-'Выборка 1'!AK107))/4000</f>
        <v>0</v>
      </c>
      <c r="I107" s="17">
        <f>(('Выборка 1'!AN107-'Выборка 1'!AM107)+('Выборка 1'!AO107-'Выборка 1'!AN107)+('Выборка 1'!AP107-'Выборка 1'!AO107)+('Выборка 1'!AQ107-'Выборка 1'!AP107))/4000</f>
        <v>994</v>
      </c>
      <c r="J107" s="17">
        <f>((('Выборка 1'!AS107+'Выборка 1'!AX107)-('Выборка 1'!AR107+'Выборка 1'!AW107))+(('Выборка 1'!AT107+'Выборка 1'!AY107)-('Выборка 1'!AS107+'Выборка 1'!AX107))+(('Выборка 1'!AU107+'Выборка 1'!AZ107)-('Выборка 1'!AT107+'Выборка 1'!AY107))+(('Выборка 1'!AV107+'Выборка 1'!BA107)-('Выборка 1'!AU107+'Выборка 1'!AZ107)))/4000</f>
        <v>901.5</v>
      </c>
      <c r="K107" s="17">
        <f>(('Выборка 1'!BC107-'Выборка 1'!BB107)+('Выборка 1'!BD107-'Выборка 1'!BC107)+('Выборка 1'!BE107-'Выборка 1'!BD107)+('Выборка 1'!BF107-'Выборка 1'!BE107))/4000</f>
        <v>0</v>
      </c>
      <c r="L107" s="17">
        <f t="shared" si="1"/>
        <v>92.5</v>
      </c>
      <c r="M107" s="17">
        <f>((('Выборка 1'!BH107-'Выборка 1'!BM107)-('Выборка 1'!BG107-'Выборка 1'!BL107))+(('Выборка 1'!BI107-'Выборка 1'!BN107)-('Выборка 1'!BH107-'Выборка 1'!BM107))+(('Выборка 1'!BJ107-'Выборка 1'!BO107)-('Выборка 1'!BI107-'Выборка 1'!BN107))+(('Выборка 1'!BK107-'Выборка 1'!BP107)-('Выборка 1'!BJ107-'Выборка 1'!BO107)))/4000</f>
        <v>0</v>
      </c>
      <c r="N107" s="17">
        <f>(('Выборка 1'!BR107-'Выборка 1'!BQ107)+('Выборка 1'!BS107-'Выборка 1'!BR107)+('Выборка 1'!BT107-'Выборка 1'!BS107)+('Выборка 1'!BU107-'Выборка 1'!BT107))/4000</f>
        <v>33.25</v>
      </c>
    </row>
    <row r="108" spans="1:14" x14ac:dyDescent="0.25">
      <c r="A108" s="17">
        <v>12</v>
      </c>
      <c r="B108" s="17">
        <f>(('Выборка 1'!E108-'Выборка 1'!D108)+('Выборка 1'!F108-'Выборка 1'!E108)+('Выборка 1'!G108-'Выборка 1'!F108)+('Выборка 1'!H108-'Выборка 1'!G108))/4000</f>
        <v>0</v>
      </c>
      <c r="C108" s="17">
        <f>(('Выборка 1'!J108-'Выборка 1'!I108)+('Выборка 1'!K108-'Выборка 1'!J108)+('Выборка 1'!L108-'Выборка 1'!K108)+('Выборка 1'!M108-'Выборка 1'!L108))/4000</f>
        <v>0</v>
      </c>
      <c r="D108" s="17">
        <f>(('Выборка 1'!O108-'Выборка 1'!N108)+('Выборка 1'!P108-'Выборка 1'!O108)+('Выборка 1'!Q108-'Выборка 1'!P108)+('Выборка 1'!R108-'Выборка 1'!Q108))/4000</f>
        <v>2772</v>
      </c>
      <c r="E108" s="17">
        <f>(('Выборка 1'!T108-'Выборка 1'!S108)+('Выборка 1'!U108-'Выборка 1'!T108)+('Выборка 1'!V108-'Выборка 1'!U108)+('Выборка 1'!W108-'Выборка 1'!V108))/4000</f>
        <v>0</v>
      </c>
      <c r="F108" s="17">
        <f>(('Выборка 1'!Y108-'Выборка 1'!X108)+('Выборка 1'!Z108+'Выборка 1'!Y108)+('Выборка 1'!AA108-'Выборка 1'!Z108)+('Выборка 1'!AB108-'Выборка 1'!AA108))/4000</f>
        <v>-36964.75</v>
      </c>
      <c r="G108" s="17">
        <f>(('Выборка 1'!AD108-'Выборка 1'!AC108)+('Выборка 1'!AE108-'Выборка 1'!AD108)+('Выборка 1'!AF108-'Выборка 1'!AE108)+('Выборка 1'!AG108-'Выборка 1'!AF108))/4000</f>
        <v>0</v>
      </c>
      <c r="H108" s="17">
        <f>(('Выборка 1'!AI108-'Выборка 1'!AH108)+('Выборка 1'!AJ108-'Выборка 1'!AI108)+('Выборка 1'!AK108-'Выборка 1'!AJ108)+('Выборка 1'!AL108-'Выборка 1'!AK108))/4000</f>
        <v>39731.75</v>
      </c>
      <c r="I108" s="17">
        <f>(('Выборка 1'!AN108-'Выборка 1'!AM108)+('Выборка 1'!AO108-'Выборка 1'!AN108)+('Выборка 1'!AP108-'Выборка 1'!AO108)+('Выборка 1'!AQ108-'Выборка 1'!AP108))/4000</f>
        <v>0</v>
      </c>
      <c r="J108" s="17">
        <f>((('Выборка 1'!AS108+'Выборка 1'!AX108)-('Выборка 1'!AR108+'Выборка 1'!AW108))+(('Выборка 1'!AT108+'Выборка 1'!AY108)-('Выборка 1'!AS108+'Выборка 1'!AX108))+(('Выборка 1'!AU108+'Выборка 1'!AZ108)-('Выборка 1'!AT108+'Выборка 1'!AY108))+(('Выборка 1'!AV108+'Выборка 1'!BA108)-('Выборка 1'!AU108+'Выборка 1'!AZ108)))/4000</f>
        <v>0</v>
      </c>
      <c r="K108" s="17">
        <f>(('Выборка 1'!BC108-'Выборка 1'!BB108)+('Выборка 1'!BD108-'Выборка 1'!BC108)+('Выборка 1'!BE108-'Выборка 1'!BD108)+('Выборка 1'!BF108-'Выборка 1'!BE108))/4000</f>
        <v>0</v>
      </c>
      <c r="L108" s="17">
        <f t="shared" si="1"/>
        <v>0</v>
      </c>
      <c r="M108" s="17">
        <f>((('Выборка 1'!BH108-'Выборка 1'!BM108)-('Выборка 1'!BG108-'Выборка 1'!BL108))+(('Выборка 1'!BI108-'Выборка 1'!BN108)-('Выборка 1'!BH108-'Выборка 1'!BM108))+(('Выборка 1'!BJ108-'Выборка 1'!BO108)-('Выборка 1'!BI108-'Выборка 1'!BN108))+(('Выборка 1'!BK108-'Выборка 1'!BP108)-('Выборка 1'!BJ108-'Выборка 1'!BO108)))/4000</f>
        <v>-78.25</v>
      </c>
      <c r="N108" s="17">
        <f>(('Выборка 1'!BR108-'Выборка 1'!BQ108)+('Выборка 1'!BS108-'Выборка 1'!BR108)+('Выборка 1'!BT108-'Выборка 1'!BS108)+('Выборка 1'!BU108-'Выборка 1'!BT108))/4000</f>
        <v>-78.25</v>
      </c>
    </row>
    <row r="109" spans="1:14" x14ac:dyDescent="0.25">
      <c r="A109" s="17">
        <v>12</v>
      </c>
      <c r="B109" s="17">
        <f>(('Выборка 1'!E109-'Выборка 1'!D109)+('Выборка 1'!F109-'Выборка 1'!E109)+('Выборка 1'!G109-'Выборка 1'!F109)+('Выборка 1'!H109-'Выборка 1'!G109))/4000</f>
        <v>-1710.25</v>
      </c>
      <c r="C109" s="17">
        <f>(('Выборка 1'!J109-'Выборка 1'!I109)+('Выборка 1'!K109-'Выборка 1'!J109)+('Выборка 1'!L109-'Выборка 1'!K109)+('Выборка 1'!M109-'Выборка 1'!L109))/4000</f>
        <v>-4282.75</v>
      </c>
      <c r="D109" s="17">
        <f>(('Выборка 1'!O109-'Выборка 1'!N109)+('Выборка 1'!P109-'Выборка 1'!O109)+('Выборка 1'!Q109-'Выборка 1'!P109)+('Выборка 1'!R109-'Выборка 1'!Q109))/4000</f>
        <v>-4886.25</v>
      </c>
      <c r="E109" s="17">
        <f>(('Выборка 1'!T109-'Выборка 1'!S109)+('Выборка 1'!U109-'Выборка 1'!T109)+('Выборка 1'!V109-'Выборка 1'!U109)+('Выборка 1'!W109-'Выборка 1'!V109))/4000</f>
        <v>-134.25</v>
      </c>
      <c r="F109" s="17">
        <f>(('Выборка 1'!Y109-'Выборка 1'!X109)+('Выборка 1'!Z109+'Выборка 1'!Y109)+('Выборка 1'!AA109-'Выборка 1'!Z109)+('Выборка 1'!AB109-'Выборка 1'!AA109))/4000</f>
        <v>-6631.5</v>
      </c>
      <c r="G109" s="17">
        <f>(('Выборка 1'!AD109-'Выборка 1'!AC109)+('Выборка 1'!AE109-'Выборка 1'!AD109)+('Выборка 1'!AF109-'Выборка 1'!AE109)+('Выборка 1'!AG109-'Выборка 1'!AF109))/4000</f>
        <v>-918.75</v>
      </c>
      <c r="H109" s="17">
        <f>(('Выборка 1'!AI109-'Выборка 1'!AH109)+('Выборка 1'!AJ109-'Выборка 1'!AI109)+('Выборка 1'!AK109-'Выборка 1'!AJ109)+('Выборка 1'!AL109-'Выборка 1'!AK109))/4000</f>
        <v>-3328.5</v>
      </c>
      <c r="I109" s="17">
        <f>(('Выборка 1'!AN109-'Выборка 1'!AM109)+('Выборка 1'!AO109-'Выборка 1'!AN109)+('Выборка 1'!AP109-'Выборка 1'!AO109)+('Выборка 1'!AQ109-'Выборка 1'!AP109))/4000</f>
        <v>-20180.5</v>
      </c>
      <c r="J109" s="17">
        <f>((('Выборка 1'!AS109+'Выборка 1'!AX109)-('Выборка 1'!AR109+'Выборка 1'!AW109))+(('Выборка 1'!AT109+'Выборка 1'!AY109)-('Выборка 1'!AS109+'Выборка 1'!AX109))+(('Выборка 1'!AU109+'Выборка 1'!AZ109)-('Выборка 1'!AT109+'Выборка 1'!AY109))+(('Выборка 1'!AV109+'Выборка 1'!BA109)-('Выборка 1'!AU109+'Выборка 1'!AZ109)))/4000</f>
        <v>-18759.5</v>
      </c>
      <c r="K109" s="17">
        <f>(('Выборка 1'!BC109-'Выборка 1'!BB109)+('Выборка 1'!BD109-'Выборка 1'!BC109)+('Выборка 1'!BE109-'Выборка 1'!BD109)+('Выборка 1'!BF109-'Выборка 1'!BE109))/4000</f>
        <v>0</v>
      </c>
      <c r="L109" s="17">
        <f t="shared" si="1"/>
        <v>-1421</v>
      </c>
      <c r="M109" s="17">
        <f>((('Выборка 1'!BH109-'Выборка 1'!BM109)-('Выборка 1'!BG109-'Выборка 1'!BL109))+(('Выборка 1'!BI109-'Выборка 1'!BN109)-('Выборка 1'!BH109-'Выборка 1'!BM109))+(('Выборка 1'!BJ109-'Выборка 1'!BO109)-('Выборка 1'!BI109-'Выборка 1'!BN109))+(('Выборка 1'!BK109-'Выборка 1'!BP109)-('Выборка 1'!BJ109-'Выборка 1'!BO109)))/4000</f>
        <v>215.25</v>
      </c>
      <c r="N109" s="17">
        <f>(('Выборка 1'!BR109-'Выборка 1'!BQ109)+('Выборка 1'!BS109-'Выборка 1'!BR109)+('Выборка 1'!BT109-'Выборка 1'!BS109)+('Выборка 1'!BU109-'Выборка 1'!BT109))/4000</f>
        <v>-890</v>
      </c>
    </row>
    <row r="110" spans="1:14" x14ac:dyDescent="0.25">
      <c r="A110" s="17">
        <v>17</v>
      </c>
      <c r="B110" s="17">
        <f>(('Выборка 1'!E110-'Выборка 1'!D110)+('Выборка 1'!F110-'Выборка 1'!E110)+('Выборка 1'!G110-'Выборка 1'!F110)+('Выборка 1'!H110-'Выборка 1'!G110))/4000</f>
        <v>0</v>
      </c>
      <c r="C110" s="17">
        <f>(('Выборка 1'!J110-'Выборка 1'!I110)+('Выборка 1'!K110-'Выборка 1'!J110)+('Выборка 1'!L110-'Выборка 1'!K110)+('Выборка 1'!M110-'Выборка 1'!L110))/4000</f>
        <v>-1421.25</v>
      </c>
      <c r="D110" s="17">
        <f>(('Выборка 1'!O110-'Выборка 1'!N110)+('Выборка 1'!P110-'Выборка 1'!O110)+('Выборка 1'!Q110-'Выборка 1'!P110)+('Выборка 1'!R110-'Выборка 1'!Q110))/4000</f>
        <v>-4427.5</v>
      </c>
      <c r="E110" s="17">
        <f>(('Выборка 1'!T110-'Выборка 1'!S110)+('Выборка 1'!U110-'Выборка 1'!T110)+('Выборка 1'!V110-'Выборка 1'!U110)+('Выборка 1'!W110-'Выборка 1'!V110))/4000</f>
        <v>-32</v>
      </c>
      <c r="F110" s="17">
        <f>(('Выборка 1'!Y110-'Выборка 1'!X110)+('Выборка 1'!Z110+'Выборка 1'!Y110)+('Выборка 1'!AA110-'Выборка 1'!Z110)+('Выборка 1'!AB110-'Выборка 1'!AA110))/4000</f>
        <v>-488.5</v>
      </c>
      <c r="G110" s="17">
        <f>(('Выборка 1'!AD110-'Выборка 1'!AC110)+('Выборка 1'!AE110-'Выборка 1'!AD110)+('Выборка 1'!AF110-'Выборка 1'!AE110)+('Выборка 1'!AG110-'Выборка 1'!AF110))/4000</f>
        <v>-187</v>
      </c>
      <c r="H110" s="17">
        <f>(('Выборка 1'!AI110-'Выборка 1'!AH110)+('Выборка 1'!AJ110-'Выборка 1'!AI110)+('Выборка 1'!AK110-'Выборка 1'!AJ110)+('Выборка 1'!AL110-'Выборка 1'!AK110))/4000</f>
        <v>-5176.75</v>
      </c>
      <c r="I110" s="17">
        <f>(('Выборка 1'!AN110-'Выборка 1'!AM110)+('Выборка 1'!AO110-'Выборка 1'!AN110)+('Выборка 1'!AP110-'Выборка 1'!AO110)+('Выборка 1'!AQ110-'Выборка 1'!AP110))/4000</f>
        <v>-2124.5</v>
      </c>
      <c r="J110" s="17">
        <f>((('Выборка 1'!AS110+'Выборка 1'!AX110)-('Выборка 1'!AR110+'Выборка 1'!AW110))+(('Выборка 1'!AT110+'Выборка 1'!AY110)-('Выборка 1'!AS110+'Выборка 1'!AX110))+(('Выборка 1'!AU110+'Выборка 1'!AZ110)-('Выборка 1'!AT110+'Выборка 1'!AY110))+(('Выборка 1'!AV110+'Выборка 1'!BA110)-('Выборка 1'!AU110+'Выборка 1'!AZ110)))/4000</f>
        <v>-2054.75</v>
      </c>
      <c r="K110" s="17">
        <f>(('Выборка 1'!BC110-'Выборка 1'!BB110)+('Выборка 1'!BD110-'Выборка 1'!BC110)+('Выборка 1'!BE110-'Выборка 1'!BD110)+('Выборка 1'!BF110-'Выборка 1'!BE110))/4000</f>
        <v>0</v>
      </c>
      <c r="L110" s="17">
        <f t="shared" si="1"/>
        <v>-69.75</v>
      </c>
      <c r="M110" s="17">
        <f>((('Выборка 1'!BH110-'Выборка 1'!BM110)-('Выборка 1'!BG110-'Выборка 1'!BL110))+(('Выборка 1'!BI110-'Выборка 1'!BN110)-('Выборка 1'!BH110-'Выборка 1'!BM110))+(('Выборка 1'!BJ110-'Выборка 1'!BO110)-('Выборка 1'!BI110-'Выборка 1'!BN110))+(('Выборка 1'!BK110-'Выборка 1'!BP110)-('Выборка 1'!BJ110-'Выборка 1'!BO110)))/4000</f>
        <v>-47.75</v>
      </c>
      <c r="N110" s="17">
        <f>(('Выборка 1'!BR110-'Выборка 1'!BQ110)+('Выборка 1'!BS110-'Выборка 1'!BR110)+('Выборка 1'!BT110-'Выборка 1'!BS110)+('Выборка 1'!BU110-'Выборка 1'!BT110))/4000</f>
        <v>-87</v>
      </c>
    </row>
    <row r="111" spans="1:14" x14ac:dyDescent="0.25">
      <c r="A111" s="17">
        <v>15</v>
      </c>
      <c r="B111" s="17">
        <f>(('Выборка 1'!E111-'Выборка 1'!D111)+('Выборка 1'!F111-'Выборка 1'!E111)+('Выборка 1'!G111-'Выборка 1'!F111)+('Выборка 1'!H111-'Выборка 1'!G111))/4000</f>
        <v>-345</v>
      </c>
      <c r="C111" s="17">
        <f>(('Выборка 1'!J111-'Выборка 1'!I111)+('Выборка 1'!K111-'Выборка 1'!J111)+('Выборка 1'!L111-'Выборка 1'!K111)+('Выборка 1'!M111-'Выборка 1'!L111))/4000</f>
        <v>-4373.75</v>
      </c>
      <c r="D111" s="17">
        <f>(('Выборка 1'!O111-'Выборка 1'!N111)+('Выборка 1'!P111-'Выборка 1'!O111)+('Выборка 1'!Q111-'Выборка 1'!P111)+('Выборка 1'!R111-'Выборка 1'!Q111))/4000</f>
        <v>-6330.5</v>
      </c>
      <c r="E111" s="17">
        <f>(('Выборка 1'!T111-'Выборка 1'!S111)+('Выборка 1'!U111-'Выборка 1'!T111)+('Выборка 1'!V111-'Выборка 1'!U111)+('Выборка 1'!W111-'Выборка 1'!V111))/4000</f>
        <v>-35</v>
      </c>
      <c r="F111" s="17">
        <f>(('Выборка 1'!Y111-'Выборка 1'!X111)+('Выборка 1'!Z111+'Выборка 1'!Y111)+('Выборка 1'!AA111-'Выборка 1'!Z111)+('Выборка 1'!AB111-'Выборка 1'!AA111))/4000</f>
        <v>0</v>
      </c>
      <c r="G111" s="17">
        <f>(('Выборка 1'!AD111-'Выборка 1'!AC111)+('Выборка 1'!AE111-'Выборка 1'!AD111)+('Выборка 1'!AF111-'Выборка 1'!AE111)+('Выборка 1'!AG111-'Выборка 1'!AF111))/4000</f>
        <v>451</v>
      </c>
      <c r="H111" s="17">
        <f>(('Выборка 1'!AI111-'Выборка 1'!AH111)+('Выборка 1'!AJ111-'Выборка 1'!AI111)+('Выборка 1'!AK111-'Выборка 1'!AJ111)+('Выборка 1'!AL111-'Выборка 1'!AK111))/4000</f>
        <v>-8283.25</v>
      </c>
      <c r="I111" s="17">
        <f>(('Выборка 1'!AN111-'Выборка 1'!AM111)+('Выборка 1'!AO111-'Выборка 1'!AN111)+('Выборка 1'!AP111-'Выборка 1'!AO111)+('Выборка 1'!AQ111-'Выборка 1'!AP111))/4000</f>
        <v>-51015.25</v>
      </c>
      <c r="J111" s="17">
        <f>((('Выборка 1'!AS111+'Выборка 1'!AX111)-('Выборка 1'!AR111+'Выборка 1'!AW111))+(('Выборка 1'!AT111+'Выборка 1'!AY111)-('Выборка 1'!AS111+'Выборка 1'!AX111))+(('Выборка 1'!AU111+'Выборка 1'!AZ111)-('Выборка 1'!AT111+'Выборка 1'!AY111))+(('Выборка 1'!AV111+'Выборка 1'!BA111)-('Выборка 1'!AU111+'Выборка 1'!AZ111)))/4000</f>
        <v>-50034.5</v>
      </c>
      <c r="K111" s="17">
        <f>(('Выборка 1'!BC111-'Выборка 1'!BB111)+('Выборка 1'!BD111-'Выборка 1'!BC111)+('Выборка 1'!BE111-'Выборка 1'!BD111)+('Выборка 1'!BF111-'Выборка 1'!BE111))/4000</f>
        <v>0</v>
      </c>
      <c r="L111" s="17">
        <f t="shared" si="1"/>
        <v>-980.75</v>
      </c>
      <c r="M111" s="17">
        <f>((('Выборка 1'!BH111-'Выборка 1'!BM111)-('Выборка 1'!BG111-'Выборка 1'!BL111))+(('Выборка 1'!BI111-'Выборка 1'!BN111)-('Выборка 1'!BH111-'Выборка 1'!BM111))+(('Выборка 1'!BJ111-'Выборка 1'!BO111)-('Выборка 1'!BI111-'Выборка 1'!BN111))+(('Выборка 1'!BK111-'Выборка 1'!BP111)-('Выборка 1'!BJ111-'Выборка 1'!BO111)))/4000</f>
        <v>-1926.25</v>
      </c>
      <c r="N111" s="17">
        <f>(('Выборка 1'!BR111-'Выборка 1'!BQ111)+('Выборка 1'!BS111-'Выборка 1'!BR111)+('Выборка 1'!BT111-'Выборка 1'!BS111)+('Выборка 1'!BU111-'Выборка 1'!BT111))/4000</f>
        <v>-2799.25</v>
      </c>
    </row>
    <row r="112" spans="1:14" x14ac:dyDescent="0.25">
      <c r="A112" s="17">
        <v>11</v>
      </c>
      <c r="B112" s="17">
        <f>(('Выборка 1'!E112-'Выборка 1'!D112)+('Выборка 1'!F112-'Выборка 1'!E112)+('Выборка 1'!G112-'Выборка 1'!F112)+('Выборка 1'!H112-'Выборка 1'!G112))/4000</f>
        <v>-3943</v>
      </c>
      <c r="C112" s="17">
        <f>(('Выборка 1'!J112-'Выборка 1'!I112)+('Выборка 1'!K112-'Выборка 1'!J112)+('Выборка 1'!L112-'Выборка 1'!K112)+('Выборка 1'!M112-'Выборка 1'!L112))/4000</f>
        <v>-9874</v>
      </c>
      <c r="D112" s="17">
        <f>(('Выборка 1'!O112-'Выборка 1'!N112)+('Выборка 1'!P112-'Выборка 1'!O112)+('Выборка 1'!Q112-'Выборка 1'!P112)+('Выборка 1'!R112-'Выборка 1'!Q112))/4000</f>
        <v>-3595.75</v>
      </c>
      <c r="E112" s="17">
        <f>(('Выборка 1'!T112-'Выборка 1'!S112)+('Выборка 1'!U112-'Выборка 1'!T112)+('Выборка 1'!V112-'Выборка 1'!U112)+('Выборка 1'!W112-'Выборка 1'!V112))/4000</f>
        <v>-49</v>
      </c>
      <c r="F112" s="17">
        <f>(('Выборка 1'!Y112-'Выборка 1'!X112)+('Выборка 1'!Z112+'Выборка 1'!Y112)+('Выборка 1'!AA112-'Выборка 1'!Z112)+('Выборка 1'!AB112-'Выборка 1'!AA112))/4000</f>
        <v>0</v>
      </c>
      <c r="G112" s="17">
        <f>(('Выборка 1'!AD112-'Выборка 1'!AC112)+('Выборка 1'!AE112-'Выборка 1'!AD112)+('Выборка 1'!AF112-'Выборка 1'!AE112)+('Выборка 1'!AG112-'Выборка 1'!AF112))/4000</f>
        <v>0</v>
      </c>
      <c r="H112" s="17">
        <f>(('Выборка 1'!AI112-'Выборка 1'!AH112)+('Выборка 1'!AJ112-'Выборка 1'!AI112)+('Выборка 1'!AK112-'Выборка 1'!AJ112)+('Выборка 1'!AL112-'Выборка 1'!AK112))/4000</f>
        <v>-4853.75</v>
      </c>
      <c r="I112" s="17">
        <f>(('Выборка 1'!AN112-'Выборка 1'!AM112)+('Выборка 1'!AO112-'Выборка 1'!AN112)+('Выборка 1'!AP112-'Выборка 1'!AO112)+('Выборка 1'!AQ112-'Выборка 1'!AP112))/4000</f>
        <v>-13411.5</v>
      </c>
      <c r="J112" s="17">
        <f>((('Выборка 1'!AS112+'Выборка 1'!AX112)-('Выборка 1'!AR112+'Выборка 1'!AW112))+(('Выборка 1'!AT112+'Выборка 1'!AY112)-('Выборка 1'!AS112+'Выборка 1'!AX112))+(('Выборка 1'!AU112+'Выборка 1'!AZ112)-('Выборка 1'!AT112+'Выборка 1'!AY112))+(('Выборка 1'!AV112+'Выборка 1'!BA112)-('Выборка 1'!AU112+'Выборка 1'!AZ112)))/4000</f>
        <v>-14648.25</v>
      </c>
      <c r="K112" s="17">
        <f>(('Выборка 1'!BC112-'Выборка 1'!BB112)+('Выборка 1'!BD112-'Выборка 1'!BC112)+('Выборка 1'!BE112-'Выборка 1'!BD112)+('Выборка 1'!BF112-'Выборка 1'!BE112))/4000</f>
        <v>0</v>
      </c>
      <c r="L112" s="17">
        <f t="shared" si="1"/>
        <v>1236.75</v>
      </c>
      <c r="M112" s="17">
        <f>((('Выборка 1'!BH112-'Выборка 1'!BM112)-('Выборка 1'!BG112-'Выборка 1'!BL112))+(('Выборка 1'!BI112-'Выборка 1'!BN112)-('Выборка 1'!BH112-'Выборка 1'!BM112))+(('Выборка 1'!BJ112-'Выборка 1'!BO112)-('Выборка 1'!BI112-'Выборка 1'!BN112))+(('Выборка 1'!BK112-'Выборка 1'!BP112)-('Выборка 1'!BJ112-'Выборка 1'!BO112)))/4000</f>
        <v>-1280</v>
      </c>
      <c r="N112" s="17">
        <f>(('Выборка 1'!BR112-'Выборка 1'!BQ112)+('Выборка 1'!BS112-'Выборка 1'!BR112)+('Выборка 1'!BT112-'Выборка 1'!BS112)+('Выборка 1'!BU112-'Выборка 1'!BT112))/4000</f>
        <v>-7.25</v>
      </c>
    </row>
    <row r="113" spans="1:14" x14ac:dyDescent="0.25">
      <c r="A113" s="17">
        <v>6</v>
      </c>
      <c r="B113" s="17">
        <f>(('Выборка 1'!E113-'Выборка 1'!D113)+('Выборка 1'!F113-'Выборка 1'!E113)+('Выборка 1'!G113-'Выборка 1'!F113)+('Выборка 1'!H113-'Выборка 1'!G113))/4000</f>
        <v>29733.75</v>
      </c>
      <c r="C113" s="17">
        <f>(('Выборка 1'!J113-'Выборка 1'!I113)+('Выборка 1'!K113-'Выборка 1'!J113)+('Выборка 1'!L113-'Выборка 1'!K113)+('Выборка 1'!M113-'Выборка 1'!L113))/4000</f>
        <v>2270275.75</v>
      </c>
      <c r="D113" s="17">
        <f>(('Выборка 1'!O113-'Выборка 1'!N113)+('Выборка 1'!P113-'Выборка 1'!O113)+('Выборка 1'!Q113-'Выборка 1'!P113)+('Выборка 1'!R113-'Выборка 1'!Q113))/4000</f>
        <v>331675.5</v>
      </c>
      <c r="E113" s="17">
        <f>(('Выборка 1'!T113-'Выборка 1'!S113)+('Выборка 1'!U113-'Выборка 1'!T113)+('Выборка 1'!V113-'Выборка 1'!U113)+('Выборка 1'!W113-'Выборка 1'!V113))/4000</f>
        <v>-23741.75</v>
      </c>
      <c r="F113" s="17">
        <f>(('Выборка 1'!Y113-'Выборка 1'!X113)+('Выборка 1'!Z113+'Выборка 1'!Y113)+('Выборка 1'!AA113-'Выборка 1'!Z113)+('Выборка 1'!AB113-'Выборка 1'!AA113))/4000</f>
        <v>-209978.25</v>
      </c>
      <c r="G113" s="17">
        <f>(('Выборка 1'!AD113-'Выборка 1'!AC113)+('Выборка 1'!AE113-'Выборка 1'!AD113)+('Выборка 1'!AF113-'Выборка 1'!AE113)+('Выборка 1'!AG113-'Выборка 1'!AF113))/4000</f>
        <v>0</v>
      </c>
      <c r="H113" s="17">
        <f>(('Выборка 1'!AI113-'Выборка 1'!AH113)+('Выборка 1'!AJ113-'Выборка 1'!AI113)+('Выборка 1'!AK113-'Выборка 1'!AJ113)+('Выборка 1'!AL113-'Выборка 1'!AK113))/4000</f>
        <v>2877910.25</v>
      </c>
      <c r="I113" s="17">
        <f>(('Выборка 1'!AN113-'Выборка 1'!AM113)+('Выборка 1'!AO113-'Выборка 1'!AN113)+('Выборка 1'!AP113-'Выборка 1'!AO113)+('Выборка 1'!AQ113-'Выборка 1'!AP113))/4000</f>
        <v>-108138.5</v>
      </c>
      <c r="J113" s="17">
        <f>((('Выборка 1'!AS113+'Выборка 1'!AX113)-('Выборка 1'!AR113+'Выборка 1'!AW113))+(('Выборка 1'!AT113+'Выборка 1'!AY113)-('Выборка 1'!AS113+'Выборка 1'!AX113))+(('Выборка 1'!AU113+'Выборка 1'!AZ113)-('Выборка 1'!AT113+'Выборка 1'!AY113))+(('Выборка 1'!AV113+'Выборка 1'!BA113)-('Выборка 1'!AU113+'Выборка 1'!AZ113)))/4000</f>
        <v>-92853.5</v>
      </c>
      <c r="K113" s="17">
        <f>(('Выборка 1'!BC113-'Выборка 1'!BB113)+('Выборка 1'!BD113-'Выборка 1'!BC113)+('Выборка 1'!BE113-'Выборка 1'!BD113)+('Выборка 1'!BF113-'Выборка 1'!BE113))/4000</f>
        <v>57025.75</v>
      </c>
      <c r="L113" s="17">
        <f t="shared" si="1"/>
        <v>-72310.75</v>
      </c>
      <c r="M113" s="17">
        <f>((('Выборка 1'!BH113-'Выборка 1'!BM113)-('Выборка 1'!BG113-'Выборка 1'!BL113))+(('Выборка 1'!BI113-'Выборка 1'!BN113)-('Выборка 1'!BH113-'Выборка 1'!BM113))+(('Выборка 1'!BJ113-'Выборка 1'!BO113)-('Выборка 1'!BI113-'Выборка 1'!BN113))+(('Выборка 1'!BK113-'Выборка 1'!BP113)-('Выборка 1'!BJ113-'Выборка 1'!BO113)))/4000</f>
        <v>10479</v>
      </c>
      <c r="N113" s="17">
        <f>(('Выборка 1'!BR113-'Выборка 1'!BQ113)+('Выборка 1'!BS113-'Выборка 1'!BR113)+('Выборка 1'!BT113-'Выборка 1'!BS113)+('Выборка 1'!BU113-'Выборка 1'!BT113))/4000</f>
        <v>-34865</v>
      </c>
    </row>
    <row r="114" spans="1:14" x14ac:dyDescent="0.25">
      <c r="A114" s="17">
        <v>10</v>
      </c>
      <c r="B114" s="17">
        <f>(('Выборка 1'!E114-'Выборка 1'!D114)+('Выборка 1'!F114-'Выборка 1'!E114)+('Выборка 1'!G114-'Выборка 1'!F114)+('Выборка 1'!H114-'Выборка 1'!G114))/4000</f>
        <v>-870.5</v>
      </c>
      <c r="C114" s="17">
        <f>(('Выборка 1'!J114-'Выборка 1'!I114)+('Выборка 1'!K114-'Выборка 1'!J114)+('Выборка 1'!L114-'Выборка 1'!K114)+('Выборка 1'!M114-'Выборка 1'!L114))/4000</f>
        <v>-7708.75</v>
      </c>
      <c r="D114" s="17">
        <f>(('Выборка 1'!O114-'Выборка 1'!N114)+('Выборка 1'!P114-'Выборка 1'!O114)+('Выборка 1'!Q114-'Выборка 1'!P114)+('Выборка 1'!R114-'Выборка 1'!Q114))/4000</f>
        <v>10641</v>
      </c>
      <c r="E114" s="17">
        <f>(('Выборка 1'!T114-'Выборка 1'!S114)+('Выборка 1'!U114-'Выборка 1'!T114)+('Выборка 1'!V114-'Выборка 1'!U114)+('Выборка 1'!W114-'Выборка 1'!V114))/4000</f>
        <v>-12.25</v>
      </c>
      <c r="F114" s="17">
        <f>(('Выборка 1'!Y114-'Выборка 1'!X114)+('Выборка 1'!Z114+'Выборка 1'!Y114)+('Выборка 1'!AA114-'Выборка 1'!Z114)+('Выборка 1'!AB114-'Выборка 1'!AA114))/4000</f>
        <v>0</v>
      </c>
      <c r="G114" s="17">
        <f>(('Выборка 1'!AD114-'Выборка 1'!AC114)+('Выборка 1'!AE114-'Выборка 1'!AD114)+('Выборка 1'!AF114-'Выборка 1'!AE114)+('Выборка 1'!AG114-'Выборка 1'!AF114))/4000</f>
        <v>-1916.5</v>
      </c>
      <c r="H114" s="17">
        <f>(('Выборка 1'!AI114-'Выборка 1'!AH114)+('Выборка 1'!AJ114-'Выборка 1'!AI114)+('Выборка 1'!AK114-'Выборка 1'!AJ114)+('Выборка 1'!AL114-'Выборка 1'!AK114))/4000</f>
        <v>39122</v>
      </c>
      <c r="I114" s="17">
        <f>(('Выборка 1'!AN114-'Выборка 1'!AM114)+('Выборка 1'!AO114-'Выборка 1'!AN114)+('Выборка 1'!AP114-'Выборка 1'!AO114)+('Выборка 1'!AQ114-'Выборка 1'!AP114))/4000</f>
        <v>-44833</v>
      </c>
      <c r="J114" s="17">
        <f>((('Выборка 1'!AS114+'Выборка 1'!AX114)-('Выборка 1'!AR114+'Выборка 1'!AW114))+(('Выборка 1'!AT114+'Выборка 1'!AY114)-('Выборка 1'!AS114+'Выборка 1'!AX114))+(('Выборка 1'!AU114+'Выборка 1'!AZ114)-('Выборка 1'!AT114+'Выборка 1'!AY114))+(('Выборка 1'!AV114+'Выборка 1'!BA114)-('Выборка 1'!AU114+'Выборка 1'!AZ114)))/4000</f>
        <v>-39085.5</v>
      </c>
      <c r="K114" s="17">
        <f>(('Выборка 1'!BC114-'Выборка 1'!BB114)+('Выборка 1'!BD114-'Выборка 1'!BC114)+('Выборка 1'!BE114-'Выборка 1'!BD114)+('Выборка 1'!BF114-'Выборка 1'!BE114))/4000</f>
        <v>0</v>
      </c>
      <c r="L114" s="17">
        <f t="shared" si="1"/>
        <v>-5747.5</v>
      </c>
      <c r="M114" s="17">
        <f>((('Выборка 1'!BH114-'Выборка 1'!BM114)-('Выборка 1'!BG114-'Выборка 1'!BL114))+(('Выборка 1'!BI114-'Выборка 1'!BN114)-('Выборка 1'!BH114-'Выборка 1'!BM114))+(('Выборка 1'!BJ114-'Выборка 1'!BO114)-('Выборка 1'!BI114-'Выборка 1'!BN114))+(('Выборка 1'!BK114-'Выборка 1'!BP114)-('Выборка 1'!BJ114-'Выборка 1'!BO114)))/4000</f>
        <v>-7.75</v>
      </c>
      <c r="N114" s="17">
        <f>(('Выборка 1'!BR114-'Выборка 1'!BQ114)+('Выборка 1'!BS114-'Выборка 1'!BR114)+('Выборка 1'!BT114-'Выборка 1'!BS114)+('Выборка 1'!BU114-'Выборка 1'!BT114))/4000</f>
        <v>-596.25</v>
      </c>
    </row>
    <row r="115" spans="1:14" x14ac:dyDescent="0.25">
      <c r="A115" s="17">
        <v>12</v>
      </c>
      <c r="B115" s="17">
        <f>(('Выборка 1'!E115-'Выборка 1'!D115)+('Выборка 1'!F115-'Выборка 1'!E115)+('Выборка 1'!G115-'Выборка 1'!F115)+('Выборка 1'!H115-'Выборка 1'!G115))/4000</f>
        <v>-6689.75</v>
      </c>
      <c r="C115" s="17">
        <f>(('Выборка 1'!J115-'Выборка 1'!I115)+('Выборка 1'!K115-'Выборка 1'!J115)+('Выборка 1'!L115-'Выборка 1'!K115)+('Выборка 1'!M115-'Выборка 1'!L115))/4000</f>
        <v>-39713.5</v>
      </c>
      <c r="D115" s="17">
        <f>(('Выборка 1'!O115-'Выборка 1'!N115)+('Выборка 1'!P115-'Выборка 1'!O115)+('Выборка 1'!Q115-'Выборка 1'!P115)+('Выборка 1'!R115-'Выборка 1'!Q115))/4000</f>
        <v>-5749.5</v>
      </c>
      <c r="E115" s="17">
        <f>(('Выборка 1'!T115-'Выборка 1'!S115)+('Выборка 1'!U115-'Выборка 1'!T115)+('Выборка 1'!V115-'Выборка 1'!U115)+('Выборка 1'!W115-'Выборка 1'!V115))/4000</f>
        <v>0</v>
      </c>
      <c r="F115" s="17">
        <f>(('Выборка 1'!Y115-'Выборка 1'!X115)+('Выборка 1'!Z115+'Выборка 1'!Y115)+('Выборка 1'!AA115-'Выборка 1'!Z115)+('Выборка 1'!AB115-'Выборка 1'!AA115))/4000</f>
        <v>0</v>
      </c>
      <c r="G115" s="17">
        <f>(('Выборка 1'!AD115-'Выборка 1'!AC115)+('Выборка 1'!AE115-'Выборка 1'!AD115)+('Выборка 1'!AF115-'Выборка 1'!AE115)+('Выборка 1'!AG115-'Выборка 1'!AF115))/4000</f>
        <v>-306.75</v>
      </c>
      <c r="H115" s="17">
        <f>(('Выборка 1'!AI115-'Выборка 1'!AH115)+('Выборка 1'!AJ115-'Выборка 1'!AI115)+('Выборка 1'!AK115-'Выборка 1'!AJ115)+('Выборка 1'!AL115-'Выборка 1'!AK115))/4000</f>
        <v>-47032.75</v>
      </c>
      <c r="I115" s="17">
        <f>(('Выборка 1'!AN115-'Выборка 1'!AM115)+('Выборка 1'!AO115-'Выборка 1'!AN115)+('Выборка 1'!AP115-'Выборка 1'!AO115)+('Выборка 1'!AQ115-'Выборка 1'!AP115))/4000</f>
        <v>-19620.75</v>
      </c>
      <c r="J115" s="17">
        <f>((('Выборка 1'!AS115+'Выборка 1'!AX115)-('Выборка 1'!AR115+'Выборка 1'!AW115))+(('Выборка 1'!AT115+'Выборка 1'!AY115)-('Выборка 1'!AS115+'Выборка 1'!AX115))+(('Выборка 1'!AU115+'Выборка 1'!AZ115)-('Выборка 1'!AT115+'Выборка 1'!AY115))+(('Выборка 1'!AV115+'Выборка 1'!BA115)-('Выборка 1'!AU115+'Выборка 1'!AZ115)))/4000</f>
        <v>-19334.5</v>
      </c>
      <c r="K115" s="17">
        <f>(('Выборка 1'!BC115-'Выборка 1'!BB115)+('Выборка 1'!BD115-'Выборка 1'!BC115)+('Выборка 1'!BE115-'Выборка 1'!BD115)+('Выборка 1'!BF115-'Выборка 1'!BE115))/4000</f>
        <v>0</v>
      </c>
      <c r="L115" s="17">
        <f t="shared" si="1"/>
        <v>-286.25</v>
      </c>
      <c r="M115" s="17">
        <f>((('Выборка 1'!BH115-'Выборка 1'!BM115)-('Выборка 1'!BG115-'Выборка 1'!BL115))+(('Выборка 1'!BI115-'Выборка 1'!BN115)-('Выборка 1'!BH115-'Выборка 1'!BM115))+(('Выборка 1'!BJ115-'Выборка 1'!BO115)-('Выборка 1'!BI115-'Выборка 1'!BN115))+(('Выборка 1'!BK115-'Выборка 1'!BP115)-('Выборка 1'!BJ115-'Выборка 1'!BO115)))/4000</f>
        <v>20.5</v>
      </c>
      <c r="N115" s="17">
        <f>(('Выборка 1'!BR115-'Выборка 1'!BQ115)+('Выборка 1'!BS115-'Выборка 1'!BR115)+('Выборка 1'!BT115-'Выборка 1'!BS115)+('Выборка 1'!BU115-'Выборка 1'!BT115))/4000</f>
        <v>-169.25</v>
      </c>
    </row>
    <row r="116" spans="1:14" x14ac:dyDescent="0.25">
      <c r="A116" s="17">
        <v>18</v>
      </c>
      <c r="B116" s="17">
        <f>(('Выборка 1'!E116-'Выборка 1'!D116)+('Выборка 1'!F116-'Выборка 1'!E116)+('Выборка 1'!G116-'Выборка 1'!F116)+('Выборка 1'!H116-'Выборка 1'!G116))/4000</f>
        <v>-2649.75</v>
      </c>
      <c r="C116" s="17">
        <f>(('Выборка 1'!J116-'Выборка 1'!I116)+('Выборка 1'!K116-'Выборка 1'!J116)+('Выборка 1'!L116-'Выборка 1'!K116)+('Выборка 1'!M116-'Выборка 1'!L116))/4000</f>
        <v>-31.25</v>
      </c>
      <c r="D116" s="17">
        <f>(('Выборка 1'!O116-'Выборка 1'!N116)+('Выборка 1'!P116-'Выборка 1'!O116)+('Выборка 1'!Q116-'Выборка 1'!P116)+('Выборка 1'!R116-'Выборка 1'!Q116))/4000</f>
        <v>-8813.75</v>
      </c>
      <c r="E116" s="17">
        <f>(('Выборка 1'!T116-'Выборка 1'!S116)+('Выборка 1'!U116-'Выборка 1'!T116)+('Выборка 1'!V116-'Выборка 1'!U116)+('Выборка 1'!W116-'Выборка 1'!V116))/4000</f>
        <v>289</v>
      </c>
      <c r="F116" s="17">
        <f>(('Выборка 1'!Y116-'Выборка 1'!X116)+('Выборка 1'!Z116+'Выборка 1'!Y116)+('Выборка 1'!AA116-'Выборка 1'!Z116)+('Выборка 1'!AB116-'Выборка 1'!AA116))/4000</f>
        <v>0</v>
      </c>
      <c r="G116" s="17">
        <f>(('Выборка 1'!AD116-'Выборка 1'!AC116)+('Выборка 1'!AE116-'Выборка 1'!AD116)+('Выборка 1'!AF116-'Выборка 1'!AE116)+('Выборка 1'!AG116-'Выборка 1'!AF116))/4000</f>
        <v>0</v>
      </c>
      <c r="H116" s="17">
        <f>(('Выборка 1'!AI116-'Выборка 1'!AH116)+('Выборка 1'!AJ116-'Выборка 1'!AI116)+('Выборка 1'!AK116-'Выборка 1'!AJ116)+('Выборка 1'!AL116-'Выборка 1'!AK116))/4000</f>
        <v>-5275.25</v>
      </c>
      <c r="I116" s="17">
        <f>(('Выборка 1'!AN116-'Выборка 1'!AM116)+('Выборка 1'!AO116-'Выборка 1'!AN116)+('Выборка 1'!AP116-'Выборка 1'!AO116)+('Выборка 1'!AQ116-'Выборка 1'!AP116))/4000</f>
        <v>0</v>
      </c>
      <c r="J116" s="17">
        <f>((('Выборка 1'!AS116+'Выборка 1'!AX116)-('Выборка 1'!AR116+'Выборка 1'!AW116))+(('Выборка 1'!AT116+'Выборка 1'!AY116)-('Выборка 1'!AS116+'Выборка 1'!AX116))+(('Выборка 1'!AU116+'Выборка 1'!AZ116)-('Выборка 1'!AT116+'Выборка 1'!AY116))+(('Выборка 1'!AV116+'Выборка 1'!BA116)-('Выборка 1'!AU116+'Выборка 1'!AZ116)))/4000</f>
        <v>0</v>
      </c>
      <c r="K116" s="17">
        <f>(('Выборка 1'!BC116-'Выборка 1'!BB116)+('Выборка 1'!BD116-'Выборка 1'!BC116)+('Выборка 1'!BE116-'Выборка 1'!BD116)+('Выборка 1'!BF116-'Выборка 1'!BE116))/4000</f>
        <v>0</v>
      </c>
      <c r="L116" s="17">
        <f t="shared" si="1"/>
        <v>0</v>
      </c>
      <c r="M116" s="17">
        <f>((('Выборка 1'!BH116-'Выборка 1'!BM116)-('Выборка 1'!BG116-'Выборка 1'!BL116))+(('Выборка 1'!BI116-'Выборка 1'!BN116)-('Выборка 1'!BH116-'Выборка 1'!BM116))+(('Выборка 1'!BJ116-'Выборка 1'!BO116)-('Выборка 1'!BI116-'Выборка 1'!BN116))+(('Выборка 1'!BK116-'Выборка 1'!BP116)-('Выборка 1'!BJ116-'Выборка 1'!BO116)))/4000</f>
        <v>14515.5</v>
      </c>
      <c r="N116" s="17">
        <f>(('Выборка 1'!BR116-'Выборка 1'!BQ116)+('Выборка 1'!BS116-'Выборка 1'!BR116)+('Выборка 1'!BT116-'Выборка 1'!BS116)+('Выборка 1'!BU116-'Выборка 1'!BT116))/4000</f>
        <v>14515.5</v>
      </c>
    </row>
    <row r="117" spans="1:14" x14ac:dyDescent="0.25">
      <c r="A117" s="17">
        <v>25</v>
      </c>
      <c r="B117" s="17">
        <f>(('Выборка 1'!E117-'Выборка 1'!D117)+('Выборка 1'!F117-'Выборка 1'!E117)+('Выборка 1'!G117-'Выборка 1'!F117)+('Выборка 1'!H117-'Выборка 1'!G117))/4000</f>
        <v>-987.75</v>
      </c>
      <c r="C117" s="17">
        <f>(('Выборка 1'!J117-'Выборка 1'!I117)+('Выборка 1'!K117-'Выборка 1'!J117)+('Выборка 1'!L117-'Выборка 1'!K117)+('Выборка 1'!M117-'Выборка 1'!L117))/4000</f>
        <v>0</v>
      </c>
      <c r="D117" s="17">
        <f>(('Выборка 1'!O117-'Выборка 1'!N117)+('Выборка 1'!P117-'Выборка 1'!O117)+('Выборка 1'!Q117-'Выборка 1'!P117)+('Выборка 1'!R117-'Выборка 1'!Q117))/4000</f>
        <v>402</v>
      </c>
      <c r="E117" s="17">
        <f>(('Выборка 1'!T117-'Выборка 1'!S117)+('Выборка 1'!U117-'Выборка 1'!T117)+('Выборка 1'!V117-'Выборка 1'!U117)+('Выборка 1'!W117-'Выборка 1'!V117))/4000</f>
        <v>-388.75</v>
      </c>
      <c r="F117" s="17">
        <f>(('Выборка 1'!Y117-'Выборка 1'!X117)+('Выборка 1'!Z117+'Выборка 1'!Y117)+('Выборка 1'!AA117-'Выборка 1'!Z117)+('Выборка 1'!AB117-'Выборка 1'!AA117))/4000</f>
        <v>-21733.25</v>
      </c>
      <c r="G117" s="17">
        <f>(('Выборка 1'!AD117-'Выборка 1'!AC117)+('Выборка 1'!AE117-'Выборка 1'!AD117)+('Выборка 1'!AF117-'Выборка 1'!AE117)+('Выборка 1'!AG117-'Выборка 1'!AF117))/4000</f>
        <v>-182.5</v>
      </c>
      <c r="H117" s="17">
        <f>(('Выборка 1'!AI117-'Выборка 1'!AH117)+('Выборка 1'!AJ117-'Выборка 1'!AI117)+('Выборка 1'!AK117-'Выборка 1'!AJ117)+('Выборка 1'!AL117-'Выборка 1'!AK117))/4000</f>
        <v>-953.25</v>
      </c>
      <c r="I117" s="17">
        <f>(('Выборка 1'!AN117-'Выборка 1'!AM117)+('Выборка 1'!AO117-'Выборка 1'!AN117)+('Выборка 1'!AP117-'Выборка 1'!AO117)+('Выборка 1'!AQ117-'Выборка 1'!AP117))/4000</f>
        <v>-856.5</v>
      </c>
      <c r="J117" s="17">
        <f>((('Выборка 1'!AS117+'Выборка 1'!AX117)-('Выборка 1'!AR117+'Выборка 1'!AW117))+(('Выборка 1'!AT117+'Выборка 1'!AY117)-('Выборка 1'!AS117+'Выборка 1'!AX117))+(('Выборка 1'!AU117+'Выборка 1'!AZ117)-('Выборка 1'!AT117+'Выборка 1'!AY117))+(('Выборка 1'!AV117+'Выборка 1'!BA117)-('Выборка 1'!AU117+'Выборка 1'!AZ117)))/4000</f>
        <v>0</v>
      </c>
      <c r="K117" s="17">
        <f>(('Выборка 1'!BC117-'Выборка 1'!BB117)+('Выборка 1'!BD117-'Выборка 1'!BC117)+('Выборка 1'!BE117-'Выборка 1'!BD117)+('Выборка 1'!BF117-'Выборка 1'!BE117))/4000</f>
        <v>-524.5</v>
      </c>
      <c r="L117" s="17">
        <f t="shared" si="1"/>
        <v>-332</v>
      </c>
      <c r="M117" s="17">
        <f>((('Выборка 1'!BH117-'Выборка 1'!BM117)-('Выборка 1'!BG117-'Выборка 1'!BL117))+(('Выборка 1'!BI117-'Выборка 1'!BN117)-('Выборка 1'!BH117-'Выборка 1'!BM117))+(('Выборка 1'!BJ117-'Выборка 1'!BO117)-('Выборка 1'!BI117-'Выборка 1'!BN117))+(('Выборка 1'!BK117-'Выборка 1'!BP117)-('Выборка 1'!BJ117-'Выборка 1'!BO117)))/4000</f>
        <v>4.75</v>
      </c>
      <c r="N117" s="17">
        <f>(('Выборка 1'!BR117-'Выборка 1'!BQ117)+('Выборка 1'!BS117-'Выборка 1'!BR117)+('Выборка 1'!BT117-'Выборка 1'!BS117)+('Выборка 1'!BU117-'Выборка 1'!BT117))/4000</f>
        <v>-276.75</v>
      </c>
    </row>
    <row r="118" spans="1:14" x14ac:dyDescent="0.25">
      <c r="A118" s="17">
        <v>24</v>
      </c>
      <c r="B118" s="17">
        <f>(('Выборка 1'!E118-'Выборка 1'!D118)+('Выборка 1'!F118-'Выборка 1'!E118)+('Выборка 1'!G118-'Выборка 1'!F118)+('Выборка 1'!H118-'Выборка 1'!G118))/4000</f>
        <v>-12031</v>
      </c>
      <c r="C118" s="17">
        <f>(('Выборка 1'!J118-'Выборка 1'!I118)+('Выборка 1'!K118-'Выборка 1'!J118)+('Выборка 1'!L118-'Выборка 1'!K118)+('Выборка 1'!M118-'Выборка 1'!L118))/4000</f>
        <v>-16295.25</v>
      </c>
      <c r="D118" s="17">
        <f>(('Выборка 1'!O118-'Выборка 1'!N118)+('Выборка 1'!P118-'Выборка 1'!O118)+('Выборка 1'!Q118-'Выборка 1'!P118)+('Выборка 1'!R118-'Выборка 1'!Q118))/4000</f>
        <v>-175405.75</v>
      </c>
      <c r="E118" s="17">
        <f>(('Выборка 1'!T118-'Выборка 1'!S118)+('Выборка 1'!U118-'Выборка 1'!T118)+('Выборка 1'!V118-'Выборка 1'!U118)+('Выборка 1'!W118-'Выборка 1'!V118))/4000</f>
        <v>1515</v>
      </c>
      <c r="F118" s="17">
        <f>(('Выборка 1'!Y118-'Выборка 1'!X118)+('Выборка 1'!Z118+'Выборка 1'!Y118)+('Выборка 1'!AA118-'Выборка 1'!Z118)+('Выборка 1'!AB118-'Выборка 1'!AA118))/4000</f>
        <v>-808940.5</v>
      </c>
      <c r="G118" s="17">
        <f>(('Выборка 1'!AD118-'Выборка 1'!AC118)+('Выборка 1'!AE118-'Выборка 1'!AD118)+('Выборка 1'!AF118-'Выборка 1'!AE118)+('Выборка 1'!AG118-'Выборка 1'!AF118))/4000</f>
        <v>-58716.25</v>
      </c>
      <c r="H118" s="17">
        <f>(('Выборка 1'!AI118-'Выборка 1'!AH118)+('Выборка 1'!AJ118-'Выборка 1'!AI118)+('Выборка 1'!AK118-'Выборка 1'!AJ118)+('Выборка 1'!AL118-'Выборка 1'!AK118))/4000</f>
        <v>101566</v>
      </c>
      <c r="I118" s="17">
        <f>(('Выборка 1'!AN118-'Выборка 1'!AM118)+('Выборка 1'!AO118-'Выборка 1'!AN118)+('Выборка 1'!AP118-'Выборка 1'!AO118)+('Выборка 1'!AQ118-'Выборка 1'!AP118))/4000</f>
        <v>-88</v>
      </c>
      <c r="J118" s="17">
        <f>((('Выборка 1'!AS118+'Выборка 1'!AX118)-('Выборка 1'!AR118+'Выборка 1'!AW118))+(('Выборка 1'!AT118+'Выборка 1'!AY118)-('Выборка 1'!AS118+'Выборка 1'!AX118))+(('Выборка 1'!AU118+'Выборка 1'!AZ118)-('Выборка 1'!AT118+'Выборка 1'!AY118))+(('Выборка 1'!AV118+'Выборка 1'!BA118)-('Выборка 1'!AU118+'Выборка 1'!AZ118)))/4000</f>
        <v>-879.75</v>
      </c>
      <c r="K118" s="17">
        <f>(('Выборка 1'!BC118-'Выборка 1'!BB118)+('Выборка 1'!BD118-'Выборка 1'!BC118)+('Выборка 1'!BE118-'Выборка 1'!BD118)+('Выборка 1'!BF118-'Выборка 1'!BE118))/4000</f>
        <v>-10997</v>
      </c>
      <c r="L118" s="17">
        <f t="shared" si="1"/>
        <v>11788.75</v>
      </c>
      <c r="M118" s="17">
        <f>((('Выборка 1'!BH118-'Выборка 1'!BM118)-('Выборка 1'!BG118-'Выборка 1'!BL118))+(('Выборка 1'!BI118-'Выборка 1'!BN118)-('Выборка 1'!BH118-'Выборка 1'!BM118))+(('Выборка 1'!BJ118-'Выборка 1'!BO118)-('Выборка 1'!BI118-'Выборка 1'!BN118))+(('Выборка 1'!BK118-'Выборка 1'!BP118)-('Выборка 1'!BJ118-'Выборка 1'!BO118)))/4000</f>
        <v>8278.25</v>
      </c>
      <c r="N118" s="17">
        <f>(('Выборка 1'!BR118-'Выборка 1'!BQ118)+('Выборка 1'!BS118-'Выборка 1'!BR118)+('Выборка 1'!BT118-'Выборка 1'!BS118)+('Выборка 1'!BU118-'Выборка 1'!BT118))/4000</f>
        <v>14304.25</v>
      </c>
    </row>
    <row r="119" spans="1:14" x14ac:dyDescent="0.25">
      <c r="A119" s="17">
        <v>17</v>
      </c>
      <c r="B119" s="17">
        <f>(('Выборка 1'!E119-'Выборка 1'!D119)+('Выборка 1'!F119-'Выборка 1'!E119)+('Выборка 1'!G119-'Выборка 1'!F119)+('Выборка 1'!H119-'Выборка 1'!G119))/4000</f>
        <v>-420.5</v>
      </c>
      <c r="C119" s="17">
        <f>(('Выборка 1'!J119-'Выборка 1'!I119)+('Выборка 1'!K119-'Выборка 1'!J119)+('Выборка 1'!L119-'Выборка 1'!K119)+('Выборка 1'!M119-'Выборка 1'!L119))/4000</f>
        <v>0</v>
      </c>
      <c r="D119" s="17">
        <f>(('Выборка 1'!O119-'Выборка 1'!N119)+('Выборка 1'!P119-'Выборка 1'!O119)+('Выборка 1'!Q119-'Выборка 1'!P119)+('Выборка 1'!R119-'Выборка 1'!Q119))/4000</f>
        <v>-6362</v>
      </c>
      <c r="E119" s="17">
        <f>(('Выборка 1'!T119-'Выборка 1'!S119)+('Выборка 1'!U119-'Выборка 1'!T119)+('Выборка 1'!V119-'Выборка 1'!U119)+('Выборка 1'!W119-'Выборка 1'!V119))/4000</f>
        <v>0</v>
      </c>
      <c r="F119" s="17">
        <f>(('Выборка 1'!Y119-'Выборка 1'!X119)+('Выборка 1'!Z119+'Выборка 1'!Y119)+('Выборка 1'!AA119-'Выборка 1'!Z119)+('Выборка 1'!AB119-'Выборка 1'!AA119))/4000</f>
        <v>-11193.25</v>
      </c>
      <c r="G119" s="17">
        <f>(('Выборка 1'!AD119-'Выборка 1'!AC119)+('Выборка 1'!AE119-'Выборка 1'!AD119)+('Выборка 1'!AF119-'Выборка 1'!AE119)+('Выборка 1'!AG119-'Выборка 1'!AF119))/4000</f>
        <v>0</v>
      </c>
      <c r="H119" s="17">
        <f>(('Выборка 1'!AI119-'Выборка 1'!AH119)+('Выборка 1'!AJ119-'Выборка 1'!AI119)+('Выборка 1'!AK119-'Выборка 1'!AJ119)+('Выборка 1'!AL119-'Выборка 1'!AK119))/4000</f>
        <v>-12453.75</v>
      </c>
      <c r="I119" s="17">
        <f>(('Выборка 1'!AN119-'Выборка 1'!AM119)+('Выборка 1'!AO119-'Выборка 1'!AN119)+('Выборка 1'!AP119-'Выборка 1'!AO119)+('Выборка 1'!AQ119-'Выборка 1'!AP119))/4000</f>
        <v>-62.75</v>
      </c>
      <c r="J119" s="17">
        <f>((('Выборка 1'!AS119+'Выборка 1'!AX119)-('Выборка 1'!AR119+'Выборка 1'!AW119))+(('Выборка 1'!AT119+'Выборка 1'!AY119)-('Выборка 1'!AS119+'Выборка 1'!AX119))+(('Выборка 1'!AU119+'Выборка 1'!AZ119)-('Выборка 1'!AT119+'Выборка 1'!AY119))+(('Выборка 1'!AV119+'Выборка 1'!BA119)-('Выборка 1'!AU119+'Выборка 1'!AZ119)))/4000</f>
        <v>0</v>
      </c>
      <c r="K119" s="17">
        <f>(('Выборка 1'!BC119-'Выборка 1'!BB119)+('Выборка 1'!BD119-'Выборка 1'!BC119)+('Выборка 1'!BE119-'Выборка 1'!BD119)+('Выборка 1'!BF119-'Выборка 1'!BE119))/4000</f>
        <v>0</v>
      </c>
      <c r="L119" s="17">
        <f t="shared" si="1"/>
        <v>-62.75</v>
      </c>
      <c r="M119" s="17">
        <f>((('Выборка 1'!BH119-'Выборка 1'!BM119)-('Выборка 1'!BG119-'Выборка 1'!BL119))+(('Выборка 1'!BI119-'Выборка 1'!BN119)-('Выборка 1'!BH119-'Выборка 1'!BM119))+(('Выборка 1'!BJ119-'Выборка 1'!BO119)-('Выборка 1'!BI119-'Выборка 1'!BN119))+(('Выборка 1'!BK119-'Выборка 1'!BP119)-('Выборка 1'!BJ119-'Выборка 1'!BO119)))/4000</f>
        <v>1175.25</v>
      </c>
      <c r="N119" s="17">
        <f>(('Выборка 1'!BR119-'Выборка 1'!BQ119)+('Выборка 1'!BS119-'Выборка 1'!BR119)+('Выборка 1'!BT119-'Выборка 1'!BS119)+('Выборка 1'!BU119-'Выборка 1'!BT119))/4000</f>
        <v>1113.5</v>
      </c>
    </row>
    <row r="120" spans="1:14" x14ac:dyDescent="0.25">
      <c r="A120" s="17">
        <v>12</v>
      </c>
      <c r="B120" s="17">
        <f>(('Выборка 1'!E120-'Выборка 1'!D120)+('Выборка 1'!F120-'Выборка 1'!E120)+('Выборка 1'!G120-'Выборка 1'!F120)+('Выборка 1'!H120-'Выборка 1'!G120))/4000</f>
        <v>-12160.25</v>
      </c>
      <c r="C120" s="17">
        <f>(('Выборка 1'!J120-'Выборка 1'!I120)+('Выборка 1'!K120-'Выборка 1'!J120)+('Выборка 1'!L120-'Выборка 1'!K120)+('Выборка 1'!M120-'Выборка 1'!L120))/4000</f>
        <v>-13757.5</v>
      </c>
      <c r="D120" s="17">
        <f>(('Выборка 1'!O120-'Выборка 1'!N120)+('Выборка 1'!P120-'Выборка 1'!O120)+('Выборка 1'!Q120-'Выборка 1'!P120)+('Выборка 1'!R120-'Выборка 1'!Q120))/4000</f>
        <v>-22578.5</v>
      </c>
      <c r="E120" s="17">
        <f>(('Выборка 1'!T120-'Выборка 1'!S120)+('Выборка 1'!U120-'Выборка 1'!T120)+('Выборка 1'!V120-'Выборка 1'!U120)+('Выборка 1'!W120-'Выборка 1'!V120))/4000</f>
        <v>-515.25</v>
      </c>
      <c r="F120" s="17">
        <f>(('Выборка 1'!Y120-'Выборка 1'!X120)+('Выборка 1'!Z120+'Выборка 1'!Y120)+('Выборка 1'!AA120-'Выборка 1'!Z120)+('Выборка 1'!AB120-'Выборка 1'!AA120))/4000</f>
        <v>0</v>
      </c>
      <c r="G120" s="17">
        <f>(('Выборка 1'!AD120-'Выборка 1'!AC120)+('Выборка 1'!AE120-'Выборка 1'!AD120)+('Выборка 1'!AF120-'Выборка 1'!AE120)+('Выборка 1'!AG120-'Выборка 1'!AF120))/4000</f>
        <v>-13645.75</v>
      </c>
      <c r="H120" s="17">
        <f>(('Выборка 1'!AI120-'Выборка 1'!AH120)+('Выборка 1'!AJ120-'Выборка 1'!AI120)+('Выборка 1'!AK120-'Выборка 1'!AJ120)+('Выборка 1'!AL120-'Выборка 1'!AK120))/4000</f>
        <v>-22861.75</v>
      </c>
      <c r="I120" s="17">
        <f>(('Выборка 1'!AN120-'Выборка 1'!AM120)+('Выборка 1'!AO120-'Выборка 1'!AN120)+('Выборка 1'!AP120-'Выборка 1'!AO120)+('Выборка 1'!AQ120-'Выборка 1'!AP120))/4000</f>
        <v>-151085</v>
      </c>
      <c r="J120" s="17">
        <f>((('Выборка 1'!AS120+'Выборка 1'!AX120)-('Выборка 1'!AR120+'Выборка 1'!AW120))+(('Выборка 1'!AT120+'Выборка 1'!AY120)-('Выборка 1'!AS120+'Выборка 1'!AX120))+(('Выборка 1'!AU120+'Выборка 1'!AZ120)-('Выборка 1'!AT120+'Выборка 1'!AY120))+(('Выборка 1'!AV120+'Выборка 1'!BA120)-('Выборка 1'!AU120+'Выборка 1'!AZ120)))/4000</f>
        <v>-148553.5</v>
      </c>
      <c r="K120" s="17">
        <f>(('Выборка 1'!BC120-'Выборка 1'!BB120)+('Выборка 1'!BD120-'Выборка 1'!BC120)+('Выборка 1'!BE120-'Выборка 1'!BD120)+('Выборка 1'!BF120-'Выборка 1'!BE120))/4000</f>
        <v>0</v>
      </c>
      <c r="L120" s="17">
        <f t="shared" si="1"/>
        <v>-2531.5</v>
      </c>
      <c r="M120" s="17">
        <f>((('Выборка 1'!BH120-'Выборка 1'!BM120)-('Выборка 1'!BG120-'Выборка 1'!BL120))+(('Выборка 1'!BI120-'Выборка 1'!BN120)-('Выборка 1'!BH120-'Выборка 1'!BM120))+(('Выборка 1'!BJ120-'Выборка 1'!BO120)-('Выборка 1'!BI120-'Выборка 1'!BN120))+(('Выборка 1'!BK120-'Выборка 1'!BP120)-('Выборка 1'!BJ120-'Выборка 1'!BO120)))/4000</f>
        <v>2929.5</v>
      </c>
      <c r="N120" s="17">
        <f>(('Выборка 1'!BR120-'Выборка 1'!BQ120)+('Выборка 1'!BS120-'Выборка 1'!BR120)+('Выборка 1'!BT120-'Выборка 1'!BS120)+('Выборка 1'!BU120-'Выборка 1'!BT120))/4000</f>
        <v>1751.25</v>
      </c>
    </row>
    <row r="121" spans="1:14" x14ac:dyDescent="0.25">
      <c r="A121" s="17">
        <v>33</v>
      </c>
      <c r="B121" s="17">
        <f>(('Выборка 1'!E121-'Выборка 1'!D121)+('Выборка 1'!F121-'Выборка 1'!E121)+('Выборка 1'!G121-'Выборка 1'!F121)+('Выборка 1'!H121-'Выборка 1'!G121))/4000</f>
        <v>0</v>
      </c>
      <c r="C121" s="17">
        <f>(('Выборка 1'!J121-'Выборка 1'!I121)+('Выборка 1'!K121-'Выборка 1'!J121)+('Выборка 1'!L121-'Выборка 1'!K121)+('Выборка 1'!M121-'Выборка 1'!L121))/4000</f>
        <v>0</v>
      </c>
      <c r="D121" s="17">
        <f>(('Выборка 1'!O121-'Выборка 1'!N121)+('Выборка 1'!P121-'Выборка 1'!O121)+('Выборка 1'!Q121-'Выборка 1'!P121)+('Выборка 1'!R121-'Выборка 1'!Q121))/4000</f>
        <v>0</v>
      </c>
      <c r="E121" s="17">
        <f>(('Выборка 1'!T121-'Выборка 1'!S121)+('Выборка 1'!U121-'Выборка 1'!T121)+('Выборка 1'!V121-'Выборка 1'!U121)+('Выборка 1'!W121-'Выборка 1'!V121))/4000</f>
        <v>0</v>
      </c>
      <c r="F121" s="17">
        <f>(('Выборка 1'!Y121-'Выборка 1'!X121)+('Выборка 1'!Z121+'Выборка 1'!Y121)+('Выборка 1'!AA121-'Выборка 1'!Z121)+('Выборка 1'!AB121-'Выборка 1'!AA121))/4000</f>
        <v>0</v>
      </c>
      <c r="G121" s="17">
        <f>(('Выборка 1'!AD121-'Выборка 1'!AC121)+('Выборка 1'!AE121-'Выборка 1'!AD121)+('Выборка 1'!AF121-'Выборка 1'!AE121)+('Выборка 1'!AG121-'Выборка 1'!AF121))/4000</f>
        <v>0</v>
      </c>
      <c r="H121" s="17">
        <f>(('Выборка 1'!AI121-'Выборка 1'!AH121)+('Выборка 1'!AJ121-'Выборка 1'!AI121)+('Выборка 1'!AK121-'Выборка 1'!AJ121)+('Выборка 1'!AL121-'Выборка 1'!AK121))/4000</f>
        <v>0</v>
      </c>
      <c r="I121" s="17">
        <f>(('Выборка 1'!AN121-'Выборка 1'!AM121)+('Выборка 1'!AO121-'Выборка 1'!AN121)+('Выборка 1'!AP121-'Выборка 1'!AO121)+('Выборка 1'!AQ121-'Выборка 1'!AP121))/4000</f>
        <v>0</v>
      </c>
      <c r="J121" s="17">
        <f>((('Выборка 1'!AS121+'Выборка 1'!AX121)-('Выборка 1'!AR121+'Выборка 1'!AW121))+(('Выборка 1'!AT121+'Выборка 1'!AY121)-('Выборка 1'!AS121+'Выборка 1'!AX121))+(('Выборка 1'!AU121+'Выборка 1'!AZ121)-('Выборка 1'!AT121+'Выборка 1'!AY121))+(('Выборка 1'!AV121+'Выборка 1'!BA121)-('Выборка 1'!AU121+'Выборка 1'!AZ121)))/4000</f>
        <v>0</v>
      </c>
      <c r="K121" s="17">
        <f>(('Выборка 1'!BC121-'Выборка 1'!BB121)+('Выборка 1'!BD121-'Выборка 1'!BC121)+('Выборка 1'!BE121-'Выборка 1'!BD121)+('Выборка 1'!BF121-'Выборка 1'!BE121))/4000</f>
        <v>0</v>
      </c>
      <c r="L121" s="17">
        <f t="shared" si="1"/>
        <v>0</v>
      </c>
      <c r="M121" s="17">
        <f>((('Выборка 1'!BH121-'Выборка 1'!BM121)-('Выборка 1'!BG121-'Выборка 1'!BL121))+(('Выборка 1'!BI121-'Выборка 1'!BN121)-('Выборка 1'!BH121-'Выборка 1'!BM121))+(('Выборка 1'!BJ121-'Выборка 1'!BO121)-('Выборка 1'!BI121-'Выборка 1'!BN121))+(('Выборка 1'!BK121-'Выборка 1'!BP121)-('Выборка 1'!BJ121-'Выборка 1'!BO121)))/4000</f>
        <v>0</v>
      </c>
      <c r="N121" s="17">
        <f>(('Выборка 1'!BR121-'Выборка 1'!BQ121)+('Выборка 1'!BS121-'Выборка 1'!BR121)+('Выборка 1'!BT121-'Выборка 1'!BS121)+('Выборка 1'!BU121-'Выборка 1'!BT121))/4000</f>
        <v>0</v>
      </c>
    </row>
    <row r="122" spans="1:14" x14ac:dyDescent="0.25">
      <c r="A122" s="17">
        <v>27</v>
      </c>
      <c r="B122" s="17">
        <f>(('Выборка 1'!E122-'Выборка 1'!D122)+('Выборка 1'!F122-'Выборка 1'!E122)+('Выборка 1'!G122-'Выборка 1'!F122)+('Выборка 1'!H122-'Выборка 1'!G122))/4000</f>
        <v>0</v>
      </c>
      <c r="C122" s="17">
        <f>(('Выборка 1'!J122-'Выборка 1'!I122)+('Выборка 1'!K122-'Выборка 1'!J122)+('Выборка 1'!L122-'Выборка 1'!K122)+('Выборка 1'!M122-'Выборка 1'!L122))/4000</f>
        <v>0</v>
      </c>
      <c r="D122" s="17">
        <f>(('Выборка 1'!O122-'Выборка 1'!N122)+('Выборка 1'!P122-'Выборка 1'!O122)+('Выборка 1'!Q122-'Выборка 1'!P122)+('Выборка 1'!R122-'Выборка 1'!Q122))/4000</f>
        <v>0</v>
      </c>
      <c r="E122" s="17">
        <f>(('Выборка 1'!T122-'Выборка 1'!S122)+('Выборка 1'!U122-'Выборка 1'!T122)+('Выборка 1'!V122-'Выборка 1'!U122)+('Выборка 1'!W122-'Выборка 1'!V122))/4000</f>
        <v>0</v>
      </c>
      <c r="F122" s="17">
        <f>(('Выборка 1'!Y122-'Выборка 1'!X122)+('Выборка 1'!Z122+'Выборка 1'!Y122)+('Выборка 1'!AA122-'Выборка 1'!Z122)+('Выборка 1'!AB122-'Выборка 1'!AA122))/4000</f>
        <v>0</v>
      </c>
      <c r="G122" s="17">
        <f>(('Выборка 1'!AD122-'Выборка 1'!AC122)+('Выборка 1'!AE122-'Выборка 1'!AD122)+('Выборка 1'!AF122-'Выборка 1'!AE122)+('Выборка 1'!AG122-'Выборка 1'!AF122))/4000</f>
        <v>0</v>
      </c>
      <c r="H122" s="17">
        <f>(('Выборка 1'!AI122-'Выборка 1'!AH122)+('Выборка 1'!AJ122-'Выборка 1'!AI122)+('Выборка 1'!AK122-'Выборка 1'!AJ122)+('Выборка 1'!AL122-'Выборка 1'!AK122))/4000</f>
        <v>0</v>
      </c>
      <c r="I122" s="17">
        <f>(('Выборка 1'!AN122-'Выборка 1'!AM122)+('Выборка 1'!AO122-'Выборка 1'!AN122)+('Выборка 1'!AP122-'Выборка 1'!AO122)+('Выборка 1'!AQ122-'Выборка 1'!AP122))/4000</f>
        <v>0</v>
      </c>
      <c r="J122" s="17">
        <f>((('Выборка 1'!AS122+'Выборка 1'!AX122)-('Выборка 1'!AR122+'Выборка 1'!AW122))+(('Выборка 1'!AT122+'Выборка 1'!AY122)-('Выборка 1'!AS122+'Выборка 1'!AX122))+(('Выборка 1'!AU122+'Выборка 1'!AZ122)-('Выборка 1'!AT122+'Выборка 1'!AY122))+(('Выборка 1'!AV122+'Выборка 1'!BA122)-('Выборка 1'!AU122+'Выборка 1'!AZ122)))/4000</f>
        <v>0</v>
      </c>
      <c r="K122" s="17">
        <f>(('Выборка 1'!BC122-'Выборка 1'!BB122)+('Выборка 1'!BD122-'Выборка 1'!BC122)+('Выборка 1'!BE122-'Выборка 1'!BD122)+('Выборка 1'!BF122-'Выборка 1'!BE122))/4000</f>
        <v>0</v>
      </c>
      <c r="L122" s="17">
        <f t="shared" si="1"/>
        <v>0</v>
      </c>
      <c r="M122" s="17">
        <f>((('Выборка 1'!BH122-'Выборка 1'!BM122)-('Выборка 1'!BG122-'Выборка 1'!BL122))+(('Выборка 1'!BI122-'Выборка 1'!BN122)-('Выборка 1'!BH122-'Выборка 1'!BM122))+(('Выборка 1'!BJ122-'Выборка 1'!BO122)-('Выборка 1'!BI122-'Выборка 1'!BN122))+(('Выборка 1'!BK122-'Выборка 1'!BP122)-('Выборка 1'!BJ122-'Выборка 1'!BO122)))/4000</f>
        <v>0</v>
      </c>
      <c r="N122" s="17">
        <f>(('Выборка 1'!BR122-'Выборка 1'!BQ122)+('Выборка 1'!BS122-'Выборка 1'!BR122)+('Выборка 1'!BT122-'Выборка 1'!BS122)+('Выборка 1'!BU122-'Выборка 1'!BT122))/4000</f>
        <v>0</v>
      </c>
    </row>
    <row r="123" spans="1:14" x14ac:dyDescent="0.25">
      <c r="A123" s="17">
        <v>21</v>
      </c>
      <c r="B123" s="17">
        <f>(('Выборка 1'!E123-'Выборка 1'!D123)+('Выборка 1'!F123-'Выборка 1'!E123)+('Выборка 1'!G123-'Выборка 1'!F123)+('Выборка 1'!H123-'Выборка 1'!G123))/4000</f>
        <v>0</v>
      </c>
      <c r="C123" s="17">
        <f>(('Выборка 1'!J123-'Выборка 1'!I123)+('Выборка 1'!K123-'Выборка 1'!J123)+('Выборка 1'!L123-'Выборка 1'!K123)+('Выборка 1'!M123-'Выборка 1'!L123))/4000</f>
        <v>0</v>
      </c>
      <c r="D123" s="17">
        <f>(('Выборка 1'!O123-'Выборка 1'!N123)+('Выборка 1'!P123-'Выборка 1'!O123)+('Выборка 1'!Q123-'Выборка 1'!P123)+('Выборка 1'!R123-'Выборка 1'!Q123))/4000</f>
        <v>19927.5</v>
      </c>
      <c r="E123" s="17">
        <f>(('Выборка 1'!T123-'Выборка 1'!S123)+('Выборка 1'!U123-'Выборка 1'!T123)+('Выборка 1'!V123-'Выборка 1'!U123)+('Выборка 1'!W123-'Выборка 1'!V123))/4000</f>
        <v>1507</v>
      </c>
      <c r="F123" s="17">
        <f>(('Выборка 1'!Y123-'Выборка 1'!X123)+('Выборка 1'!Z123+'Выборка 1'!Y123)+('Выборка 1'!AA123-'Выборка 1'!Z123)+('Выборка 1'!AB123-'Выборка 1'!AA123))/4000</f>
        <v>-25506</v>
      </c>
      <c r="G123" s="17">
        <f>(('Выборка 1'!AD123-'Выборка 1'!AC123)+('Выборка 1'!AE123-'Выборка 1'!AD123)+('Выборка 1'!AF123-'Выборка 1'!AE123)+('Выборка 1'!AG123-'Выборка 1'!AF123))/4000</f>
        <v>0</v>
      </c>
      <c r="H123" s="17">
        <f>(('Выборка 1'!AI123-'Выборка 1'!AH123)+('Выборка 1'!AJ123-'Выборка 1'!AI123)+('Выборка 1'!AK123-'Выборка 1'!AJ123)+('Выборка 1'!AL123-'Выборка 1'!AK123))/4000</f>
        <v>18107</v>
      </c>
      <c r="I123" s="17">
        <f>(('Выборка 1'!AN123-'Выборка 1'!AM123)+('Выборка 1'!AO123-'Выборка 1'!AN123)+('Выборка 1'!AP123-'Выборка 1'!AO123)+('Выборка 1'!AQ123-'Выборка 1'!AP123))/4000</f>
        <v>0</v>
      </c>
      <c r="J123" s="17">
        <f>((('Выборка 1'!AS123+'Выборка 1'!AX123)-('Выборка 1'!AR123+'Выборка 1'!AW123))+(('Выборка 1'!AT123+'Выборка 1'!AY123)-('Выборка 1'!AS123+'Выборка 1'!AX123))+(('Выборка 1'!AU123+'Выборка 1'!AZ123)-('Выборка 1'!AT123+'Выборка 1'!AY123))+(('Выборка 1'!AV123+'Выборка 1'!BA123)-('Выборка 1'!AU123+'Выборка 1'!AZ123)))/4000</f>
        <v>0</v>
      </c>
      <c r="K123" s="17">
        <f>(('Выборка 1'!BC123-'Выборка 1'!BB123)+('Выборка 1'!BD123-'Выборка 1'!BC123)+('Выборка 1'!BE123-'Выборка 1'!BD123)+('Выборка 1'!BF123-'Выборка 1'!BE123))/4000</f>
        <v>0</v>
      </c>
      <c r="L123" s="17">
        <f t="shared" si="1"/>
        <v>0</v>
      </c>
      <c r="M123" s="17">
        <f>((('Выборка 1'!BH123-'Выборка 1'!BM123)-('Выборка 1'!BG123-'Выборка 1'!BL123))+(('Выборка 1'!BI123-'Выборка 1'!BN123)-('Выборка 1'!BH123-'Выборка 1'!BM123))+(('Выборка 1'!BJ123-'Выборка 1'!BO123)-('Выборка 1'!BI123-'Выборка 1'!BN123))+(('Выборка 1'!BK123-'Выборка 1'!BP123)-('Выборка 1'!BJ123-'Выборка 1'!BO123)))/4000</f>
        <v>0</v>
      </c>
      <c r="N123" s="17">
        <f>(('Выборка 1'!BR123-'Выборка 1'!BQ123)+('Выборка 1'!BS123-'Выборка 1'!BR123)+('Выборка 1'!BT123-'Выборка 1'!BS123)+('Выборка 1'!BU123-'Выборка 1'!BT123))/4000</f>
        <v>0</v>
      </c>
    </row>
    <row r="124" spans="1:14" x14ac:dyDescent="0.25">
      <c r="A124" s="17">
        <v>10</v>
      </c>
      <c r="B124" s="17">
        <f>(('Выборка 1'!E124-'Выборка 1'!D124)+('Выборка 1'!F124-'Выборка 1'!E124)+('Выборка 1'!G124-'Выборка 1'!F124)+('Выборка 1'!H124-'Выборка 1'!G124))/4000</f>
        <v>-90.5</v>
      </c>
      <c r="C124" s="17">
        <f>(('Выборка 1'!J124-'Выборка 1'!I124)+('Выборка 1'!K124-'Выборка 1'!J124)+('Выборка 1'!L124-'Выборка 1'!K124)+('Выборка 1'!M124-'Выборка 1'!L124))/4000</f>
        <v>-885.75</v>
      </c>
      <c r="D124" s="17">
        <f>(('Выборка 1'!O124-'Выборка 1'!N124)+('Выборка 1'!P124-'Выборка 1'!O124)+('Выборка 1'!Q124-'Выборка 1'!P124)+('Выборка 1'!R124-'Выборка 1'!Q124))/4000</f>
        <v>-6698.5</v>
      </c>
      <c r="E124" s="17">
        <f>(('Выборка 1'!T124-'Выборка 1'!S124)+('Выборка 1'!U124-'Выборка 1'!T124)+('Выборка 1'!V124-'Выборка 1'!U124)+('Выборка 1'!W124-'Выборка 1'!V124))/4000</f>
        <v>1274.5</v>
      </c>
      <c r="F124" s="17">
        <f>(('Выборка 1'!Y124-'Выборка 1'!X124)+('Выборка 1'!Z124+'Выборка 1'!Y124)+('Выборка 1'!AA124-'Выборка 1'!Z124)+('Выборка 1'!AB124-'Выборка 1'!AA124))/4000</f>
        <v>-23614</v>
      </c>
      <c r="G124" s="17">
        <f>(('Выборка 1'!AD124-'Выборка 1'!AC124)+('Выборка 1'!AE124-'Выборка 1'!AD124)+('Выборка 1'!AF124-'Выборка 1'!AE124)+('Выборка 1'!AG124-'Выборка 1'!AF124))/4000</f>
        <v>-114.5</v>
      </c>
      <c r="H124" s="17">
        <f>(('Выборка 1'!AI124-'Выборка 1'!AH124)+('Выборка 1'!AJ124-'Выборка 1'!AI124)+('Выборка 1'!AK124-'Выборка 1'!AJ124)+('Выборка 1'!AL124-'Выборка 1'!AK124))/4000</f>
        <v>4670.25</v>
      </c>
      <c r="I124" s="17">
        <f>(('Выборка 1'!AN124-'Выборка 1'!AM124)+('Выборка 1'!AO124-'Выборка 1'!AN124)+('Выборка 1'!AP124-'Выборка 1'!AO124)+('Выборка 1'!AQ124-'Выборка 1'!AP124))/4000</f>
        <v>-38453.5</v>
      </c>
      <c r="J124" s="17">
        <f>((('Выборка 1'!AS124+'Выборка 1'!AX124)-('Выборка 1'!AR124+'Выборка 1'!AW124))+(('Выборка 1'!AT124+'Выборка 1'!AY124)-('Выборка 1'!AS124+'Выборка 1'!AX124))+(('Выборка 1'!AU124+'Выборка 1'!AZ124)-('Выборка 1'!AT124+'Выборка 1'!AY124))+(('Выборка 1'!AV124+'Выборка 1'!BA124)-('Выборка 1'!AU124+'Выборка 1'!AZ124)))/4000</f>
        <v>-37774.75</v>
      </c>
      <c r="K124" s="17">
        <f>(('Выборка 1'!BC124-'Выборка 1'!BB124)+('Выборка 1'!BD124-'Выборка 1'!BC124)+('Выборка 1'!BE124-'Выборка 1'!BD124)+('Выборка 1'!BF124-'Выборка 1'!BE124))/4000</f>
        <v>0</v>
      </c>
      <c r="L124" s="17">
        <f t="shared" si="1"/>
        <v>-678.75</v>
      </c>
      <c r="M124" s="17">
        <f>((('Выборка 1'!BH124-'Выборка 1'!BM124)-('Выборка 1'!BG124-'Выборка 1'!BL124))+(('Выборка 1'!BI124-'Выборка 1'!BN124)-('Выборка 1'!BH124-'Выборка 1'!BM124))+(('Выборка 1'!BJ124-'Выборка 1'!BO124)-('Выборка 1'!BI124-'Выборка 1'!BN124))+(('Выборка 1'!BK124-'Выборка 1'!BP124)-('Выборка 1'!BJ124-'Выборка 1'!BO124)))/4000</f>
        <v>226.75</v>
      </c>
      <c r="N124" s="17">
        <f>(('Выборка 1'!BR124-'Выборка 1'!BQ124)+('Выборка 1'!BS124-'Выборка 1'!BR124)+('Выборка 1'!BT124-'Выборка 1'!BS124)+('Выборка 1'!BU124-'Выборка 1'!BT124))/4000</f>
        <v>-362.75</v>
      </c>
    </row>
    <row r="125" spans="1:14" x14ac:dyDescent="0.25">
      <c r="A125" s="17">
        <v>24</v>
      </c>
      <c r="B125" s="17">
        <f>(('Выборка 1'!E125-'Выборка 1'!D125)+('Выборка 1'!F125-'Выборка 1'!E125)+('Выборка 1'!G125-'Выборка 1'!F125)+('Выборка 1'!H125-'Выборка 1'!G125))/4000</f>
        <v>-1226.75</v>
      </c>
      <c r="C125" s="17">
        <f>(('Выборка 1'!J125-'Выборка 1'!I125)+('Выборка 1'!K125-'Выборка 1'!J125)+('Выборка 1'!L125-'Выборка 1'!K125)+('Выборка 1'!M125-'Выборка 1'!L125))/4000</f>
        <v>0</v>
      </c>
      <c r="D125" s="17">
        <f>(('Выборка 1'!O125-'Выборка 1'!N125)+('Выборка 1'!P125-'Выборка 1'!O125)+('Выборка 1'!Q125-'Выборка 1'!P125)+('Выборка 1'!R125-'Выборка 1'!Q125))/4000</f>
        <v>-175</v>
      </c>
      <c r="E125" s="17">
        <f>(('Выборка 1'!T125-'Выборка 1'!S125)+('Выборка 1'!U125-'Выборка 1'!T125)+('Выборка 1'!V125-'Выборка 1'!U125)+('Выборка 1'!W125-'Выборка 1'!V125))/4000</f>
        <v>0</v>
      </c>
      <c r="F125" s="17">
        <f>(('Выборка 1'!Y125-'Выборка 1'!X125)+('Выборка 1'!Z125+'Выборка 1'!Y125)+('Выборка 1'!AA125-'Выборка 1'!Z125)+('Выборка 1'!AB125-'Выборка 1'!AA125))/4000</f>
        <v>-12848</v>
      </c>
      <c r="G125" s="17">
        <f>(('Выборка 1'!AD125-'Выборка 1'!AC125)+('Выборка 1'!AE125-'Выборка 1'!AD125)+('Выборка 1'!AF125-'Выборка 1'!AE125)+('Выборка 1'!AG125-'Выборка 1'!AF125))/4000</f>
        <v>-564.5</v>
      </c>
      <c r="H125" s="17">
        <f>(('Выборка 1'!AI125-'Выборка 1'!AH125)+('Выборка 1'!AJ125-'Выборка 1'!AI125)+('Выборка 1'!AK125-'Выборка 1'!AJ125)+('Выборка 1'!AL125-'Выборка 1'!AK125))/4000</f>
        <v>-9801</v>
      </c>
      <c r="I125" s="17">
        <f>(('Выборка 1'!AN125-'Выборка 1'!AM125)+('Выборка 1'!AO125-'Выборка 1'!AN125)+('Выборка 1'!AP125-'Выборка 1'!AO125)+('Выборка 1'!AQ125-'Выборка 1'!AP125))/4000</f>
        <v>-1654.5</v>
      </c>
      <c r="J125" s="17">
        <f>((('Выборка 1'!AS125+'Выборка 1'!AX125)-('Выборка 1'!AR125+'Выборка 1'!AW125))+(('Выборка 1'!AT125+'Выборка 1'!AY125)-('Выборка 1'!AS125+'Выборка 1'!AX125))+(('Выборка 1'!AU125+'Выборка 1'!AZ125)-('Выборка 1'!AT125+'Выборка 1'!AY125))+(('Выборка 1'!AV125+'Выборка 1'!BA125)-('Выборка 1'!AU125+'Выборка 1'!AZ125)))/4000</f>
        <v>-1672.5</v>
      </c>
      <c r="K125" s="17">
        <f>(('Выборка 1'!BC125-'Выборка 1'!BB125)+('Выборка 1'!BD125-'Выборка 1'!BC125)+('Выборка 1'!BE125-'Выборка 1'!BD125)+('Выборка 1'!BF125-'Выборка 1'!BE125))/4000</f>
        <v>-1662.75</v>
      </c>
      <c r="L125" s="17">
        <f t="shared" si="1"/>
        <v>1680.75</v>
      </c>
      <c r="M125" s="17">
        <f>((('Выборка 1'!BH125-'Выборка 1'!BM125)-('Выборка 1'!BG125-'Выборка 1'!BL125))+(('Выборка 1'!BI125-'Выборка 1'!BN125)-('Выборка 1'!BH125-'Выборка 1'!BM125))+(('Выборка 1'!BJ125-'Выборка 1'!BO125)-('Выборка 1'!BI125-'Выборка 1'!BN125))+(('Выборка 1'!BK125-'Выборка 1'!BP125)-('Выборка 1'!BJ125-'Выборка 1'!BO125)))/4000</f>
        <v>2371.25</v>
      </c>
      <c r="N125" s="17">
        <f>(('Выборка 1'!BR125-'Выборка 1'!BQ125)+('Выборка 1'!BS125-'Выборка 1'!BR125)+('Выборка 1'!BT125-'Выборка 1'!BS125)+('Выборка 1'!BU125-'Выборка 1'!BT125))/4000</f>
        <v>4871.5</v>
      </c>
    </row>
    <row r="126" spans="1:14" x14ac:dyDescent="0.25">
      <c r="A126" s="17">
        <v>13</v>
      </c>
      <c r="B126" s="17">
        <f>(('Выборка 1'!E126-'Выборка 1'!D126)+('Выборка 1'!F126-'Выборка 1'!E126)+('Выборка 1'!G126-'Выборка 1'!F126)+('Выборка 1'!H126-'Выборка 1'!G126))/4000</f>
        <v>-752.25</v>
      </c>
      <c r="C126" s="17">
        <f>(('Выборка 1'!J126-'Выборка 1'!I126)+('Выборка 1'!K126-'Выборка 1'!J126)+('Выборка 1'!L126-'Выборка 1'!K126)+('Выборка 1'!M126-'Выборка 1'!L126))/4000</f>
        <v>-103.75</v>
      </c>
      <c r="D126" s="17">
        <f>(('Выборка 1'!O126-'Выборка 1'!N126)+('Выборка 1'!P126-'Выборка 1'!O126)+('Выборка 1'!Q126-'Выборка 1'!P126)+('Выборка 1'!R126-'Выборка 1'!Q126))/4000</f>
        <v>-3679.75</v>
      </c>
      <c r="E126" s="17">
        <f>(('Выборка 1'!T126-'Выборка 1'!S126)+('Выборка 1'!U126-'Выборка 1'!T126)+('Выборка 1'!V126-'Выборка 1'!U126)+('Выборка 1'!W126-'Выборка 1'!V126))/4000</f>
        <v>-9.5</v>
      </c>
      <c r="F126" s="17">
        <f>(('Выборка 1'!Y126-'Выборка 1'!X126)+('Выборка 1'!Z126+'Выборка 1'!Y126)+('Выборка 1'!AA126-'Выборка 1'!Z126)+('Выборка 1'!AB126-'Выборка 1'!AA126))/4000</f>
        <v>-1671.25</v>
      </c>
      <c r="G126" s="17">
        <f>(('Выборка 1'!AD126-'Выборка 1'!AC126)+('Выборка 1'!AE126-'Выборка 1'!AD126)+('Выборка 1'!AF126-'Выборка 1'!AE126)+('Выборка 1'!AG126-'Выборка 1'!AF126))/4000</f>
        <v>-832.5</v>
      </c>
      <c r="H126" s="17">
        <f>(('Выборка 1'!AI126-'Выборка 1'!AH126)+('Выборка 1'!AJ126-'Выборка 1'!AI126)+('Выборка 1'!AK126-'Выборка 1'!AJ126)+('Выборка 1'!AL126-'Выборка 1'!AK126))/4000</f>
        <v>-5263.5</v>
      </c>
      <c r="I126" s="17">
        <f>(('Выборка 1'!AN126-'Выборка 1'!AM126)+('Выборка 1'!AO126-'Выборка 1'!AN126)+('Выборка 1'!AP126-'Выборка 1'!AO126)+('Выборка 1'!AQ126-'Выборка 1'!AP126))/4000</f>
        <v>-2080.25</v>
      </c>
      <c r="J126" s="17">
        <f>((('Выборка 1'!AS126+'Выборка 1'!AX126)-('Выборка 1'!AR126+'Выборка 1'!AW126))+(('Выборка 1'!AT126+'Выборка 1'!AY126)-('Выборка 1'!AS126+'Выборка 1'!AX126))+(('Выборка 1'!AU126+'Выборка 1'!AZ126)-('Выборка 1'!AT126+'Выборка 1'!AY126))+(('Выборка 1'!AV126+'Выборка 1'!BA126)-('Выборка 1'!AU126+'Выборка 1'!AZ126)))/4000</f>
        <v>-3625.5</v>
      </c>
      <c r="K126" s="17">
        <f>(('Выборка 1'!BC126-'Выборка 1'!BB126)+('Выборка 1'!BD126-'Выборка 1'!BC126)+('Выборка 1'!BE126-'Выборка 1'!BD126)+('Выборка 1'!BF126-'Выборка 1'!BE126))/4000</f>
        <v>-1184.5</v>
      </c>
      <c r="L126" s="17">
        <f t="shared" si="1"/>
        <v>2729.75</v>
      </c>
      <c r="M126" s="17">
        <f>((('Выборка 1'!BH126-'Выборка 1'!BM126)-('Выборка 1'!BG126-'Выборка 1'!BL126))+(('Выборка 1'!BI126-'Выборка 1'!BN126)-('Выборка 1'!BH126-'Выборка 1'!BM126))+(('Выборка 1'!BJ126-'Выборка 1'!BO126)-('Выборка 1'!BI126-'Выборка 1'!BN126))+(('Выборка 1'!BK126-'Выборка 1'!BP126)-('Выборка 1'!BJ126-'Выборка 1'!BO126)))/4000</f>
        <v>56.25</v>
      </c>
      <c r="N126" s="17">
        <f>(('Выборка 1'!BR126-'Выборка 1'!BQ126)+('Выборка 1'!BS126-'Выборка 1'!BR126)+('Выборка 1'!BT126-'Выборка 1'!BS126)+('Выборка 1'!BU126-'Выборка 1'!BT126))/4000</f>
        <v>2738.75</v>
      </c>
    </row>
    <row r="127" spans="1:14" x14ac:dyDescent="0.25">
      <c r="A127" s="17">
        <v>16</v>
      </c>
      <c r="B127" s="17">
        <f>(('Выборка 1'!E127-'Выборка 1'!D127)+('Выборка 1'!F127-'Выборка 1'!E127)+('Выборка 1'!G127-'Выборка 1'!F127)+('Выборка 1'!H127-'Выборка 1'!G127))/4000</f>
        <v>-35879.75</v>
      </c>
      <c r="C127" s="17">
        <f>(('Выборка 1'!J127-'Выборка 1'!I127)+('Выборка 1'!K127-'Выборка 1'!J127)+('Выборка 1'!L127-'Выборка 1'!K127)+('Выборка 1'!M127-'Выборка 1'!L127))/4000</f>
        <v>-24261</v>
      </c>
      <c r="D127" s="17">
        <f>(('Выборка 1'!O127-'Выборка 1'!N127)+('Выборка 1'!P127-'Выборка 1'!O127)+('Выборка 1'!Q127-'Выборка 1'!P127)+('Выборка 1'!R127-'Выборка 1'!Q127))/4000</f>
        <v>-13222.75</v>
      </c>
      <c r="E127" s="17">
        <f>(('Выборка 1'!T127-'Выборка 1'!S127)+('Выборка 1'!U127-'Выборка 1'!T127)+('Выборка 1'!V127-'Выборка 1'!U127)+('Выборка 1'!W127-'Выборка 1'!V127))/4000</f>
        <v>-32.25</v>
      </c>
      <c r="F127" s="17">
        <f>(('Выборка 1'!Y127-'Выборка 1'!X127)+('Выборка 1'!Z127+'Выборка 1'!Y127)+('Выборка 1'!AA127-'Выборка 1'!Z127)+('Выборка 1'!AB127-'Выборка 1'!AA127))/4000</f>
        <v>8984.5</v>
      </c>
      <c r="G127" s="17">
        <f>(('Выборка 1'!AD127-'Выборка 1'!AC127)+('Выборка 1'!AE127-'Выборка 1'!AD127)+('Выборка 1'!AF127-'Выборка 1'!AE127)+('Выборка 1'!AG127-'Выборка 1'!AF127))/4000</f>
        <v>-15792</v>
      </c>
      <c r="H127" s="17">
        <f>(('Выборка 1'!AI127-'Выборка 1'!AH127)+('Выборка 1'!AJ127-'Выборка 1'!AI127)+('Выборка 1'!AK127-'Выборка 1'!AJ127)+('Выборка 1'!AL127-'Выборка 1'!AK127))/4000</f>
        <v>-28975.25</v>
      </c>
      <c r="I127" s="17">
        <f>(('Выборка 1'!AN127-'Выборка 1'!AM127)+('Выборка 1'!AO127-'Выборка 1'!AN127)+('Выборка 1'!AP127-'Выборка 1'!AO127)+('Выборка 1'!AQ127-'Выборка 1'!AP127))/4000</f>
        <v>-35615.5</v>
      </c>
      <c r="J127" s="17">
        <f>((('Выборка 1'!AS127+'Выборка 1'!AX127)-('Выборка 1'!AR127+'Выборка 1'!AW127))+(('Выборка 1'!AT127+'Выборка 1'!AY127)-('Выборка 1'!AS127+'Выборка 1'!AX127))+(('Выборка 1'!AU127+'Выборка 1'!AZ127)-('Выборка 1'!AT127+'Выборка 1'!AY127))+(('Выборка 1'!AV127+'Выборка 1'!BA127)-('Выборка 1'!AU127+'Выборка 1'!AZ127)))/4000</f>
        <v>-38260.25</v>
      </c>
      <c r="K127" s="17">
        <f>(('Выборка 1'!BC127-'Выборка 1'!BB127)+('Выборка 1'!BD127-'Выборка 1'!BC127)+('Выборка 1'!BE127-'Выборка 1'!BD127)+('Выборка 1'!BF127-'Выборка 1'!BE127))/4000</f>
        <v>0</v>
      </c>
      <c r="L127" s="17">
        <f t="shared" si="1"/>
        <v>2644.75</v>
      </c>
      <c r="M127" s="17">
        <f>((('Выборка 1'!BH127-'Выборка 1'!BM127)-('Выборка 1'!BG127-'Выборка 1'!BL127))+(('Выборка 1'!BI127-'Выборка 1'!BN127)-('Выборка 1'!BH127-'Выборка 1'!BM127))+(('Выборка 1'!BJ127-'Выборка 1'!BO127)-('Выборка 1'!BI127-'Выборка 1'!BN127))+(('Выборка 1'!BK127-'Выборка 1'!BP127)-('Выборка 1'!BJ127-'Выборка 1'!BO127)))/4000</f>
        <v>-1470.25</v>
      </c>
      <c r="N127" s="17">
        <f>(('Выборка 1'!BR127-'Выборка 1'!BQ127)+('Выборка 1'!BS127-'Выборка 1'!BR127)+('Выборка 1'!BT127-'Выборка 1'!BS127)+('Выборка 1'!BU127-'Выборка 1'!BT127))/4000</f>
        <v>3282.5</v>
      </c>
    </row>
    <row r="128" spans="1:14" x14ac:dyDescent="0.25">
      <c r="A128" s="17">
        <v>33</v>
      </c>
      <c r="B128" s="17">
        <f>(('Выборка 1'!E128-'Выборка 1'!D128)+('Выборка 1'!F128-'Выборка 1'!E128)+('Выборка 1'!G128-'Выборка 1'!F128)+('Выборка 1'!H128-'Выборка 1'!G128))/4000</f>
        <v>-63355.5</v>
      </c>
      <c r="C128" s="17">
        <f>(('Выборка 1'!J128-'Выборка 1'!I128)+('Выборка 1'!K128-'Выборка 1'!J128)+('Выборка 1'!L128-'Выборка 1'!K128)+('Выборка 1'!M128-'Выборка 1'!L128))/4000</f>
        <v>-17027.5</v>
      </c>
      <c r="D128" s="17">
        <f>(('Выборка 1'!O128-'Выборка 1'!N128)+('Выборка 1'!P128-'Выборка 1'!O128)+('Выборка 1'!Q128-'Выборка 1'!P128)+('Выборка 1'!R128-'Выборка 1'!Q128))/4000</f>
        <v>-8558.75</v>
      </c>
      <c r="E128" s="17">
        <f>(('Выборка 1'!T128-'Выборка 1'!S128)+('Выборка 1'!U128-'Выборка 1'!T128)+('Выборка 1'!V128-'Выборка 1'!U128)+('Выборка 1'!W128-'Выборка 1'!V128))/4000</f>
        <v>5190.25</v>
      </c>
      <c r="F128" s="17">
        <f>(('Выборка 1'!Y128-'Выборка 1'!X128)+('Выборка 1'!Z128+'Выборка 1'!Y128)+('Выборка 1'!AA128-'Выборка 1'!Z128)+('Выборка 1'!AB128-'Выборка 1'!AA128))/4000</f>
        <v>-95995.5</v>
      </c>
      <c r="G128" s="17">
        <f>(('Выборка 1'!AD128-'Выборка 1'!AC128)+('Выборка 1'!AE128-'Выборка 1'!AD128)+('Выборка 1'!AF128-'Выборка 1'!AE128)+('Выборка 1'!AG128-'Выборка 1'!AF128))/4000</f>
        <v>-19690</v>
      </c>
      <c r="H128" s="17">
        <f>(('Выборка 1'!AI128-'Выборка 1'!AH128)+('Выборка 1'!AJ128-'Выборка 1'!AI128)+('Выборка 1'!AK128-'Выборка 1'!AJ128)+('Выборка 1'!AL128-'Выборка 1'!AK128))/4000</f>
        <v>35101</v>
      </c>
      <c r="I128" s="17">
        <f>(('Выборка 1'!AN128-'Выборка 1'!AM128)+('Выборка 1'!AO128-'Выборка 1'!AN128)+('Выборка 1'!AP128-'Выборка 1'!AO128)+('Выборка 1'!AQ128-'Выборка 1'!AP128))/4000</f>
        <v>-32302</v>
      </c>
      <c r="J128" s="17">
        <f>((('Выборка 1'!AS128+'Выборка 1'!AX128)-('Выборка 1'!AR128+'Выборка 1'!AW128))+(('Выборка 1'!AT128+'Выборка 1'!AY128)-('Выборка 1'!AS128+'Выборка 1'!AX128))+(('Выборка 1'!AU128+'Выборка 1'!AZ128)-('Выборка 1'!AT128+'Выборка 1'!AY128))+(('Выборка 1'!AV128+'Выборка 1'!BA128)-('Выборка 1'!AU128+'Выборка 1'!AZ128)))/4000</f>
        <v>-31494</v>
      </c>
      <c r="K128" s="17">
        <f>(('Выборка 1'!BC128-'Выборка 1'!BB128)+('Выборка 1'!BD128-'Выборка 1'!BC128)+('Выборка 1'!BE128-'Выборка 1'!BD128)+('Выборка 1'!BF128-'Выборка 1'!BE128))/4000</f>
        <v>0</v>
      </c>
      <c r="L128" s="17">
        <f t="shared" si="1"/>
        <v>-808</v>
      </c>
      <c r="M128" s="17">
        <f>((('Выборка 1'!BH128-'Выборка 1'!BM128)-('Выборка 1'!BG128-'Выборка 1'!BL128))+(('Выборка 1'!BI128-'Выборка 1'!BN128)-('Выборка 1'!BH128-'Выборка 1'!BM128))+(('Выборка 1'!BJ128-'Выборка 1'!BO128)-('Выборка 1'!BI128-'Выборка 1'!BN128))+(('Выборка 1'!BK128-'Выборка 1'!BP128)-('Выборка 1'!BJ128-'Выборка 1'!BO128)))/4000</f>
        <v>-32464.75</v>
      </c>
      <c r="N128" s="17">
        <f>(('Выборка 1'!BR128-'Выборка 1'!BQ128)+('Выборка 1'!BS128-'Выборка 1'!BR128)+('Выборка 1'!BT128-'Выборка 1'!BS128)+('Выборка 1'!BU128-'Выборка 1'!BT128))/4000</f>
        <v>-27149</v>
      </c>
    </row>
    <row r="129" spans="1:14" x14ac:dyDescent="0.25">
      <c r="A129" s="17">
        <v>32</v>
      </c>
      <c r="B129" s="17">
        <f>(('Выборка 1'!E129-'Выборка 1'!D129)+('Выборка 1'!F129-'Выборка 1'!E129)+('Выборка 1'!G129-'Выборка 1'!F129)+('Выборка 1'!H129-'Выборка 1'!G129))/4000</f>
        <v>-51002</v>
      </c>
      <c r="C129" s="17">
        <f>(('Выборка 1'!J129-'Выборка 1'!I129)+('Выборка 1'!K129-'Выборка 1'!J129)+('Выборка 1'!L129-'Выборка 1'!K129)+('Выборка 1'!M129-'Выборка 1'!L129))/4000</f>
        <v>-9867.75</v>
      </c>
      <c r="D129" s="17">
        <f>(('Выборка 1'!O129-'Выборка 1'!N129)+('Выборка 1'!P129-'Выборка 1'!O129)+('Выборка 1'!Q129-'Выборка 1'!P129)+('Выборка 1'!R129-'Выборка 1'!Q129))/4000</f>
        <v>-1136</v>
      </c>
      <c r="E129" s="17">
        <f>(('Выборка 1'!T129-'Выборка 1'!S129)+('Выборка 1'!U129-'Выборка 1'!T129)+('Выборка 1'!V129-'Выборка 1'!U129)+('Выборка 1'!W129-'Выборка 1'!V129))/4000</f>
        <v>-50.75</v>
      </c>
      <c r="F129" s="17">
        <f>(('Выборка 1'!Y129-'Выборка 1'!X129)+('Выборка 1'!Z129+'Выборка 1'!Y129)+('Выборка 1'!AA129-'Выборка 1'!Z129)+('Выборка 1'!AB129-'Выборка 1'!AA129))/4000</f>
        <v>-2121.75</v>
      </c>
      <c r="G129" s="17">
        <f>(('Выборка 1'!AD129-'Выборка 1'!AC129)+('Выборка 1'!AE129-'Выборка 1'!AD129)+('Выборка 1'!AF129-'Выборка 1'!AE129)+('Выборка 1'!AG129-'Выборка 1'!AF129))/4000</f>
        <v>-3475.25</v>
      </c>
      <c r="H129" s="17">
        <f>(('Выборка 1'!AI129-'Выборка 1'!AH129)+('Выборка 1'!AJ129-'Выборка 1'!AI129)+('Выборка 1'!AK129-'Выборка 1'!AJ129)+('Выборка 1'!AL129-'Выборка 1'!AK129))/4000</f>
        <v>-4582</v>
      </c>
      <c r="I129" s="17">
        <f>(('Выборка 1'!AN129-'Выборка 1'!AM129)+('Выборка 1'!AO129-'Выборка 1'!AN129)+('Выборка 1'!AP129-'Выборка 1'!AO129)+('Выборка 1'!AQ129-'Выборка 1'!AP129))/4000</f>
        <v>-9571.25</v>
      </c>
      <c r="J129" s="17">
        <f>((('Выборка 1'!AS129+'Выборка 1'!AX129)-('Выборка 1'!AR129+'Выборка 1'!AW129))+(('Выборка 1'!AT129+'Выборка 1'!AY129)-('Выборка 1'!AS129+'Выборка 1'!AX129))+(('Выборка 1'!AU129+'Выборка 1'!AZ129)-('Выборка 1'!AT129+'Выборка 1'!AY129))+(('Выборка 1'!AV129+'Выборка 1'!BA129)-('Выборка 1'!AU129+'Выборка 1'!AZ129)))/4000</f>
        <v>-11064.25</v>
      </c>
      <c r="K129" s="17">
        <f>(('Выборка 1'!BC129-'Выборка 1'!BB129)+('Выборка 1'!BD129-'Выборка 1'!BC129)+('Выборка 1'!BE129-'Выборка 1'!BD129)+('Выборка 1'!BF129-'Выборка 1'!BE129))/4000</f>
        <v>0</v>
      </c>
      <c r="L129" s="17">
        <f t="shared" si="1"/>
        <v>1493</v>
      </c>
      <c r="M129" s="17">
        <f>((('Выборка 1'!BH129-'Выборка 1'!BM129)-('Выборка 1'!BG129-'Выборка 1'!BL129))+(('Выборка 1'!BI129-'Выборка 1'!BN129)-('Выборка 1'!BH129-'Выборка 1'!BM129))+(('Выборка 1'!BJ129-'Выборка 1'!BO129)-('Выборка 1'!BI129-'Выборка 1'!BN129))+(('Выборка 1'!BK129-'Выборка 1'!BP129)-('Выборка 1'!BJ129-'Выборка 1'!BO129)))/4000</f>
        <v>-1519.75</v>
      </c>
      <c r="N129" s="17">
        <f>(('Выборка 1'!BR129-'Выборка 1'!BQ129)+('Выборка 1'!BS129-'Выборка 1'!BR129)+('Выборка 1'!BT129-'Выборка 1'!BS129)+('Выборка 1'!BU129-'Выборка 1'!BT129))/4000</f>
        <v>363</v>
      </c>
    </row>
    <row r="130" spans="1:14" x14ac:dyDescent="0.25">
      <c r="A130" s="17">
        <v>13</v>
      </c>
      <c r="B130" s="17">
        <f>(('Выборка 1'!E130-'Выборка 1'!D130)+('Выборка 1'!F130-'Выборка 1'!E130)+('Выборка 1'!G130-'Выборка 1'!F130)+('Выборка 1'!H130-'Выборка 1'!G130))/4000</f>
        <v>-17053.5</v>
      </c>
      <c r="C130" s="17">
        <f>(('Выборка 1'!J130-'Выборка 1'!I130)+('Выборка 1'!K130-'Выборка 1'!J130)+('Выборка 1'!L130-'Выборка 1'!K130)+('Выборка 1'!M130-'Выборка 1'!L130))/4000</f>
        <v>-94296</v>
      </c>
      <c r="D130" s="17">
        <f>(('Выборка 1'!O130-'Выборка 1'!N130)+('Выборка 1'!P130-'Выборка 1'!O130)+('Выборка 1'!Q130-'Выборка 1'!P130)+('Выборка 1'!R130-'Выборка 1'!Q130))/4000</f>
        <v>-17330</v>
      </c>
      <c r="E130" s="17">
        <f>(('Выборка 1'!T130-'Выборка 1'!S130)+('Выборка 1'!U130-'Выборка 1'!T130)+('Выборка 1'!V130-'Выборка 1'!U130)+('Выборка 1'!W130-'Выборка 1'!V130))/4000</f>
        <v>1321.5</v>
      </c>
      <c r="F130" s="17">
        <f>(('Выборка 1'!Y130-'Выборка 1'!X130)+('Выборка 1'!Z130+'Выборка 1'!Y130)+('Выборка 1'!AA130-'Выборка 1'!Z130)+('Выборка 1'!AB130-'Выборка 1'!AA130))/4000</f>
        <v>-105499</v>
      </c>
      <c r="G130" s="17">
        <f>(('Выборка 1'!AD130-'Выборка 1'!AC130)+('Выборка 1'!AE130-'Выборка 1'!AD130)+('Выборка 1'!AF130-'Выборка 1'!AE130)+('Выборка 1'!AG130-'Выборка 1'!AF130))/4000</f>
        <v>-8141.5</v>
      </c>
      <c r="H130" s="17">
        <f>(('Выборка 1'!AI130-'Выборка 1'!AH130)+('Выборка 1'!AJ130-'Выборка 1'!AI130)+('Выборка 1'!AK130-'Выборка 1'!AJ130)+('Выборка 1'!AL130-'Выборка 1'!AK130))/4000</f>
        <v>40803.25</v>
      </c>
      <c r="I130" s="17">
        <f>(('Выборка 1'!AN130-'Выборка 1'!AM130)+('Выборка 1'!AO130-'Выборка 1'!AN130)+('Выборка 1'!AP130-'Выборка 1'!AO130)+('Выборка 1'!AQ130-'Выборка 1'!AP130))/4000</f>
        <v>-105981.5</v>
      </c>
      <c r="J130" s="17">
        <f>((('Выборка 1'!AS130+'Выборка 1'!AX130)-('Выборка 1'!AR130+'Выборка 1'!AW130))+(('Выборка 1'!AT130+'Выборка 1'!AY130)-('Выборка 1'!AS130+'Выборка 1'!AX130))+(('Выборка 1'!AU130+'Выборка 1'!AZ130)-('Выборка 1'!AT130+'Выборка 1'!AY130))+(('Выборка 1'!AV130+'Выборка 1'!BA130)-('Выборка 1'!AU130+'Выборка 1'!AZ130)))/4000</f>
        <v>-88473.25</v>
      </c>
      <c r="K130" s="17">
        <f>(('Выборка 1'!BC130-'Выборка 1'!BB130)+('Выборка 1'!BD130-'Выборка 1'!BC130)+('Выборка 1'!BE130-'Выборка 1'!BD130)+('Выборка 1'!BF130-'Выборка 1'!BE130))/4000</f>
        <v>-17283.25</v>
      </c>
      <c r="L130" s="17">
        <f t="shared" si="1"/>
        <v>-225</v>
      </c>
      <c r="M130" s="17">
        <f>((('Выборка 1'!BH130-'Выборка 1'!BM130)-('Выборка 1'!BG130-'Выборка 1'!BL130))+(('Выборка 1'!BI130-'Выборка 1'!BN130)-('Выборка 1'!BH130-'Выборка 1'!BM130))+(('Выборка 1'!BJ130-'Выборка 1'!BO130)-('Выборка 1'!BI130-'Выборка 1'!BN130))+(('Выборка 1'!BK130-'Выборка 1'!BP130)-('Выборка 1'!BJ130-'Выборка 1'!BO130)))/4000</f>
        <v>-7628.5</v>
      </c>
      <c r="N130" s="17">
        <f>(('Выборка 1'!BR130-'Выборка 1'!BQ130)+('Выборка 1'!BS130-'Выборка 1'!BR130)+('Выборка 1'!BT130-'Выборка 1'!BS130)+('Выборка 1'!BU130-'Выборка 1'!BT130))/4000</f>
        <v>-1113.25</v>
      </c>
    </row>
    <row r="131" spans="1:14" x14ac:dyDescent="0.25">
      <c r="A131" s="17">
        <v>19</v>
      </c>
      <c r="B131" s="17">
        <f>(('Выборка 1'!E131-'Выборка 1'!D131)+('Выборка 1'!F131-'Выборка 1'!E131)+('Выборка 1'!G131-'Выборка 1'!F131)+('Выборка 1'!H131-'Выборка 1'!G131))/4000</f>
        <v>-24</v>
      </c>
      <c r="C131" s="17">
        <f>(('Выборка 1'!J131-'Выборка 1'!I131)+('Выборка 1'!K131-'Выборка 1'!J131)+('Выборка 1'!L131-'Выборка 1'!K131)+('Выборка 1'!M131-'Выборка 1'!L131))/4000</f>
        <v>-4918.25</v>
      </c>
      <c r="D131" s="17">
        <f>(('Выборка 1'!O131-'Выборка 1'!N131)+('Выборка 1'!P131-'Выборка 1'!O131)+('Выборка 1'!Q131-'Выборка 1'!P131)+('Выборка 1'!R131-'Выборка 1'!Q131))/4000</f>
        <v>-3194</v>
      </c>
      <c r="E131" s="17">
        <f>(('Выборка 1'!T131-'Выборка 1'!S131)+('Выборка 1'!U131-'Выборка 1'!T131)+('Выборка 1'!V131-'Выборка 1'!U131)+('Выборка 1'!W131-'Выборка 1'!V131))/4000</f>
        <v>0</v>
      </c>
      <c r="F131" s="17">
        <f>(('Выборка 1'!Y131-'Выборка 1'!X131)+('Выборка 1'!Z131+'Выборка 1'!Y131)+('Выборка 1'!AA131-'Выборка 1'!Z131)+('Выборка 1'!AB131-'Выборка 1'!AA131))/4000</f>
        <v>-1665.5</v>
      </c>
      <c r="G131" s="17">
        <f>(('Выборка 1'!AD131-'Выборка 1'!AC131)+('Выборка 1'!AE131-'Выборка 1'!AD131)+('Выборка 1'!AF131-'Выборка 1'!AE131)+('Выборка 1'!AG131-'Выборка 1'!AF131))/4000</f>
        <v>0</v>
      </c>
      <c r="H131" s="17">
        <f>(('Выборка 1'!AI131-'Выборка 1'!AH131)+('Выборка 1'!AJ131-'Выборка 1'!AI131)+('Выборка 1'!AK131-'Выборка 1'!AJ131)+('Выборка 1'!AL131-'Выборка 1'!AK131))/4000</f>
        <v>-8949.75</v>
      </c>
      <c r="I131" s="17">
        <f>(('Выборка 1'!AN131-'Выборка 1'!AM131)+('Выборка 1'!AO131-'Выборка 1'!AN131)+('Выборка 1'!AP131-'Выборка 1'!AO131)+('Выборка 1'!AQ131-'Выборка 1'!AP131))/4000</f>
        <v>0</v>
      </c>
      <c r="J131" s="17">
        <f>((('Выборка 1'!AS131+'Выборка 1'!AX131)-('Выборка 1'!AR131+'Выборка 1'!AW131))+(('Выборка 1'!AT131+'Выборка 1'!AY131)-('Выборка 1'!AS131+'Выборка 1'!AX131))+(('Выборка 1'!AU131+'Выборка 1'!AZ131)-('Выборка 1'!AT131+'Выборка 1'!AY131))+(('Выборка 1'!AV131+'Выборка 1'!BA131)-('Выборка 1'!AU131+'Выборка 1'!AZ131)))/4000</f>
        <v>0</v>
      </c>
      <c r="K131" s="17">
        <f>(('Выборка 1'!BC131-'Выборка 1'!BB131)+('Выборка 1'!BD131-'Выборка 1'!BC131)+('Выборка 1'!BE131-'Выборка 1'!BD131)+('Выборка 1'!BF131-'Выборка 1'!BE131))/4000</f>
        <v>0</v>
      </c>
      <c r="L131" s="17">
        <f t="shared" ref="L131:L194" si="2">I131-J131-K131</f>
        <v>0</v>
      </c>
      <c r="M131" s="17">
        <f>((('Выборка 1'!BH131-'Выборка 1'!BM131)-('Выборка 1'!BG131-'Выборка 1'!BL131))+(('Выборка 1'!BI131-'Выборка 1'!BN131)-('Выборка 1'!BH131-'Выборка 1'!BM131))+(('Выборка 1'!BJ131-'Выборка 1'!BO131)-('Выборка 1'!BI131-'Выборка 1'!BN131))+(('Выборка 1'!BK131-'Выборка 1'!BP131)-('Выборка 1'!BJ131-'Выборка 1'!BO131)))/4000</f>
        <v>88.75</v>
      </c>
      <c r="N131" s="17">
        <f>(('Выборка 1'!BR131-'Выборка 1'!BQ131)+('Выборка 1'!BS131-'Выборка 1'!BR131)+('Выборка 1'!BT131-'Выборка 1'!BS131)+('Выборка 1'!BU131-'Выборка 1'!BT131))/4000</f>
        <v>88.75</v>
      </c>
    </row>
    <row r="132" spans="1:14" x14ac:dyDescent="0.25">
      <c r="A132" s="17">
        <v>13</v>
      </c>
      <c r="B132" s="17">
        <f>(('Выборка 1'!E132-'Выборка 1'!D132)+('Выборка 1'!F132-'Выборка 1'!E132)+('Выборка 1'!G132-'Выборка 1'!F132)+('Выборка 1'!H132-'Выборка 1'!G132))/4000</f>
        <v>0</v>
      </c>
      <c r="C132" s="17">
        <f>(('Выборка 1'!J132-'Выборка 1'!I132)+('Выборка 1'!K132-'Выборка 1'!J132)+('Выборка 1'!L132-'Выборка 1'!K132)+('Выборка 1'!M132-'Выборка 1'!L132))/4000</f>
        <v>-8621</v>
      </c>
      <c r="D132" s="17">
        <f>(('Выборка 1'!O132-'Выборка 1'!N132)+('Выборка 1'!P132-'Выборка 1'!O132)+('Выборка 1'!Q132-'Выборка 1'!P132)+('Выборка 1'!R132-'Выборка 1'!Q132))/4000</f>
        <v>-2740</v>
      </c>
      <c r="E132" s="17">
        <f>(('Выборка 1'!T132-'Выборка 1'!S132)+('Выборка 1'!U132-'Выборка 1'!T132)+('Выборка 1'!V132-'Выборка 1'!U132)+('Выборка 1'!W132-'Выборка 1'!V132))/4000</f>
        <v>0</v>
      </c>
      <c r="F132" s="17">
        <f>(('Выборка 1'!Y132-'Выборка 1'!X132)+('Выборка 1'!Z132+'Выборка 1'!Y132)+('Выборка 1'!AA132-'Выборка 1'!Z132)+('Выборка 1'!AB132-'Выборка 1'!AA132))/4000</f>
        <v>1046</v>
      </c>
      <c r="G132" s="17">
        <f>(('Выборка 1'!AD132-'Выборка 1'!AC132)+('Выборка 1'!AE132-'Выборка 1'!AD132)+('Выборка 1'!AF132-'Выборка 1'!AE132)+('Выборка 1'!AG132-'Выборка 1'!AF132))/4000</f>
        <v>0</v>
      </c>
      <c r="H132" s="17">
        <f>(('Выборка 1'!AI132-'Выборка 1'!AH132)+('Выборка 1'!AJ132-'Выборка 1'!AI132)+('Выборка 1'!AK132-'Выборка 1'!AJ132)+('Выборка 1'!AL132-'Выборка 1'!AK132))/4000</f>
        <v>-10747.75</v>
      </c>
      <c r="I132" s="17">
        <f>(('Выборка 1'!AN132-'Выборка 1'!AM132)+('Выборка 1'!AO132-'Выборка 1'!AN132)+('Выборка 1'!AP132-'Выборка 1'!AO132)+('Выборка 1'!AQ132-'Выборка 1'!AP132))/4000</f>
        <v>0</v>
      </c>
      <c r="J132" s="17">
        <f>((('Выборка 1'!AS132+'Выборка 1'!AX132)-('Выборка 1'!AR132+'Выборка 1'!AW132))+(('Выборка 1'!AT132+'Выборка 1'!AY132)-('Выборка 1'!AS132+'Выборка 1'!AX132))+(('Выборка 1'!AU132+'Выборка 1'!AZ132)-('Выборка 1'!AT132+'Выборка 1'!AY132))+(('Выборка 1'!AV132+'Выборка 1'!BA132)-('Выборка 1'!AU132+'Выборка 1'!AZ132)))/4000</f>
        <v>-89.5</v>
      </c>
      <c r="K132" s="17">
        <f>(('Выборка 1'!BC132-'Выборка 1'!BB132)+('Выборка 1'!BD132-'Выборка 1'!BC132)+('Выборка 1'!BE132-'Выборка 1'!BD132)+('Выборка 1'!BF132-'Выборка 1'!BE132))/4000</f>
        <v>0</v>
      </c>
      <c r="L132" s="17">
        <f t="shared" si="2"/>
        <v>89.5</v>
      </c>
      <c r="M132" s="17">
        <f>((('Выборка 1'!BH132-'Выборка 1'!BM132)-('Выборка 1'!BG132-'Выборка 1'!BL132))+(('Выборка 1'!BI132-'Выборка 1'!BN132)-('Выборка 1'!BH132-'Выборка 1'!BM132))+(('Выборка 1'!BJ132-'Выборка 1'!BO132)-('Выборка 1'!BI132-'Выборка 1'!BN132))+(('Выборка 1'!BK132-'Выборка 1'!BP132)-('Выборка 1'!BJ132-'Выборка 1'!BO132)))/4000</f>
        <v>36.75</v>
      </c>
      <c r="N132" s="17">
        <f>(('Выборка 1'!BR132-'Выборка 1'!BQ132)+('Выборка 1'!BS132-'Выборка 1'!BR132)+('Выборка 1'!BT132-'Выборка 1'!BS132)+('Выборка 1'!BU132-'Выборка 1'!BT132))/4000</f>
        <v>126.25</v>
      </c>
    </row>
    <row r="133" spans="1:14" x14ac:dyDescent="0.25">
      <c r="A133" s="17">
        <v>24</v>
      </c>
      <c r="B133" s="17">
        <f>(('Выборка 1'!E133-'Выборка 1'!D133)+('Выборка 1'!F133-'Выборка 1'!E133)+('Выборка 1'!G133-'Выборка 1'!F133)+('Выборка 1'!H133-'Выборка 1'!G133))/4000</f>
        <v>-4007</v>
      </c>
      <c r="C133" s="17">
        <f>(('Выборка 1'!J133-'Выборка 1'!I133)+('Выборка 1'!K133-'Выборка 1'!J133)+('Выборка 1'!L133-'Выборка 1'!K133)+('Выборка 1'!M133-'Выборка 1'!L133))/4000</f>
        <v>-52188</v>
      </c>
      <c r="D133" s="17">
        <f>(('Выборка 1'!O133-'Выборка 1'!N133)+('Выборка 1'!P133-'Выборка 1'!O133)+('Выборка 1'!Q133-'Выборка 1'!P133)+('Выборка 1'!R133-'Выборка 1'!Q133))/4000</f>
        <v>-23024</v>
      </c>
      <c r="E133" s="17">
        <f>(('Выборка 1'!T133-'Выборка 1'!S133)+('Выборка 1'!U133-'Выборка 1'!T133)+('Выборка 1'!V133-'Выборка 1'!U133)+('Выборка 1'!W133-'Выборка 1'!V133))/4000</f>
        <v>-3974.5</v>
      </c>
      <c r="F133" s="17">
        <f>(('Выборка 1'!Y133-'Выборка 1'!X133)+('Выборка 1'!Z133+'Выборка 1'!Y133)+('Выборка 1'!AA133-'Выборка 1'!Z133)+('Выборка 1'!AB133-'Выборка 1'!AA133))/4000</f>
        <v>7311.5</v>
      </c>
      <c r="G133" s="17">
        <f>(('Выборка 1'!AD133-'Выборка 1'!AC133)+('Выборка 1'!AE133-'Выборка 1'!AD133)+('Выборка 1'!AF133-'Выборка 1'!AE133)+('Выборка 1'!AG133-'Выборка 1'!AF133))/4000</f>
        <v>-69.5</v>
      </c>
      <c r="H133" s="17">
        <f>(('Выборка 1'!AI133-'Выборка 1'!AH133)+('Выборка 1'!AJ133-'Выборка 1'!AI133)+('Выборка 1'!AK133-'Выборка 1'!AJ133)+('Выборка 1'!AL133-'Выборка 1'!AK133))/4000</f>
        <v>-45345.25</v>
      </c>
      <c r="I133" s="17">
        <f>(('Выборка 1'!AN133-'Выборка 1'!AM133)+('Выборка 1'!AO133-'Выборка 1'!AN133)+('Выборка 1'!AP133-'Выборка 1'!AO133)+('Выборка 1'!AQ133-'Выборка 1'!AP133))/4000</f>
        <v>-90528</v>
      </c>
      <c r="J133" s="17">
        <f>((('Выборка 1'!AS133+'Выборка 1'!AX133)-('Выборка 1'!AR133+'Выборка 1'!AW133))+(('Выборка 1'!AT133+'Выборка 1'!AY133)-('Выборка 1'!AS133+'Выборка 1'!AX133))+(('Выборка 1'!AU133+'Выборка 1'!AZ133)-('Выборка 1'!AT133+'Выборка 1'!AY133))+(('Выборка 1'!AV133+'Выборка 1'!BA133)-('Выборка 1'!AU133+'Выборка 1'!AZ133)))/4000</f>
        <v>-71856.25</v>
      </c>
      <c r="K133" s="17">
        <f>(('Выборка 1'!BC133-'Выборка 1'!BB133)+('Выборка 1'!BD133-'Выборка 1'!BC133)+('Выборка 1'!BE133-'Выборка 1'!BD133)+('Выборка 1'!BF133-'Выборка 1'!BE133))/4000</f>
        <v>-5522.75</v>
      </c>
      <c r="L133" s="17">
        <f t="shared" si="2"/>
        <v>-13149</v>
      </c>
      <c r="M133" s="17">
        <f>((('Выборка 1'!BH133-'Выборка 1'!BM133)-('Выборка 1'!BG133-'Выборка 1'!BL133))+(('Выборка 1'!BI133-'Выборка 1'!BN133)-('Выборка 1'!BH133-'Выборка 1'!BM133))+(('Выборка 1'!BJ133-'Выборка 1'!BO133)-('Выборка 1'!BI133-'Выборка 1'!BN133))+(('Выборка 1'!BK133-'Выборка 1'!BP133)-('Выборка 1'!BJ133-'Выборка 1'!BO133)))/4000</f>
        <v>10458.5</v>
      </c>
      <c r="N133" s="17">
        <f>(('Выборка 1'!BR133-'Выборка 1'!BQ133)+('Выборка 1'!BS133-'Выборка 1'!BR133)+('Выборка 1'!BT133-'Выборка 1'!BS133)+('Выборка 1'!BU133-'Выборка 1'!BT133))/4000</f>
        <v>-626.25</v>
      </c>
    </row>
    <row r="134" spans="1:14" x14ac:dyDescent="0.25">
      <c r="A134" s="17">
        <v>23</v>
      </c>
      <c r="B134" s="17">
        <f>(('Выборка 1'!E134-'Выборка 1'!D134)+('Выборка 1'!F134-'Выборка 1'!E134)+('Выборка 1'!G134-'Выборка 1'!F134)+('Выборка 1'!H134-'Выборка 1'!G134))/4000</f>
        <v>0</v>
      </c>
      <c r="C134" s="17">
        <f>(('Выборка 1'!J134-'Выборка 1'!I134)+('Выборка 1'!K134-'Выборка 1'!J134)+('Выборка 1'!L134-'Выборка 1'!K134)+('Выборка 1'!M134-'Выборка 1'!L134))/4000</f>
        <v>0</v>
      </c>
      <c r="D134" s="17">
        <f>(('Выборка 1'!O134-'Выборка 1'!N134)+('Выборка 1'!P134-'Выборка 1'!O134)+('Выборка 1'!Q134-'Выборка 1'!P134)+('Выборка 1'!R134-'Выборка 1'!Q134))/4000</f>
        <v>0</v>
      </c>
      <c r="E134" s="17">
        <f>(('Выборка 1'!T134-'Выборка 1'!S134)+('Выборка 1'!U134-'Выборка 1'!T134)+('Выборка 1'!V134-'Выборка 1'!U134)+('Выборка 1'!W134-'Выборка 1'!V134))/4000</f>
        <v>0</v>
      </c>
      <c r="F134" s="17">
        <f>(('Выборка 1'!Y134-'Выборка 1'!X134)+('Выборка 1'!Z134+'Выборка 1'!Y134)+('Выборка 1'!AA134-'Выборка 1'!Z134)+('Выборка 1'!AB134-'Выборка 1'!AA134))/4000</f>
        <v>0</v>
      </c>
      <c r="G134" s="17">
        <f>(('Выборка 1'!AD134-'Выборка 1'!AC134)+('Выборка 1'!AE134-'Выборка 1'!AD134)+('Выборка 1'!AF134-'Выборка 1'!AE134)+('Выборка 1'!AG134-'Выборка 1'!AF134))/4000</f>
        <v>0</v>
      </c>
      <c r="H134" s="17">
        <f>(('Выборка 1'!AI134-'Выборка 1'!AH134)+('Выборка 1'!AJ134-'Выборка 1'!AI134)+('Выборка 1'!AK134-'Выборка 1'!AJ134)+('Выборка 1'!AL134-'Выборка 1'!AK134))/4000</f>
        <v>0</v>
      </c>
      <c r="I134" s="17">
        <f>(('Выборка 1'!AN134-'Выборка 1'!AM134)+('Выборка 1'!AO134-'Выборка 1'!AN134)+('Выборка 1'!AP134-'Выборка 1'!AO134)+('Выборка 1'!AQ134-'Выборка 1'!AP134))/4000</f>
        <v>0</v>
      </c>
      <c r="J134" s="17">
        <f>((('Выборка 1'!AS134+'Выборка 1'!AX134)-('Выборка 1'!AR134+'Выборка 1'!AW134))+(('Выборка 1'!AT134+'Выборка 1'!AY134)-('Выборка 1'!AS134+'Выборка 1'!AX134))+(('Выборка 1'!AU134+'Выборка 1'!AZ134)-('Выборка 1'!AT134+'Выборка 1'!AY134))+(('Выборка 1'!AV134+'Выборка 1'!BA134)-('Выборка 1'!AU134+'Выборка 1'!AZ134)))/4000</f>
        <v>0</v>
      </c>
      <c r="K134" s="17">
        <f>(('Выборка 1'!BC134-'Выборка 1'!BB134)+('Выборка 1'!BD134-'Выборка 1'!BC134)+('Выборка 1'!BE134-'Выборка 1'!BD134)+('Выборка 1'!BF134-'Выборка 1'!BE134))/4000</f>
        <v>0</v>
      </c>
      <c r="L134" s="17">
        <f t="shared" si="2"/>
        <v>0</v>
      </c>
      <c r="M134" s="17">
        <f>((('Выборка 1'!BH134-'Выборка 1'!BM134)-('Выборка 1'!BG134-'Выборка 1'!BL134))+(('Выборка 1'!BI134-'Выборка 1'!BN134)-('Выборка 1'!BH134-'Выборка 1'!BM134))+(('Выборка 1'!BJ134-'Выборка 1'!BO134)-('Выборка 1'!BI134-'Выборка 1'!BN134))+(('Выборка 1'!BK134-'Выборка 1'!BP134)-('Выборка 1'!BJ134-'Выборка 1'!BO134)))/4000</f>
        <v>0</v>
      </c>
      <c r="N134" s="17">
        <f>(('Выборка 1'!BR134-'Выборка 1'!BQ134)+('Выборка 1'!BS134-'Выборка 1'!BR134)+('Выборка 1'!BT134-'Выборка 1'!BS134)+('Выборка 1'!BU134-'Выборка 1'!BT134))/4000</f>
        <v>0</v>
      </c>
    </row>
    <row r="135" spans="1:14" x14ac:dyDescent="0.25">
      <c r="A135" s="17">
        <v>8</v>
      </c>
      <c r="B135" s="17">
        <f>(('Выборка 1'!E135-'Выборка 1'!D135)+('Выборка 1'!F135-'Выборка 1'!E135)+('Выборка 1'!G135-'Выборка 1'!F135)+('Выборка 1'!H135-'Выборка 1'!G135))/4000</f>
        <v>-50.5</v>
      </c>
      <c r="C135" s="17">
        <f>(('Выборка 1'!J135-'Выборка 1'!I135)+('Выборка 1'!K135-'Выборка 1'!J135)+('Выборка 1'!L135-'Выборка 1'!K135)+('Выборка 1'!M135-'Выборка 1'!L135))/4000</f>
        <v>-79.5</v>
      </c>
      <c r="D135" s="17">
        <f>(('Выборка 1'!O135-'Выборка 1'!N135)+('Выборка 1'!P135-'Выборка 1'!O135)+('Выборка 1'!Q135-'Выборка 1'!P135)+('Выборка 1'!R135-'Выборка 1'!Q135))/4000</f>
        <v>16.25</v>
      </c>
      <c r="E135" s="17">
        <f>(('Выборка 1'!T135-'Выборка 1'!S135)+('Выборка 1'!U135-'Выборка 1'!T135)+('Выборка 1'!V135-'Выборка 1'!U135)+('Выборка 1'!W135-'Выборка 1'!V135))/4000</f>
        <v>-189.25</v>
      </c>
      <c r="F135" s="17">
        <f>(('Выборка 1'!Y135-'Выборка 1'!X135)+('Выборка 1'!Z135+'Выборка 1'!Y135)+('Выборка 1'!AA135-'Выборка 1'!Z135)+('Выборка 1'!AB135-'Выборка 1'!AA135))/4000</f>
        <v>0</v>
      </c>
      <c r="G135" s="17">
        <f>(('Выборка 1'!AD135-'Выборка 1'!AC135)+('Выборка 1'!AE135-'Выборка 1'!AD135)+('Выборка 1'!AF135-'Выборка 1'!AE135)+('Выборка 1'!AG135-'Выборка 1'!AF135))/4000</f>
        <v>-267.25</v>
      </c>
      <c r="H135" s="17">
        <f>(('Выборка 1'!AI135-'Выборка 1'!AH135)+('Выборка 1'!AJ135-'Выборка 1'!AI135)+('Выборка 1'!AK135-'Выборка 1'!AJ135)+('Выборка 1'!AL135-'Выборка 1'!AK135))/4000</f>
        <v>5820</v>
      </c>
      <c r="I135" s="17">
        <f>(('Выборка 1'!AN135-'Выборка 1'!AM135)+('Выборка 1'!AO135-'Выборка 1'!AN135)+('Выборка 1'!AP135-'Выборка 1'!AO135)+('Выборка 1'!AQ135-'Выборка 1'!AP135))/4000</f>
        <v>4210</v>
      </c>
      <c r="J135" s="17">
        <f>((('Выборка 1'!AS135+'Выборка 1'!AX135)-('Выборка 1'!AR135+'Выборка 1'!AW135))+(('Выборка 1'!AT135+'Выборка 1'!AY135)-('Выборка 1'!AS135+'Выборка 1'!AX135))+(('Выборка 1'!AU135+'Выборка 1'!AZ135)-('Выборка 1'!AT135+'Выборка 1'!AY135))+(('Выборка 1'!AV135+'Выборка 1'!BA135)-('Выборка 1'!AU135+'Выборка 1'!AZ135)))/4000</f>
        <v>6015</v>
      </c>
      <c r="K135" s="17">
        <f>(('Выборка 1'!BC135-'Выборка 1'!BB135)+('Выборка 1'!BD135-'Выборка 1'!BC135)+('Выборка 1'!BE135-'Выборка 1'!BD135)+('Выборка 1'!BF135-'Выборка 1'!BE135))/4000</f>
        <v>0</v>
      </c>
      <c r="L135" s="17">
        <f t="shared" si="2"/>
        <v>-1805</v>
      </c>
      <c r="M135" s="17">
        <f>((('Выборка 1'!BH135-'Выборка 1'!BM135)-('Выборка 1'!BG135-'Выборка 1'!BL135))+(('Выборка 1'!BI135-'Выборка 1'!BN135)-('Выборка 1'!BH135-'Выборка 1'!BM135))+(('Выборка 1'!BJ135-'Выборка 1'!BO135)-('Выборка 1'!BI135-'Выборка 1'!BN135))+(('Выборка 1'!BK135-'Выборка 1'!BP135)-('Выборка 1'!BJ135-'Выборка 1'!BO135)))/4000</f>
        <v>-186.75</v>
      </c>
      <c r="N135" s="17">
        <f>(('Выборка 1'!BR135-'Выборка 1'!BQ135)+('Выборка 1'!BS135-'Выборка 1'!BR135)+('Выборка 1'!BT135-'Выборка 1'!BS135)+('Выборка 1'!BU135-'Выборка 1'!BT135))/4000</f>
        <v>-2083.75</v>
      </c>
    </row>
    <row r="136" spans="1:14" x14ac:dyDescent="0.25">
      <c r="A136" s="17">
        <v>8</v>
      </c>
      <c r="B136" s="17">
        <f>(('Выборка 1'!E136-'Выборка 1'!D136)+('Выборка 1'!F136-'Выборка 1'!E136)+('Выборка 1'!G136-'Выборка 1'!F136)+('Выборка 1'!H136-'Выборка 1'!G136))/4000</f>
        <v>0</v>
      </c>
      <c r="C136" s="17">
        <f>(('Выборка 1'!J136-'Выборка 1'!I136)+('Выборка 1'!K136-'Выборка 1'!J136)+('Выборка 1'!L136-'Выборка 1'!K136)+('Выборка 1'!M136-'Выборка 1'!L136))/4000</f>
        <v>0</v>
      </c>
      <c r="D136" s="17">
        <f>(('Выборка 1'!O136-'Выборка 1'!N136)+('Выборка 1'!P136-'Выборка 1'!O136)+('Выборка 1'!Q136-'Выборка 1'!P136)+('Выборка 1'!R136-'Выборка 1'!Q136))/4000</f>
        <v>1057.25</v>
      </c>
      <c r="E136" s="17">
        <f>(('Выборка 1'!T136-'Выборка 1'!S136)+('Выборка 1'!U136-'Выборка 1'!T136)+('Выборка 1'!V136-'Выборка 1'!U136)+('Выборка 1'!W136-'Выборка 1'!V136))/4000</f>
        <v>-10</v>
      </c>
      <c r="F136" s="17">
        <f>(('Выборка 1'!Y136-'Выборка 1'!X136)+('Выборка 1'!Z136+'Выборка 1'!Y136)+('Выборка 1'!AA136-'Выборка 1'!Z136)+('Выборка 1'!AB136-'Выборка 1'!AA136))/4000</f>
        <v>-16081.75</v>
      </c>
      <c r="G136" s="17">
        <f>(('Выборка 1'!AD136-'Выборка 1'!AC136)+('Выборка 1'!AE136-'Выборка 1'!AD136)+('Выборка 1'!AF136-'Выборка 1'!AE136)+('Выборка 1'!AG136-'Выборка 1'!AF136))/4000</f>
        <v>0</v>
      </c>
      <c r="H136" s="17">
        <f>(('Выборка 1'!AI136-'Выборка 1'!AH136)+('Выборка 1'!AJ136-'Выборка 1'!AI136)+('Выборка 1'!AK136-'Выборка 1'!AJ136)+('Выборка 1'!AL136-'Выборка 1'!AK136))/4000</f>
        <v>5588.5</v>
      </c>
      <c r="I136" s="17">
        <f>(('Выборка 1'!AN136-'Выборка 1'!AM136)+('Выборка 1'!AO136-'Выборка 1'!AN136)+('Выборка 1'!AP136-'Выборка 1'!AO136)+('Выборка 1'!AQ136-'Выборка 1'!AP136))/4000</f>
        <v>-3120.75</v>
      </c>
      <c r="J136" s="17">
        <f>((('Выборка 1'!AS136+'Выборка 1'!AX136)-('Выборка 1'!AR136+'Выборка 1'!AW136))+(('Выборка 1'!AT136+'Выборка 1'!AY136)-('Выборка 1'!AS136+'Выборка 1'!AX136))+(('Выборка 1'!AU136+'Выборка 1'!AZ136)-('Выборка 1'!AT136+'Выборка 1'!AY136))+(('Выборка 1'!AV136+'Выборка 1'!BA136)-('Выборка 1'!AU136+'Выборка 1'!AZ136)))/4000</f>
        <v>-4485.75</v>
      </c>
      <c r="K136" s="17">
        <f>(('Выборка 1'!BC136-'Выборка 1'!BB136)+('Выборка 1'!BD136-'Выборка 1'!BC136)+('Выборка 1'!BE136-'Выборка 1'!BD136)+('Выборка 1'!BF136-'Выборка 1'!BE136))/4000</f>
        <v>-105.25</v>
      </c>
      <c r="L136" s="17">
        <f t="shared" si="2"/>
        <v>1470.25</v>
      </c>
      <c r="M136" s="17">
        <f>((('Выборка 1'!BH136-'Выборка 1'!BM136)-('Выборка 1'!BG136-'Выборка 1'!BL136))+(('Выборка 1'!BI136-'Выборка 1'!BN136)-('Выборка 1'!BH136-'Выборка 1'!BM136))+(('Выборка 1'!BJ136-'Выборка 1'!BO136)-('Выборка 1'!BI136-'Выборка 1'!BN136))+(('Выборка 1'!BK136-'Выборка 1'!BP136)-('Выборка 1'!BJ136-'Выборка 1'!BO136)))/4000</f>
        <v>82</v>
      </c>
      <c r="N136" s="17">
        <f>(('Выборка 1'!BR136-'Выборка 1'!BQ136)+('Выборка 1'!BS136-'Выборка 1'!BR136)+('Выборка 1'!BT136-'Выборка 1'!BS136)+('Выборка 1'!BU136-'Выборка 1'!BT136))/4000</f>
        <v>1574.5</v>
      </c>
    </row>
    <row r="137" spans="1:14" x14ac:dyDescent="0.25">
      <c r="A137" s="17">
        <v>10</v>
      </c>
      <c r="B137" s="17">
        <f>(('Выборка 1'!E137-'Выборка 1'!D137)+('Выборка 1'!F137-'Выборка 1'!E137)+('Выборка 1'!G137-'Выборка 1'!F137)+('Выборка 1'!H137-'Выборка 1'!G137))/4000</f>
        <v>-2421.5</v>
      </c>
      <c r="C137" s="17">
        <f>(('Выборка 1'!J137-'Выборка 1'!I137)+('Выборка 1'!K137-'Выборка 1'!J137)+('Выборка 1'!L137-'Выборка 1'!K137)+('Выборка 1'!M137-'Выборка 1'!L137))/4000</f>
        <v>-53</v>
      </c>
      <c r="D137" s="17">
        <f>(('Выборка 1'!O137-'Выборка 1'!N137)+('Выборка 1'!P137-'Выборка 1'!O137)+('Выборка 1'!Q137-'Выборка 1'!P137)+('Выборка 1'!R137-'Выборка 1'!Q137))/4000</f>
        <v>-2905</v>
      </c>
      <c r="E137" s="17">
        <f>(('Выборка 1'!T137-'Выборка 1'!S137)+('Выборка 1'!U137-'Выборка 1'!T137)+('Выборка 1'!V137-'Выборка 1'!U137)+('Выборка 1'!W137-'Выборка 1'!V137))/4000</f>
        <v>15.75</v>
      </c>
      <c r="F137" s="17">
        <f>(('Выборка 1'!Y137-'Выборка 1'!X137)+('Выборка 1'!Z137+'Выборка 1'!Y137)+('Выборка 1'!AA137-'Выборка 1'!Z137)+('Выборка 1'!AB137-'Выборка 1'!AA137))/4000</f>
        <v>-25592.75</v>
      </c>
      <c r="G137" s="17">
        <f>(('Выборка 1'!AD137-'Выборка 1'!AC137)+('Выборка 1'!AE137-'Выборка 1'!AD137)+('Выборка 1'!AF137-'Выборка 1'!AE137)+('Выборка 1'!AG137-'Выборка 1'!AF137))/4000</f>
        <v>0</v>
      </c>
      <c r="H137" s="17">
        <f>(('Выборка 1'!AI137-'Выборка 1'!AH137)+('Выборка 1'!AJ137-'Выборка 1'!AI137)+('Выборка 1'!AK137-'Выборка 1'!AJ137)+('Выборка 1'!AL137-'Выборка 1'!AK137))/4000</f>
        <v>2966.75</v>
      </c>
      <c r="I137" s="17">
        <f>(('Выборка 1'!AN137-'Выборка 1'!AM137)+('Выборка 1'!AO137-'Выборка 1'!AN137)+('Выборка 1'!AP137-'Выборка 1'!AO137)+('Выборка 1'!AQ137-'Выборка 1'!AP137))/4000</f>
        <v>-3483</v>
      </c>
      <c r="J137" s="17">
        <f>((('Выборка 1'!AS137+'Выборка 1'!AX137)-('Выборка 1'!AR137+'Выборка 1'!AW137))+(('Выборка 1'!AT137+'Выборка 1'!AY137)-('Выборка 1'!AS137+'Выборка 1'!AX137))+(('Выборка 1'!AU137+'Выборка 1'!AZ137)-('Выборка 1'!AT137+'Выборка 1'!AY137))+(('Выборка 1'!AV137+'Выборка 1'!BA137)-('Выборка 1'!AU137+'Выборка 1'!AZ137)))/4000</f>
        <v>-5253.5</v>
      </c>
      <c r="K137" s="17">
        <f>(('Выборка 1'!BC137-'Выборка 1'!BB137)+('Выборка 1'!BD137-'Выборка 1'!BC137)+('Выборка 1'!BE137-'Выборка 1'!BD137)+('Выборка 1'!BF137-'Выборка 1'!BE137))/4000</f>
        <v>378.25</v>
      </c>
      <c r="L137" s="17">
        <f t="shared" si="2"/>
        <v>1392.25</v>
      </c>
      <c r="M137" s="17">
        <f>((('Выборка 1'!BH137-'Выборка 1'!BM137)-('Выборка 1'!BG137-'Выборка 1'!BL137))+(('Выборка 1'!BI137-'Выборка 1'!BN137)-('Выборка 1'!BH137-'Выборка 1'!BM137))+(('Выборка 1'!BJ137-'Выборка 1'!BO137)-('Выборка 1'!BI137-'Выборка 1'!BN137))+(('Выборка 1'!BK137-'Выборка 1'!BP137)-('Выборка 1'!BJ137-'Выборка 1'!BO137)))/4000</f>
        <v>-212.25</v>
      </c>
      <c r="N137" s="17">
        <f>(('Выборка 1'!BR137-'Выборка 1'!BQ137)+('Выборка 1'!BS137-'Выборка 1'!BR137)+('Выборка 1'!BT137-'Выборка 1'!BS137)+('Выборка 1'!BU137-'Выборка 1'!BT137))/4000</f>
        <v>1180</v>
      </c>
    </row>
    <row r="138" spans="1:14" x14ac:dyDescent="0.25">
      <c r="A138" s="17">
        <v>18</v>
      </c>
      <c r="B138" s="17">
        <f>(('Выборка 1'!E138-'Выборка 1'!D138)+('Выборка 1'!F138-'Выборка 1'!E138)+('Выборка 1'!G138-'Выборка 1'!F138)+('Выборка 1'!H138-'Выборка 1'!G138))/4000</f>
        <v>-248.25</v>
      </c>
      <c r="C138" s="17">
        <f>(('Выборка 1'!J138-'Выборка 1'!I138)+('Выборка 1'!K138-'Выборка 1'!J138)+('Выборка 1'!L138-'Выборка 1'!K138)+('Выборка 1'!M138-'Выборка 1'!L138))/4000</f>
        <v>-1715.5</v>
      </c>
      <c r="D138" s="17">
        <f>(('Выборка 1'!O138-'Выборка 1'!N138)+('Выборка 1'!P138-'Выборка 1'!O138)+('Выборка 1'!Q138-'Выборка 1'!P138)+('Выборка 1'!R138-'Выборка 1'!Q138))/4000</f>
        <v>-65908.25</v>
      </c>
      <c r="E138" s="17">
        <f>(('Выборка 1'!T138-'Выборка 1'!S138)+('Выборка 1'!U138-'Выборка 1'!T138)+('Выборка 1'!V138-'Выборка 1'!U138)+('Выборка 1'!W138-'Выборка 1'!V138))/4000</f>
        <v>-55.5</v>
      </c>
      <c r="F138" s="17">
        <f>(('Выборка 1'!Y138-'Выборка 1'!X138)+('Выборка 1'!Z138+'Выборка 1'!Y138)+('Выборка 1'!AA138-'Выборка 1'!Z138)+('Выборка 1'!AB138-'Выборка 1'!AA138))/4000</f>
        <v>4840</v>
      </c>
      <c r="G138" s="17">
        <f>(('Выборка 1'!AD138-'Выборка 1'!AC138)+('Выборка 1'!AE138-'Выборка 1'!AD138)+('Выборка 1'!AF138-'Выборка 1'!AE138)+('Выборка 1'!AG138-'Выборка 1'!AF138))/4000</f>
        <v>-1089.25</v>
      </c>
      <c r="H138" s="17">
        <f>(('Выборка 1'!AI138-'Выборка 1'!AH138)+('Выборка 1'!AJ138-'Выборка 1'!AI138)+('Выборка 1'!AK138-'Выборка 1'!AJ138)+('Выборка 1'!AL138-'Выборка 1'!AK138))/4000</f>
        <v>-87529</v>
      </c>
      <c r="I138" s="17">
        <f>(('Выборка 1'!AN138-'Выборка 1'!AM138)+('Выборка 1'!AO138-'Выборка 1'!AN138)+('Выборка 1'!AP138-'Выборка 1'!AO138)+('Выборка 1'!AQ138-'Выборка 1'!AP138))/4000</f>
        <v>-55069.5</v>
      </c>
      <c r="J138" s="17">
        <f>((('Выборка 1'!AS138+'Выборка 1'!AX138)-('Выборка 1'!AR138+'Выборка 1'!AW138))+(('Выборка 1'!AT138+'Выборка 1'!AY138)-('Выборка 1'!AS138+'Выборка 1'!AX138))+(('Выборка 1'!AU138+'Выборка 1'!AZ138)-('Выборка 1'!AT138+'Выборка 1'!AY138))+(('Выборка 1'!AV138+'Выборка 1'!BA138)-('Выборка 1'!AU138+'Выборка 1'!AZ138)))/4000</f>
        <v>-42791.75</v>
      </c>
      <c r="K138" s="17">
        <f>(('Выборка 1'!BC138-'Выборка 1'!BB138)+('Выборка 1'!BD138-'Выборка 1'!BC138)+('Выборка 1'!BE138-'Выборка 1'!BD138)+('Выборка 1'!BF138-'Выборка 1'!BE138))/4000</f>
        <v>-10713</v>
      </c>
      <c r="L138" s="17">
        <f t="shared" si="2"/>
        <v>-1564.75</v>
      </c>
      <c r="M138" s="17">
        <f>((('Выборка 1'!BH138-'Выборка 1'!BM138)-('Выборка 1'!BG138-'Выборка 1'!BL138))+(('Выборка 1'!BI138-'Выборка 1'!BN138)-('Выборка 1'!BH138-'Выборка 1'!BM138))+(('Выборка 1'!BJ138-'Выборка 1'!BO138)-('Выборка 1'!BI138-'Выборка 1'!BN138))+(('Выборка 1'!BK138-'Выборка 1'!BP138)-('Выборка 1'!BJ138-'Выборка 1'!BO138)))/4000</f>
        <v>493.25</v>
      </c>
      <c r="N138" s="17">
        <f>(('Выборка 1'!BR138-'Выборка 1'!BQ138)+('Выборка 1'!BS138-'Выборка 1'!BR138)+('Выборка 1'!BT138-'Выборка 1'!BS138)+('Выборка 1'!BU138-'Выборка 1'!BT138))/4000</f>
        <v>-1277.25</v>
      </c>
    </row>
    <row r="139" spans="1:14" x14ac:dyDescent="0.25">
      <c r="A139" s="17">
        <v>5</v>
      </c>
      <c r="B139" s="17">
        <f>(('Выборка 1'!E139-'Выборка 1'!D139)+('Выборка 1'!F139-'Выборка 1'!E139)+('Выборка 1'!G139-'Выборка 1'!F139)+('Выборка 1'!H139-'Выборка 1'!G139))/4000</f>
        <v>327.5</v>
      </c>
      <c r="C139" s="17">
        <f>(('Выборка 1'!J139-'Выборка 1'!I139)+('Выборка 1'!K139-'Выборка 1'!J139)+('Выборка 1'!L139-'Выборка 1'!K139)+('Выборка 1'!M139-'Выборка 1'!L139))/4000</f>
        <v>-1025.75</v>
      </c>
      <c r="D139" s="17">
        <f>(('Выборка 1'!O139-'Выборка 1'!N139)+('Выборка 1'!P139-'Выборка 1'!O139)+('Выборка 1'!Q139-'Выборка 1'!P139)+('Выборка 1'!R139-'Выборка 1'!Q139))/4000</f>
        <v>19906.75</v>
      </c>
      <c r="E139" s="17">
        <f>(('Выборка 1'!T139-'Выборка 1'!S139)+('Выборка 1'!U139-'Выборка 1'!T139)+('Выборка 1'!V139-'Выборка 1'!U139)+('Выборка 1'!W139-'Выборка 1'!V139))/4000</f>
        <v>5</v>
      </c>
      <c r="F139" s="17">
        <f>(('Выборка 1'!Y139-'Выборка 1'!X139)+('Выборка 1'!Z139+'Выборка 1'!Y139)+('Выборка 1'!AA139-'Выборка 1'!Z139)+('Выборка 1'!AB139-'Выборка 1'!AA139))/4000</f>
        <v>4135.75</v>
      </c>
      <c r="G139" s="17">
        <f>(('Выборка 1'!AD139-'Выборка 1'!AC139)+('Выборка 1'!AE139-'Выборка 1'!AD139)+('Выборка 1'!AF139-'Выборка 1'!AE139)+('Выборка 1'!AG139-'Выборка 1'!AF139))/4000</f>
        <v>0</v>
      </c>
      <c r="H139" s="17">
        <f>(('Выборка 1'!AI139-'Выборка 1'!AH139)+('Выборка 1'!AJ139-'Выборка 1'!AI139)+('Выборка 1'!AK139-'Выборка 1'!AJ139)+('Выборка 1'!AL139-'Выборка 1'!AK139))/4000</f>
        <v>29590</v>
      </c>
      <c r="I139" s="17">
        <f>(('Выборка 1'!AN139-'Выборка 1'!AM139)+('Выборка 1'!AO139-'Выборка 1'!AN139)+('Выборка 1'!AP139-'Выборка 1'!AO139)+('Выборка 1'!AQ139-'Выборка 1'!AP139))/4000</f>
        <v>797.75</v>
      </c>
      <c r="J139" s="17">
        <f>((('Выборка 1'!AS139+'Выборка 1'!AX139)-('Выборка 1'!AR139+'Выборка 1'!AW139))+(('Выборка 1'!AT139+'Выборка 1'!AY139)-('Выборка 1'!AS139+'Выборка 1'!AX139))+(('Выборка 1'!AU139+'Выборка 1'!AZ139)-('Выборка 1'!AT139+'Выборка 1'!AY139))+(('Выборка 1'!AV139+'Выборка 1'!BA139)-('Выборка 1'!AU139+'Выборка 1'!AZ139)))/4000</f>
        <v>-6433.25</v>
      </c>
      <c r="K139" s="17">
        <f>(('Выборка 1'!BC139-'Выборка 1'!BB139)+('Выборка 1'!BD139-'Выборка 1'!BC139)+('Выборка 1'!BE139-'Выборка 1'!BD139)+('Выборка 1'!BF139-'Выборка 1'!BE139))/4000</f>
        <v>7506.25</v>
      </c>
      <c r="L139" s="17">
        <f t="shared" si="2"/>
        <v>-275.25</v>
      </c>
      <c r="M139" s="17">
        <f>((('Выборка 1'!BH139-'Выборка 1'!BM139)-('Выборка 1'!BG139-'Выборка 1'!BL139))+(('Выборка 1'!BI139-'Выборка 1'!BN139)-('Выборка 1'!BH139-'Выборка 1'!BM139))+(('Выборка 1'!BJ139-'Выборка 1'!BO139)-('Выборка 1'!BI139-'Выборка 1'!BN139))+(('Выборка 1'!BK139-'Выборка 1'!BP139)-('Выборка 1'!BJ139-'Выборка 1'!BO139)))/4000</f>
        <v>-609.25</v>
      </c>
      <c r="N139" s="17">
        <f>(('Выборка 1'!BR139-'Выборка 1'!BQ139)+('Выборка 1'!BS139-'Выборка 1'!BR139)+('Выборка 1'!BT139-'Выборка 1'!BS139)+('Выборка 1'!BU139-'Выборка 1'!BT139))/4000</f>
        <v>-707.75</v>
      </c>
    </row>
    <row r="140" spans="1:14" x14ac:dyDescent="0.25">
      <c r="A140" s="17">
        <v>33</v>
      </c>
      <c r="B140" s="17">
        <f>(('Выборка 1'!E140-'Выборка 1'!D140)+('Выборка 1'!F140-'Выборка 1'!E140)+('Выборка 1'!G140-'Выборка 1'!F140)+('Выборка 1'!H140-'Выборка 1'!G140))/4000</f>
        <v>0</v>
      </c>
      <c r="C140" s="17">
        <f>(('Выборка 1'!J140-'Выборка 1'!I140)+('Выборка 1'!K140-'Выборка 1'!J140)+('Выборка 1'!L140-'Выборка 1'!K140)+('Выборка 1'!M140-'Выборка 1'!L140))/4000</f>
        <v>0</v>
      </c>
      <c r="D140" s="17">
        <f>(('Выборка 1'!O140-'Выборка 1'!N140)+('Выборка 1'!P140-'Выборка 1'!O140)+('Выборка 1'!Q140-'Выборка 1'!P140)+('Выборка 1'!R140-'Выборка 1'!Q140))/4000</f>
        <v>-25992</v>
      </c>
      <c r="E140" s="17">
        <f>(('Выборка 1'!T140-'Выборка 1'!S140)+('Выборка 1'!U140-'Выборка 1'!T140)+('Выборка 1'!V140-'Выборка 1'!U140)+('Выборка 1'!W140-'Выборка 1'!V140))/4000</f>
        <v>-76</v>
      </c>
      <c r="F140" s="17">
        <f>(('Выборка 1'!Y140-'Выборка 1'!X140)+('Выборка 1'!Z140+'Выборка 1'!Y140)+('Выборка 1'!AA140-'Выборка 1'!Z140)+('Выборка 1'!AB140-'Выборка 1'!AA140))/4000</f>
        <v>-64756.5</v>
      </c>
      <c r="G140" s="17">
        <f>(('Выборка 1'!AD140-'Выборка 1'!AC140)+('Выборка 1'!AE140-'Выборка 1'!AD140)+('Выборка 1'!AF140-'Выборка 1'!AE140)+('Выборка 1'!AG140-'Выборка 1'!AF140))/4000</f>
        <v>-4</v>
      </c>
      <c r="H140" s="17">
        <f>(('Выборка 1'!AI140-'Выборка 1'!AH140)+('Выборка 1'!AJ140-'Выборка 1'!AI140)+('Выборка 1'!AK140-'Выборка 1'!AJ140)+('Выборка 1'!AL140-'Выборка 1'!AK140))/4000</f>
        <v>-80979.75</v>
      </c>
      <c r="I140" s="17">
        <f>(('Выборка 1'!AN140-'Выборка 1'!AM140)+('Выборка 1'!AO140-'Выборка 1'!AN140)+('Выборка 1'!AP140-'Выборка 1'!AO140)+('Выборка 1'!AQ140-'Выборка 1'!AP140))/4000</f>
        <v>-131.25</v>
      </c>
      <c r="J140" s="17">
        <f>((('Выборка 1'!AS140+'Выборка 1'!AX140)-('Выборка 1'!AR140+'Выборка 1'!AW140))+(('Выборка 1'!AT140+'Выборка 1'!AY140)-('Выборка 1'!AS140+'Выборка 1'!AX140))+(('Выборка 1'!AU140+'Выборка 1'!AZ140)-('Выборка 1'!AT140+'Выборка 1'!AY140))+(('Выборка 1'!AV140+'Выборка 1'!BA140)-('Выборка 1'!AU140+'Выборка 1'!AZ140)))/4000</f>
        <v>0</v>
      </c>
      <c r="K140" s="17">
        <f>(('Выборка 1'!BC140-'Выборка 1'!BB140)+('Выборка 1'!BD140-'Выборка 1'!BC140)+('Выборка 1'!BE140-'Выборка 1'!BD140)+('Выборка 1'!BF140-'Выборка 1'!BE140))/4000</f>
        <v>-1838.25</v>
      </c>
      <c r="L140" s="17">
        <f t="shared" si="2"/>
        <v>1707</v>
      </c>
      <c r="M140" s="17">
        <f>((('Выборка 1'!BH140-'Выборка 1'!BM140)-('Выборка 1'!BG140-'Выборка 1'!BL140))+(('Выборка 1'!BI140-'Выборка 1'!BN140)-('Выборка 1'!BH140-'Выборка 1'!BM140))+(('Выборка 1'!BJ140-'Выборка 1'!BO140)-('Выборка 1'!BI140-'Выборка 1'!BN140))+(('Выборка 1'!BK140-'Выборка 1'!BP140)-('Выборка 1'!BJ140-'Выборка 1'!BO140)))/4000</f>
        <v>12329</v>
      </c>
      <c r="N140" s="17">
        <f>(('Выборка 1'!BR140-'Выборка 1'!BQ140)+('Выборка 1'!BS140-'Выборка 1'!BR140)+('Выборка 1'!BT140-'Выборка 1'!BS140)+('Выборка 1'!BU140-'Выборка 1'!BT140))/4000</f>
        <v>14391</v>
      </c>
    </row>
    <row r="141" spans="1:14" x14ac:dyDescent="0.25">
      <c r="A141" s="17">
        <v>10</v>
      </c>
      <c r="B141" s="17">
        <f>(('Выборка 1'!E141-'Выборка 1'!D141)+('Выборка 1'!F141-'Выборка 1'!E141)+('Выборка 1'!G141-'Выборка 1'!F141)+('Выборка 1'!H141-'Выборка 1'!G141))/4000</f>
        <v>-10.25</v>
      </c>
      <c r="C141" s="17">
        <f>(('Выборка 1'!J141-'Выборка 1'!I141)+('Выборка 1'!K141-'Выборка 1'!J141)+('Выборка 1'!L141-'Выборка 1'!K141)+('Выборка 1'!M141-'Выборка 1'!L141))/4000</f>
        <v>-3.5</v>
      </c>
      <c r="D141" s="17">
        <f>(('Выборка 1'!O141-'Выборка 1'!N141)+('Выборка 1'!P141-'Выборка 1'!O141)+('Выборка 1'!Q141-'Выборка 1'!P141)+('Выборка 1'!R141-'Выборка 1'!Q141))/4000</f>
        <v>-250</v>
      </c>
      <c r="E141" s="17">
        <f>(('Выборка 1'!T141-'Выборка 1'!S141)+('Выборка 1'!U141-'Выборка 1'!T141)+('Выборка 1'!V141-'Выборка 1'!U141)+('Выборка 1'!W141-'Выборка 1'!V141))/4000</f>
        <v>-51.75</v>
      </c>
      <c r="F141" s="17">
        <f>(('Выборка 1'!Y141-'Выборка 1'!X141)+('Выборка 1'!Z141+'Выборка 1'!Y141)+('Выборка 1'!AA141-'Выборка 1'!Z141)+('Выборка 1'!AB141-'Выборка 1'!AA141))/4000</f>
        <v>-706</v>
      </c>
      <c r="G141" s="17">
        <f>(('Выборка 1'!AD141-'Выборка 1'!AC141)+('Выборка 1'!AE141-'Выборка 1'!AD141)+('Выборка 1'!AF141-'Выборка 1'!AE141)+('Выборка 1'!AG141-'Выборка 1'!AF141))/4000</f>
        <v>0</v>
      </c>
      <c r="H141" s="17">
        <f>(('Выборка 1'!AI141-'Выборка 1'!AH141)+('Выборка 1'!AJ141-'Выборка 1'!AI141)+('Выборка 1'!AK141-'Выборка 1'!AJ141)+('Выборка 1'!AL141-'Выборка 1'!AK141))/4000</f>
        <v>-117.75</v>
      </c>
      <c r="I141" s="17">
        <f>(('Выборка 1'!AN141-'Выборка 1'!AM141)+('Выборка 1'!AO141-'Выборка 1'!AN141)+('Выборка 1'!AP141-'Выборка 1'!AO141)+('Выборка 1'!AQ141-'Выборка 1'!AP141))/4000</f>
        <v>-1864</v>
      </c>
      <c r="J141" s="17">
        <f>((('Выборка 1'!AS141+'Выборка 1'!AX141)-('Выборка 1'!AR141+'Выборка 1'!AW141))+(('Выборка 1'!AT141+'Выборка 1'!AY141)-('Выборка 1'!AS141+'Выборка 1'!AX141))+(('Выборка 1'!AU141+'Выборка 1'!AZ141)-('Выборка 1'!AT141+'Выборка 1'!AY141))+(('Выборка 1'!AV141+'Выборка 1'!BA141)-('Выборка 1'!AU141+'Выборка 1'!AZ141)))/4000</f>
        <v>-75.25</v>
      </c>
      <c r="K141" s="17">
        <f>(('Выборка 1'!BC141-'Выборка 1'!BB141)+('Выборка 1'!BD141-'Выборка 1'!BC141)+('Выборка 1'!BE141-'Выборка 1'!BD141)+('Выборка 1'!BF141-'Выборка 1'!BE141))/4000</f>
        <v>-1219.5</v>
      </c>
      <c r="L141" s="17">
        <f t="shared" si="2"/>
        <v>-569.25</v>
      </c>
      <c r="M141" s="17">
        <f>((('Выборка 1'!BH141-'Выборка 1'!BM141)-('Выборка 1'!BG141-'Выборка 1'!BL141))+(('Выборка 1'!BI141-'Выборка 1'!BN141)-('Выборка 1'!BH141-'Выборка 1'!BM141))+(('Выборка 1'!BJ141-'Выборка 1'!BO141)-('Выборка 1'!BI141-'Выборка 1'!BN141))+(('Выборка 1'!BK141-'Выборка 1'!BP141)-('Выборка 1'!BJ141-'Выборка 1'!BO141)))/4000</f>
        <v>878</v>
      </c>
      <c r="N141" s="17">
        <f>(('Выборка 1'!BR141-'Выборка 1'!BQ141)+('Выборка 1'!BS141-'Выборка 1'!BR141)+('Выборка 1'!BT141-'Выборка 1'!BS141)+('Выборка 1'!BU141-'Выборка 1'!BT141))/4000</f>
        <v>319.25</v>
      </c>
    </row>
    <row r="142" spans="1:14" x14ac:dyDescent="0.25">
      <c r="A142" s="17">
        <v>32</v>
      </c>
      <c r="B142" s="17">
        <f>(('Выборка 1'!E142-'Выборка 1'!D142)+('Выборка 1'!F142-'Выборка 1'!E142)+('Выборка 1'!G142-'Выборка 1'!F142)+('Выборка 1'!H142-'Выборка 1'!G142))/4000</f>
        <v>0</v>
      </c>
      <c r="C142" s="17">
        <f>(('Выборка 1'!J142-'Выборка 1'!I142)+('Выборка 1'!K142-'Выборка 1'!J142)+('Выборка 1'!L142-'Выборка 1'!K142)+('Выборка 1'!M142-'Выборка 1'!L142))/4000</f>
        <v>-21726</v>
      </c>
      <c r="D142" s="17">
        <f>(('Выборка 1'!O142-'Выборка 1'!N142)+('Выборка 1'!P142-'Выборка 1'!O142)+('Выборка 1'!Q142-'Выборка 1'!P142)+('Выборка 1'!R142-'Выборка 1'!Q142))/4000</f>
        <v>-19465</v>
      </c>
      <c r="E142" s="17">
        <f>(('Выборка 1'!T142-'Выборка 1'!S142)+('Выборка 1'!U142-'Выборка 1'!T142)+('Выборка 1'!V142-'Выборка 1'!U142)+('Выборка 1'!W142-'Выборка 1'!V142))/4000</f>
        <v>-6899.75</v>
      </c>
      <c r="F142" s="17">
        <f>(('Выборка 1'!Y142-'Выборка 1'!X142)+('Выборка 1'!Z142+'Выборка 1'!Y142)+('Выборка 1'!AA142-'Выборка 1'!Z142)+('Выборка 1'!AB142-'Выборка 1'!AA142))/4000</f>
        <v>-401313.75</v>
      </c>
      <c r="G142" s="17">
        <f>(('Выборка 1'!AD142-'Выборка 1'!AC142)+('Выборка 1'!AE142-'Выборка 1'!AD142)+('Выборка 1'!AF142-'Выборка 1'!AE142)+('Выборка 1'!AG142-'Выборка 1'!AF142))/4000</f>
        <v>0</v>
      </c>
      <c r="H142" s="17">
        <f>(('Выборка 1'!AI142-'Выборка 1'!AH142)+('Выборка 1'!AJ142-'Выборка 1'!AI142)+('Выборка 1'!AK142-'Выборка 1'!AJ142)+('Выборка 1'!AL142-'Выборка 1'!AK142))/4000</f>
        <v>-92656</v>
      </c>
      <c r="I142" s="17">
        <f>(('Выборка 1'!AN142-'Выборка 1'!AM142)+('Выборка 1'!AO142-'Выборка 1'!AN142)+('Выборка 1'!AP142-'Выборка 1'!AO142)+('Выборка 1'!AQ142-'Выборка 1'!AP142))/4000</f>
        <v>0</v>
      </c>
      <c r="J142" s="17">
        <f>((('Выборка 1'!AS142+'Выборка 1'!AX142)-('Выборка 1'!AR142+'Выборка 1'!AW142))+(('Выборка 1'!AT142+'Выборка 1'!AY142)-('Выборка 1'!AS142+'Выборка 1'!AX142))+(('Выборка 1'!AU142+'Выборка 1'!AZ142)-('Выборка 1'!AT142+'Выборка 1'!AY142))+(('Выборка 1'!AV142+'Выборка 1'!BA142)-('Выборка 1'!AU142+'Выборка 1'!AZ142)))/4000</f>
        <v>0</v>
      </c>
      <c r="K142" s="17">
        <f>(('Выборка 1'!BC142-'Выборка 1'!BB142)+('Выборка 1'!BD142-'Выборка 1'!BC142)+('Выборка 1'!BE142-'Выборка 1'!BD142)+('Выборка 1'!BF142-'Выборка 1'!BE142))/4000</f>
        <v>0</v>
      </c>
      <c r="L142" s="17">
        <f t="shared" si="2"/>
        <v>0</v>
      </c>
      <c r="M142" s="17">
        <f>((('Выборка 1'!BH142-'Выборка 1'!BM142)-('Выборка 1'!BG142-'Выборка 1'!BL142))+(('Выборка 1'!BI142-'Выборка 1'!BN142)-('Выборка 1'!BH142-'Выборка 1'!BM142))+(('Выборка 1'!BJ142-'Выборка 1'!BO142)-('Выборка 1'!BI142-'Выборка 1'!BN142))+(('Выборка 1'!BK142-'Выборка 1'!BP142)-('Выборка 1'!BJ142-'Выборка 1'!BO142)))/4000</f>
        <v>-27412.5</v>
      </c>
      <c r="N142" s="17">
        <f>(('Выборка 1'!BR142-'Выборка 1'!BQ142)+('Выборка 1'!BS142-'Выборка 1'!BR142)+('Выборка 1'!BT142-'Выборка 1'!BS142)+('Выборка 1'!BU142-'Выборка 1'!BT142))/4000</f>
        <v>-24394.75</v>
      </c>
    </row>
    <row r="143" spans="1:14" x14ac:dyDescent="0.25">
      <c r="A143" s="17">
        <v>33</v>
      </c>
      <c r="B143" s="17">
        <f>(('Выборка 1'!E143-'Выборка 1'!D143)+('Выборка 1'!F143-'Выборка 1'!E143)+('Выборка 1'!G143-'Выборка 1'!F143)+('Выборка 1'!H143-'Выборка 1'!G143))/4000</f>
        <v>0</v>
      </c>
      <c r="C143" s="17">
        <f>(('Выборка 1'!J143-'Выборка 1'!I143)+('Выборка 1'!K143-'Выборка 1'!J143)+('Выборка 1'!L143-'Выборка 1'!K143)+('Выборка 1'!M143-'Выборка 1'!L143))/4000</f>
        <v>0</v>
      </c>
      <c r="D143" s="17">
        <f>(('Выборка 1'!O143-'Выборка 1'!N143)+('Выборка 1'!P143-'Выборка 1'!O143)+('Выборка 1'!Q143-'Выборка 1'!P143)+('Выборка 1'!R143-'Выборка 1'!Q143))/4000</f>
        <v>0</v>
      </c>
      <c r="E143" s="17">
        <f>(('Выборка 1'!T143-'Выборка 1'!S143)+('Выборка 1'!U143-'Выборка 1'!T143)+('Выборка 1'!V143-'Выборка 1'!U143)+('Выборка 1'!W143-'Выборка 1'!V143))/4000</f>
        <v>0</v>
      </c>
      <c r="F143" s="17">
        <f>(('Выборка 1'!Y143-'Выборка 1'!X143)+('Выборка 1'!Z143+'Выборка 1'!Y143)+('Выборка 1'!AA143-'Выборка 1'!Z143)+('Выборка 1'!AB143-'Выборка 1'!AA143))/4000</f>
        <v>0</v>
      </c>
      <c r="G143" s="17">
        <f>(('Выборка 1'!AD143-'Выборка 1'!AC143)+('Выборка 1'!AE143-'Выборка 1'!AD143)+('Выборка 1'!AF143-'Выборка 1'!AE143)+('Выборка 1'!AG143-'Выборка 1'!AF143))/4000</f>
        <v>0</v>
      </c>
      <c r="H143" s="17">
        <f>(('Выборка 1'!AI143-'Выборка 1'!AH143)+('Выборка 1'!AJ143-'Выборка 1'!AI143)+('Выборка 1'!AK143-'Выборка 1'!AJ143)+('Выборка 1'!AL143-'Выборка 1'!AK143))/4000</f>
        <v>0</v>
      </c>
      <c r="I143" s="17">
        <f>(('Выборка 1'!AN143-'Выборка 1'!AM143)+('Выборка 1'!AO143-'Выборка 1'!AN143)+('Выборка 1'!AP143-'Выборка 1'!AO143)+('Выборка 1'!AQ143-'Выборка 1'!AP143))/4000</f>
        <v>0</v>
      </c>
      <c r="J143" s="17">
        <f>((('Выборка 1'!AS143+'Выборка 1'!AX143)-('Выборка 1'!AR143+'Выборка 1'!AW143))+(('Выборка 1'!AT143+'Выборка 1'!AY143)-('Выборка 1'!AS143+'Выборка 1'!AX143))+(('Выборка 1'!AU143+'Выборка 1'!AZ143)-('Выборка 1'!AT143+'Выборка 1'!AY143))+(('Выборка 1'!AV143+'Выборка 1'!BA143)-('Выборка 1'!AU143+'Выборка 1'!AZ143)))/4000</f>
        <v>0</v>
      </c>
      <c r="K143" s="17">
        <f>(('Выборка 1'!BC143-'Выборка 1'!BB143)+('Выборка 1'!BD143-'Выборка 1'!BC143)+('Выборка 1'!BE143-'Выборка 1'!BD143)+('Выборка 1'!BF143-'Выборка 1'!BE143))/4000</f>
        <v>0</v>
      </c>
      <c r="L143" s="17">
        <f t="shared" si="2"/>
        <v>0</v>
      </c>
      <c r="M143" s="17">
        <f>((('Выборка 1'!BH143-'Выборка 1'!BM143)-('Выборка 1'!BG143-'Выборка 1'!BL143))+(('Выборка 1'!BI143-'Выборка 1'!BN143)-('Выборка 1'!BH143-'Выборка 1'!BM143))+(('Выборка 1'!BJ143-'Выборка 1'!BO143)-('Выборка 1'!BI143-'Выборка 1'!BN143))+(('Выборка 1'!BK143-'Выборка 1'!BP143)-('Выборка 1'!BJ143-'Выборка 1'!BO143)))/4000</f>
        <v>0</v>
      </c>
      <c r="N143" s="17">
        <f>(('Выборка 1'!BR143-'Выборка 1'!BQ143)+('Выборка 1'!BS143-'Выборка 1'!BR143)+('Выборка 1'!BT143-'Выборка 1'!BS143)+('Выборка 1'!BU143-'Выборка 1'!BT143))/4000</f>
        <v>0</v>
      </c>
    </row>
    <row r="144" spans="1:14" x14ac:dyDescent="0.25">
      <c r="A144" s="17">
        <v>19</v>
      </c>
      <c r="B144" s="17">
        <f>(('Выборка 1'!E144-'Выборка 1'!D144)+('Выборка 1'!F144-'Выборка 1'!E144)+('Выборка 1'!G144-'Выборка 1'!F144)+('Выборка 1'!H144-'Выборка 1'!G144))/4000</f>
        <v>6595.25</v>
      </c>
      <c r="C144" s="17">
        <f>(('Выборка 1'!J144-'Выборка 1'!I144)+('Выборка 1'!K144-'Выборка 1'!J144)+('Выборка 1'!L144-'Выборка 1'!K144)+('Выборка 1'!M144-'Выборка 1'!L144))/4000</f>
        <v>-20211.75</v>
      </c>
      <c r="D144" s="17">
        <f>(('Выборка 1'!O144-'Выборка 1'!N144)+('Выборка 1'!P144-'Выборка 1'!O144)+('Выборка 1'!Q144-'Выборка 1'!P144)+('Выборка 1'!R144-'Выборка 1'!Q144))/4000</f>
        <v>-13118</v>
      </c>
      <c r="E144" s="17">
        <f>(('Выборка 1'!T144-'Выборка 1'!S144)+('Выборка 1'!U144-'Выборка 1'!T144)+('Выборка 1'!V144-'Выборка 1'!U144)+('Выборка 1'!W144-'Выборка 1'!V144))/4000</f>
        <v>-55</v>
      </c>
      <c r="F144" s="17">
        <f>(('Выборка 1'!Y144-'Выборка 1'!X144)+('Выборка 1'!Z144+'Выборка 1'!Y144)+('Выборка 1'!AA144-'Выборка 1'!Z144)+('Выборка 1'!AB144-'Выборка 1'!AA144))/4000</f>
        <v>0</v>
      </c>
      <c r="G144" s="17">
        <f>(('Выборка 1'!AD144-'Выборка 1'!AC144)+('Выборка 1'!AE144-'Выборка 1'!AD144)+('Выборка 1'!AF144-'Выборка 1'!AE144)+('Выборка 1'!AG144-'Выборка 1'!AF144))/4000</f>
        <v>49.5</v>
      </c>
      <c r="H144" s="17">
        <f>(('Выборка 1'!AI144-'Выборка 1'!AH144)+('Выборка 1'!AJ144-'Выборка 1'!AI144)+('Выборка 1'!AK144-'Выборка 1'!AJ144)+('Выборка 1'!AL144-'Выборка 1'!AK144))/4000</f>
        <v>6058</v>
      </c>
      <c r="I144" s="17">
        <f>(('Выборка 1'!AN144-'Выборка 1'!AM144)+('Выборка 1'!AO144-'Выборка 1'!AN144)+('Выборка 1'!AP144-'Выборка 1'!AO144)+('Выборка 1'!AQ144-'Выборка 1'!AP144))/4000</f>
        <v>-25240.5</v>
      </c>
      <c r="J144" s="17">
        <f>((('Выборка 1'!AS144+'Выборка 1'!AX144)-('Выборка 1'!AR144+'Выборка 1'!AW144))+(('Выборка 1'!AT144+'Выборка 1'!AY144)-('Выборка 1'!AS144+'Выборка 1'!AX144))+(('Выборка 1'!AU144+'Выборка 1'!AZ144)-('Выборка 1'!AT144+'Выборка 1'!AY144))+(('Выборка 1'!AV144+'Выборка 1'!BA144)-('Выборка 1'!AU144+'Выборка 1'!AZ144)))/4000</f>
        <v>-16147.75</v>
      </c>
      <c r="K144" s="17">
        <f>(('Выборка 1'!BC144-'Выборка 1'!BB144)+('Выборка 1'!BD144-'Выборка 1'!BC144)+('Выборка 1'!BE144-'Выборка 1'!BD144)+('Выборка 1'!BF144-'Выборка 1'!BE144))/4000</f>
        <v>0</v>
      </c>
      <c r="L144" s="17">
        <f t="shared" si="2"/>
        <v>-9092.75</v>
      </c>
      <c r="M144" s="17">
        <f>((('Выборка 1'!BH144-'Выборка 1'!BM144)-('Выборка 1'!BG144-'Выборка 1'!BL144))+(('Выборка 1'!BI144-'Выборка 1'!BN144)-('Выборка 1'!BH144-'Выборка 1'!BM144))+(('Выборка 1'!BJ144-'Выборка 1'!BO144)-('Выборка 1'!BI144-'Выборка 1'!BN144))+(('Выборка 1'!BK144-'Выборка 1'!BP144)-('Выборка 1'!BJ144-'Выборка 1'!BO144)))/4000</f>
        <v>6721</v>
      </c>
      <c r="N144" s="17">
        <f>(('Выборка 1'!BR144-'Выборка 1'!BQ144)+('Выборка 1'!BS144-'Выборка 1'!BR144)+('Выборка 1'!BT144-'Выборка 1'!BS144)+('Выборка 1'!BU144-'Выборка 1'!BT144))/4000</f>
        <v>34.5</v>
      </c>
    </row>
    <row r="145" spans="1:14" x14ac:dyDescent="0.25">
      <c r="A145" s="17">
        <v>32</v>
      </c>
      <c r="B145" s="17">
        <f>(('Выборка 1'!E145-'Выборка 1'!D145)+('Выборка 1'!F145-'Выборка 1'!E145)+('Выборка 1'!G145-'Выборка 1'!F145)+('Выборка 1'!H145-'Выборка 1'!G145))/4000</f>
        <v>-3214.75</v>
      </c>
      <c r="C145" s="17">
        <f>(('Выборка 1'!J145-'Выборка 1'!I145)+('Выборка 1'!K145-'Выборка 1'!J145)+('Выборка 1'!L145-'Выборка 1'!K145)+('Выборка 1'!M145-'Выборка 1'!L145))/4000</f>
        <v>-2802.5</v>
      </c>
      <c r="D145" s="17">
        <f>(('Выборка 1'!O145-'Выборка 1'!N145)+('Выборка 1'!P145-'Выборка 1'!O145)+('Выборка 1'!Q145-'Выборка 1'!P145)+('Выборка 1'!R145-'Выборка 1'!Q145))/4000</f>
        <v>-1342.5</v>
      </c>
      <c r="E145" s="17">
        <f>(('Выборка 1'!T145-'Выборка 1'!S145)+('Выборка 1'!U145-'Выборка 1'!T145)+('Выборка 1'!V145-'Выборка 1'!U145)+('Выборка 1'!W145-'Выборка 1'!V145))/4000</f>
        <v>-168.75</v>
      </c>
      <c r="F145" s="17">
        <f>(('Выборка 1'!Y145-'Выборка 1'!X145)+('Выборка 1'!Z145+'Выборка 1'!Y145)+('Выборка 1'!AA145-'Выборка 1'!Z145)+('Выборка 1'!AB145-'Выборка 1'!AA145))/4000</f>
        <v>-2255.5</v>
      </c>
      <c r="G145" s="17">
        <f>(('Выборка 1'!AD145-'Выборка 1'!AC145)+('Выборка 1'!AE145-'Выборка 1'!AD145)+('Выборка 1'!AF145-'Выборка 1'!AE145)+('Выборка 1'!AG145-'Выборка 1'!AF145))/4000</f>
        <v>-4133.25</v>
      </c>
      <c r="H145" s="17">
        <f>(('Выборка 1'!AI145-'Выборка 1'!AH145)+('Выборка 1'!AJ145-'Выборка 1'!AI145)+('Выборка 1'!AK145-'Выборка 1'!AJ145)+('Выборка 1'!AL145-'Выборка 1'!AK145))/4000</f>
        <v>6243.25</v>
      </c>
      <c r="I145" s="17">
        <f>(('Выборка 1'!AN145-'Выборка 1'!AM145)+('Выборка 1'!AO145-'Выборка 1'!AN145)+('Выборка 1'!AP145-'Выборка 1'!AO145)+('Выборка 1'!AQ145-'Выборка 1'!AP145))/4000</f>
        <v>-5068.75</v>
      </c>
      <c r="J145" s="17">
        <f>((('Выборка 1'!AS145+'Выборка 1'!AX145)-('Выборка 1'!AR145+'Выборка 1'!AW145))+(('Выборка 1'!AT145+'Выборка 1'!AY145)-('Выборка 1'!AS145+'Выборка 1'!AX145))+(('Выборка 1'!AU145+'Выборка 1'!AZ145)-('Выборка 1'!AT145+'Выборка 1'!AY145))+(('Выборка 1'!AV145+'Выборка 1'!BA145)-('Выборка 1'!AU145+'Выборка 1'!AZ145)))/4000</f>
        <v>2421.75</v>
      </c>
      <c r="K145" s="17">
        <f>(('Выборка 1'!BC145-'Выборка 1'!BB145)+('Выборка 1'!BD145-'Выборка 1'!BC145)+('Выборка 1'!BE145-'Выборка 1'!BD145)+('Выборка 1'!BF145-'Выборка 1'!BE145))/4000</f>
        <v>401.75</v>
      </c>
      <c r="L145" s="17">
        <f t="shared" si="2"/>
        <v>-7892.25</v>
      </c>
      <c r="M145" s="17">
        <f>((('Выборка 1'!BH145-'Выборка 1'!BM145)-('Выборка 1'!BG145-'Выборка 1'!BL145))+(('Выборка 1'!BI145-'Выборка 1'!BN145)-('Выборка 1'!BH145-'Выборка 1'!BM145))+(('Выборка 1'!BJ145-'Выборка 1'!BO145)-('Выборка 1'!BI145-'Выборка 1'!BN145))+(('Выборка 1'!BK145-'Выборка 1'!BP145)-('Выборка 1'!BJ145-'Выборка 1'!BO145)))/4000</f>
        <v>1182.25</v>
      </c>
      <c r="N145" s="17">
        <f>(('Выборка 1'!BR145-'Выборка 1'!BQ145)+('Выборка 1'!BS145-'Выборка 1'!BR145)+('Выборка 1'!BT145-'Выборка 1'!BS145)+('Выборка 1'!BU145-'Выборка 1'!BT145))/4000</f>
        <v>-4727.25</v>
      </c>
    </row>
    <row r="146" spans="1:14" x14ac:dyDescent="0.25">
      <c r="A146" s="17">
        <v>11</v>
      </c>
      <c r="B146" s="17">
        <f>(('Выборка 1'!E146-'Выборка 1'!D146)+('Выборка 1'!F146-'Выборка 1'!E146)+('Выборка 1'!G146-'Выборка 1'!F146)+('Выборка 1'!H146-'Выборка 1'!G146))/4000</f>
        <v>3694.25</v>
      </c>
      <c r="C146" s="17">
        <f>(('Выборка 1'!J146-'Выборка 1'!I146)+('Выборка 1'!K146-'Выборка 1'!J146)+('Выборка 1'!L146-'Выборка 1'!K146)+('Выборка 1'!M146-'Выборка 1'!L146))/4000</f>
        <v>7431.5</v>
      </c>
      <c r="D146" s="17">
        <f>(('Выборка 1'!O146-'Выборка 1'!N146)+('Выборка 1'!P146-'Выборка 1'!O146)+('Выборка 1'!Q146-'Выборка 1'!P146)+('Выборка 1'!R146-'Выборка 1'!Q146))/4000</f>
        <v>3544.75</v>
      </c>
      <c r="E146" s="17">
        <f>(('Выборка 1'!T146-'Выборка 1'!S146)+('Выборка 1'!U146-'Выборка 1'!T146)+('Выборка 1'!V146-'Выборка 1'!U146)+('Выборка 1'!W146-'Выборка 1'!V146))/4000</f>
        <v>-2581.5</v>
      </c>
      <c r="F146" s="17">
        <f>(('Выборка 1'!Y146-'Выборка 1'!X146)+('Выборка 1'!Z146+'Выборка 1'!Y146)+('Выборка 1'!AA146-'Выборка 1'!Z146)+('Выборка 1'!AB146-'Выборка 1'!AA146))/4000</f>
        <v>20795.5</v>
      </c>
      <c r="G146" s="17">
        <f>(('Выборка 1'!AD146-'Выборка 1'!AC146)+('Выборка 1'!AE146-'Выборка 1'!AD146)+('Выборка 1'!AF146-'Выборка 1'!AE146)+('Выборка 1'!AG146-'Выборка 1'!AF146))/4000</f>
        <v>35911</v>
      </c>
      <c r="H146" s="17">
        <f>(('Выборка 1'!AI146-'Выборка 1'!AH146)+('Выборка 1'!AJ146-'Выборка 1'!AI146)+('Выборка 1'!AK146-'Выборка 1'!AJ146)+('Выборка 1'!AL146-'Выборка 1'!AK146))/4000</f>
        <v>114606.25</v>
      </c>
      <c r="I146" s="17">
        <f>(('Выборка 1'!AN146-'Выборка 1'!AM146)+('Выборка 1'!AO146-'Выборка 1'!AN146)+('Выборка 1'!AP146-'Выборка 1'!AO146)+('Выборка 1'!AQ146-'Выборка 1'!AP146))/4000</f>
        <v>-66507.75</v>
      </c>
      <c r="J146" s="17">
        <f>((('Выборка 1'!AS146+'Выборка 1'!AX146)-('Выборка 1'!AR146+'Выборка 1'!AW146))+(('Выборка 1'!AT146+'Выборка 1'!AY146)-('Выборка 1'!AS146+'Выборка 1'!AX146))+(('Выборка 1'!AU146+'Выборка 1'!AZ146)-('Выборка 1'!AT146+'Выборка 1'!AY146))+(('Выборка 1'!AV146+'Выборка 1'!BA146)-('Выборка 1'!AU146+'Выборка 1'!AZ146)))/4000</f>
        <v>-42266</v>
      </c>
      <c r="K146" s="17">
        <f>(('Выборка 1'!BC146-'Выборка 1'!BB146)+('Выборка 1'!BD146-'Выборка 1'!BC146)+('Выборка 1'!BE146-'Выборка 1'!BD146)+('Выборка 1'!BF146-'Выборка 1'!BE146))/4000</f>
        <v>-59</v>
      </c>
      <c r="L146" s="17">
        <f t="shared" si="2"/>
        <v>-24182.75</v>
      </c>
      <c r="M146" s="17">
        <f>((('Выборка 1'!BH146-'Выборка 1'!BM146)-('Выборка 1'!BG146-'Выборка 1'!BL146))+(('Выборка 1'!BI146-'Выборка 1'!BN146)-('Выборка 1'!BH146-'Выборка 1'!BM146))+(('Выборка 1'!BJ146-'Выборка 1'!BO146)-('Выборка 1'!BI146-'Выборка 1'!BN146))+(('Выборка 1'!BK146-'Выборка 1'!BP146)-('Выборка 1'!BJ146-'Выборка 1'!BO146)))/4000</f>
        <v>17252.75</v>
      </c>
      <c r="N146" s="17">
        <f>(('Выборка 1'!BR146-'Выборка 1'!BQ146)+('Выборка 1'!BS146-'Выборка 1'!BR146)+('Выборка 1'!BT146-'Выборка 1'!BS146)+('Выборка 1'!BU146-'Выборка 1'!BT146))/4000</f>
        <v>-6475.25</v>
      </c>
    </row>
    <row r="147" spans="1:14" x14ac:dyDescent="0.25">
      <c r="A147" s="17">
        <v>8</v>
      </c>
      <c r="B147" s="17">
        <f>(('Выборка 1'!E147-'Выборка 1'!D147)+('Выборка 1'!F147-'Выборка 1'!E147)+('Выборка 1'!G147-'Выборка 1'!F147)+('Выборка 1'!H147-'Выборка 1'!G147))/4000</f>
        <v>-13</v>
      </c>
      <c r="C147" s="17">
        <f>(('Выборка 1'!J147-'Выборка 1'!I147)+('Выборка 1'!K147-'Выборка 1'!J147)+('Выборка 1'!L147-'Выборка 1'!K147)+('Выборка 1'!M147-'Выборка 1'!L147))/4000</f>
        <v>0</v>
      </c>
      <c r="D147" s="17">
        <f>(('Выборка 1'!O147-'Выборка 1'!N147)+('Выборка 1'!P147-'Выборка 1'!O147)+('Выборка 1'!Q147-'Выборка 1'!P147)+('Выборка 1'!R147-'Выборка 1'!Q147))/4000</f>
        <v>-9737.5</v>
      </c>
      <c r="E147" s="17">
        <f>(('Выборка 1'!T147-'Выборка 1'!S147)+('Выборка 1'!U147-'Выборка 1'!T147)+('Выборка 1'!V147-'Выборка 1'!U147)+('Выборка 1'!W147-'Выборка 1'!V147))/4000</f>
        <v>0</v>
      </c>
      <c r="F147" s="17">
        <f>(('Выборка 1'!Y147-'Выборка 1'!X147)+('Выборка 1'!Z147+'Выборка 1'!Y147)+('Выборка 1'!AA147-'Выборка 1'!Z147)+('Выборка 1'!AB147-'Выборка 1'!AA147))/4000</f>
        <v>-2900.75</v>
      </c>
      <c r="G147" s="17">
        <f>(('Выборка 1'!AD147-'Выборка 1'!AC147)+('Выборка 1'!AE147-'Выборка 1'!AD147)+('Выборка 1'!AF147-'Выборка 1'!AE147)+('Выборка 1'!AG147-'Выборка 1'!AF147))/4000</f>
        <v>0</v>
      </c>
      <c r="H147" s="17">
        <f>(('Выборка 1'!AI147-'Выборка 1'!AH147)+('Выборка 1'!AJ147-'Выборка 1'!AI147)+('Выборка 1'!AK147-'Выборка 1'!AJ147)+('Выборка 1'!AL147-'Выборка 1'!AK147))/4000</f>
        <v>-12419.25</v>
      </c>
      <c r="I147" s="17">
        <f>(('Выборка 1'!AN147-'Выборка 1'!AM147)+('Выборка 1'!AO147-'Выборка 1'!AN147)+('Выборка 1'!AP147-'Выборка 1'!AO147)+('Выборка 1'!AQ147-'Выборка 1'!AP147))/4000</f>
        <v>-10948.25</v>
      </c>
      <c r="J147" s="17">
        <f>((('Выборка 1'!AS147+'Выборка 1'!AX147)-('Выборка 1'!AR147+'Выборка 1'!AW147))+(('Выборка 1'!AT147+'Выборка 1'!AY147)-('Выборка 1'!AS147+'Выборка 1'!AX147))+(('Выборка 1'!AU147+'Выборка 1'!AZ147)-('Выборка 1'!AT147+'Выборка 1'!AY147))+(('Выборка 1'!AV147+'Выборка 1'!BA147)-('Выборка 1'!AU147+'Выборка 1'!AZ147)))/4000</f>
        <v>-13917</v>
      </c>
      <c r="K147" s="17">
        <f>(('Выборка 1'!BC147-'Выборка 1'!BB147)+('Выборка 1'!BD147-'Выборка 1'!BC147)+('Выборка 1'!BE147-'Выборка 1'!BD147)+('Выборка 1'!BF147-'Выборка 1'!BE147))/4000</f>
        <v>-354.5</v>
      </c>
      <c r="L147" s="17">
        <f t="shared" si="2"/>
        <v>3323.25</v>
      </c>
      <c r="M147" s="17">
        <f>((('Выборка 1'!BH147-'Выборка 1'!BM147)-('Выборка 1'!BG147-'Выборка 1'!BL147))+(('Выборка 1'!BI147-'Выборка 1'!BN147)-('Выборка 1'!BH147-'Выборка 1'!BM147))+(('Выборка 1'!BJ147-'Выборка 1'!BO147)-('Выборка 1'!BI147-'Выборка 1'!BN147))+(('Выборка 1'!BK147-'Выборка 1'!BP147)-('Выборка 1'!BJ147-'Выборка 1'!BO147)))/4000</f>
        <v>48</v>
      </c>
      <c r="N147" s="17">
        <f>(('Выборка 1'!BR147-'Выборка 1'!BQ147)+('Выборка 1'!BS147-'Выборка 1'!BR147)+('Выборка 1'!BT147-'Выборка 1'!BS147)+('Выборка 1'!BU147-'Выборка 1'!BT147))/4000</f>
        <v>2690.5</v>
      </c>
    </row>
    <row r="148" spans="1:14" x14ac:dyDescent="0.25">
      <c r="A148" s="17">
        <v>8</v>
      </c>
      <c r="B148" s="17">
        <f>(('Выборка 1'!E148-'Выборка 1'!D148)+('Выборка 1'!F148-'Выборка 1'!E148)+('Выборка 1'!G148-'Выборка 1'!F148)+('Выборка 1'!H148-'Выборка 1'!G148))/4000</f>
        <v>-5988.5</v>
      </c>
      <c r="C148" s="17">
        <f>(('Выборка 1'!J148-'Выборка 1'!I148)+('Выборка 1'!K148-'Выборка 1'!J148)+('Выборка 1'!L148-'Выборка 1'!K148)+('Выборка 1'!M148-'Выборка 1'!L148))/4000</f>
        <v>-42998.5</v>
      </c>
      <c r="D148" s="17">
        <f>(('Выборка 1'!O148-'Выборка 1'!N148)+('Выборка 1'!P148-'Выборка 1'!O148)+('Выборка 1'!Q148-'Выборка 1'!P148)+('Выборка 1'!R148-'Выборка 1'!Q148))/4000</f>
        <v>-24073.25</v>
      </c>
      <c r="E148" s="17">
        <f>(('Выборка 1'!T148-'Выборка 1'!S148)+('Выборка 1'!U148-'Выборка 1'!T148)+('Выборка 1'!V148-'Выборка 1'!U148)+('Выборка 1'!W148-'Выборка 1'!V148))/4000</f>
        <v>-1429</v>
      </c>
      <c r="F148" s="17">
        <f>(('Выборка 1'!Y148-'Выборка 1'!X148)+('Выборка 1'!Z148+'Выборка 1'!Y148)+('Выборка 1'!AA148-'Выборка 1'!Z148)+('Выборка 1'!AB148-'Выборка 1'!AA148))/4000</f>
        <v>-7253.75</v>
      </c>
      <c r="G148" s="17">
        <f>(('Выборка 1'!AD148-'Выборка 1'!AC148)+('Выборка 1'!AE148-'Выборка 1'!AD148)+('Выборка 1'!AF148-'Выборка 1'!AE148)+('Выборка 1'!AG148-'Выборка 1'!AF148))/4000</f>
        <v>-2212</v>
      </c>
      <c r="H148" s="17">
        <f>(('Выборка 1'!AI148-'Выборка 1'!AH148)+('Выборка 1'!AJ148-'Выборка 1'!AI148)+('Выборка 1'!AK148-'Выборка 1'!AJ148)+('Выборка 1'!AL148-'Выборка 1'!AK148))/4000</f>
        <v>-59568.75</v>
      </c>
      <c r="I148" s="17">
        <f>(('Выборка 1'!AN148-'Выборка 1'!AM148)+('Выборка 1'!AO148-'Выборка 1'!AN148)+('Выборка 1'!AP148-'Выборка 1'!AO148)+('Выборка 1'!AQ148-'Выборка 1'!AP148))/4000</f>
        <v>-118655.25</v>
      </c>
      <c r="J148" s="17">
        <f>((('Выборка 1'!AS148+'Выборка 1'!AX148)-('Выборка 1'!AR148+'Выборка 1'!AW148))+(('Выборка 1'!AT148+'Выборка 1'!AY148)-('Выборка 1'!AS148+'Выборка 1'!AX148))+(('Выборка 1'!AU148+'Выборка 1'!AZ148)-('Выборка 1'!AT148+'Выборка 1'!AY148))+(('Выборка 1'!AV148+'Выборка 1'!BA148)-('Выборка 1'!AU148+'Выборка 1'!AZ148)))/4000</f>
        <v>-114008.75</v>
      </c>
      <c r="K148" s="17">
        <f>(('Выборка 1'!BC148-'Выборка 1'!BB148)+('Выборка 1'!BD148-'Выборка 1'!BC148)+('Выборка 1'!BE148-'Выборка 1'!BD148)+('Выборка 1'!BF148-'Выборка 1'!BE148))/4000</f>
        <v>-4186.25</v>
      </c>
      <c r="L148" s="17">
        <f t="shared" si="2"/>
        <v>-460.25</v>
      </c>
      <c r="M148" s="17">
        <f>((('Выборка 1'!BH148-'Выборка 1'!BM148)-('Выборка 1'!BG148-'Выборка 1'!BL148))+(('Выборка 1'!BI148-'Выборка 1'!BN148)-('Выборка 1'!BH148-'Выборка 1'!BM148))+(('Выборка 1'!BJ148-'Выборка 1'!BO148)-('Выборка 1'!BI148-'Выборка 1'!BN148))+(('Выборка 1'!BK148-'Выборка 1'!BP148)-('Выборка 1'!BJ148-'Выборка 1'!BO148)))/4000</f>
        <v>-431.75</v>
      </c>
      <c r="N148" s="17">
        <f>(('Выборка 1'!BR148-'Выборка 1'!BQ148)+('Выборка 1'!BS148-'Выборка 1'!BR148)+('Выборка 1'!BT148-'Выборка 1'!BS148)+('Выборка 1'!BU148-'Выборка 1'!BT148))/4000</f>
        <v>-700.75</v>
      </c>
    </row>
    <row r="149" spans="1:14" x14ac:dyDescent="0.25">
      <c r="A149" s="17">
        <v>13</v>
      </c>
      <c r="B149" s="17">
        <f>(('Выборка 1'!E149-'Выборка 1'!D149)+('Выборка 1'!F149-'Выборка 1'!E149)+('Выборка 1'!G149-'Выборка 1'!F149)+('Выборка 1'!H149-'Выборка 1'!G149))/4000</f>
        <v>-673.75</v>
      </c>
      <c r="C149" s="17">
        <f>(('Выборка 1'!J149-'Выборка 1'!I149)+('Выборка 1'!K149-'Выборка 1'!J149)+('Выборка 1'!L149-'Выборка 1'!K149)+('Выборка 1'!M149-'Выборка 1'!L149))/4000</f>
        <v>-11178.5</v>
      </c>
      <c r="D149" s="17">
        <f>(('Выборка 1'!O149-'Выборка 1'!N149)+('Выборка 1'!P149-'Выборка 1'!O149)+('Выборка 1'!Q149-'Выборка 1'!P149)+('Выборка 1'!R149-'Выборка 1'!Q149))/4000</f>
        <v>-15450.25</v>
      </c>
      <c r="E149" s="17">
        <f>(('Выборка 1'!T149-'Выборка 1'!S149)+('Выборка 1'!U149-'Выборка 1'!T149)+('Выборка 1'!V149-'Выборка 1'!U149)+('Выборка 1'!W149-'Выборка 1'!V149))/4000</f>
        <v>-199.25</v>
      </c>
      <c r="F149" s="17">
        <f>(('Выборка 1'!Y149-'Выборка 1'!X149)+('Выборка 1'!Z149+'Выборка 1'!Y149)+('Выборка 1'!AA149-'Выборка 1'!Z149)+('Выборка 1'!AB149-'Выборка 1'!AA149))/4000</f>
        <v>0</v>
      </c>
      <c r="G149" s="17">
        <f>(('Выборка 1'!AD149-'Выборка 1'!AC149)+('Выборка 1'!AE149-'Выборка 1'!AD149)+('Выборка 1'!AF149-'Выборка 1'!AE149)+('Выборка 1'!AG149-'Выборка 1'!AF149))/4000</f>
        <v>-3740.75</v>
      </c>
      <c r="H149" s="17">
        <f>(('Выборка 1'!AI149-'Выборка 1'!AH149)+('Выборка 1'!AJ149-'Выборка 1'!AI149)+('Выборка 1'!AK149-'Выборка 1'!AJ149)+('Выборка 1'!AL149-'Выборка 1'!AK149))/4000</f>
        <v>-19045.25</v>
      </c>
      <c r="I149" s="17">
        <f>(('Выборка 1'!AN149-'Выборка 1'!AM149)+('Выборка 1'!AO149-'Выборка 1'!AN149)+('Выборка 1'!AP149-'Выборка 1'!AO149)+('Выборка 1'!AQ149-'Выборка 1'!AP149))/4000</f>
        <v>-67453.25</v>
      </c>
      <c r="J149" s="17">
        <f>((('Выборка 1'!AS149+'Выборка 1'!AX149)-('Выборка 1'!AR149+'Выборка 1'!AW149))+(('Выборка 1'!AT149+'Выборка 1'!AY149)-('Выборка 1'!AS149+'Выборка 1'!AX149))+(('Выборка 1'!AU149+'Выборка 1'!AZ149)-('Выборка 1'!AT149+'Выборка 1'!AY149))+(('Выборка 1'!AV149+'Выборка 1'!BA149)-('Выборка 1'!AU149+'Выборка 1'!AZ149)))/4000</f>
        <v>-69773.25</v>
      </c>
      <c r="K149" s="17">
        <f>(('Выборка 1'!BC149-'Выборка 1'!BB149)+('Выборка 1'!BD149-'Выборка 1'!BC149)+('Выборка 1'!BE149-'Выборка 1'!BD149)+('Выборка 1'!BF149-'Выборка 1'!BE149))/4000</f>
        <v>0</v>
      </c>
      <c r="L149" s="17">
        <f t="shared" si="2"/>
        <v>2320</v>
      </c>
      <c r="M149" s="17">
        <f>((('Выборка 1'!BH149-'Выборка 1'!BM149)-('Выборка 1'!BG149-'Выборка 1'!BL149))+(('Выборка 1'!BI149-'Выборка 1'!BN149)-('Выборка 1'!BH149-'Выборка 1'!BM149))+(('Выборка 1'!BJ149-'Выборка 1'!BO149)-('Выборка 1'!BI149-'Выборка 1'!BN149))+(('Выборка 1'!BK149-'Выборка 1'!BP149)-('Выборка 1'!BJ149-'Выборка 1'!BO149)))/4000</f>
        <v>-3128.25</v>
      </c>
      <c r="N149" s="17">
        <f>(('Выборка 1'!BR149-'Выборка 1'!BQ149)+('Выборка 1'!BS149-'Выборка 1'!BR149)+('Выборка 1'!BT149-'Выборка 1'!BS149)+('Выборка 1'!BU149-'Выборка 1'!BT149))/4000</f>
        <v>-83.75</v>
      </c>
    </row>
    <row r="150" spans="1:14" x14ac:dyDescent="0.25">
      <c r="A150" s="17">
        <v>13</v>
      </c>
      <c r="B150" s="17">
        <f>(('Выборка 1'!E150-'Выборка 1'!D150)+('Выборка 1'!F150-'Выборка 1'!E150)+('Выборка 1'!G150-'Выборка 1'!F150)+('Выборка 1'!H150-'Выборка 1'!G150))/4000</f>
        <v>-906188.75</v>
      </c>
      <c r="C150" s="17">
        <f>(('Выборка 1'!J150-'Выборка 1'!I150)+('Выборка 1'!K150-'Выборка 1'!J150)+('Выборка 1'!L150-'Выборка 1'!K150)+('Выборка 1'!M150-'Выборка 1'!L150))/4000</f>
        <v>-112519.25</v>
      </c>
      <c r="D150" s="17">
        <f>(('Выборка 1'!O150-'Выборка 1'!N150)+('Выборка 1'!P150-'Выборка 1'!O150)+('Выборка 1'!Q150-'Выборка 1'!P150)+('Выборка 1'!R150-'Выборка 1'!Q150))/4000</f>
        <v>418.75</v>
      </c>
      <c r="E150" s="17">
        <f>(('Выборка 1'!T150-'Выборка 1'!S150)+('Выборка 1'!U150-'Выборка 1'!T150)+('Выборка 1'!V150-'Выборка 1'!U150)+('Выборка 1'!W150-'Выборка 1'!V150))/4000</f>
        <v>0</v>
      </c>
      <c r="F150" s="17">
        <f>(('Выборка 1'!Y150-'Выборка 1'!X150)+('Выборка 1'!Z150+'Выборка 1'!Y150)+('Выборка 1'!AA150-'Выборка 1'!Z150)+('Выборка 1'!AB150-'Выборка 1'!AA150))/4000</f>
        <v>-1598196.25</v>
      </c>
      <c r="G150" s="17">
        <f>(('Выборка 1'!AD150-'Выборка 1'!AC150)+('Выборка 1'!AE150-'Выборка 1'!AD150)+('Выборка 1'!AF150-'Выборка 1'!AE150)+('Выборка 1'!AG150-'Выборка 1'!AF150))/4000</f>
        <v>-174744.5</v>
      </c>
      <c r="H150" s="17">
        <f>(('Выборка 1'!AI150-'Выборка 1'!AH150)+('Выборка 1'!AJ150-'Выборка 1'!AI150)+('Выборка 1'!AK150-'Выборка 1'!AJ150)+('Выборка 1'!AL150-'Выборка 1'!AK150))/4000</f>
        <v>223089.75</v>
      </c>
      <c r="I150" s="17">
        <f>(('Выборка 1'!AN150-'Выборка 1'!AM150)+('Выборка 1'!AO150-'Выборка 1'!AN150)+('Выборка 1'!AP150-'Выборка 1'!AO150)+('Выборка 1'!AQ150-'Выборка 1'!AP150))/4000</f>
        <v>-473.25</v>
      </c>
      <c r="J150" s="17">
        <f>((('Выборка 1'!AS150+'Выборка 1'!AX150)-('Выборка 1'!AR150+'Выборка 1'!AW150))+(('Выборка 1'!AT150+'Выборка 1'!AY150)-('Выборка 1'!AS150+'Выборка 1'!AX150))+(('Выборка 1'!AU150+'Выборка 1'!AZ150)-('Выборка 1'!AT150+'Выборка 1'!AY150))+(('Выборка 1'!AV150+'Выборка 1'!BA150)-('Выборка 1'!AU150+'Выборка 1'!AZ150)))/4000</f>
        <v>-6247.75</v>
      </c>
      <c r="K150" s="17">
        <f>(('Выборка 1'!BC150-'Выборка 1'!BB150)+('Выборка 1'!BD150-'Выборка 1'!BC150)+('Выборка 1'!BE150-'Выборка 1'!BD150)+('Выборка 1'!BF150-'Выборка 1'!BE150))/4000</f>
        <v>0</v>
      </c>
      <c r="L150" s="17">
        <f t="shared" si="2"/>
        <v>5774.5</v>
      </c>
      <c r="M150" s="17">
        <f>((('Выборка 1'!BH150-'Выборка 1'!BM150)-('Выборка 1'!BG150-'Выборка 1'!BL150))+(('Выборка 1'!BI150-'Выборка 1'!BN150)-('Выборка 1'!BH150-'Выборка 1'!BM150))+(('Выборка 1'!BJ150-'Выборка 1'!BO150)-('Выборка 1'!BI150-'Выборка 1'!BN150))+(('Выборка 1'!BK150-'Выборка 1'!BP150)-('Выборка 1'!BJ150-'Выборка 1'!BO150)))/4000</f>
        <v>108043.25</v>
      </c>
      <c r="N150" s="17">
        <f>(('Выборка 1'!BR150-'Выборка 1'!BQ150)+('Выборка 1'!BS150-'Выборка 1'!BR150)+('Выборка 1'!BT150-'Выборка 1'!BS150)+('Выборка 1'!BU150-'Выборка 1'!BT150))/4000</f>
        <v>134833.5</v>
      </c>
    </row>
    <row r="151" spans="1:14" x14ac:dyDescent="0.25">
      <c r="A151" s="17">
        <v>25</v>
      </c>
      <c r="B151" s="17">
        <f>(('Выборка 1'!E151-'Выборка 1'!D151)+('Выборка 1'!F151-'Выборка 1'!E151)+('Выборка 1'!G151-'Выборка 1'!F151)+('Выборка 1'!H151-'Выборка 1'!G151))/4000</f>
        <v>-39981.5</v>
      </c>
      <c r="C151" s="17">
        <f>(('Выборка 1'!J151-'Выборка 1'!I151)+('Выборка 1'!K151-'Выборка 1'!J151)+('Выборка 1'!L151-'Выборка 1'!K151)+('Выборка 1'!M151-'Выборка 1'!L151))/4000</f>
        <v>-13223.5</v>
      </c>
      <c r="D151" s="17">
        <f>(('Выборка 1'!O151-'Выборка 1'!N151)+('Выборка 1'!P151-'Выборка 1'!O151)+('Выборка 1'!Q151-'Выборка 1'!P151)+('Выборка 1'!R151-'Выборка 1'!Q151))/4000</f>
        <v>-120471</v>
      </c>
      <c r="E151" s="17">
        <f>(('Выборка 1'!T151-'Выборка 1'!S151)+('Выборка 1'!U151-'Выборка 1'!T151)+('Выборка 1'!V151-'Выборка 1'!U151)+('Выборка 1'!W151-'Выборка 1'!V151))/4000</f>
        <v>44</v>
      </c>
      <c r="F151" s="17">
        <f>(('Выборка 1'!Y151-'Выборка 1'!X151)+('Выборка 1'!Z151+'Выборка 1'!Y151)+('Выборка 1'!AA151-'Выборка 1'!Z151)+('Выборка 1'!AB151-'Выборка 1'!AA151))/4000</f>
        <v>-2472085</v>
      </c>
      <c r="G151" s="17">
        <f>(('Выборка 1'!AD151-'Выборка 1'!AC151)+('Выборка 1'!AE151-'Выборка 1'!AD151)+('Выборка 1'!AF151-'Выборка 1'!AE151)+('Выборка 1'!AG151-'Выборка 1'!AF151))/4000</f>
        <v>0</v>
      </c>
      <c r="H151" s="17">
        <f>(('Выборка 1'!AI151-'Выборка 1'!AH151)+('Выборка 1'!AJ151-'Выборка 1'!AI151)+('Выборка 1'!AK151-'Выборка 1'!AJ151)+('Выборка 1'!AL151-'Выборка 1'!AK151))/4000</f>
        <v>-250938</v>
      </c>
      <c r="I151" s="17">
        <f>(('Выборка 1'!AN151-'Выборка 1'!AM151)+('Выборка 1'!AO151-'Выборка 1'!AN151)+('Выборка 1'!AP151-'Выборка 1'!AO151)+('Выборка 1'!AQ151-'Выборка 1'!AP151))/4000</f>
        <v>2229.75</v>
      </c>
      <c r="J151" s="17">
        <f>((('Выборка 1'!AS151+'Выборка 1'!AX151)-('Выборка 1'!AR151+'Выборка 1'!AW151))+(('Выборка 1'!AT151+'Выборка 1'!AY151)-('Выборка 1'!AS151+'Выборка 1'!AX151))+(('Выборка 1'!AU151+'Выборка 1'!AZ151)-('Выборка 1'!AT151+'Выборка 1'!AY151))+(('Выборка 1'!AV151+'Выборка 1'!BA151)-('Выборка 1'!AU151+'Выборка 1'!AZ151)))/4000</f>
        <v>4364</v>
      </c>
      <c r="K151" s="17">
        <f>(('Выборка 1'!BC151-'Выборка 1'!BB151)+('Выборка 1'!BD151-'Выборка 1'!BC151)+('Выборка 1'!BE151-'Выборка 1'!BD151)+('Выборка 1'!BF151-'Выборка 1'!BE151))/4000</f>
        <v>0</v>
      </c>
      <c r="L151" s="17">
        <f t="shared" si="2"/>
        <v>-2134.25</v>
      </c>
      <c r="M151" s="17">
        <f>((('Выборка 1'!BH151-'Выборка 1'!BM151)-('Выборка 1'!BG151-'Выборка 1'!BL151))+(('Выборка 1'!BI151-'Выборка 1'!BN151)-('Выборка 1'!BH151-'Выборка 1'!BM151))+(('Выборка 1'!BJ151-'Выборка 1'!BO151)-('Выборка 1'!BI151-'Выборка 1'!BN151))+(('Выборка 1'!BK151-'Выборка 1'!BP151)-('Выборка 1'!BJ151-'Выборка 1'!BO151)))/4000</f>
        <v>-31088</v>
      </c>
      <c r="N151" s="17">
        <f>(('Выборка 1'!BR151-'Выборка 1'!BQ151)+('Выборка 1'!BS151-'Выборка 1'!BR151)+('Выборка 1'!BT151-'Выборка 1'!BS151)+('Выборка 1'!BU151-'Выборка 1'!BT151))/4000</f>
        <v>-24677</v>
      </c>
    </row>
    <row r="152" spans="1:14" x14ac:dyDescent="0.25">
      <c r="A152" s="17">
        <v>24</v>
      </c>
      <c r="B152" s="17">
        <f>(('Выборка 1'!E152-'Выборка 1'!D152)+('Выборка 1'!F152-'Выборка 1'!E152)+('Выборка 1'!G152-'Выборка 1'!F152)+('Выборка 1'!H152-'Выборка 1'!G152))/4000</f>
        <v>0</v>
      </c>
      <c r="C152" s="17">
        <f>(('Выборка 1'!J152-'Выборка 1'!I152)+('Выборка 1'!K152-'Выборка 1'!J152)+('Выборка 1'!L152-'Выборка 1'!K152)+('Выборка 1'!M152-'Выборка 1'!L152))/4000</f>
        <v>0</v>
      </c>
      <c r="D152" s="17">
        <f>(('Выборка 1'!O152-'Выборка 1'!N152)+('Выборка 1'!P152-'Выборка 1'!O152)+('Выборка 1'!Q152-'Выборка 1'!P152)+('Выборка 1'!R152-'Выборка 1'!Q152))/4000</f>
        <v>-16468.75</v>
      </c>
      <c r="E152" s="17">
        <f>(('Выборка 1'!T152-'Выборка 1'!S152)+('Выборка 1'!U152-'Выборка 1'!T152)+('Выборка 1'!V152-'Выборка 1'!U152)+('Выборка 1'!W152-'Выборка 1'!V152))/4000</f>
        <v>429</v>
      </c>
      <c r="F152" s="17">
        <f>(('Выборка 1'!Y152-'Выборка 1'!X152)+('Выборка 1'!Z152+'Выборка 1'!Y152)+('Выборка 1'!AA152-'Выборка 1'!Z152)+('Выборка 1'!AB152-'Выборка 1'!AA152))/4000</f>
        <v>-16042.25</v>
      </c>
      <c r="G152" s="17">
        <f>(('Выборка 1'!AD152-'Выборка 1'!AC152)+('Выборка 1'!AE152-'Выборка 1'!AD152)+('Выборка 1'!AF152-'Выборка 1'!AE152)+('Выборка 1'!AG152-'Выборка 1'!AF152))/4000</f>
        <v>0</v>
      </c>
      <c r="H152" s="17">
        <f>(('Выборка 1'!AI152-'Выборка 1'!AH152)+('Выборка 1'!AJ152-'Выборка 1'!AI152)+('Выборка 1'!AK152-'Выборка 1'!AJ152)+('Выборка 1'!AL152-'Выборка 1'!AK152))/4000</f>
        <v>0</v>
      </c>
      <c r="I152" s="17">
        <f>(('Выборка 1'!AN152-'Выборка 1'!AM152)+('Выборка 1'!AO152-'Выборка 1'!AN152)+('Выборка 1'!AP152-'Выборка 1'!AO152)+('Выборка 1'!AQ152-'Выборка 1'!AP152))/4000</f>
        <v>0</v>
      </c>
      <c r="J152" s="17">
        <f>((('Выборка 1'!AS152+'Выборка 1'!AX152)-('Выборка 1'!AR152+'Выборка 1'!AW152))+(('Выборка 1'!AT152+'Выборка 1'!AY152)-('Выборка 1'!AS152+'Выборка 1'!AX152))+(('Выборка 1'!AU152+'Выборка 1'!AZ152)-('Выборка 1'!AT152+'Выборка 1'!AY152))+(('Выборка 1'!AV152+'Выборка 1'!BA152)-('Выборка 1'!AU152+'Выборка 1'!AZ152)))/4000</f>
        <v>0</v>
      </c>
      <c r="K152" s="17">
        <f>(('Выборка 1'!BC152-'Выборка 1'!BB152)+('Выборка 1'!BD152-'Выборка 1'!BC152)+('Выборка 1'!BE152-'Выборка 1'!BD152)+('Выборка 1'!BF152-'Выборка 1'!BE152))/4000</f>
        <v>0</v>
      </c>
      <c r="L152" s="17">
        <f t="shared" si="2"/>
        <v>0</v>
      </c>
      <c r="M152" s="17">
        <f>((('Выборка 1'!BH152-'Выборка 1'!BM152)-('Выборка 1'!BG152-'Выборка 1'!BL152))+(('Выборка 1'!BI152-'Выборка 1'!BN152)-('Выборка 1'!BH152-'Выборка 1'!BM152))+(('Выборка 1'!BJ152-'Выборка 1'!BO152)-('Выборка 1'!BI152-'Выборка 1'!BN152))+(('Выборка 1'!BK152-'Выборка 1'!BP152)-('Выборка 1'!BJ152-'Выборка 1'!BO152)))/4000</f>
        <v>0</v>
      </c>
      <c r="N152" s="17">
        <f>(('Выборка 1'!BR152-'Выборка 1'!BQ152)+('Выборка 1'!BS152-'Выборка 1'!BR152)+('Выборка 1'!BT152-'Выборка 1'!BS152)+('Выборка 1'!BU152-'Выборка 1'!BT152))/4000</f>
        <v>0</v>
      </c>
    </row>
    <row r="153" spans="1:14" x14ac:dyDescent="0.25">
      <c r="A153" s="17">
        <v>19</v>
      </c>
      <c r="B153" s="17">
        <f>(('Выборка 1'!E153-'Выборка 1'!D153)+('Выборка 1'!F153-'Выборка 1'!E153)+('Выборка 1'!G153-'Выборка 1'!F153)+('Выборка 1'!H153-'Выборка 1'!G153))/4000</f>
        <v>-30.75</v>
      </c>
      <c r="C153" s="17">
        <f>(('Выборка 1'!J153-'Выборка 1'!I153)+('Выборка 1'!K153-'Выборка 1'!J153)+('Выборка 1'!L153-'Выборка 1'!K153)+('Выборка 1'!M153-'Выборка 1'!L153))/4000</f>
        <v>-29.5</v>
      </c>
      <c r="D153" s="17">
        <f>(('Выборка 1'!O153-'Выборка 1'!N153)+('Выборка 1'!P153-'Выборка 1'!O153)+('Выборка 1'!Q153-'Выборка 1'!P153)+('Выборка 1'!R153-'Выборка 1'!Q153))/4000</f>
        <v>-527.5</v>
      </c>
      <c r="E153" s="17">
        <f>(('Выборка 1'!T153-'Выборка 1'!S153)+('Выборка 1'!U153-'Выборка 1'!T153)+('Выборка 1'!V153-'Выборка 1'!U153)+('Выборка 1'!W153-'Выборка 1'!V153))/4000</f>
        <v>-316</v>
      </c>
      <c r="F153" s="17">
        <f>(('Выборка 1'!Y153-'Выборка 1'!X153)+('Выборка 1'!Z153+'Выборка 1'!Y153)+('Выборка 1'!AA153-'Выборка 1'!Z153)+('Выборка 1'!AB153-'Выборка 1'!AA153))/4000</f>
        <v>0</v>
      </c>
      <c r="G153" s="17">
        <f>(('Выборка 1'!AD153-'Выборка 1'!AC153)+('Выборка 1'!AE153-'Выборка 1'!AD153)+('Выборка 1'!AF153-'Выборка 1'!AE153)+('Выборка 1'!AG153-'Выборка 1'!AF153))/4000</f>
        <v>0</v>
      </c>
      <c r="H153" s="17">
        <f>(('Выборка 1'!AI153-'Выборка 1'!AH153)+('Выборка 1'!AJ153-'Выборка 1'!AI153)+('Выборка 1'!AK153-'Выборка 1'!AJ153)+('Выборка 1'!AL153-'Выборка 1'!AK153))/4000</f>
        <v>741.5</v>
      </c>
      <c r="I153" s="17">
        <f>(('Выборка 1'!AN153-'Выборка 1'!AM153)+('Выборка 1'!AO153-'Выборка 1'!AN153)+('Выборка 1'!AP153-'Выборка 1'!AO153)+('Выборка 1'!AQ153-'Выборка 1'!AP153))/4000</f>
        <v>-2133.25</v>
      </c>
      <c r="J153" s="17">
        <f>((('Выборка 1'!AS153+'Выборка 1'!AX153)-('Выборка 1'!AR153+'Выборка 1'!AW153))+(('Выборка 1'!AT153+'Выборка 1'!AY153)-('Выборка 1'!AS153+'Выборка 1'!AX153))+(('Выборка 1'!AU153+'Выборка 1'!AZ153)-('Выборка 1'!AT153+'Выборка 1'!AY153))+(('Выборка 1'!AV153+'Выборка 1'!BA153)-('Выборка 1'!AU153+'Выборка 1'!AZ153)))/4000</f>
        <v>-2374.25</v>
      </c>
      <c r="K153" s="17">
        <f>(('Выборка 1'!BC153-'Выборка 1'!BB153)+('Выборка 1'!BD153-'Выборка 1'!BC153)+('Выборка 1'!BE153-'Выборка 1'!BD153)+('Выборка 1'!BF153-'Выборка 1'!BE153))/4000</f>
        <v>0</v>
      </c>
      <c r="L153" s="17">
        <f t="shared" si="2"/>
        <v>241</v>
      </c>
      <c r="M153" s="17">
        <f>((('Выборка 1'!BH153-'Выборка 1'!BM153)-('Выборка 1'!BG153-'Выборка 1'!BL153))+(('Выборка 1'!BI153-'Выборка 1'!BN153)-('Выборка 1'!BH153-'Выборка 1'!BM153))+(('Выборка 1'!BJ153-'Выборка 1'!BO153)-('Выборка 1'!BI153-'Выборка 1'!BN153))+(('Выборка 1'!BK153-'Выборка 1'!BP153)-('Выборка 1'!BJ153-'Выборка 1'!BO153)))/4000</f>
        <v>-509.5</v>
      </c>
      <c r="N153" s="17">
        <f>(('Выборка 1'!BR153-'Выборка 1'!BQ153)+('Выборка 1'!BS153-'Выборка 1'!BR153)+('Выборка 1'!BT153-'Выборка 1'!BS153)+('Выборка 1'!BU153-'Выборка 1'!BT153))/4000</f>
        <v>-246.5</v>
      </c>
    </row>
    <row r="154" spans="1:14" x14ac:dyDescent="0.25">
      <c r="A154" s="17">
        <v>10</v>
      </c>
      <c r="B154" s="17">
        <f>(('Выборка 1'!E154-'Выборка 1'!D154)+('Выборка 1'!F154-'Выборка 1'!E154)+('Выборка 1'!G154-'Выборка 1'!F154)+('Выборка 1'!H154-'Выборка 1'!G154))/4000</f>
        <v>-2643.5</v>
      </c>
      <c r="C154" s="17">
        <f>(('Выборка 1'!J154-'Выборка 1'!I154)+('Выборка 1'!K154-'Выборка 1'!J154)+('Выборка 1'!L154-'Выборка 1'!K154)+('Выборка 1'!M154-'Выборка 1'!L154))/4000</f>
        <v>-389.25</v>
      </c>
      <c r="D154" s="17">
        <f>(('Выборка 1'!O154-'Выборка 1'!N154)+('Выборка 1'!P154-'Выборка 1'!O154)+('Выборка 1'!Q154-'Выборка 1'!P154)+('Выборка 1'!R154-'Выборка 1'!Q154))/4000</f>
        <v>-9996.75</v>
      </c>
      <c r="E154" s="17">
        <f>(('Выборка 1'!T154-'Выборка 1'!S154)+('Выборка 1'!U154-'Выборка 1'!T154)+('Выборка 1'!V154-'Выборка 1'!U154)+('Выборка 1'!W154-'Выборка 1'!V154))/4000</f>
        <v>-4746.25</v>
      </c>
      <c r="F154" s="17">
        <f>(('Выборка 1'!Y154-'Выборка 1'!X154)+('Выборка 1'!Z154+'Выборка 1'!Y154)+('Выборка 1'!AA154-'Выборка 1'!Z154)+('Выборка 1'!AB154-'Выборка 1'!AA154))/4000</f>
        <v>0</v>
      </c>
      <c r="G154" s="17">
        <f>(('Выборка 1'!AD154-'Выборка 1'!AC154)+('Выборка 1'!AE154-'Выборка 1'!AD154)+('Выборка 1'!AF154-'Выборка 1'!AE154)+('Выборка 1'!AG154-'Выборка 1'!AF154))/4000</f>
        <v>-111.75</v>
      </c>
      <c r="H154" s="17">
        <f>(('Выборка 1'!AI154-'Выборка 1'!AH154)+('Выборка 1'!AJ154-'Выборка 1'!AI154)+('Выборка 1'!AK154-'Выборка 1'!AJ154)+('Выборка 1'!AL154-'Выборка 1'!AK154))/4000</f>
        <v>-15419.5</v>
      </c>
      <c r="I154" s="17">
        <f>(('Выборка 1'!AN154-'Выборка 1'!AM154)+('Выборка 1'!AO154-'Выборка 1'!AN154)+('Выборка 1'!AP154-'Выборка 1'!AO154)+('Выборка 1'!AQ154-'Выборка 1'!AP154))/4000</f>
        <v>-25860.25</v>
      </c>
      <c r="J154" s="17">
        <f>((('Выборка 1'!AS154+'Выборка 1'!AX154)-('Выборка 1'!AR154+'Выборка 1'!AW154))+(('Выборка 1'!AT154+'Выборка 1'!AY154)-('Выборка 1'!AS154+'Выборка 1'!AX154))+(('Выборка 1'!AU154+'Выборка 1'!AZ154)-('Выборка 1'!AT154+'Выборка 1'!AY154))+(('Выборка 1'!AV154+'Выборка 1'!BA154)-('Выборка 1'!AU154+'Выборка 1'!AZ154)))/4000</f>
        <v>-25769.25</v>
      </c>
      <c r="K154" s="17">
        <f>(('Выборка 1'!BC154-'Выборка 1'!BB154)+('Выборка 1'!BD154-'Выборка 1'!BC154)+('Выборка 1'!BE154-'Выборка 1'!BD154)+('Выборка 1'!BF154-'Выборка 1'!BE154))/4000</f>
        <v>0</v>
      </c>
      <c r="L154" s="17">
        <f t="shared" si="2"/>
        <v>-91</v>
      </c>
      <c r="M154" s="17">
        <f>((('Выборка 1'!BH154-'Выборка 1'!BM154)-('Выборка 1'!BG154-'Выборка 1'!BL154))+(('Выборка 1'!BI154-'Выборка 1'!BN154)-('Выборка 1'!BH154-'Выборка 1'!BM154))+(('Выборка 1'!BJ154-'Выборка 1'!BO154)-('Выборка 1'!BI154-'Выборка 1'!BN154))+(('Выборка 1'!BK154-'Выборка 1'!BP154)-('Выборка 1'!BJ154-'Выборка 1'!BO154)))/4000</f>
        <v>94.75</v>
      </c>
      <c r="N154" s="17">
        <f>(('Выборка 1'!BR154-'Выборка 1'!BQ154)+('Выборка 1'!BS154-'Выборка 1'!BR154)+('Выборка 1'!BT154-'Выборка 1'!BS154)+('Выборка 1'!BU154-'Выборка 1'!BT154))/4000</f>
        <v>3.75</v>
      </c>
    </row>
    <row r="155" spans="1:14" x14ac:dyDescent="0.25">
      <c r="A155" s="17">
        <v>7</v>
      </c>
      <c r="B155" s="17">
        <f>(('Выборка 1'!E155-'Выборка 1'!D155)+('Выборка 1'!F155-'Выборка 1'!E155)+('Выборка 1'!G155-'Выборка 1'!F155)+('Выборка 1'!H155-'Выборка 1'!G155))/4000</f>
        <v>-4144</v>
      </c>
      <c r="C155" s="17">
        <f>(('Выборка 1'!J155-'Выборка 1'!I155)+('Выборка 1'!K155-'Выборка 1'!J155)+('Выборка 1'!L155-'Выборка 1'!K155)+('Выборка 1'!M155-'Выборка 1'!L155))/4000</f>
        <v>8049.25</v>
      </c>
      <c r="D155" s="17">
        <f>(('Выборка 1'!O155-'Выборка 1'!N155)+('Выборка 1'!P155-'Выборка 1'!O155)+('Выборка 1'!Q155-'Выборка 1'!P155)+('Выборка 1'!R155-'Выборка 1'!Q155))/4000</f>
        <v>47043.75</v>
      </c>
      <c r="E155" s="17">
        <f>(('Выборка 1'!T155-'Выборка 1'!S155)+('Выборка 1'!U155-'Выборка 1'!T155)+('Выборка 1'!V155-'Выборка 1'!U155)+('Выборка 1'!W155-'Выборка 1'!V155))/4000</f>
        <v>-1340</v>
      </c>
      <c r="F155" s="17">
        <f>(('Выборка 1'!Y155-'Выборка 1'!X155)+('Выборка 1'!Z155+'Выборка 1'!Y155)+('Выборка 1'!AA155-'Выборка 1'!Z155)+('Выборка 1'!AB155-'Выборка 1'!AA155))/4000</f>
        <v>0</v>
      </c>
      <c r="G155" s="17">
        <f>(('Выборка 1'!AD155-'Выборка 1'!AC155)+('Выборка 1'!AE155-'Выборка 1'!AD155)+('Выборка 1'!AF155-'Выборка 1'!AE155)+('Выборка 1'!AG155-'Выборка 1'!AF155))/4000</f>
        <v>0</v>
      </c>
      <c r="H155" s="17">
        <f>(('Выборка 1'!AI155-'Выборка 1'!AH155)+('Выборка 1'!AJ155-'Выборка 1'!AI155)+('Выборка 1'!AK155-'Выборка 1'!AJ155)+('Выборка 1'!AL155-'Выборка 1'!AK155))/4000</f>
        <v>39578.5</v>
      </c>
      <c r="I155" s="17">
        <f>(('Выборка 1'!AN155-'Выборка 1'!AM155)+('Выборка 1'!AO155-'Выборка 1'!AN155)+('Выборка 1'!AP155-'Выборка 1'!AO155)+('Выборка 1'!AQ155-'Выборка 1'!AP155))/4000</f>
        <v>38958</v>
      </c>
      <c r="J155" s="17">
        <f>((('Выборка 1'!AS155+'Выборка 1'!AX155)-('Выборка 1'!AR155+'Выборка 1'!AW155))+(('Выборка 1'!AT155+'Выборка 1'!AY155)-('Выборка 1'!AS155+'Выборка 1'!AX155))+(('Выборка 1'!AU155+'Выборка 1'!AZ155)-('Выборка 1'!AT155+'Выборка 1'!AY155))+(('Выборка 1'!AV155+'Выборка 1'!BA155)-('Выборка 1'!AU155+'Выборка 1'!AZ155)))/4000</f>
        <v>49799</v>
      </c>
      <c r="K155" s="17">
        <f>(('Выборка 1'!BC155-'Выборка 1'!BB155)+('Выборка 1'!BD155-'Выборка 1'!BC155)+('Выборка 1'!BE155-'Выборка 1'!BD155)+('Выборка 1'!BF155-'Выборка 1'!BE155))/4000</f>
        <v>0</v>
      </c>
      <c r="L155" s="17">
        <f t="shared" si="2"/>
        <v>-10841</v>
      </c>
      <c r="M155" s="17">
        <f>((('Выборка 1'!BH155-'Выборка 1'!BM155)-('Выборка 1'!BG155-'Выборка 1'!BL155))+(('Выборка 1'!BI155-'Выборка 1'!BN155)-('Выборка 1'!BH155-'Выборка 1'!BM155))+(('Выборка 1'!BJ155-'Выборка 1'!BO155)-('Выборка 1'!BI155-'Выборка 1'!BN155))+(('Выборка 1'!BK155-'Выборка 1'!BP155)-('Выборка 1'!BJ155-'Выборка 1'!BO155)))/4000</f>
        <v>18</v>
      </c>
      <c r="N155" s="17">
        <f>(('Выборка 1'!BR155-'Выборка 1'!BQ155)+('Выборка 1'!BS155-'Выборка 1'!BR155)+('Выборка 1'!BT155-'Выборка 1'!BS155)+('Выборка 1'!BU155-'Выборка 1'!BT155))/4000</f>
        <v>-11578.5</v>
      </c>
    </row>
    <row r="156" spans="1:14" x14ac:dyDescent="0.25">
      <c r="A156" s="17">
        <v>23</v>
      </c>
      <c r="B156" s="17">
        <f>(('Выборка 1'!E156-'Выборка 1'!D156)+('Выборка 1'!F156-'Выборка 1'!E156)+('Выборка 1'!G156-'Выборка 1'!F156)+('Выборка 1'!H156-'Выборка 1'!G156))/4000</f>
        <v>-48.5</v>
      </c>
      <c r="C156" s="17">
        <f>(('Выборка 1'!J156-'Выборка 1'!I156)+('Выборка 1'!K156-'Выборка 1'!J156)+('Выборка 1'!L156-'Выборка 1'!K156)+('Выборка 1'!M156-'Выборка 1'!L156))/4000</f>
        <v>-30.75</v>
      </c>
      <c r="D156" s="17">
        <f>(('Выборка 1'!O156-'Выборка 1'!N156)+('Выборка 1'!P156-'Выборка 1'!O156)+('Выборка 1'!Q156-'Выборка 1'!P156)+('Выборка 1'!R156-'Выборка 1'!Q156))/4000</f>
        <v>-1885.75</v>
      </c>
      <c r="E156" s="17">
        <f>(('Выборка 1'!T156-'Выборка 1'!S156)+('Выборка 1'!U156-'Выборка 1'!T156)+('Выборка 1'!V156-'Выборка 1'!U156)+('Выборка 1'!W156-'Выборка 1'!V156))/4000</f>
        <v>151.75</v>
      </c>
      <c r="F156" s="17">
        <f>(('Выборка 1'!Y156-'Выборка 1'!X156)+('Выборка 1'!Z156+'Выборка 1'!Y156)+('Выборка 1'!AA156-'Выборка 1'!Z156)+('Выборка 1'!AB156-'Выборка 1'!AA156))/4000</f>
        <v>0</v>
      </c>
      <c r="G156" s="17">
        <f>(('Выборка 1'!AD156-'Выборка 1'!AC156)+('Выборка 1'!AE156-'Выборка 1'!AD156)+('Выборка 1'!AF156-'Выборка 1'!AE156)+('Выборка 1'!AG156-'Выборка 1'!AF156))/4000</f>
        <v>0</v>
      </c>
      <c r="H156" s="17">
        <f>(('Выборка 1'!AI156-'Выборка 1'!AH156)+('Выборка 1'!AJ156-'Выборка 1'!AI156)+('Выборка 1'!AK156-'Выборка 1'!AJ156)+('Выборка 1'!AL156-'Выборка 1'!AK156))/4000</f>
        <v>21.5</v>
      </c>
      <c r="I156" s="17">
        <f>(('Выборка 1'!AN156-'Выборка 1'!AM156)+('Выборка 1'!AO156-'Выборка 1'!AN156)+('Выборка 1'!AP156-'Выборка 1'!AO156)+('Выборка 1'!AQ156-'Выборка 1'!AP156))/4000</f>
        <v>-3254.75</v>
      </c>
      <c r="J156" s="17">
        <f>((('Выборка 1'!AS156+'Выборка 1'!AX156)-('Выборка 1'!AR156+'Выборка 1'!AW156))+(('Выборка 1'!AT156+'Выборка 1'!AY156)-('Выборка 1'!AS156+'Выборка 1'!AX156))+(('Выборка 1'!AU156+'Выборка 1'!AZ156)-('Выборка 1'!AT156+'Выборка 1'!AY156))+(('Выборка 1'!AV156+'Выборка 1'!BA156)-('Выборка 1'!AU156+'Выборка 1'!AZ156)))/4000</f>
        <v>-2794</v>
      </c>
      <c r="K156" s="17">
        <f>(('Выборка 1'!BC156-'Выборка 1'!BB156)+('Выборка 1'!BD156-'Выборка 1'!BC156)+('Выборка 1'!BE156-'Выборка 1'!BD156)+('Выборка 1'!BF156-'Выборка 1'!BE156))/4000</f>
        <v>0</v>
      </c>
      <c r="L156" s="17">
        <f t="shared" si="2"/>
        <v>-460.75</v>
      </c>
      <c r="M156" s="17">
        <f>((('Выборка 1'!BH156-'Выборка 1'!BM156)-('Выборка 1'!BG156-'Выборка 1'!BL156))+(('Выборка 1'!BI156-'Выборка 1'!BN156)-('Выборка 1'!BH156-'Выборка 1'!BM156))+(('Выборка 1'!BJ156-'Выборка 1'!BO156)-('Выборка 1'!BI156-'Выборка 1'!BN156))+(('Выборка 1'!BK156-'Выборка 1'!BP156)-('Выборка 1'!BJ156-'Выборка 1'!BO156)))/4000</f>
        <v>160.75</v>
      </c>
      <c r="N156" s="17">
        <f>(('Выборка 1'!BR156-'Выборка 1'!BQ156)+('Выборка 1'!BS156-'Выборка 1'!BR156)+('Выборка 1'!BT156-'Выборка 1'!BS156)+('Выборка 1'!BU156-'Выборка 1'!BT156))/4000</f>
        <v>-240</v>
      </c>
    </row>
    <row r="157" spans="1:14" x14ac:dyDescent="0.25">
      <c r="A157" s="17">
        <v>32</v>
      </c>
      <c r="B157" s="17">
        <f>(('Выборка 1'!E157-'Выборка 1'!D157)+('Выборка 1'!F157-'Выборка 1'!E157)+('Выборка 1'!G157-'Выборка 1'!F157)+('Выборка 1'!H157-'Выборка 1'!G157))/4000</f>
        <v>-387.75</v>
      </c>
      <c r="C157" s="17">
        <f>(('Выборка 1'!J157-'Выборка 1'!I157)+('Выборка 1'!K157-'Выборка 1'!J157)+('Выборка 1'!L157-'Выборка 1'!K157)+('Выборка 1'!M157-'Выборка 1'!L157))/4000</f>
        <v>-62589.5</v>
      </c>
      <c r="D157" s="17">
        <f>(('Выборка 1'!O157-'Выборка 1'!N157)+('Выборка 1'!P157-'Выборка 1'!O157)+('Выборка 1'!Q157-'Выборка 1'!P157)+('Выборка 1'!R157-'Выборка 1'!Q157))/4000</f>
        <v>-13064.5</v>
      </c>
      <c r="E157" s="17">
        <f>(('Выборка 1'!T157-'Выборка 1'!S157)+('Выборка 1'!U157-'Выборка 1'!T157)+('Выборка 1'!V157-'Выборка 1'!U157)+('Выборка 1'!W157-'Выборка 1'!V157))/4000</f>
        <v>-1101</v>
      </c>
      <c r="F157" s="17">
        <f>(('Выборка 1'!Y157-'Выборка 1'!X157)+('Выборка 1'!Z157+'Выборка 1'!Y157)+('Выборка 1'!AA157-'Выборка 1'!Z157)+('Выборка 1'!AB157-'Выборка 1'!AA157))/4000</f>
        <v>0</v>
      </c>
      <c r="G157" s="17">
        <f>(('Выборка 1'!AD157-'Выборка 1'!AC157)+('Выборка 1'!AE157-'Выборка 1'!AD157)+('Выборка 1'!AF157-'Выборка 1'!AE157)+('Выборка 1'!AG157-'Выборка 1'!AF157))/4000</f>
        <v>-11258.75</v>
      </c>
      <c r="H157" s="17">
        <f>(('Выборка 1'!AI157-'Выборка 1'!AH157)+('Выборка 1'!AJ157-'Выборка 1'!AI157)+('Выборка 1'!AK157-'Выборка 1'!AJ157)+('Выборка 1'!AL157-'Выборка 1'!AK157))/4000</f>
        <v>-42545.25</v>
      </c>
      <c r="I157" s="17">
        <f>(('Выборка 1'!AN157-'Выборка 1'!AM157)+('Выборка 1'!AO157-'Выборка 1'!AN157)+('Выборка 1'!AP157-'Выборка 1'!AO157)+('Выборка 1'!AQ157-'Выборка 1'!AP157))/4000</f>
        <v>-79844</v>
      </c>
      <c r="J157" s="17">
        <f>((('Выборка 1'!AS157+'Выборка 1'!AX157)-('Выборка 1'!AR157+'Выборка 1'!AW157))+(('Выборка 1'!AT157+'Выборка 1'!AY157)-('Выборка 1'!AS157+'Выборка 1'!AX157))+(('Выборка 1'!AU157+'Выборка 1'!AZ157)-('Выборка 1'!AT157+'Выборка 1'!AY157))+(('Выборка 1'!AV157+'Выборка 1'!BA157)-('Выборка 1'!AU157+'Выборка 1'!AZ157)))/4000</f>
        <v>-76713.5</v>
      </c>
      <c r="K157" s="17">
        <f>(('Выборка 1'!BC157-'Выборка 1'!BB157)+('Выборка 1'!BD157-'Выборка 1'!BC157)+('Выборка 1'!BE157-'Выборка 1'!BD157)+('Выборка 1'!BF157-'Выборка 1'!BE157))/4000</f>
        <v>0</v>
      </c>
      <c r="L157" s="17">
        <f t="shared" si="2"/>
        <v>-3130.5</v>
      </c>
      <c r="M157" s="17">
        <f>((('Выборка 1'!BH157-'Выборка 1'!BM157)-('Выборка 1'!BG157-'Выборка 1'!BL157))+(('Выборка 1'!BI157-'Выборка 1'!BN157)-('Выборка 1'!BH157-'Выборка 1'!BM157))+(('Выборка 1'!BJ157-'Выборка 1'!BO157)-('Выборка 1'!BI157-'Выборка 1'!BN157))+(('Выборка 1'!BK157-'Выборка 1'!BP157)-('Выборка 1'!BJ157-'Выборка 1'!BO157)))/4000</f>
        <v>34.75</v>
      </c>
      <c r="N157" s="17">
        <f>(('Выборка 1'!BR157-'Выборка 1'!BQ157)+('Выборка 1'!BS157-'Выборка 1'!BR157)+('Выборка 1'!BT157-'Выборка 1'!BS157)+('Выборка 1'!BU157-'Выборка 1'!BT157))/4000</f>
        <v>-2285.75</v>
      </c>
    </row>
    <row r="158" spans="1:14" x14ac:dyDescent="0.25">
      <c r="A158" s="17">
        <v>8</v>
      </c>
      <c r="B158" s="17">
        <f>(('Выборка 1'!E158-'Выборка 1'!D158)+('Выборка 1'!F158-'Выборка 1'!E158)+('Выборка 1'!G158-'Выборка 1'!F158)+('Выборка 1'!H158-'Выборка 1'!G158))/4000</f>
        <v>-3074.75</v>
      </c>
      <c r="C158" s="17">
        <f>(('Выборка 1'!J158-'Выборка 1'!I158)+('Выборка 1'!K158-'Выборка 1'!J158)+('Выборка 1'!L158-'Выборка 1'!K158)+('Выборка 1'!M158-'Выборка 1'!L158))/4000</f>
        <v>-1938</v>
      </c>
      <c r="D158" s="17">
        <f>(('Выборка 1'!O158-'Выборка 1'!N158)+('Выборка 1'!P158-'Выборка 1'!O158)+('Выборка 1'!Q158-'Выборка 1'!P158)+('Выборка 1'!R158-'Выборка 1'!Q158))/4000</f>
        <v>0</v>
      </c>
      <c r="E158" s="17">
        <f>(('Выборка 1'!T158-'Выборка 1'!S158)+('Выборка 1'!U158-'Выборка 1'!T158)+('Выборка 1'!V158-'Выборка 1'!U158)+('Выборка 1'!W158-'Выборка 1'!V158))/4000</f>
        <v>171</v>
      </c>
      <c r="F158" s="17">
        <f>(('Выборка 1'!Y158-'Выборка 1'!X158)+('Выборка 1'!Z158+'Выборка 1'!Y158)+('Выборка 1'!AA158-'Выборка 1'!Z158)+('Выборка 1'!AB158-'Выборка 1'!AA158))/4000</f>
        <v>-4921.75</v>
      </c>
      <c r="G158" s="17">
        <f>(('Выборка 1'!AD158-'Выборка 1'!AC158)+('Выборка 1'!AE158-'Выборка 1'!AD158)+('Выборка 1'!AF158-'Выборка 1'!AE158)+('Выборка 1'!AG158-'Выборка 1'!AF158))/4000</f>
        <v>0</v>
      </c>
      <c r="H158" s="17">
        <f>(('Выборка 1'!AI158-'Выборка 1'!AH158)+('Выборка 1'!AJ158-'Выборка 1'!AI158)+('Выборка 1'!AK158-'Выборка 1'!AJ158)+('Выборка 1'!AL158-'Выборка 1'!AK158))/4000</f>
        <v>2410.5</v>
      </c>
      <c r="I158" s="17">
        <f>(('Выборка 1'!AN158-'Выборка 1'!AM158)+('Выборка 1'!AO158-'Выборка 1'!AN158)+('Выборка 1'!AP158-'Выборка 1'!AO158)+('Выборка 1'!AQ158-'Выборка 1'!AP158))/4000</f>
        <v>-17405.25</v>
      </c>
      <c r="J158" s="17">
        <f>((('Выборка 1'!AS158+'Выборка 1'!AX158)-('Выборка 1'!AR158+'Выборка 1'!AW158))+(('Выборка 1'!AT158+'Выборка 1'!AY158)-('Выборка 1'!AS158+'Выборка 1'!AX158))+(('Выборка 1'!AU158+'Выборка 1'!AZ158)-('Выборка 1'!AT158+'Выборка 1'!AY158))+(('Выборка 1'!AV158+'Выборка 1'!BA158)-('Выборка 1'!AU158+'Выборка 1'!AZ158)))/4000</f>
        <v>-17231.5</v>
      </c>
      <c r="K158" s="17">
        <f>(('Выборка 1'!BC158-'Выборка 1'!BB158)+('Выборка 1'!BD158-'Выборка 1'!BC158)+('Выборка 1'!BE158-'Выборка 1'!BD158)+('Выборка 1'!BF158-'Выборка 1'!BE158))/4000</f>
        <v>0</v>
      </c>
      <c r="L158" s="17">
        <f t="shared" si="2"/>
        <v>-173.75</v>
      </c>
      <c r="M158" s="17">
        <f>((('Выборка 1'!BH158-'Выборка 1'!BM158)-('Выборка 1'!BG158-'Выборка 1'!BL158))+(('Выборка 1'!BI158-'Выборка 1'!BN158)-('Выборка 1'!BH158-'Выборка 1'!BM158))+(('Выборка 1'!BJ158-'Выборка 1'!BO158)-('Выборка 1'!BI158-'Выборка 1'!BN158))+(('Выборка 1'!BK158-'Выборка 1'!BP158)-('Выборка 1'!BJ158-'Выборка 1'!BO158)))/4000</f>
        <v>0</v>
      </c>
      <c r="N158" s="17">
        <f>(('Выборка 1'!BR158-'Выборка 1'!BQ158)+('Выборка 1'!BS158-'Выборка 1'!BR158)+('Выборка 1'!BT158-'Выборка 1'!BS158)+('Выборка 1'!BU158-'Выборка 1'!BT158))/4000</f>
        <v>-208.5</v>
      </c>
    </row>
    <row r="159" spans="1:14" x14ac:dyDescent="0.25">
      <c r="A159" s="17">
        <v>10</v>
      </c>
      <c r="B159" s="17">
        <f>(('Выборка 1'!E159-'Выборка 1'!D159)+('Выборка 1'!F159-'Выборка 1'!E159)+('Выборка 1'!G159-'Выборка 1'!F159)+('Выборка 1'!H159-'Выборка 1'!G159))/4000</f>
        <v>-834.25</v>
      </c>
      <c r="C159" s="17">
        <f>(('Выборка 1'!J159-'Выборка 1'!I159)+('Выборка 1'!K159-'Выборка 1'!J159)+('Выборка 1'!L159-'Выборка 1'!K159)+('Выборка 1'!M159-'Выборка 1'!L159))/4000</f>
        <v>-3775.5</v>
      </c>
      <c r="D159" s="17">
        <f>(('Выборка 1'!O159-'Выборка 1'!N159)+('Выборка 1'!P159-'Выборка 1'!O159)+('Выборка 1'!Q159-'Выборка 1'!P159)+('Выборка 1'!R159-'Выборка 1'!Q159))/4000</f>
        <v>-930.25</v>
      </c>
      <c r="E159" s="17">
        <f>(('Выборка 1'!T159-'Выборка 1'!S159)+('Выборка 1'!U159-'Выборка 1'!T159)+('Выборка 1'!V159-'Выборка 1'!U159)+('Выборка 1'!W159-'Выборка 1'!V159))/4000</f>
        <v>-17</v>
      </c>
      <c r="F159" s="17">
        <f>(('Выборка 1'!Y159-'Выборка 1'!X159)+('Выборка 1'!Z159+'Выборка 1'!Y159)+('Выборка 1'!AA159-'Выборка 1'!Z159)+('Выборка 1'!AB159-'Выборка 1'!AA159))/4000</f>
        <v>0</v>
      </c>
      <c r="G159" s="17">
        <f>(('Выборка 1'!AD159-'Выборка 1'!AC159)+('Выборка 1'!AE159-'Выборка 1'!AD159)+('Выборка 1'!AF159-'Выборка 1'!AE159)+('Выборка 1'!AG159-'Выборка 1'!AF159))/4000</f>
        <v>0</v>
      </c>
      <c r="H159" s="17">
        <f>(('Выборка 1'!AI159-'Выборка 1'!AH159)+('Выборка 1'!AJ159-'Выборка 1'!AI159)+('Выборка 1'!AK159-'Выборка 1'!AJ159)+('Выборка 1'!AL159-'Выборка 1'!AK159))/4000</f>
        <v>-118</v>
      </c>
      <c r="I159" s="17">
        <f>(('Выборка 1'!AN159-'Выборка 1'!AM159)+('Выборка 1'!AO159-'Выборка 1'!AN159)+('Выборка 1'!AP159-'Выборка 1'!AO159)+('Выборка 1'!AQ159-'Выборка 1'!AP159))/4000</f>
        <v>-11910.25</v>
      </c>
      <c r="J159" s="17">
        <f>((('Выборка 1'!AS159+'Выборка 1'!AX159)-('Выборка 1'!AR159+'Выборка 1'!AW159))+(('Выборка 1'!AT159+'Выборка 1'!AY159)-('Выборка 1'!AS159+'Выборка 1'!AX159))+(('Выборка 1'!AU159+'Выборка 1'!AZ159)-('Выборка 1'!AT159+'Выборка 1'!AY159))+(('Выборка 1'!AV159+'Выборка 1'!BA159)-('Выборка 1'!AU159+'Выборка 1'!AZ159)))/4000</f>
        <v>-11470.25</v>
      </c>
      <c r="K159" s="17">
        <f>(('Выборка 1'!BC159-'Выборка 1'!BB159)+('Выборка 1'!BD159-'Выборка 1'!BC159)+('Выборка 1'!BE159-'Выборка 1'!BD159)+('Выборка 1'!BF159-'Выборка 1'!BE159))/4000</f>
        <v>0</v>
      </c>
      <c r="L159" s="17">
        <f t="shared" si="2"/>
        <v>-440</v>
      </c>
      <c r="M159" s="17">
        <f>((('Выборка 1'!BH159-'Выборка 1'!BM159)-('Выборка 1'!BG159-'Выборка 1'!BL159))+(('Выборка 1'!BI159-'Выборка 1'!BN159)-('Выборка 1'!BH159-'Выборка 1'!BM159))+(('Выборка 1'!BJ159-'Выборка 1'!BO159)-('Выборка 1'!BI159-'Выборка 1'!BN159))+(('Выборка 1'!BK159-'Выборка 1'!BP159)-('Выборка 1'!BJ159-'Выборка 1'!BO159)))/4000</f>
        <v>366</v>
      </c>
      <c r="N159" s="17">
        <f>(('Выборка 1'!BR159-'Выборка 1'!BQ159)+('Выборка 1'!BS159-'Выборка 1'!BR159)+('Выборка 1'!BT159-'Выборка 1'!BS159)+('Выборка 1'!BU159-'Выборка 1'!BT159))/4000</f>
        <v>-59.25</v>
      </c>
    </row>
    <row r="160" spans="1:14" x14ac:dyDescent="0.25">
      <c r="A160" s="17">
        <v>28</v>
      </c>
      <c r="B160" s="17">
        <f>(('Выборка 1'!E160-'Выборка 1'!D160)+('Выборка 1'!F160-'Выборка 1'!E160)+('Выборка 1'!G160-'Выборка 1'!F160)+('Выборка 1'!H160-'Выборка 1'!G160))/4000</f>
        <v>0</v>
      </c>
      <c r="C160" s="17">
        <f>(('Выборка 1'!J160-'Выборка 1'!I160)+('Выборка 1'!K160-'Выборка 1'!J160)+('Выборка 1'!L160-'Выборка 1'!K160)+('Выборка 1'!M160-'Выборка 1'!L160))/4000</f>
        <v>0</v>
      </c>
      <c r="D160" s="17">
        <f>(('Выборка 1'!O160-'Выборка 1'!N160)+('Выборка 1'!P160-'Выборка 1'!O160)+('Выборка 1'!Q160-'Выборка 1'!P160)+('Выборка 1'!R160-'Выборка 1'!Q160))/4000</f>
        <v>0</v>
      </c>
      <c r="E160" s="17">
        <f>(('Выборка 1'!T160-'Выборка 1'!S160)+('Выборка 1'!U160-'Выборка 1'!T160)+('Выборка 1'!V160-'Выборка 1'!U160)+('Выборка 1'!W160-'Выборка 1'!V160))/4000</f>
        <v>0</v>
      </c>
      <c r="F160" s="17">
        <f>(('Выборка 1'!Y160-'Выборка 1'!X160)+('Выборка 1'!Z160+'Выборка 1'!Y160)+('Выборка 1'!AA160-'Выборка 1'!Z160)+('Выборка 1'!AB160-'Выборка 1'!AA160))/4000</f>
        <v>0</v>
      </c>
      <c r="G160" s="17">
        <f>(('Выборка 1'!AD160-'Выборка 1'!AC160)+('Выборка 1'!AE160-'Выборка 1'!AD160)+('Выборка 1'!AF160-'Выборка 1'!AE160)+('Выборка 1'!AG160-'Выборка 1'!AF160))/4000</f>
        <v>0</v>
      </c>
      <c r="H160" s="17">
        <f>(('Выборка 1'!AI160-'Выборка 1'!AH160)+('Выборка 1'!AJ160-'Выборка 1'!AI160)+('Выборка 1'!AK160-'Выборка 1'!AJ160)+('Выборка 1'!AL160-'Выборка 1'!AK160))/4000</f>
        <v>0</v>
      </c>
      <c r="I160" s="17">
        <f>(('Выборка 1'!AN160-'Выборка 1'!AM160)+('Выборка 1'!AO160-'Выборка 1'!AN160)+('Выборка 1'!AP160-'Выборка 1'!AO160)+('Выборка 1'!AQ160-'Выборка 1'!AP160))/4000</f>
        <v>0</v>
      </c>
      <c r="J160" s="17">
        <f>((('Выборка 1'!AS160+'Выборка 1'!AX160)-('Выборка 1'!AR160+'Выборка 1'!AW160))+(('Выборка 1'!AT160+'Выборка 1'!AY160)-('Выборка 1'!AS160+'Выборка 1'!AX160))+(('Выборка 1'!AU160+'Выборка 1'!AZ160)-('Выборка 1'!AT160+'Выборка 1'!AY160))+(('Выборка 1'!AV160+'Выборка 1'!BA160)-('Выборка 1'!AU160+'Выборка 1'!AZ160)))/4000</f>
        <v>0</v>
      </c>
      <c r="K160" s="17">
        <f>(('Выборка 1'!BC160-'Выборка 1'!BB160)+('Выборка 1'!BD160-'Выборка 1'!BC160)+('Выборка 1'!BE160-'Выборка 1'!BD160)+('Выборка 1'!BF160-'Выборка 1'!BE160))/4000</f>
        <v>0</v>
      </c>
      <c r="L160" s="17">
        <f t="shared" si="2"/>
        <v>0</v>
      </c>
      <c r="M160" s="17">
        <f>((('Выборка 1'!BH160-'Выборка 1'!BM160)-('Выборка 1'!BG160-'Выборка 1'!BL160))+(('Выборка 1'!BI160-'Выборка 1'!BN160)-('Выборка 1'!BH160-'Выборка 1'!BM160))+(('Выборка 1'!BJ160-'Выборка 1'!BO160)-('Выборка 1'!BI160-'Выборка 1'!BN160))+(('Выборка 1'!BK160-'Выборка 1'!BP160)-('Выборка 1'!BJ160-'Выборка 1'!BO160)))/4000</f>
        <v>0</v>
      </c>
      <c r="N160" s="17">
        <f>(('Выборка 1'!BR160-'Выборка 1'!BQ160)+('Выборка 1'!BS160-'Выборка 1'!BR160)+('Выборка 1'!BT160-'Выборка 1'!BS160)+('Выборка 1'!BU160-'Выборка 1'!BT160))/4000</f>
        <v>0</v>
      </c>
    </row>
    <row r="161" spans="1:14" x14ac:dyDescent="0.25">
      <c r="A161" s="17">
        <v>6</v>
      </c>
      <c r="B161" s="17">
        <f>(('Выборка 1'!E161-'Выборка 1'!D161)+('Выборка 1'!F161-'Выборка 1'!E161)+('Выборка 1'!G161-'Выборка 1'!F161)+('Выборка 1'!H161-'Выборка 1'!G161))/4000</f>
        <v>0</v>
      </c>
      <c r="C161" s="17">
        <f>(('Выборка 1'!J161-'Выборка 1'!I161)+('Выборка 1'!K161-'Выборка 1'!J161)+('Выборка 1'!L161-'Выборка 1'!K161)+('Выборка 1'!M161-'Выборка 1'!L161))/4000</f>
        <v>-3892.75</v>
      </c>
      <c r="D161" s="17">
        <f>(('Выборка 1'!O161-'Выборка 1'!N161)+('Выборка 1'!P161-'Выборка 1'!O161)+('Выборка 1'!Q161-'Выборка 1'!P161)+('Выборка 1'!R161-'Выборка 1'!Q161))/4000</f>
        <v>-443</v>
      </c>
      <c r="E161" s="17">
        <f>(('Выборка 1'!T161-'Выборка 1'!S161)+('Выборка 1'!U161-'Выборка 1'!T161)+('Выборка 1'!V161-'Выборка 1'!U161)+('Выборка 1'!W161-'Выборка 1'!V161))/4000</f>
        <v>-73</v>
      </c>
      <c r="F161" s="17">
        <f>(('Выборка 1'!Y161-'Выборка 1'!X161)+('Выборка 1'!Z161+'Выборка 1'!Y161)+('Выборка 1'!AA161-'Выборка 1'!Z161)+('Выборка 1'!AB161-'Выборка 1'!AA161))/4000</f>
        <v>-11325.5</v>
      </c>
      <c r="G161" s="17">
        <f>(('Выборка 1'!AD161-'Выборка 1'!AC161)+('Выборка 1'!AE161-'Выборка 1'!AD161)+('Выборка 1'!AF161-'Выборка 1'!AE161)+('Выборка 1'!AG161-'Выборка 1'!AF161))/4000</f>
        <v>-1104</v>
      </c>
      <c r="H161" s="17">
        <f>(('Выборка 1'!AI161-'Выборка 1'!AH161)+('Выборка 1'!AJ161-'Выборка 1'!AI161)+('Выборка 1'!AK161-'Выборка 1'!AJ161)+('Выборка 1'!AL161-'Выборка 1'!AK161))/4000</f>
        <v>8244.5</v>
      </c>
      <c r="I161" s="17">
        <f>(('Выборка 1'!AN161-'Выборка 1'!AM161)+('Выборка 1'!AO161-'Выборка 1'!AN161)+('Выборка 1'!AP161-'Выборка 1'!AO161)+('Выборка 1'!AQ161-'Выборка 1'!AP161))/4000</f>
        <v>-55357</v>
      </c>
      <c r="J161" s="17">
        <f>((('Выборка 1'!AS161+'Выборка 1'!AX161)-('Выборка 1'!AR161+'Выборка 1'!AW161))+(('Выборка 1'!AT161+'Выборка 1'!AY161)-('Выборка 1'!AS161+'Выборка 1'!AX161))+(('Выборка 1'!AU161+'Выборка 1'!AZ161)-('Выборка 1'!AT161+'Выборка 1'!AY161))+(('Выборка 1'!AV161+'Выборка 1'!BA161)-('Выборка 1'!AU161+'Выборка 1'!AZ161)))/4000</f>
        <v>-43629.5</v>
      </c>
      <c r="K161" s="17">
        <f>(('Выборка 1'!BC161-'Выборка 1'!BB161)+('Выборка 1'!BD161-'Выборка 1'!BC161)+('Выборка 1'!BE161-'Выборка 1'!BD161)+('Выборка 1'!BF161-'Выборка 1'!BE161))/4000</f>
        <v>675.75</v>
      </c>
      <c r="L161" s="17">
        <f t="shared" si="2"/>
        <v>-12403.25</v>
      </c>
      <c r="M161" s="17">
        <f>((('Выборка 1'!BH161-'Выборка 1'!BM161)-('Выборка 1'!BG161-'Выборка 1'!BL161))+(('Выборка 1'!BI161-'Выборка 1'!BN161)-('Выборка 1'!BH161-'Выборка 1'!BM161))+(('Выборка 1'!BJ161-'Выборка 1'!BO161)-('Выборка 1'!BI161-'Выборка 1'!BN161))+(('Выборка 1'!BK161-'Выборка 1'!BP161)-('Выборка 1'!BJ161-'Выборка 1'!BO161)))/4000</f>
        <v>7</v>
      </c>
      <c r="N161" s="17">
        <f>(('Выборка 1'!BR161-'Выборка 1'!BQ161)+('Выборка 1'!BS161-'Выборка 1'!BR161)+('Выборка 1'!BT161-'Выборка 1'!BS161)+('Выборка 1'!BU161-'Выборка 1'!BT161))/4000</f>
        <v>-12209.25</v>
      </c>
    </row>
    <row r="162" spans="1:14" x14ac:dyDescent="0.25">
      <c r="A162" s="17">
        <v>8</v>
      </c>
      <c r="B162" s="17">
        <f>(('Выборка 1'!E162-'Выборка 1'!D162)+('Выборка 1'!F162-'Выборка 1'!E162)+('Выборка 1'!G162-'Выборка 1'!F162)+('Выборка 1'!H162-'Выборка 1'!G162))/4000</f>
        <v>-1050.75</v>
      </c>
      <c r="C162" s="17">
        <f>(('Выборка 1'!J162-'Выборка 1'!I162)+('Выборка 1'!K162-'Выборка 1'!J162)+('Выборка 1'!L162-'Выборка 1'!K162)+('Выборка 1'!M162-'Выборка 1'!L162))/4000</f>
        <v>0</v>
      </c>
      <c r="D162" s="17">
        <f>(('Выборка 1'!O162-'Выборка 1'!N162)+('Выборка 1'!P162-'Выборка 1'!O162)+('Выборка 1'!Q162-'Выборка 1'!P162)+('Выборка 1'!R162-'Выборка 1'!Q162))/4000</f>
        <v>-1692</v>
      </c>
      <c r="E162" s="17">
        <f>(('Выборка 1'!T162-'Выборка 1'!S162)+('Выборка 1'!U162-'Выборка 1'!T162)+('Выборка 1'!V162-'Выборка 1'!U162)+('Выборка 1'!W162-'Выборка 1'!V162))/4000</f>
        <v>-60.5</v>
      </c>
      <c r="F162" s="17">
        <f>(('Выборка 1'!Y162-'Выборка 1'!X162)+('Выборка 1'!Z162+'Выборка 1'!Y162)+('Выборка 1'!AA162-'Выборка 1'!Z162)+('Выборка 1'!AB162-'Выборка 1'!AA162))/4000</f>
        <v>0</v>
      </c>
      <c r="G162" s="17">
        <f>(('Выборка 1'!AD162-'Выборка 1'!AC162)+('Выборка 1'!AE162-'Выборка 1'!AD162)+('Выборка 1'!AF162-'Выборка 1'!AE162)+('Выборка 1'!AG162-'Выборка 1'!AF162))/4000</f>
        <v>0</v>
      </c>
      <c r="H162" s="17">
        <f>(('Выборка 1'!AI162-'Выборка 1'!AH162)+('Выборка 1'!AJ162-'Выборка 1'!AI162)+('Выборка 1'!AK162-'Выборка 1'!AJ162)+('Выборка 1'!AL162-'Выборка 1'!AK162))/4000</f>
        <v>486.25</v>
      </c>
      <c r="I162" s="17">
        <f>(('Выборка 1'!AN162-'Выборка 1'!AM162)+('Выборка 1'!AO162-'Выборка 1'!AN162)+('Выборка 1'!AP162-'Выборка 1'!AO162)+('Выборка 1'!AQ162-'Выборка 1'!AP162))/4000</f>
        <v>-10366.25</v>
      </c>
      <c r="J162" s="17">
        <f>((('Выборка 1'!AS162+'Выборка 1'!AX162)-('Выборка 1'!AR162+'Выборка 1'!AW162))+(('Выборка 1'!AT162+'Выборка 1'!AY162)-('Выборка 1'!AS162+'Выборка 1'!AX162))+(('Выборка 1'!AU162+'Выборка 1'!AZ162)-('Выборка 1'!AT162+'Выборка 1'!AY162))+(('Выборка 1'!AV162+'Выборка 1'!BA162)-('Выборка 1'!AU162+'Выборка 1'!AZ162)))/4000</f>
        <v>-10307.25</v>
      </c>
      <c r="K162" s="17">
        <f>(('Выборка 1'!BC162-'Выборка 1'!BB162)+('Выборка 1'!BD162-'Выборка 1'!BC162)+('Выборка 1'!BE162-'Выборка 1'!BD162)+('Выборка 1'!BF162-'Выборка 1'!BE162))/4000</f>
        <v>0</v>
      </c>
      <c r="L162" s="17">
        <f t="shared" si="2"/>
        <v>-59</v>
      </c>
      <c r="M162" s="17">
        <f>((('Выборка 1'!BH162-'Выборка 1'!BM162)-('Выборка 1'!BG162-'Выборка 1'!BL162))+(('Выборка 1'!BI162-'Выборка 1'!BN162)-('Выборка 1'!BH162-'Выборка 1'!BM162))+(('Выборка 1'!BJ162-'Выборка 1'!BO162)-('Выборка 1'!BI162-'Выборка 1'!BN162))+(('Выборка 1'!BK162-'Выборка 1'!BP162)-('Выборка 1'!BJ162-'Выборка 1'!BO162)))/4000</f>
        <v>-117</v>
      </c>
      <c r="N162" s="17">
        <f>(('Выборка 1'!BR162-'Выборка 1'!BQ162)+('Выборка 1'!BS162-'Выборка 1'!BR162)+('Выборка 1'!BT162-'Выборка 1'!BS162)+('Выборка 1'!BU162-'Выборка 1'!BT162))/4000</f>
        <v>-114.5</v>
      </c>
    </row>
    <row r="163" spans="1:14" x14ac:dyDescent="0.25">
      <c r="A163" s="17">
        <v>19</v>
      </c>
      <c r="B163" s="17">
        <f>(('Выборка 1'!E163-'Выборка 1'!D163)+('Выборка 1'!F163-'Выборка 1'!E163)+('Выборка 1'!G163-'Выборка 1'!F163)+('Выборка 1'!H163-'Выборка 1'!G163))/4000</f>
        <v>0</v>
      </c>
      <c r="C163" s="17">
        <f>(('Выборка 1'!J163-'Выборка 1'!I163)+('Выборка 1'!K163-'Выборка 1'!J163)+('Выборка 1'!L163-'Выборка 1'!K163)+('Выборка 1'!M163-'Выборка 1'!L163))/4000</f>
        <v>0</v>
      </c>
      <c r="D163" s="17">
        <f>(('Выборка 1'!O163-'Выборка 1'!N163)+('Выборка 1'!P163-'Выборка 1'!O163)+('Выборка 1'!Q163-'Выборка 1'!P163)+('Выборка 1'!R163-'Выборка 1'!Q163))/4000</f>
        <v>-350</v>
      </c>
      <c r="E163" s="17">
        <f>(('Выборка 1'!T163-'Выборка 1'!S163)+('Выборка 1'!U163-'Выборка 1'!T163)+('Выборка 1'!V163-'Выборка 1'!U163)+('Выборка 1'!W163-'Выборка 1'!V163))/4000</f>
        <v>-5.5</v>
      </c>
      <c r="F163" s="17">
        <f>(('Выборка 1'!Y163-'Выборка 1'!X163)+('Выборка 1'!Z163+'Выборка 1'!Y163)+('Выборка 1'!AA163-'Выборка 1'!Z163)+('Выборка 1'!AB163-'Выборка 1'!AA163))/4000</f>
        <v>306.25</v>
      </c>
      <c r="G163" s="17">
        <f>(('Выборка 1'!AD163-'Выборка 1'!AC163)+('Выборка 1'!AE163-'Выборка 1'!AD163)+('Выборка 1'!AF163-'Выборка 1'!AE163)+('Выборка 1'!AG163-'Выборка 1'!AF163))/4000</f>
        <v>0</v>
      </c>
      <c r="H163" s="17">
        <f>(('Выборка 1'!AI163-'Выборка 1'!AH163)+('Выборка 1'!AJ163-'Выборка 1'!AI163)+('Выборка 1'!AK163-'Выборка 1'!AJ163)+('Выборка 1'!AL163-'Выборка 1'!AK163))/4000</f>
        <v>-695.5</v>
      </c>
      <c r="I163" s="17">
        <f>(('Выборка 1'!AN163-'Выборка 1'!AM163)+('Выборка 1'!AO163-'Выборка 1'!AN163)+('Выборка 1'!AP163-'Выборка 1'!AO163)+('Выборка 1'!AQ163-'Выборка 1'!AP163))/4000</f>
        <v>-190.75</v>
      </c>
      <c r="J163" s="17">
        <f>((('Выборка 1'!AS163+'Выборка 1'!AX163)-('Выборка 1'!AR163+'Выборка 1'!AW163))+(('Выборка 1'!AT163+'Выборка 1'!AY163)-('Выборка 1'!AS163+'Выборка 1'!AX163))+(('Выборка 1'!AU163+'Выборка 1'!AZ163)-('Выборка 1'!AT163+'Выборка 1'!AY163))+(('Выборка 1'!AV163+'Выборка 1'!BA163)-('Выборка 1'!AU163+'Выборка 1'!AZ163)))/4000</f>
        <v>-177.5</v>
      </c>
      <c r="K163" s="17">
        <f>(('Выборка 1'!BC163-'Выборка 1'!BB163)+('Выборка 1'!BD163-'Выборка 1'!BC163)+('Выборка 1'!BE163-'Выборка 1'!BD163)+('Выборка 1'!BF163-'Выборка 1'!BE163))/4000</f>
        <v>0</v>
      </c>
      <c r="L163" s="17">
        <f t="shared" si="2"/>
        <v>-13.25</v>
      </c>
      <c r="M163" s="17">
        <f>((('Выборка 1'!BH163-'Выборка 1'!BM163)-('Выборка 1'!BG163-'Выборка 1'!BL163))+(('Выборка 1'!BI163-'Выборка 1'!BN163)-('Выборка 1'!BH163-'Выборка 1'!BM163))+(('Выборка 1'!BJ163-'Выборка 1'!BO163)-('Выборка 1'!BI163-'Выборка 1'!BN163))+(('Выборка 1'!BK163-'Выборка 1'!BP163)-('Выборка 1'!BJ163-'Выборка 1'!BO163)))/4000</f>
        <v>-37.5</v>
      </c>
      <c r="N163" s="17">
        <f>(('Выборка 1'!BR163-'Выборка 1'!BQ163)+('Выборка 1'!BS163-'Выборка 1'!BR163)+('Выборка 1'!BT163-'Выборка 1'!BS163)+('Выборка 1'!BU163-'Выборка 1'!BT163))/4000</f>
        <v>-50.75</v>
      </c>
    </row>
    <row r="164" spans="1:14" x14ac:dyDescent="0.25">
      <c r="A164" s="17">
        <v>9</v>
      </c>
      <c r="B164" s="17">
        <f>(('Выборка 1'!E164-'Выборка 1'!D164)+('Выборка 1'!F164-'Выборка 1'!E164)+('Выборка 1'!G164-'Выборка 1'!F164)+('Выборка 1'!H164-'Выборка 1'!G164))/4000</f>
        <v>0</v>
      </c>
      <c r="C164" s="17">
        <f>(('Выборка 1'!J164-'Выборка 1'!I164)+('Выборка 1'!K164-'Выборка 1'!J164)+('Выборка 1'!L164-'Выборка 1'!K164)+('Выборка 1'!M164-'Выборка 1'!L164))/4000</f>
        <v>0</v>
      </c>
      <c r="D164" s="17">
        <f>(('Выборка 1'!O164-'Выборка 1'!N164)+('Выборка 1'!P164-'Выборка 1'!O164)+('Выборка 1'!Q164-'Выборка 1'!P164)+('Выборка 1'!R164-'Выборка 1'!Q164))/4000</f>
        <v>-1942.75</v>
      </c>
      <c r="E164" s="17">
        <f>(('Выборка 1'!T164-'Выборка 1'!S164)+('Выборка 1'!U164-'Выборка 1'!T164)+('Выборка 1'!V164-'Выборка 1'!U164)+('Выборка 1'!W164-'Выборка 1'!V164))/4000</f>
        <v>0</v>
      </c>
      <c r="F164" s="17">
        <f>(('Выборка 1'!Y164-'Выборка 1'!X164)+('Выборка 1'!Z164+'Выборка 1'!Y164)+('Выборка 1'!AA164-'Выборка 1'!Z164)+('Выборка 1'!AB164-'Выборка 1'!AA164))/4000</f>
        <v>0</v>
      </c>
      <c r="G164" s="17">
        <f>(('Выборка 1'!AD164-'Выборка 1'!AC164)+('Выборка 1'!AE164-'Выборка 1'!AD164)+('Выборка 1'!AF164-'Выборка 1'!AE164)+('Выборка 1'!AG164-'Выборка 1'!AF164))/4000</f>
        <v>0</v>
      </c>
      <c r="H164" s="17">
        <f>(('Выборка 1'!AI164-'Выборка 1'!AH164)+('Выборка 1'!AJ164-'Выборка 1'!AI164)+('Выборка 1'!AK164-'Выборка 1'!AJ164)+('Выборка 1'!AL164-'Выборка 1'!AK164))/4000</f>
        <v>-8898</v>
      </c>
      <c r="I164" s="17">
        <f>(('Выборка 1'!AN164-'Выборка 1'!AM164)+('Выборка 1'!AO164-'Выборка 1'!AN164)+('Выборка 1'!AP164-'Выборка 1'!AO164)+('Выборка 1'!AQ164-'Выборка 1'!AP164))/4000</f>
        <v>0</v>
      </c>
      <c r="J164" s="17">
        <f>((('Выборка 1'!AS164+'Выборка 1'!AX164)-('Выборка 1'!AR164+'Выборка 1'!AW164))+(('Выборка 1'!AT164+'Выборка 1'!AY164)-('Выборка 1'!AS164+'Выборка 1'!AX164))+(('Выборка 1'!AU164+'Выборка 1'!AZ164)-('Выборка 1'!AT164+'Выборка 1'!AY164))+(('Выборка 1'!AV164+'Выборка 1'!BA164)-('Выборка 1'!AU164+'Выборка 1'!AZ164)))/4000</f>
        <v>0</v>
      </c>
      <c r="K164" s="17">
        <f>(('Выборка 1'!BC164-'Выборка 1'!BB164)+('Выборка 1'!BD164-'Выборка 1'!BC164)+('Выборка 1'!BE164-'Выборка 1'!BD164)+('Выборка 1'!BF164-'Выборка 1'!BE164))/4000</f>
        <v>0</v>
      </c>
      <c r="L164" s="17">
        <f t="shared" si="2"/>
        <v>0</v>
      </c>
      <c r="M164" s="17">
        <f>((('Выборка 1'!BH164-'Выборка 1'!BM164)-('Выборка 1'!BG164-'Выборка 1'!BL164))+(('Выборка 1'!BI164-'Выборка 1'!BN164)-('Выборка 1'!BH164-'Выборка 1'!BM164))+(('Выборка 1'!BJ164-'Выборка 1'!BO164)-('Выборка 1'!BI164-'Выборка 1'!BN164))+(('Выборка 1'!BK164-'Выборка 1'!BP164)-('Выборка 1'!BJ164-'Выборка 1'!BO164)))/4000</f>
        <v>2148.75</v>
      </c>
      <c r="N164" s="17">
        <f>(('Выборка 1'!BR164-'Выборка 1'!BQ164)+('Выборка 1'!BS164-'Выборка 1'!BR164)+('Выборка 1'!BT164-'Выборка 1'!BS164)+('Выборка 1'!BU164-'Выборка 1'!BT164))/4000</f>
        <v>2148.75</v>
      </c>
    </row>
    <row r="165" spans="1:14" x14ac:dyDescent="0.25">
      <c r="A165" s="17">
        <v>11</v>
      </c>
      <c r="B165" s="17">
        <f>(('Выборка 1'!E165-'Выборка 1'!D165)+('Выборка 1'!F165-'Выборка 1'!E165)+('Выборка 1'!G165-'Выборка 1'!F165)+('Выборка 1'!H165-'Выборка 1'!G165))/4000</f>
        <v>0</v>
      </c>
      <c r="C165" s="17">
        <f>(('Выборка 1'!J165-'Выборка 1'!I165)+('Выборка 1'!K165-'Выборка 1'!J165)+('Выборка 1'!L165-'Выборка 1'!K165)+('Выборка 1'!M165-'Выборка 1'!L165))/4000</f>
        <v>0</v>
      </c>
      <c r="D165" s="17">
        <f>(('Выборка 1'!O165-'Выборка 1'!N165)+('Выборка 1'!P165-'Выборка 1'!O165)+('Выборка 1'!Q165-'Выборка 1'!P165)+('Выборка 1'!R165-'Выборка 1'!Q165))/4000</f>
        <v>-4326.5</v>
      </c>
      <c r="E165" s="17">
        <f>(('Выборка 1'!T165-'Выборка 1'!S165)+('Выборка 1'!U165-'Выборка 1'!T165)+('Выборка 1'!V165-'Выборка 1'!U165)+('Выборка 1'!W165-'Выборка 1'!V165))/4000</f>
        <v>549.25</v>
      </c>
      <c r="F165" s="17">
        <f>(('Выборка 1'!Y165-'Выборка 1'!X165)+('Выборка 1'!Z165+'Выборка 1'!Y165)+('Выборка 1'!AA165-'Выборка 1'!Z165)+('Выборка 1'!AB165-'Выборка 1'!AA165))/4000</f>
        <v>-20170.75</v>
      </c>
      <c r="G165" s="17">
        <f>(('Выборка 1'!AD165-'Выборка 1'!AC165)+('Выборка 1'!AE165-'Выборка 1'!AD165)+('Выборка 1'!AF165-'Выборка 1'!AE165)+('Выборка 1'!AG165-'Выборка 1'!AF165))/4000</f>
        <v>0</v>
      </c>
      <c r="H165" s="17">
        <f>(('Выборка 1'!AI165-'Выборка 1'!AH165)+('Выборка 1'!AJ165-'Выборка 1'!AI165)+('Выборка 1'!AK165-'Выборка 1'!AJ165)+('Выборка 1'!AL165-'Выборка 1'!AK165))/4000</f>
        <v>-3286</v>
      </c>
      <c r="I165" s="17">
        <f>(('Выборка 1'!AN165-'Выборка 1'!AM165)+('Выборка 1'!AO165-'Выборка 1'!AN165)+('Выборка 1'!AP165-'Выборка 1'!AO165)+('Выборка 1'!AQ165-'Выборка 1'!AP165))/4000</f>
        <v>0</v>
      </c>
      <c r="J165" s="17">
        <f>((('Выборка 1'!AS165+'Выборка 1'!AX165)-('Выборка 1'!AR165+'Выборка 1'!AW165))+(('Выборка 1'!AT165+'Выборка 1'!AY165)-('Выборка 1'!AS165+'Выборка 1'!AX165))+(('Выборка 1'!AU165+'Выборка 1'!AZ165)-('Выборка 1'!AT165+'Выборка 1'!AY165))+(('Выборка 1'!AV165+'Выборка 1'!BA165)-('Выборка 1'!AU165+'Выборка 1'!AZ165)))/4000</f>
        <v>0</v>
      </c>
      <c r="K165" s="17">
        <f>(('Выборка 1'!BC165-'Выборка 1'!BB165)+('Выборка 1'!BD165-'Выборка 1'!BC165)+('Выборка 1'!BE165-'Выборка 1'!BD165)+('Выборка 1'!BF165-'Выборка 1'!BE165))/4000</f>
        <v>0</v>
      </c>
      <c r="L165" s="17">
        <f t="shared" si="2"/>
        <v>0</v>
      </c>
      <c r="M165" s="17">
        <f>((('Выборка 1'!BH165-'Выборка 1'!BM165)-('Выборка 1'!BG165-'Выборка 1'!BL165))+(('Выборка 1'!BI165-'Выборка 1'!BN165)-('Выборка 1'!BH165-'Выборка 1'!BM165))+(('Выборка 1'!BJ165-'Выборка 1'!BO165)-('Выборка 1'!BI165-'Выборка 1'!BN165))+(('Выборка 1'!BK165-'Выборка 1'!BP165)-('Выборка 1'!BJ165-'Выборка 1'!BO165)))/4000</f>
        <v>697.75</v>
      </c>
      <c r="N165" s="17">
        <f>(('Выборка 1'!BR165-'Выборка 1'!BQ165)+('Выборка 1'!BS165-'Выборка 1'!BR165)+('Выборка 1'!BT165-'Выборка 1'!BS165)+('Выборка 1'!BU165-'Выборка 1'!BT165))/4000</f>
        <v>695</v>
      </c>
    </row>
    <row r="166" spans="1:14" x14ac:dyDescent="0.25">
      <c r="A166" s="17">
        <v>14</v>
      </c>
      <c r="B166" s="17">
        <f>(('Выборка 1'!E166-'Выборка 1'!D166)+('Выборка 1'!F166-'Выборка 1'!E166)+('Выборка 1'!G166-'Выборка 1'!F166)+('Выборка 1'!H166-'Выборка 1'!G166))/4000</f>
        <v>0</v>
      </c>
      <c r="C166" s="17">
        <f>(('Выборка 1'!J166-'Выборка 1'!I166)+('Выборка 1'!K166-'Выборка 1'!J166)+('Выборка 1'!L166-'Выборка 1'!K166)+('Выборка 1'!M166-'Выборка 1'!L166))/4000</f>
        <v>0</v>
      </c>
      <c r="D166" s="17">
        <f>(('Выборка 1'!O166-'Выборка 1'!N166)+('Выборка 1'!P166-'Выборка 1'!O166)+('Выборка 1'!Q166-'Выборка 1'!P166)+('Выборка 1'!R166-'Выборка 1'!Q166))/4000</f>
        <v>11192</v>
      </c>
      <c r="E166" s="17">
        <f>(('Выборка 1'!T166-'Выборка 1'!S166)+('Выборка 1'!U166-'Выборка 1'!T166)+('Выборка 1'!V166-'Выборка 1'!U166)+('Выборка 1'!W166-'Выборка 1'!V166))/4000</f>
        <v>-25</v>
      </c>
      <c r="F166" s="17">
        <f>(('Выборка 1'!Y166-'Выборка 1'!X166)+('Выборка 1'!Z166+'Выборка 1'!Y166)+('Выборка 1'!AA166-'Выборка 1'!Z166)+('Выборка 1'!AB166-'Выборка 1'!AA166))/4000</f>
        <v>-578.5</v>
      </c>
      <c r="G166" s="17">
        <f>(('Выборка 1'!AD166-'Выборка 1'!AC166)+('Выборка 1'!AE166-'Выборка 1'!AD166)+('Выборка 1'!AF166-'Выборка 1'!AE166)+('Выборка 1'!AG166-'Выборка 1'!AF166))/4000</f>
        <v>0</v>
      </c>
      <c r="H166" s="17">
        <f>(('Выборка 1'!AI166-'Выборка 1'!AH166)+('Выборка 1'!AJ166-'Выборка 1'!AI166)+('Выборка 1'!AK166-'Выборка 1'!AJ166)+('Выборка 1'!AL166-'Выборка 1'!AK166))/4000</f>
        <v>12325</v>
      </c>
      <c r="I166" s="17">
        <f>(('Выборка 1'!AN166-'Выборка 1'!AM166)+('Выборка 1'!AO166-'Выборка 1'!AN166)+('Выборка 1'!AP166-'Выборка 1'!AO166)+('Выборка 1'!AQ166-'Выборка 1'!AP166))/4000</f>
        <v>0</v>
      </c>
      <c r="J166" s="17">
        <f>((('Выборка 1'!AS166+'Выборка 1'!AX166)-('Выборка 1'!AR166+'Выборка 1'!AW166))+(('Выборка 1'!AT166+'Выборка 1'!AY166)-('Выборка 1'!AS166+'Выборка 1'!AX166))+(('Выборка 1'!AU166+'Выборка 1'!AZ166)-('Выборка 1'!AT166+'Выборка 1'!AY166))+(('Выборка 1'!AV166+'Выборка 1'!BA166)-('Выборка 1'!AU166+'Выборка 1'!AZ166)))/4000</f>
        <v>307.75</v>
      </c>
      <c r="K166" s="17">
        <f>(('Выборка 1'!BC166-'Выборка 1'!BB166)+('Выборка 1'!BD166-'Выборка 1'!BC166)+('Выборка 1'!BE166-'Выборка 1'!BD166)+('Выборка 1'!BF166-'Выборка 1'!BE166))/4000</f>
        <v>0</v>
      </c>
      <c r="L166" s="17">
        <f t="shared" si="2"/>
        <v>-307.75</v>
      </c>
      <c r="M166" s="17">
        <f>((('Выборка 1'!BH166-'Выборка 1'!BM166)-('Выборка 1'!BG166-'Выборка 1'!BL166))+(('Выборка 1'!BI166-'Выборка 1'!BN166)-('Выборка 1'!BH166-'Выборка 1'!BM166))+(('Выборка 1'!BJ166-'Выборка 1'!BO166)-('Выборка 1'!BI166-'Выборка 1'!BN166))+(('Выборка 1'!BK166-'Выборка 1'!BP166)-('Выборка 1'!BJ166-'Выборка 1'!BO166)))/4000</f>
        <v>-7</v>
      </c>
      <c r="N166" s="17">
        <f>(('Выборка 1'!BR166-'Выборка 1'!BQ166)+('Выборка 1'!BS166-'Выборка 1'!BR166)+('Выборка 1'!BT166-'Выборка 1'!BS166)+('Выборка 1'!BU166-'Выборка 1'!BT166))/4000</f>
        <v>-314.75</v>
      </c>
    </row>
    <row r="167" spans="1:14" x14ac:dyDescent="0.25">
      <c r="A167" s="17">
        <v>17</v>
      </c>
      <c r="B167" s="17">
        <f>(('Выборка 1'!E167-'Выборка 1'!D167)+('Выборка 1'!F167-'Выборка 1'!E167)+('Выборка 1'!G167-'Выборка 1'!F167)+('Выборка 1'!H167-'Выборка 1'!G167))/4000</f>
        <v>-72.5</v>
      </c>
      <c r="C167" s="17">
        <f>(('Выборка 1'!J167-'Выборка 1'!I167)+('Выборка 1'!K167-'Выборка 1'!J167)+('Выборка 1'!L167-'Выборка 1'!K167)+('Выборка 1'!M167-'Выборка 1'!L167))/4000</f>
        <v>-189.75</v>
      </c>
      <c r="D167" s="17">
        <f>(('Выборка 1'!O167-'Выборка 1'!N167)+('Выборка 1'!P167-'Выборка 1'!O167)+('Выборка 1'!Q167-'Выборка 1'!P167)+('Выборка 1'!R167-'Выборка 1'!Q167))/4000</f>
        <v>5924.5</v>
      </c>
      <c r="E167" s="17">
        <f>(('Выборка 1'!T167-'Выборка 1'!S167)+('Выборка 1'!U167-'Выборка 1'!T167)+('Выборка 1'!V167-'Выборка 1'!U167)+('Выборка 1'!W167-'Выборка 1'!V167))/4000</f>
        <v>-1308.25</v>
      </c>
      <c r="F167" s="17">
        <f>(('Выборка 1'!Y167-'Выборка 1'!X167)+('Выборка 1'!Z167+'Выборка 1'!Y167)+('Выборка 1'!AA167-'Выборка 1'!Z167)+('Выборка 1'!AB167-'Выборка 1'!AA167))/4000</f>
        <v>16979.75</v>
      </c>
      <c r="G167" s="17">
        <f>(('Выборка 1'!AD167-'Выборка 1'!AC167)+('Выборка 1'!AE167-'Выборка 1'!AD167)+('Выборка 1'!AF167-'Выборка 1'!AE167)+('Выборка 1'!AG167-'Выборка 1'!AF167))/4000</f>
        <v>0</v>
      </c>
      <c r="H167" s="17">
        <f>(('Выборка 1'!AI167-'Выборка 1'!AH167)+('Выборка 1'!AJ167-'Выборка 1'!AI167)+('Выборка 1'!AK167-'Выборка 1'!AJ167)+('Выборка 1'!AL167-'Выборка 1'!AK167))/4000</f>
        <v>3028.5</v>
      </c>
      <c r="I167" s="17">
        <f>(('Выборка 1'!AN167-'Выборка 1'!AM167)+('Выборка 1'!AO167-'Выборка 1'!AN167)+('Выборка 1'!AP167-'Выборка 1'!AO167)+('Выборка 1'!AQ167-'Выборка 1'!AP167))/4000</f>
        <v>-10855.75</v>
      </c>
      <c r="J167" s="17">
        <f>((('Выборка 1'!AS167+'Выборка 1'!AX167)-('Выборка 1'!AR167+'Выборка 1'!AW167))+(('Выборка 1'!AT167+'Выборка 1'!AY167)-('Выборка 1'!AS167+'Выборка 1'!AX167))+(('Выборка 1'!AU167+'Выборка 1'!AZ167)-('Выборка 1'!AT167+'Выборка 1'!AY167))+(('Выборка 1'!AV167+'Выборка 1'!BA167)-('Выборка 1'!AU167+'Выборка 1'!AZ167)))/4000</f>
        <v>-10184.5</v>
      </c>
      <c r="K167" s="17">
        <f>(('Выборка 1'!BC167-'Выборка 1'!BB167)+('Выборка 1'!BD167-'Выборка 1'!BC167)+('Выборка 1'!BE167-'Выборка 1'!BD167)+('Выборка 1'!BF167-'Выборка 1'!BE167))/4000</f>
        <v>0</v>
      </c>
      <c r="L167" s="17">
        <f t="shared" si="2"/>
        <v>-671.25</v>
      </c>
      <c r="M167" s="17">
        <f>((('Выборка 1'!BH167-'Выборка 1'!BM167)-('Выборка 1'!BG167-'Выборка 1'!BL167))+(('Выборка 1'!BI167-'Выборка 1'!BN167)-('Выборка 1'!BH167-'Выборка 1'!BM167))+(('Выборка 1'!BJ167-'Выборка 1'!BO167)-('Выборка 1'!BI167-'Выборка 1'!BN167))+(('Выборка 1'!BK167-'Выборка 1'!BP167)-('Выборка 1'!BJ167-'Выборка 1'!BO167)))/4000</f>
        <v>4733</v>
      </c>
      <c r="N167" s="17">
        <f>(('Выборка 1'!BR167-'Выборка 1'!BQ167)+('Выборка 1'!BS167-'Выборка 1'!BR167)+('Выборка 1'!BT167-'Выборка 1'!BS167)+('Выборка 1'!BU167-'Выборка 1'!BT167))/4000</f>
        <v>4148</v>
      </c>
    </row>
    <row r="168" spans="1:14" x14ac:dyDescent="0.25">
      <c r="A168" s="17">
        <v>11</v>
      </c>
      <c r="B168" s="17">
        <f>(('Выборка 1'!E168-'Выборка 1'!D168)+('Выборка 1'!F168-'Выборка 1'!E168)+('Выборка 1'!G168-'Выборка 1'!F168)+('Выборка 1'!H168-'Выборка 1'!G168))/4000</f>
        <v>-57346.5</v>
      </c>
      <c r="C168" s="17">
        <f>(('Выборка 1'!J168-'Выборка 1'!I168)+('Выборка 1'!K168-'Выборка 1'!J168)+('Выборка 1'!L168-'Выборка 1'!K168)+('Выборка 1'!M168-'Выборка 1'!L168))/4000</f>
        <v>2723.5</v>
      </c>
      <c r="D168" s="17">
        <f>(('Выборка 1'!O168-'Выборка 1'!N168)+('Выборка 1'!P168-'Выборка 1'!O168)+('Выборка 1'!Q168-'Выборка 1'!P168)+('Выборка 1'!R168-'Выборка 1'!Q168))/4000</f>
        <v>7828.5</v>
      </c>
      <c r="E168" s="17">
        <f>(('Выборка 1'!T168-'Выборка 1'!S168)+('Выборка 1'!U168-'Выборка 1'!T168)+('Выборка 1'!V168-'Выборка 1'!U168)+('Выборка 1'!W168-'Выборка 1'!V168))/4000</f>
        <v>-636.25</v>
      </c>
      <c r="F168" s="17">
        <f>(('Выборка 1'!Y168-'Выборка 1'!X168)+('Выборка 1'!Z168+'Выборка 1'!Y168)+('Выборка 1'!AA168-'Выборка 1'!Z168)+('Выборка 1'!AB168-'Выборка 1'!AA168))/4000</f>
        <v>-170089.5</v>
      </c>
      <c r="G168" s="17">
        <f>(('Выборка 1'!AD168-'Выборка 1'!AC168)+('Выборка 1'!AE168-'Выборка 1'!AD168)+('Выборка 1'!AF168-'Выборка 1'!AE168)+('Выборка 1'!AG168-'Выборка 1'!AF168))/4000</f>
        <v>-870.5</v>
      </c>
      <c r="H168" s="17">
        <f>(('Выборка 1'!AI168-'Выборка 1'!AH168)+('Выборка 1'!AJ168-'Выборка 1'!AI168)+('Выборка 1'!AK168-'Выборка 1'!AJ168)+('Выборка 1'!AL168-'Выборка 1'!AK168))/4000</f>
        <v>124696.75</v>
      </c>
      <c r="I168" s="17">
        <f>(('Выборка 1'!AN168-'Выборка 1'!AM168)+('Выборка 1'!AO168-'Выборка 1'!AN168)+('Выборка 1'!AP168-'Выборка 1'!AO168)+('Выборка 1'!AQ168-'Выборка 1'!AP168))/4000</f>
        <v>20033.5</v>
      </c>
      <c r="J168" s="17">
        <f>((('Выборка 1'!AS168+'Выборка 1'!AX168)-('Выборка 1'!AR168+'Выборка 1'!AW168))+(('Выборка 1'!AT168+'Выборка 1'!AY168)-('Выборка 1'!AS168+'Выборка 1'!AX168))+(('Выборка 1'!AU168+'Выборка 1'!AZ168)-('Выборка 1'!AT168+'Выборка 1'!AY168))+(('Выборка 1'!AV168+'Выборка 1'!BA168)-('Выборка 1'!AU168+'Выборка 1'!AZ168)))/4000</f>
        <v>18389.75</v>
      </c>
      <c r="K168" s="17">
        <f>(('Выборка 1'!BC168-'Выборка 1'!BB168)+('Выборка 1'!BD168-'Выборка 1'!BC168)+('Выборка 1'!BE168-'Выборка 1'!BD168)+('Выборка 1'!BF168-'Выборка 1'!BE168))/4000</f>
        <v>-1665</v>
      </c>
      <c r="L168" s="17">
        <f t="shared" si="2"/>
        <v>3308.75</v>
      </c>
      <c r="M168" s="17">
        <f>((('Выборка 1'!BH168-'Выборка 1'!BM168)-('Выборка 1'!BG168-'Выборка 1'!BL168))+(('Выборка 1'!BI168-'Выборка 1'!BN168)-('Выборка 1'!BH168-'Выборка 1'!BM168))+(('Выборка 1'!BJ168-'Выборка 1'!BO168)-('Выборка 1'!BI168-'Выборка 1'!BN168))+(('Выборка 1'!BK168-'Выборка 1'!BP168)-('Выборка 1'!BJ168-'Выборка 1'!BO168)))/4000</f>
        <v>-25809</v>
      </c>
      <c r="N168" s="17">
        <f>(('Выборка 1'!BR168-'Выборка 1'!BQ168)+('Выборка 1'!BS168-'Выборка 1'!BR168)+('Выборка 1'!BT168-'Выборка 1'!BS168)+('Выборка 1'!BU168-'Выборка 1'!BT168))/4000</f>
        <v>-11368.75</v>
      </c>
    </row>
    <row r="169" spans="1:14" x14ac:dyDescent="0.25">
      <c r="A169" s="17">
        <v>14</v>
      </c>
      <c r="B169" s="17">
        <f>(('Выборка 1'!E169-'Выборка 1'!D169)+('Выборка 1'!F169-'Выборка 1'!E169)+('Выборка 1'!G169-'Выборка 1'!F169)+('Выборка 1'!H169-'Выборка 1'!G169))/4000</f>
        <v>-1342.5</v>
      </c>
      <c r="C169" s="17">
        <f>(('Выборка 1'!J169-'Выборка 1'!I169)+('Выборка 1'!K169-'Выборка 1'!J169)+('Выборка 1'!L169-'Выборка 1'!K169)+('Выборка 1'!M169-'Выборка 1'!L169))/4000</f>
        <v>-29324.75</v>
      </c>
      <c r="D169" s="17">
        <f>(('Выборка 1'!O169-'Выборка 1'!N169)+('Выборка 1'!P169-'Выборка 1'!O169)+('Выборка 1'!Q169-'Выборка 1'!P169)+('Выборка 1'!R169-'Выборка 1'!Q169))/4000</f>
        <v>84386.5</v>
      </c>
      <c r="E169" s="17">
        <f>(('Выборка 1'!T169-'Выборка 1'!S169)+('Выборка 1'!U169-'Выборка 1'!T169)+('Выборка 1'!V169-'Выборка 1'!U169)+('Выборка 1'!W169-'Выборка 1'!V169))/4000</f>
        <v>-1.25</v>
      </c>
      <c r="F169" s="17">
        <f>(('Выборка 1'!Y169-'Выборка 1'!X169)+('Выборка 1'!Z169+'Выборка 1'!Y169)+('Выборка 1'!AA169-'Выборка 1'!Z169)+('Выборка 1'!AB169-'Выборка 1'!AA169))/4000</f>
        <v>-6563</v>
      </c>
      <c r="G169" s="17">
        <f>(('Выборка 1'!AD169-'Выборка 1'!AC169)+('Выборка 1'!AE169-'Выборка 1'!AD169)+('Выборка 1'!AF169-'Выборка 1'!AE169)+('Выборка 1'!AG169-'Выборка 1'!AF169))/4000</f>
        <v>-78</v>
      </c>
      <c r="H169" s="17">
        <f>(('Выборка 1'!AI169-'Выборка 1'!AH169)+('Выборка 1'!AJ169-'Выборка 1'!AI169)+('Выборка 1'!AK169-'Выборка 1'!AJ169)+('Выборка 1'!AL169-'Выборка 1'!AK169))/4000</f>
        <v>128664.25</v>
      </c>
      <c r="I169" s="17">
        <f>(('Выборка 1'!AN169-'Выборка 1'!AM169)+('Выборка 1'!AO169-'Выборка 1'!AN169)+('Выборка 1'!AP169-'Выборка 1'!AO169)+('Выборка 1'!AQ169-'Выборка 1'!AP169))/4000</f>
        <v>-102660</v>
      </c>
      <c r="J169" s="17">
        <f>((('Выборка 1'!AS169+'Выборка 1'!AX169)-('Выборка 1'!AR169+'Выборка 1'!AW169))+(('Выборка 1'!AT169+'Выборка 1'!AY169)-('Выборка 1'!AS169+'Выборка 1'!AX169))+(('Выборка 1'!AU169+'Выборка 1'!AZ169)-('Выборка 1'!AT169+'Выборка 1'!AY169))+(('Выборка 1'!AV169+'Выборка 1'!BA169)-('Выборка 1'!AU169+'Выборка 1'!AZ169)))/4000</f>
        <v>-93563.25</v>
      </c>
      <c r="K169" s="17">
        <f>(('Выборка 1'!BC169-'Выборка 1'!BB169)+('Выборка 1'!BD169-'Выборка 1'!BC169)+('Выборка 1'!BE169-'Выборка 1'!BD169)+('Выборка 1'!BF169-'Выборка 1'!BE169))/4000</f>
        <v>-6847.75</v>
      </c>
      <c r="L169" s="17">
        <f t="shared" si="2"/>
        <v>-2249</v>
      </c>
      <c r="M169" s="17">
        <f>((('Выборка 1'!BH169-'Выборка 1'!BM169)-('Выборка 1'!BG169-'Выборка 1'!BL169))+(('Выборка 1'!BI169-'Выборка 1'!BN169)-('Выборка 1'!BH169-'Выборка 1'!BM169))+(('Выборка 1'!BJ169-'Выборка 1'!BO169)-('Выборка 1'!BI169-'Выборка 1'!BN169))+(('Выборка 1'!BK169-'Выборка 1'!BP169)-('Выборка 1'!BJ169-'Выборка 1'!BO169)))/4000</f>
        <v>411.75</v>
      </c>
      <c r="N169" s="17">
        <f>(('Выборка 1'!BR169-'Выборка 1'!BQ169)+('Выборка 1'!BS169-'Выборка 1'!BR169)+('Выборка 1'!BT169-'Выборка 1'!BS169)+('Выборка 1'!BU169-'Выборка 1'!BT169))/4000</f>
        <v>-1810.75</v>
      </c>
    </row>
    <row r="170" spans="1:14" x14ac:dyDescent="0.25">
      <c r="A170" s="17">
        <v>32</v>
      </c>
      <c r="B170" s="17">
        <f>(('Выборка 1'!E170-'Выборка 1'!D170)+('Выборка 1'!F170-'Выборка 1'!E170)+('Выборка 1'!G170-'Выборка 1'!F170)+('Выборка 1'!H170-'Выборка 1'!G170))/4000</f>
        <v>-144845.5</v>
      </c>
      <c r="C170" s="17">
        <f>(('Выборка 1'!J170-'Выборка 1'!I170)+('Выборка 1'!K170-'Выборка 1'!J170)+('Выборка 1'!L170-'Выборка 1'!K170)+('Выборка 1'!M170-'Выборка 1'!L170))/4000</f>
        <v>-416459.75</v>
      </c>
      <c r="D170" s="17">
        <f>(('Выборка 1'!O170-'Выборка 1'!N170)+('Выборка 1'!P170-'Выборка 1'!O170)+('Выборка 1'!Q170-'Выборка 1'!P170)+('Выборка 1'!R170-'Выборка 1'!Q170))/4000</f>
        <v>-928624.25</v>
      </c>
      <c r="E170" s="17">
        <f>(('Выборка 1'!T170-'Выборка 1'!S170)+('Выборка 1'!U170-'Выборка 1'!T170)+('Выборка 1'!V170-'Выборка 1'!U170)+('Выборка 1'!W170-'Выборка 1'!V170))/4000</f>
        <v>22882.25</v>
      </c>
      <c r="F170" s="17">
        <f>(('Выборка 1'!Y170-'Выборка 1'!X170)+('Выборка 1'!Z170+'Выборка 1'!Y170)+('Выборка 1'!AA170-'Выборка 1'!Z170)+('Выборка 1'!AB170-'Выборка 1'!AA170))/4000</f>
        <v>-1520807</v>
      </c>
      <c r="G170" s="17">
        <f>(('Выборка 1'!AD170-'Выборка 1'!AC170)+('Выборка 1'!AE170-'Выборка 1'!AD170)+('Выборка 1'!AF170-'Выборка 1'!AE170)+('Выборка 1'!AG170-'Выборка 1'!AF170))/4000</f>
        <v>1261528.5</v>
      </c>
      <c r="H170" s="17">
        <f>(('Выборка 1'!AI170-'Выборка 1'!AH170)+('Выборка 1'!AJ170-'Выборка 1'!AI170)+('Выборка 1'!AK170-'Выборка 1'!AJ170)+('Выборка 1'!AL170-'Выборка 1'!AK170))/4000</f>
        <v>-197903.75</v>
      </c>
      <c r="I170" s="17">
        <f>(('Выборка 1'!AN170-'Выборка 1'!AM170)+('Выборка 1'!AO170-'Выборка 1'!AN170)+('Выборка 1'!AP170-'Выборка 1'!AO170)+('Выборка 1'!AQ170-'Выборка 1'!AP170))/4000</f>
        <v>-1623495.75</v>
      </c>
      <c r="J170" s="17">
        <f>((('Выборка 1'!AS170+'Выборка 1'!AX170)-('Выборка 1'!AR170+'Выборка 1'!AW170))+(('Выборка 1'!AT170+'Выборка 1'!AY170)-('Выборка 1'!AS170+'Выборка 1'!AX170))+(('Выборка 1'!AU170+'Выборка 1'!AZ170)-('Выборка 1'!AT170+'Выборка 1'!AY170))+(('Выборка 1'!AV170+'Выборка 1'!BA170)-('Выборка 1'!AU170+'Выборка 1'!AZ170)))/4000</f>
        <v>-1230585.5</v>
      </c>
      <c r="K170" s="17">
        <f>(('Выборка 1'!BC170-'Выборка 1'!BB170)+('Выборка 1'!BD170-'Выборка 1'!BC170)+('Выборка 1'!BE170-'Выборка 1'!BD170)+('Выборка 1'!BF170-'Выборка 1'!BE170))/4000</f>
        <v>-79236</v>
      </c>
      <c r="L170" s="17">
        <f t="shared" si="2"/>
        <v>-313674.25</v>
      </c>
      <c r="M170" s="17">
        <f>((('Выборка 1'!BH170-'Выборка 1'!BM170)-('Выборка 1'!BG170-'Выборка 1'!BL170))+(('Выборка 1'!BI170-'Выборка 1'!BN170)-('Выборка 1'!BH170-'Выборка 1'!BM170))+(('Выборка 1'!BJ170-'Выборка 1'!BO170)-('Выборка 1'!BI170-'Выборка 1'!BN170))+(('Выборка 1'!BK170-'Выборка 1'!BP170)-('Выборка 1'!BJ170-'Выборка 1'!BO170)))/4000</f>
        <v>417484.5</v>
      </c>
      <c r="N170" s="17">
        <f>(('Выборка 1'!BR170-'Выборка 1'!BQ170)+('Выборка 1'!BS170-'Выборка 1'!BR170)+('Выборка 1'!BT170-'Выборка 1'!BS170)+('Выборка 1'!BU170-'Выборка 1'!BT170))/4000</f>
        <v>212337.75</v>
      </c>
    </row>
    <row r="171" spans="1:14" x14ac:dyDescent="0.25">
      <c r="A171" s="17">
        <v>12</v>
      </c>
      <c r="B171" s="17">
        <f>(('Выборка 1'!E171-'Выборка 1'!D171)+('Выборка 1'!F171-'Выборка 1'!E171)+('Выборка 1'!G171-'Выборка 1'!F171)+('Выборка 1'!H171-'Выборка 1'!G171))/4000</f>
        <v>-71.5</v>
      </c>
      <c r="C171" s="17">
        <f>(('Выборка 1'!J171-'Выборка 1'!I171)+('Выборка 1'!K171-'Выборка 1'!J171)+('Выборка 1'!L171-'Выборка 1'!K171)+('Выборка 1'!M171-'Выборка 1'!L171))/4000</f>
        <v>294</v>
      </c>
      <c r="D171" s="17">
        <f>(('Выборка 1'!O171-'Выборка 1'!N171)+('Выборка 1'!P171-'Выборка 1'!O171)+('Выборка 1'!Q171-'Выборка 1'!P171)+('Выборка 1'!R171-'Выборка 1'!Q171))/4000</f>
        <v>1549.5</v>
      </c>
      <c r="E171" s="17">
        <f>(('Выборка 1'!T171-'Выборка 1'!S171)+('Выборка 1'!U171-'Выборка 1'!T171)+('Выборка 1'!V171-'Выборка 1'!U171)+('Выборка 1'!W171-'Выборка 1'!V171))/4000</f>
        <v>-75.5</v>
      </c>
      <c r="F171" s="17">
        <f>(('Выборка 1'!Y171-'Выборка 1'!X171)+('Выборка 1'!Z171+'Выборка 1'!Y171)+('Выборка 1'!AA171-'Выборка 1'!Z171)+('Выборка 1'!AB171-'Выборка 1'!AA171))/4000</f>
        <v>-13459.75</v>
      </c>
      <c r="G171" s="17">
        <f>(('Выборка 1'!AD171-'Выборка 1'!AC171)+('Выборка 1'!AE171-'Выборка 1'!AD171)+('Выборка 1'!AF171-'Выборка 1'!AE171)+('Выборка 1'!AG171-'Выборка 1'!AF171))/4000</f>
        <v>37.5</v>
      </c>
      <c r="H171" s="17">
        <f>(('Выборка 1'!AI171-'Выборка 1'!AH171)+('Выборка 1'!AJ171-'Выборка 1'!AI171)+('Выборка 1'!AK171-'Выборка 1'!AJ171)+('Выборка 1'!AL171-'Выборка 1'!AK171))/4000</f>
        <v>-809.25</v>
      </c>
      <c r="I171" s="17">
        <f>(('Выборка 1'!AN171-'Выборка 1'!AM171)+('Выборка 1'!AO171-'Выборка 1'!AN171)+('Выборка 1'!AP171-'Выборка 1'!AO171)+('Выборка 1'!AQ171-'Выборка 1'!AP171))/4000</f>
        <v>-15777.75</v>
      </c>
      <c r="J171" s="17">
        <f>((('Выборка 1'!AS171+'Выборка 1'!AX171)-('Выборка 1'!AR171+'Выборка 1'!AW171))+(('Выборка 1'!AT171+'Выборка 1'!AY171)-('Выборка 1'!AS171+'Выборка 1'!AX171))+(('Выборка 1'!AU171+'Выборка 1'!AZ171)-('Выборка 1'!AT171+'Выборка 1'!AY171))+(('Выборка 1'!AV171+'Выборка 1'!BA171)-('Выборка 1'!AU171+'Выборка 1'!AZ171)))/4000</f>
        <v>-13280.5</v>
      </c>
      <c r="K171" s="17">
        <f>(('Выборка 1'!BC171-'Выборка 1'!BB171)+('Выборка 1'!BD171-'Выборка 1'!BC171)+('Выборка 1'!BE171-'Выборка 1'!BD171)+('Выборка 1'!BF171-'Выборка 1'!BE171))/4000</f>
        <v>-2990.5</v>
      </c>
      <c r="L171" s="17">
        <f t="shared" si="2"/>
        <v>493.25</v>
      </c>
      <c r="M171" s="17">
        <f>((('Выборка 1'!BH171-'Выборка 1'!BM171)-('Выборка 1'!BG171-'Выборка 1'!BL171))+(('Выборка 1'!BI171-'Выборка 1'!BN171)-('Выборка 1'!BH171-'Выборка 1'!BM171))+(('Выборка 1'!BJ171-'Выборка 1'!BO171)-('Выборка 1'!BI171-'Выборка 1'!BN171))+(('Выборка 1'!BK171-'Выборка 1'!BP171)-('Выборка 1'!BJ171-'Выборка 1'!BO171)))/4000</f>
        <v>-523.75</v>
      </c>
      <c r="N171" s="17">
        <f>(('Выборка 1'!BR171-'Выборка 1'!BQ171)+('Выборка 1'!BS171-'Выборка 1'!BR171)+('Выборка 1'!BT171-'Выборка 1'!BS171)+('Выборка 1'!BU171-'Выборка 1'!BT171))/4000</f>
        <v>-30.25</v>
      </c>
    </row>
    <row r="172" spans="1:14" x14ac:dyDescent="0.25">
      <c r="A172" s="17">
        <v>22</v>
      </c>
      <c r="B172" s="17">
        <f>(('Выборка 1'!E172-'Выборка 1'!D172)+('Выборка 1'!F172-'Выборка 1'!E172)+('Выборка 1'!G172-'Выборка 1'!F172)+('Выборка 1'!H172-'Выборка 1'!G172))/4000</f>
        <v>-15427.75</v>
      </c>
      <c r="C172" s="17">
        <f>(('Выборка 1'!J172-'Выборка 1'!I172)+('Выборка 1'!K172-'Выборка 1'!J172)+('Выборка 1'!L172-'Выборка 1'!K172)+('Выборка 1'!M172-'Выборка 1'!L172))/4000</f>
        <v>0</v>
      </c>
      <c r="D172" s="17">
        <f>(('Выборка 1'!O172-'Выборка 1'!N172)+('Выборка 1'!P172-'Выборка 1'!O172)+('Выборка 1'!Q172-'Выборка 1'!P172)+('Выборка 1'!R172-'Выборка 1'!Q172))/4000</f>
        <v>-105600.25</v>
      </c>
      <c r="E172" s="17">
        <f>(('Выборка 1'!T172-'Выборка 1'!S172)+('Выборка 1'!U172-'Выборка 1'!T172)+('Выборка 1'!V172-'Выборка 1'!U172)+('Выборка 1'!W172-'Выборка 1'!V172))/4000</f>
        <v>98</v>
      </c>
      <c r="F172" s="17">
        <f>(('Выборка 1'!Y172-'Выборка 1'!X172)+('Выборка 1'!Z172+'Выборка 1'!Y172)+('Выборка 1'!AA172-'Выборка 1'!Z172)+('Выборка 1'!AB172-'Выборка 1'!AA172))/4000</f>
        <v>-2175389</v>
      </c>
      <c r="G172" s="17">
        <f>(('Выборка 1'!AD172-'Выборка 1'!AC172)+('Выборка 1'!AE172-'Выборка 1'!AD172)+('Выборка 1'!AF172-'Выборка 1'!AE172)+('Выборка 1'!AG172-'Выборка 1'!AF172))/4000</f>
        <v>-226316.75</v>
      </c>
      <c r="H172" s="17">
        <f>(('Выборка 1'!AI172-'Выборка 1'!AH172)+('Выборка 1'!AJ172-'Выборка 1'!AI172)+('Выборка 1'!AK172-'Выборка 1'!AJ172)+('Выборка 1'!AL172-'Выборка 1'!AK172))/4000</f>
        <v>-157519.75</v>
      </c>
      <c r="I172" s="17">
        <f>(('Выборка 1'!AN172-'Выборка 1'!AM172)+('Выборка 1'!AO172-'Выборка 1'!AN172)+('Выборка 1'!AP172-'Выборка 1'!AO172)+('Выборка 1'!AQ172-'Выборка 1'!AP172))/4000</f>
        <v>0</v>
      </c>
      <c r="J172" s="17">
        <f>((('Выборка 1'!AS172+'Выборка 1'!AX172)-('Выборка 1'!AR172+'Выборка 1'!AW172))+(('Выборка 1'!AT172+'Выборка 1'!AY172)-('Выборка 1'!AS172+'Выборка 1'!AX172))+(('Выборка 1'!AU172+'Выборка 1'!AZ172)-('Выборка 1'!AT172+'Выборка 1'!AY172))+(('Выборка 1'!AV172+'Выборка 1'!BA172)-('Выборка 1'!AU172+'Выборка 1'!AZ172)))/4000</f>
        <v>0</v>
      </c>
      <c r="K172" s="17">
        <f>(('Выборка 1'!BC172-'Выборка 1'!BB172)+('Выборка 1'!BD172-'Выборка 1'!BC172)+('Выборка 1'!BE172-'Выборка 1'!BD172)+('Выборка 1'!BF172-'Выборка 1'!BE172))/4000</f>
        <v>0</v>
      </c>
      <c r="L172" s="17">
        <f t="shared" si="2"/>
        <v>0</v>
      </c>
      <c r="M172" s="17">
        <f>((('Выборка 1'!BH172-'Выборка 1'!BM172)-('Выборка 1'!BG172-'Выборка 1'!BL172))+(('Выборка 1'!BI172-'Выборка 1'!BN172)-('Выборка 1'!BH172-'Выборка 1'!BM172))+(('Выборка 1'!BJ172-'Выборка 1'!BO172)-('Выборка 1'!BI172-'Выборка 1'!BN172))+(('Выборка 1'!BK172-'Выборка 1'!BP172)-('Выборка 1'!BJ172-'Выборка 1'!BO172)))/4000</f>
        <v>0</v>
      </c>
      <c r="N172" s="17">
        <f>(('Выборка 1'!BR172-'Выборка 1'!BQ172)+('Выборка 1'!BS172-'Выборка 1'!BR172)+('Выборка 1'!BT172-'Выборка 1'!BS172)+('Выборка 1'!BU172-'Выборка 1'!BT172))/4000</f>
        <v>0</v>
      </c>
    </row>
    <row r="173" spans="1:14" x14ac:dyDescent="0.25">
      <c r="A173" s="17">
        <v>23</v>
      </c>
      <c r="B173" s="17">
        <f>(('Выборка 1'!E173-'Выборка 1'!D173)+('Выборка 1'!F173-'Выборка 1'!E173)+('Выборка 1'!G173-'Выборка 1'!F173)+('Выборка 1'!H173-'Выборка 1'!G173))/4000</f>
        <v>-21273</v>
      </c>
      <c r="C173" s="17">
        <f>(('Выборка 1'!J173-'Выборка 1'!I173)+('Выборка 1'!K173-'Выборка 1'!J173)+('Выборка 1'!L173-'Выборка 1'!K173)+('Выборка 1'!M173-'Выборка 1'!L173))/4000</f>
        <v>0</v>
      </c>
      <c r="D173" s="17">
        <f>(('Выборка 1'!O173-'Выборка 1'!N173)+('Выборка 1'!P173-'Выборка 1'!O173)+('Выборка 1'!Q173-'Выборка 1'!P173)+('Выборка 1'!R173-'Выборка 1'!Q173))/4000</f>
        <v>-1370</v>
      </c>
      <c r="E173" s="17">
        <f>(('Выборка 1'!T173-'Выборка 1'!S173)+('Выборка 1'!U173-'Выборка 1'!T173)+('Выборка 1'!V173-'Выборка 1'!U173)+('Выборка 1'!W173-'Выборка 1'!V173))/4000</f>
        <v>457.5</v>
      </c>
      <c r="F173" s="17">
        <f>(('Выборка 1'!Y173-'Выборка 1'!X173)+('Выборка 1'!Z173+'Выборка 1'!Y173)+('Выборка 1'!AA173-'Выборка 1'!Z173)+('Выборка 1'!AB173-'Выборка 1'!AA173))/4000</f>
        <v>-189340</v>
      </c>
      <c r="G173" s="17">
        <f>(('Выборка 1'!AD173-'Выборка 1'!AC173)+('Выборка 1'!AE173-'Выборка 1'!AD173)+('Выборка 1'!AF173-'Выборка 1'!AE173)+('Выборка 1'!AG173-'Выборка 1'!AF173))/4000</f>
        <v>0</v>
      </c>
      <c r="H173" s="17">
        <f>(('Выборка 1'!AI173-'Выборка 1'!AH173)+('Выборка 1'!AJ173-'Выборка 1'!AI173)+('Выборка 1'!AK173-'Выборка 1'!AJ173)+('Выборка 1'!AL173-'Выборка 1'!AK173))/4000</f>
        <v>-678.75</v>
      </c>
      <c r="I173" s="17">
        <f>(('Выборка 1'!AN173-'Выборка 1'!AM173)+('Выборка 1'!AO173-'Выборка 1'!AN173)+('Выборка 1'!AP173-'Выборка 1'!AO173)+('Выборка 1'!AQ173-'Выборка 1'!AP173))/4000</f>
        <v>437</v>
      </c>
      <c r="J173" s="17">
        <f>((('Выборка 1'!AS173+'Выборка 1'!AX173)-('Выборка 1'!AR173+'Выборка 1'!AW173))+(('Выборка 1'!AT173+'Выборка 1'!AY173)-('Выборка 1'!AS173+'Выборка 1'!AX173))+(('Выборка 1'!AU173+'Выборка 1'!AZ173)-('Выборка 1'!AT173+'Выборка 1'!AY173))+(('Выборка 1'!AV173+'Выборка 1'!BA173)-('Выборка 1'!AU173+'Выборка 1'!AZ173)))/4000</f>
        <v>0</v>
      </c>
      <c r="K173" s="17">
        <f>(('Выборка 1'!BC173-'Выборка 1'!BB173)+('Выборка 1'!BD173-'Выборка 1'!BC173)+('Выборка 1'!BE173-'Выборка 1'!BD173)+('Выборка 1'!BF173-'Выборка 1'!BE173))/4000</f>
        <v>361.5</v>
      </c>
      <c r="L173" s="17">
        <f t="shared" si="2"/>
        <v>75.5</v>
      </c>
      <c r="M173" s="17">
        <f>((('Выборка 1'!BH173-'Выборка 1'!BM173)-('Выборка 1'!BG173-'Выборка 1'!BL173))+(('Выборка 1'!BI173-'Выборка 1'!BN173)-('Выборка 1'!BH173-'Выборка 1'!BM173))+(('Выборка 1'!BJ173-'Выборка 1'!BO173)-('Выборка 1'!BI173-'Выборка 1'!BN173))+(('Выборка 1'!BK173-'Выборка 1'!BP173)-('Выборка 1'!BJ173-'Выборка 1'!BO173)))/4000</f>
        <v>52432.75</v>
      </c>
      <c r="N173" s="17">
        <f>(('Выборка 1'!BR173-'Выборка 1'!BQ173)+('Выборка 1'!BS173-'Выборка 1'!BR173)+('Выборка 1'!BT173-'Выборка 1'!BS173)+('Выборка 1'!BU173-'Выборка 1'!BT173))/4000</f>
        <v>52649.75</v>
      </c>
    </row>
    <row r="174" spans="1:14" x14ac:dyDescent="0.25">
      <c r="A174" s="17">
        <v>23</v>
      </c>
      <c r="B174" s="17">
        <f>(('Выборка 1'!E174-'Выборка 1'!D174)+('Выборка 1'!F174-'Выборка 1'!E174)+('Выборка 1'!G174-'Выборка 1'!F174)+('Выборка 1'!H174-'Выборка 1'!G174))/4000</f>
        <v>-21637</v>
      </c>
      <c r="C174" s="17">
        <f>(('Выборка 1'!J174-'Выборка 1'!I174)+('Выборка 1'!K174-'Выборка 1'!J174)+('Выборка 1'!L174-'Выборка 1'!K174)+('Выборка 1'!M174-'Выборка 1'!L174))/4000</f>
        <v>-2229.75</v>
      </c>
      <c r="D174" s="17">
        <f>(('Выборка 1'!O174-'Выборка 1'!N174)+('Выборка 1'!P174-'Выборка 1'!O174)+('Выборка 1'!Q174-'Выборка 1'!P174)+('Выборка 1'!R174-'Выборка 1'!Q174))/4000</f>
        <v>-45607</v>
      </c>
      <c r="E174" s="17">
        <f>(('Выборка 1'!T174-'Выборка 1'!S174)+('Выборка 1'!U174-'Выборка 1'!T174)+('Выборка 1'!V174-'Выборка 1'!U174)+('Выборка 1'!W174-'Выборка 1'!V174))/4000</f>
        <v>-4767.5</v>
      </c>
      <c r="F174" s="17">
        <f>(('Выборка 1'!Y174-'Выборка 1'!X174)+('Выборка 1'!Z174+'Выборка 1'!Y174)+('Выборка 1'!AA174-'Выборка 1'!Z174)+('Выборка 1'!AB174-'Выборка 1'!AA174))/4000</f>
        <v>-163333</v>
      </c>
      <c r="G174" s="17">
        <f>(('Выборка 1'!AD174-'Выборка 1'!AC174)+('Выборка 1'!AE174-'Выборка 1'!AD174)+('Выборка 1'!AF174-'Выборка 1'!AE174)+('Выборка 1'!AG174-'Выборка 1'!AF174))/4000</f>
        <v>35840</v>
      </c>
      <c r="H174" s="17">
        <f>(('Выборка 1'!AI174-'Выборка 1'!AH174)+('Выборка 1'!AJ174-'Выборка 1'!AI174)+('Выборка 1'!AK174-'Выборка 1'!AJ174)+('Выборка 1'!AL174-'Выборка 1'!AK174))/4000</f>
        <v>166953.5</v>
      </c>
      <c r="I174" s="17">
        <f>(('Выборка 1'!AN174-'Выборка 1'!AM174)+('Выборка 1'!AO174-'Выборка 1'!AN174)+('Выборка 1'!AP174-'Выборка 1'!AO174)+('Выборка 1'!AQ174-'Выборка 1'!AP174))/4000</f>
        <v>-163550.75</v>
      </c>
      <c r="J174" s="17">
        <f>((('Выборка 1'!AS174+'Выборка 1'!AX174)-('Выборка 1'!AR174+'Выборка 1'!AW174))+(('Выборка 1'!AT174+'Выборка 1'!AY174)-('Выборка 1'!AS174+'Выборка 1'!AX174))+(('Выборка 1'!AU174+'Выборка 1'!AZ174)-('Выборка 1'!AT174+'Выборка 1'!AY174))+(('Выборка 1'!AV174+'Выборка 1'!BA174)-('Выборка 1'!AU174+'Выборка 1'!AZ174)))/4000</f>
        <v>-162322.75</v>
      </c>
      <c r="K174" s="17">
        <f>(('Выборка 1'!BC174-'Выборка 1'!BB174)+('Выборка 1'!BD174-'Выборка 1'!BC174)+('Выборка 1'!BE174-'Выборка 1'!BD174)+('Выборка 1'!BF174-'Выборка 1'!BE174))/4000</f>
        <v>-891.75</v>
      </c>
      <c r="L174" s="17">
        <f t="shared" si="2"/>
        <v>-336.25</v>
      </c>
      <c r="M174" s="17">
        <f>((('Выборка 1'!BH174-'Выборка 1'!BM174)-('Выборка 1'!BG174-'Выборка 1'!BL174))+(('Выборка 1'!BI174-'Выборка 1'!BN174)-('Выборка 1'!BH174-'Выборка 1'!BM174))+(('Выборка 1'!BJ174-'Выборка 1'!BO174)-('Выборка 1'!BI174-'Выборка 1'!BN174))+(('Выборка 1'!BK174-'Выборка 1'!BP174)-('Выборка 1'!BJ174-'Выборка 1'!BO174)))/4000</f>
        <v>-20921.5</v>
      </c>
      <c r="N174" s="17">
        <f>(('Выборка 1'!BR174-'Выборка 1'!BQ174)+('Выборка 1'!BS174-'Выборка 1'!BR174)+('Выборка 1'!BT174-'Выборка 1'!BS174)+('Выборка 1'!BU174-'Выборка 1'!BT174))/4000</f>
        <v>-10785</v>
      </c>
    </row>
    <row r="175" spans="1:14" x14ac:dyDescent="0.25">
      <c r="A175" s="17">
        <v>16</v>
      </c>
      <c r="B175" s="17">
        <f>(('Выборка 1'!E175-'Выборка 1'!D175)+('Выборка 1'!F175-'Выборка 1'!E175)+('Выборка 1'!G175-'Выборка 1'!F175)+('Выборка 1'!H175-'Выборка 1'!G175))/4000</f>
        <v>258.75</v>
      </c>
      <c r="C175" s="17">
        <f>(('Выборка 1'!J175-'Выборка 1'!I175)+('Выборка 1'!K175-'Выборка 1'!J175)+('Выборка 1'!L175-'Выборка 1'!K175)+('Выборка 1'!M175-'Выборка 1'!L175))/4000</f>
        <v>0</v>
      </c>
      <c r="D175" s="17">
        <f>(('Выборка 1'!O175-'Выборка 1'!N175)+('Выборка 1'!P175-'Выборка 1'!O175)+('Выборка 1'!Q175-'Выборка 1'!P175)+('Выборка 1'!R175-'Выборка 1'!Q175))/4000</f>
        <v>2375</v>
      </c>
      <c r="E175" s="17">
        <f>(('Выборка 1'!T175-'Выборка 1'!S175)+('Выборка 1'!U175-'Выборка 1'!T175)+('Выборка 1'!V175-'Выборка 1'!U175)+('Выборка 1'!W175-'Выборка 1'!V175))/4000</f>
        <v>1798.75</v>
      </c>
      <c r="F175" s="17">
        <f>(('Выборка 1'!Y175-'Выборка 1'!X175)+('Выборка 1'!Z175+'Выборка 1'!Y175)+('Выборка 1'!AA175-'Выборка 1'!Z175)+('Выборка 1'!AB175-'Выборка 1'!AA175))/4000</f>
        <v>0</v>
      </c>
      <c r="G175" s="17">
        <f>(('Выборка 1'!AD175-'Выборка 1'!AC175)+('Выборка 1'!AE175-'Выборка 1'!AD175)+('Выборка 1'!AF175-'Выборка 1'!AE175)+('Выборка 1'!AG175-'Выборка 1'!AF175))/4000</f>
        <v>0</v>
      </c>
      <c r="H175" s="17">
        <f>(('Выборка 1'!AI175-'Выборка 1'!AH175)+('Выборка 1'!AJ175-'Выборка 1'!AI175)+('Выборка 1'!AK175-'Выборка 1'!AJ175)+('Выборка 1'!AL175-'Выборка 1'!AK175))/4000</f>
        <v>83957.5</v>
      </c>
      <c r="I175" s="17">
        <f>(('Выборка 1'!AN175-'Выборка 1'!AM175)+('Выборка 1'!AO175-'Выборка 1'!AN175)+('Выборка 1'!AP175-'Выборка 1'!AO175)+('Выборка 1'!AQ175-'Выборка 1'!AP175))/4000</f>
        <v>549.25</v>
      </c>
      <c r="J175" s="17">
        <f>((('Выборка 1'!AS175+'Выборка 1'!AX175)-('Выборка 1'!AR175+'Выборка 1'!AW175))+(('Выборка 1'!AT175+'Выборка 1'!AY175)-('Выборка 1'!AS175+'Выборка 1'!AX175))+(('Выборка 1'!AU175+'Выборка 1'!AZ175)-('Выборка 1'!AT175+'Выборка 1'!AY175))+(('Выборка 1'!AV175+'Выборка 1'!BA175)-('Выборка 1'!AU175+'Выборка 1'!AZ175)))/4000</f>
        <v>4117</v>
      </c>
      <c r="K175" s="17">
        <f>(('Выборка 1'!BC175-'Выборка 1'!BB175)+('Выборка 1'!BD175-'Выборка 1'!BC175)+('Выборка 1'!BE175-'Выборка 1'!BD175)+('Выборка 1'!BF175-'Выборка 1'!BE175))/4000</f>
        <v>0</v>
      </c>
      <c r="L175" s="17">
        <f t="shared" si="2"/>
        <v>-3567.75</v>
      </c>
      <c r="M175" s="17">
        <f>((('Выборка 1'!BH175-'Выборка 1'!BM175)-('Выборка 1'!BG175-'Выборка 1'!BL175))+(('Выборка 1'!BI175-'Выборка 1'!BN175)-('Выборка 1'!BH175-'Выборка 1'!BM175))+(('Выборка 1'!BJ175-'Выборка 1'!BO175)-('Выборка 1'!BI175-'Выборка 1'!BN175))+(('Выборка 1'!BK175-'Выборка 1'!BP175)-('Выборка 1'!BJ175-'Выборка 1'!BO175)))/4000</f>
        <v>-232090.5</v>
      </c>
      <c r="N175" s="17">
        <f>(('Выборка 1'!BR175-'Выборка 1'!BQ175)+('Выборка 1'!BS175-'Выборка 1'!BR175)+('Выборка 1'!BT175-'Выборка 1'!BS175)+('Выборка 1'!BU175-'Выборка 1'!BT175))/4000</f>
        <v>-235658.25</v>
      </c>
    </row>
    <row r="176" spans="1:14" x14ac:dyDescent="0.25">
      <c r="A176" s="17">
        <v>14</v>
      </c>
      <c r="B176" s="17">
        <f>(('Выборка 1'!E176-'Выборка 1'!D176)+('Выборка 1'!F176-'Выборка 1'!E176)+('Выборка 1'!G176-'Выборка 1'!F176)+('Выборка 1'!H176-'Выборка 1'!G176))/4000</f>
        <v>-3149.5</v>
      </c>
      <c r="C176" s="17">
        <f>(('Выборка 1'!J176-'Выборка 1'!I176)+('Выборка 1'!K176-'Выборка 1'!J176)+('Выборка 1'!L176-'Выборка 1'!K176)+('Выборка 1'!M176-'Выборка 1'!L176))/4000</f>
        <v>-1148.5</v>
      </c>
      <c r="D176" s="17">
        <f>(('Выборка 1'!O176-'Выборка 1'!N176)+('Выборка 1'!P176-'Выборка 1'!O176)+('Выборка 1'!Q176-'Выборка 1'!P176)+('Выборка 1'!R176-'Выборка 1'!Q176))/4000</f>
        <v>-4863.25</v>
      </c>
      <c r="E176" s="17">
        <f>(('Выборка 1'!T176-'Выборка 1'!S176)+('Выборка 1'!U176-'Выборка 1'!T176)+('Выборка 1'!V176-'Выборка 1'!U176)+('Выборка 1'!W176-'Выборка 1'!V176))/4000</f>
        <v>-120.25</v>
      </c>
      <c r="F176" s="17">
        <f>(('Выборка 1'!Y176-'Выборка 1'!X176)+('Выборка 1'!Z176+'Выборка 1'!Y176)+('Выборка 1'!AA176-'Выборка 1'!Z176)+('Выборка 1'!AB176-'Выборка 1'!AA176))/4000</f>
        <v>-155032.25</v>
      </c>
      <c r="G176" s="17">
        <f>(('Выборка 1'!AD176-'Выборка 1'!AC176)+('Выборка 1'!AE176-'Выборка 1'!AD176)+('Выборка 1'!AF176-'Выборка 1'!AE176)+('Выборка 1'!AG176-'Выборка 1'!AF176))/4000</f>
        <v>0</v>
      </c>
      <c r="H176" s="17">
        <f>(('Выборка 1'!AI176-'Выборка 1'!AH176)+('Выборка 1'!AJ176-'Выборка 1'!AI176)+('Выборка 1'!AK176-'Выборка 1'!AJ176)+('Выборка 1'!AL176-'Выборка 1'!AK176))/4000</f>
        <v>-4829.75</v>
      </c>
      <c r="I176" s="17">
        <f>(('Выборка 1'!AN176-'Выборка 1'!AM176)+('Выборка 1'!AO176-'Выборка 1'!AN176)+('Выборка 1'!AP176-'Выборка 1'!AO176)+('Выборка 1'!AQ176-'Выборка 1'!AP176))/4000</f>
        <v>-17685.25</v>
      </c>
      <c r="J176" s="17">
        <f>((('Выборка 1'!AS176+'Выборка 1'!AX176)-('Выборка 1'!AR176+'Выборка 1'!AW176))+(('Выборка 1'!AT176+'Выборка 1'!AY176)-('Выборка 1'!AS176+'Выборка 1'!AX176))+(('Выборка 1'!AU176+'Выборка 1'!AZ176)-('Выборка 1'!AT176+'Выборка 1'!AY176))+(('Выборка 1'!AV176+'Выборка 1'!BA176)-('Выборка 1'!AU176+'Выборка 1'!AZ176)))/4000</f>
        <v>-13114.75</v>
      </c>
      <c r="K176" s="17">
        <f>(('Выборка 1'!BC176-'Выборка 1'!BB176)+('Выборка 1'!BD176-'Выборка 1'!BC176)+('Выборка 1'!BE176-'Выборка 1'!BD176)+('Выборка 1'!BF176-'Выборка 1'!BE176))/4000</f>
        <v>-5797</v>
      </c>
      <c r="L176" s="17">
        <f t="shared" si="2"/>
        <v>1226.5</v>
      </c>
      <c r="M176" s="17">
        <f>((('Выборка 1'!BH176-'Выборка 1'!BM176)-('Выборка 1'!BG176-'Выборка 1'!BL176))+(('Выборка 1'!BI176-'Выборка 1'!BN176)-('Выборка 1'!BH176-'Выборка 1'!BM176))+(('Выборка 1'!BJ176-'Выборка 1'!BO176)-('Выборка 1'!BI176-'Выборка 1'!BN176))+(('Выборка 1'!BK176-'Выборка 1'!BP176)-('Выборка 1'!BJ176-'Выборка 1'!BO176)))/4000</f>
        <v>-2009.25</v>
      </c>
      <c r="N176" s="17">
        <f>(('Выборка 1'!BR176-'Выборка 1'!BQ176)+('Выборка 1'!BS176-'Выборка 1'!BR176)+('Выборка 1'!BT176-'Выборка 1'!BS176)+('Выборка 1'!BU176-'Выборка 1'!BT176))/4000</f>
        <v>-571</v>
      </c>
    </row>
    <row r="177" spans="1:14" x14ac:dyDescent="0.25">
      <c r="A177" s="17">
        <v>13</v>
      </c>
      <c r="B177" s="17">
        <f>(('Выборка 1'!E177-'Выборка 1'!D177)+('Выборка 1'!F177-'Выборка 1'!E177)+('Выборка 1'!G177-'Выборка 1'!F177)+('Выборка 1'!H177-'Выборка 1'!G177))/4000</f>
        <v>0</v>
      </c>
      <c r="C177" s="17">
        <f>(('Выборка 1'!J177-'Выборка 1'!I177)+('Выборка 1'!K177-'Выборка 1'!J177)+('Выборка 1'!L177-'Выборка 1'!K177)+('Выборка 1'!M177-'Выборка 1'!L177))/4000</f>
        <v>0</v>
      </c>
      <c r="D177" s="17">
        <f>(('Выборка 1'!O177-'Выборка 1'!N177)+('Выборка 1'!P177-'Выборка 1'!O177)+('Выборка 1'!Q177-'Выборка 1'!P177)+('Выборка 1'!R177-'Выборка 1'!Q177))/4000</f>
        <v>-7.5</v>
      </c>
      <c r="E177" s="17">
        <f>(('Выборка 1'!T177-'Выборка 1'!S177)+('Выборка 1'!U177-'Выборка 1'!T177)+('Выборка 1'!V177-'Выборка 1'!U177)+('Выборка 1'!W177-'Выборка 1'!V177))/4000</f>
        <v>-142.5</v>
      </c>
      <c r="F177" s="17">
        <f>(('Выборка 1'!Y177-'Выборка 1'!X177)+('Выборка 1'!Z177+'Выборка 1'!Y177)+('Выборка 1'!AA177-'Выборка 1'!Z177)+('Выборка 1'!AB177-'Выборка 1'!AA177))/4000</f>
        <v>-7214.5</v>
      </c>
      <c r="G177" s="17">
        <f>(('Выборка 1'!AD177-'Выборка 1'!AC177)+('Выборка 1'!AE177-'Выборка 1'!AD177)+('Выборка 1'!AF177-'Выборка 1'!AE177)+('Выборка 1'!AG177-'Выборка 1'!AF177))/4000</f>
        <v>0</v>
      </c>
      <c r="H177" s="17">
        <f>(('Выборка 1'!AI177-'Выборка 1'!AH177)+('Выборка 1'!AJ177-'Выборка 1'!AI177)+('Выборка 1'!AK177-'Выборка 1'!AJ177)+('Выборка 1'!AL177-'Выборка 1'!AK177))/4000</f>
        <v>-59.75</v>
      </c>
      <c r="I177" s="17">
        <f>(('Выборка 1'!AN177-'Выборка 1'!AM177)+('Выборка 1'!AO177-'Выборка 1'!AN177)+('Выборка 1'!AP177-'Выборка 1'!AO177)+('Выборка 1'!AQ177-'Выборка 1'!AP177))/4000</f>
        <v>0</v>
      </c>
      <c r="J177" s="17">
        <f>((('Выборка 1'!AS177+'Выборка 1'!AX177)-('Выборка 1'!AR177+'Выборка 1'!AW177))+(('Выборка 1'!AT177+'Выборка 1'!AY177)-('Выборка 1'!AS177+'Выборка 1'!AX177))+(('Выборка 1'!AU177+'Выборка 1'!AZ177)-('Выборка 1'!AT177+'Выборка 1'!AY177))+(('Выборка 1'!AV177+'Выборка 1'!BA177)-('Выборка 1'!AU177+'Выборка 1'!AZ177)))/4000</f>
        <v>-90</v>
      </c>
      <c r="K177" s="17">
        <f>(('Выборка 1'!BC177-'Выборка 1'!BB177)+('Выборка 1'!BD177-'Выборка 1'!BC177)+('Выборка 1'!BE177-'Выборка 1'!BD177)+('Выборка 1'!BF177-'Выборка 1'!BE177))/4000</f>
        <v>0</v>
      </c>
      <c r="L177" s="17">
        <f t="shared" si="2"/>
        <v>90</v>
      </c>
      <c r="M177" s="17">
        <f>((('Выборка 1'!BH177-'Выборка 1'!BM177)-('Выборка 1'!BG177-'Выборка 1'!BL177))+(('Выборка 1'!BI177-'Выборка 1'!BN177)-('Выборка 1'!BH177-'Выборка 1'!BM177))+(('Выборка 1'!BJ177-'Выборка 1'!BO177)-('Выборка 1'!BI177-'Выборка 1'!BN177))+(('Выборка 1'!BK177-'Выборка 1'!BP177)-('Выборка 1'!BJ177-'Выборка 1'!BO177)))/4000</f>
        <v>246.5</v>
      </c>
      <c r="N177" s="17">
        <f>(('Выборка 1'!BR177-'Выборка 1'!BQ177)+('Выборка 1'!BS177-'Выборка 1'!BR177)+('Выборка 1'!BT177-'Выборка 1'!BS177)+('Выборка 1'!BU177-'Выборка 1'!BT177))/4000</f>
        <v>356.75</v>
      </c>
    </row>
    <row r="178" spans="1:14" x14ac:dyDescent="0.25">
      <c r="A178" s="17">
        <v>23</v>
      </c>
      <c r="B178" s="17">
        <f>(('Выборка 1'!E178-'Выборка 1'!D178)+('Выборка 1'!F178-'Выборка 1'!E178)+('Выборка 1'!G178-'Выборка 1'!F178)+('Выборка 1'!H178-'Выборка 1'!G178))/4000</f>
        <v>0</v>
      </c>
      <c r="C178" s="17">
        <f>(('Выборка 1'!J178-'Выборка 1'!I178)+('Выборка 1'!K178-'Выборка 1'!J178)+('Выборка 1'!L178-'Выборка 1'!K178)+('Выборка 1'!M178-'Выборка 1'!L178))/4000</f>
        <v>0</v>
      </c>
      <c r="D178" s="17">
        <f>(('Выборка 1'!O178-'Выборка 1'!N178)+('Выборка 1'!P178-'Выборка 1'!O178)+('Выборка 1'!Q178-'Выборка 1'!P178)+('Выборка 1'!R178-'Выборка 1'!Q178))/4000</f>
        <v>0</v>
      </c>
      <c r="E178" s="17">
        <f>(('Выборка 1'!T178-'Выборка 1'!S178)+('Выборка 1'!U178-'Выборка 1'!T178)+('Выборка 1'!V178-'Выборка 1'!U178)+('Выборка 1'!W178-'Выборка 1'!V178))/4000</f>
        <v>0</v>
      </c>
      <c r="F178" s="17">
        <f>(('Выборка 1'!Y178-'Выборка 1'!X178)+('Выборка 1'!Z178+'Выборка 1'!Y178)+('Выборка 1'!AA178-'Выборка 1'!Z178)+('Выборка 1'!AB178-'Выборка 1'!AA178))/4000</f>
        <v>0</v>
      </c>
      <c r="G178" s="17">
        <f>(('Выборка 1'!AD178-'Выборка 1'!AC178)+('Выборка 1'!AE178-'Выборка 1'!AD178)+('Выборка 1'!AF178-'Выборка 1'!AE178)+('Выборка 1'!AG178-'Выборка 1'!AF178))/4000</f>
        <v>0</v>
      </c>
      <c r="H178" s="17">
        <f>(('Выборка 1'!AI178-'Выборка 1'!AH178)+('Выборка 1'!AJ178-'Выборка 1'!AI178)+('Выборка 1'!AK178-'Выборка 1'!AJ178)+('Выборка 1'!AL178-'Выборка 1'!AK178))/4000</f>
        <v>0</v>
      </c>
      <c r="I178" s="17">
        <f>(('Выборка 1'!AN178-'Выборка 1'!AM178)+('Выборка 1'!AO178-'Выборка 1'!AN178)+('Выборка 1'!AP178-'Выборка 1'!AO178)+('Выборка 1'!AQ178-'Выборка 1'!AP178))/4000</f>
        <v>0</v>
      </c>
      <c r="J178" s="17">
        <f>((('Выборка 1'!AS178+'Выборка 1'!AX178)-('Выборка 1'!AR178+'Выборка 1'!AW178))+(('Выборка 1'!AT178+'Выборка 1'!AY178)-('Выборка 1'!AS178+'Выборка 1'!AX178))+(('Выборка 1'!AU178+'Выборка 1'!AZ178)-('Выборка 1'!AT178+'Выборка 1'!AY178))+(('Выборка 1'!AV178+'Выборка 1'!BA178)-('Выборка 1'!AU178+'Выборка 1'!AZ178)))/4000</f>
        <v>0</v>
      </c>
      <c r="K178" s="17">
        <f>(('Выборка 1'!BC178-'Выборка 1'!BB178)+('Выборка 1'!BD178-'Выборка 1'!BC178)+('Выборка 1'!BE178-'Выборка 1'!BD178)+('Выборка 1'!BF178-'Выборка 1'!BE178))/4000</f>
        <v>0</v>
      </c>
      <c r="L178" s="17">
        <f t="shared" si="2"/>
        <v>0</v>
      </c>
      <c r="M178" s="17">
        <f>((('Выборка 1'!BH178-'Выборка 1'!BM178)-('Выборка 1'!BG178-'Выборка 1'!BL178))+(('Выборка 1'!BI178-'Выборка 1'!BN178)-('Выборка 1'!BH178-'Выборка 1'!BM178))+(('Выборка 1'!BJ178-'Выборка 1'!BO178)-('Выборка 1'!BI178-'Выборка 1'!BN178))+(('Выборка 1'!BK178-'Выборка 1'!BP178)-('Выборка 1'!BJ178-'Выборка 1'!BO178)))/4000</f>
        <v>0</v>
      </c>
      <c r="N178" s="17">
        <f>(('Выборка 1'!BR178-'Выборка 1'!BQ178)+('Выборка 1'!BS178-'Выборка 1'!BR178)+('Выборка 1'!BT178-'Выборка 1'!BS178)+('Выборка 1'!BU178-'Выборка 1'!BT178))/4000</f>
        <v>0</v>
      </c>
    </row>
    <row r="179" spans="1:14" x14ac:dyDescent="0.25">
      <c r="A179" s="17">
        <v>15</v>
      </c>
      <c r="B179" s="17">
        <f>(('Выборка 1'!E179-'Выборка 1'!D179)+('Выборка 1'!F179-'Выборка 1'!E179)+('Выборка 1'!G179-'Выборка 1'!F179)+('Выборка 1'!H179-'Выборка 1'!G179))/4000</f>
        <v>62291</v>
      </c>
      <c r="C179" s="17">
        <f>(('Выборка 1'!J179-'Выборка 1'!I179)+('Выборка 1'!K179-'Выборка 1'!J179)+('Выборка 1'!L179-'Выборка 1'!K179)+('Выборка 1'!M179-'Выборка 1'!L179))/4000</f>
        <v>-804.25</v>
      </c>
      <c r="D179" s="17">
        <f>(('Выборка 1'!O179-'Выборка 1'!N179)+('Выборка 1'!P179-'Выборка 1'!O179)+('Выборка 1'!Q179-'Выборка 1'!P179)+('Выборка 1'!R179-'Выборка 1'!Q179))/4000</f>
        <v>22768.5</v>
      </c>
      <c r="E179" s="17">
        <f>(('Выборка 1'!T179-'Выборка 1'!S179)+('Выборка 1'!U179-'Выборка 1'!T179)+('Выборка 1'!V179-'Выборка 1'!U179)+('Выборка 1'!W179-'Выборка 1'!V179))/4000</f>
        <v>-26</v>
      </c>
      <c r="F179" s="17">
        <f>(('Выборка 1'!Y179-'Выборка 1'!X179)+('Выборка 1'!Z179+'Выборка 1'!Y179)+('Выборка 1'!AA179-'Выборка 1'!Z179)+('Выборка 1'!AB179-'Выборка 1'!AA179))/4000</f>
        <v>-32937.25</v>
      </c>
      <c r="G179" s="17">
        <f>(('Выборка 1'!AD179-'Выборка 1'!AC179)+('Выборка 1'!AE179-'Выборка 1'!AD179)+('Выборка 1'!AF179-'Выборка 1'!AE179)+('Выборка 1'!AG179-'Выборка 1'!AF179))/4000</f>
        <v>10</v>
      </c>
      <c r="H179" s="17">
        <f>(('Выборка 1'!AI179-'Выборка 1'!AH179)+('Выборка 1'!AJ179-'Выборка 1'!AI179)+('Выборка 1'!AK179-'Выборка 1'!AJ179)+('Выборка 1'!AL179-'Выборка 1'!AK179))/4000</f>
        <v>57035</v>
      </c>
      <c r="I179" s="17">
        <f>(('Выборка 1'!AN179-'Выборка 1'!AM179)+('Выборка 1'!AO179-'Выборка 1'!AN179)+('Выборка 1'!AP179-'Выборка 1'!AO179)+('Выборка 1'!AQ179-'Выборка 1'!AP179))/4000</f>
        <v>-17013.5</v>
      </c>
      <c r="J179" s="17">
        <f>((('Выборка 1'!AS179+'Выборка 1'!AX179)-('Выборка 1'!AR179+'Выборка 1'!AW179))+(('Выборка 1'!AT179+'Выборка 1'!AY179)-('Выборка 1'!AS179+'Выборка 1'!AX179))+(('Выборка 1'!AU179+'Выборка 1'!AZ179)-('Выборка 1'!AT179+'Выборка 1'!AY179))+(('Выборка 1'!AV179+'Выборка 1'!BA179)-('Выборка 1'!AU179+'Выборка 1'!AZ179)))/4000</f>
        <v>-9038.75</v>
      </c>
      <c r="K179" s="17">
        <f>(('Выборка 1'!BC179-'Выборка 1'!BB179)+('Выборка 1'!BD179-'Выборка 1'!BC179)+('Выборка 1'!BE179-'Выборка 1'!BD179)+('Выборка 1'!BF179-'Выборка 1'!BE179))/4000</f>
        <v>1783.75</v>
      </c>
      <c r="L179" s="17">
        <f t="shared" si="2"/>
        <v>-9758.5</v>
      </c>
      <c r="M179" s="17">
        <f>((('Выборка 1'!BH179-'Выборка 1'!BM179)-('Выборка 1'!BG179-'Выборка 1'!BL179))+(('Выборка 1'!BI179-'Выборка 1'!BN179)-('Выборка 1'!BH179-'Выборка 1'!BM179))+(('Выборка 1'!BJ179-'Выборка 1'!BO179)-('Выборка 1'!BI179-'Выборка 1'!BN179))+(('Выборка 1'!BK179-'Выборка 1'!BP179)-('Выборка 1'!BJ179-'Выборка 1'!BO179)))/4000</f>
        <v>-31349</v>
      </c>
      <c r="N179" s="17">
        <f>(('Выборка 1'!BR179-'Выборка 1'!BQ179)+('Выборка 1'!BS179-'Выборка 1'!BR179)+('Выборка 1'!BT179-'Выборка 1'!BS179)+('Выборка 1'!BU179-'Выборка 1'!BT179))/4000</f>
        <v>-43503.5</v>
      </c>
    </row>
    <row r="180" spans="1:14" x14ac:dyDescent="0.25">
      <c r="A180" s="17">
        <v>19</v>
      </c>
      <c r="B180" s="17">
        <f>(('Выборка 1'!E180-'Выборка 1'!D180)+('Выборка 1'!F180-'Выборка 1'!E180)+('Выборка 1'!G180-'Выборка 1'!F180)+('Выборка 1'!H180-'Выборка 1'!G180))/4000</f>
        <v>-12439.75</v>
      </c>
      <c r="C180" s="17">
        <f>(('Выборка 1'!J180-'Выборка 1'!I180)+('Выборка 1'!K180-'Выборка 1'!J180)+('Выборка 1'!L180-'Выборка 1'!K180)+('Выборка 1'!M180-'Выборка 1'!L180))/4000</f>
        <v>-246</v>
      </c>
      <c r="D180" s="17">
        <f>(('Выборка 1'!O180-'Выборка 1'!N180)+('Выборка 1'!P180-'Выборка 1'!O180)+('Выборка 1'!Q180-'Выборка 1'!P180)+('Выборка 1'!R180-'Выборка 1'!Q180))/4000</f>
        <v>-4240.25</v>
      </c>
      <c r="E180" s="17">
        <f>(('Выборка 1'!T180-'Выборка 1'!S180)+('Выборка 1'!U180-'Выборка 1'!T180)+('Выборка 1'!V180-'Выборка 1'!U180)+('Выборка 1'!W180-'Выборка 1'!V180))/4000</f>
        <v>0</v>
      </c>
      <c r="F180" s="17">
        <f>(('Выборка 1'!Y180-'Выборка 1'!X180)+('Выборка 1'!Z180+'Выборка 1'!Y180)+('Выборка 1'!AA180-'Выборка 1'!Z180)+('Выборка 1'!AB180-'Выборка 1'!AA180))/4000</f>
        <v>-14146.5</v>
      </c>
      <c r="G180" s="17">
        <f>(('Выборка 1'!AD180-'Выборка 1'!AC180)+('Выборка 1'!AE180-'Выборка 1'!AD180)+('Выборка 1'!AF180-'Выборка 1'!AE180)+('Выборка 1'!AG180-'Выборка 1'!AF180))/4000</f>
        <v>-703.25</v>
      </c>
      <c r="H180" s="17">
        <f>(('Выборка 1'!AI180-'Выборка 1'!AH180)+('Выборка 1'!AJ180-'Выборка 1'!AI180)+('Выборка 1'!AK180-'Выборка 1'!AJ180)+('Выборка 1'!AL180-'Выборка 1'!AK180))/4000</f>
        <v>-2073.75</v>
      </c>
      <c r="I180" s="17">
        <f>(('Выборка 1'!AN180-'Выборка 1'!AM180)+('Выборка 1'!AO180-'Выборка 1'!AN180)+('Выборка 1'!AP180-'Выборка 1'!AO180)+('Выборка 1'!AQ180-'Выборка 1'!AP180))/4000</f>
        <v>-958.5</v>
      </c>
      <c r="J180" s="17">
        <f>((('Выборка 1'!AS180+'Выборка 1'!AX180)-('Выборка 1'!AR180+'Выборка 1'!AW180))+(('Выборка 1'!AT180+'Выборка 1'!AY180)-('Выборка 1'!AS180+'Выборка 1'!AX180))+(('Выборка 1'!AU180+'Выборка 1'!AZ180)-('Выборка 1'!AT180+'Выборка 1'!AY180))+(('Выборка 1'!AV180+'Выборка 1'!BA180)-('Выборка 1'!AU180+'Выборка 1'!AZ180)))/4000</f>
        <v>0</v>
      </c>
      <c r="K180" s="17">
        <f>(('Выборка 1'!BC180-'Выборка 1'!BB180)+('Выборка 1'!BD180-'Выборка 1'!BC180)+('Выборка 1'!BE180-'Выборка 1'!BD180)+('Выборка 1'!BF180-'Выборка 1'!BE180))/4000</f>
        <v>-1101.25</v>
      </c>
      <c r="L180" s="17">
        <f t="shared" si="2"/>
        <v>142.75</v>
      </c>
      <c r="M180" s="17">
        <f>((('Выборка 1'!BH180-'Выборка 1'!BM180)-('Выборка 1'!BG180-'Выборка 1'!BL180))+(('Выборка 1'!BI180-'Выборка 1'!BN180)-('Выборка 1'!BH180-'Выборка 1'!BM180))+(('Выборка 1'!BJ180-'Выборка 1'!BO180)-('Выборка 1'!BI180-'Выборка 1'!BN180))+(('Выборка 1'!BK180-'Выборка 1'!BP180)-('Выборка 1'!BJ180-'Выборка 1'!BO180)))/4000</f>
        <v>-172.5</v>
      </c>
      <c r="N180" s="17">
        <f>(('Выборка 1'!BR180-'Выборка 1'!BQ180)+('Выборка 1'!BS180-'Выборка 1'!BR180)+('Выборка 1'!BT180-'Выборка 1'!BS180)+('Выборка 1'!BU180-'Выборка 1'!BT180))/4000</f>
        <v>-23.75</v>
      </c>
    </row>
    <row r="181" spans="1:14" x14ac:dyDescent="0.25">
      <c r="A181" s="17">
        <v>32</v>
      </c>
      <c r="B181" s="17">
        <f>(('Выборка 1'!E181-'Выборка 1'!D181)+('Выборка 1'!F181-'Выборка 1'!E181)+('Выборка 1'!G181-'Выборка 1'!F181)+('Выборка 1'!H181-'Выборка 1'!G181))/4000</f>
        <v>-12583</v>
      </c>
      <c r="C181" s="17">
        <f>(('Выборка 1'!J181-'Выборка 1'!I181)+('Выборка 1'!K181-'Выборка 1'!J181)+('Выборка 1'!L181-'Выборка 1'!K181)+('Выборка 1'!M181-'Выборка 1'!L181))/4000</f>
        <v>-14112.75</v>
      </c>
      <c r="D181" s="17">
        <f>(('Выборка 1'!O181-'Выборка 1'!N181)+('Выборка 1'!P181-'Выборка 1'!O181)+('Выборка 1'!Q181-'Выборка 1'!P181)+('Выборка 1'!R181-'Выборка 1'!Q181))/4000</f>
        <v>-44384.75</v>
      </c>
      <c r="E181" s="17">
        <f>(('Выборка 1'!T181-'Выборка 1'!S181)+('Выборка 1'!U181-'Выборка 1'!T181)+('Выборка 1'!V181-'Выборка 1'!U181)+('Выборка 1'!W181-'Выборка 1'!V181))/4000</f>
        <v>0</v>
      </c>
      <c r="F181" s="17">
        <f>(('Выборка 1'!Y181-'Выборка 1'!X181)+('Выборка 1'!Z181+'Выборка 1'!Y181)+('Выборка 1'!AA181-'Выборка 1'!Z181)+('Выборка 1'!AB181-'Выборка 1'!AA181))/4000</f>
        <v>-11441.25</v>
      </c>
      <c r="G181" s="17">
        <f>(('Выборка 1'!AD181-'Выборка 1'!AC181)+('Выборка 1'!AE181-'Выборка 1'!AD181)+('Выборка 1'!AF181-'Выборка 1'!AE181)+('Выборка 1'!AG181-'Выборка 1'!AF181))/4000</f>
        <v>0</v>
      </c>
      <c r="H181" s="17">
        <f>(('Выборка 1'!AI181-'Выборка 1'!AH181)+('Выборка 1'!AJ181-'Выборка 1'!AI181)+('Выборка 1'!AK181-'Выборка 1'!AJ181)+('Выборка 1'!AL181-'Выборка 1'!AK181))/4000</f>
        <v>-37839.25</v>
      </c>
      <c r="I181" s="17">
        <f>(('Выборка 1'!AN181-'Выборка 1'!AM181)+('Выборка 1'!AO181-'Выборка 1'!AN181)+('Выборка 1'!AP181-'Выборка 1'!AO181)+('Выборка 1'!AQ181-'Выборка 1'!AP181))/4000</f>
        <v>-13425.25</v>
      </c>
      <c r="J181" s="17">
        <f>((('Выборка 1'!AS181+'Выборка 1'!AX181)-('Выборка 1'!AR181+'Выборка 1'!AW181))+(('Выборка 1'!AT181+'Выборка 1'!AY181)-('Выборка 1'!AS181+'Выборка 1'!AX181))+(('Выборка 1'!AU181+'Выборка 1'!AZ181)-('Выборка 1'!AT181+'Выборка 1'!AY181))+(('Выборка 1'!AV181+'Выборка 1'!BA181)-('Выборка 1'!AU181+'Выборка 1'!AZ181)))/4000</f>
        <v>-14370.75</v>
      </c>
      <c r="K181" s="17">
        <f>(('Выборка 1'!BC181-'Выборка 1'!BB181)+('Выборка 1'!BD181-'Выборка 1'!BC181)+('Выборка 1'!BE181-'Выборка 1'!BD181)+('Выборка 1'!BF181-'Выборка 1'!BE181))/4000</f>
        <v>-1478.25</v>
      </c>
      <c r="L181" s="17">
        <f t="shared" si="2"/>
        <v>2423.75</v>
      </c>
      <c r="M181" s="17">
        <f>((('Выборка 1'!BH181-'Выборка 1'!BM181)-('Выборка 1'!BG181-'Выборка 1'!BL181))+(('Выборка 1'!BI181-'Выборка 1'!BN181)-('Выборка 1'!BH181-'Выборка 1'!BM181))+(('Выборка 1'!BJ181-'Выборка 1'!BO181)-('Выборка 1'!BI181-'Выборка 1'!BN181))+(('Выборка 1'!BK181-'Выборка 1'!BP181)-('Выборка 1'!BJ181-'Выборка 1'!BO181)))/4000</f>
        <v>-1931</v>
      </c>
      <c r="N181" s="17">
        <f>(('Выборка 1'!BR181-'Выборка 1'!BQ181)+('Выборка 1'!BS181-'Выборка 1'!BR181)+('Выборка 1'!BT181-'Выборка 1'!BS181)+('Выборка 1'!BU181-'Выборка 1'!BT181))/4000</f>
        <v>647.25</v>
      </c>
    </row>
    <row r="182" spans="1:14" x14ac:dyDescent="0.25">
      <c r="A182" s="17">
        <v>17</v>
      </c>
      <c r="B182" s="17">
        <f>(('Выборка 1'!E182-'Выборка 1'!D182)+('Выборка 1'!F182-'Выборка 1'!E182)+('Выборка 1'!G182-'Выборка 1'!F182)+('Выборка 1'!H182-'Выборка 1'!G182))/4000</f>
        <v>-5</v>
      </c>
      <c r="C182" s="17">
        <f>(('Выборка 1'!J182-'Выборка 1'!I182)+('Выборка 1'!K182-'Выборка 1'!J182)+('Выборка 1'!L182-'Выборка 1'!K182)+('Выборка 1'!M182-'Выборка 1'!L182))/4000</f>
        <v>1002</v>
      </c>
      <c r="D182" s="17">
        <f>(('Выборка 1'!O182-'Выборка 1'!N182)+('Выборка 1'!P182-'Выборка 1'!O182)+('Выборка 1'!Q182-'Выборка 1'!P182)+('Выборка 1'!R182-'Выборка 1'!Q182))/4000</f>
        <v>4134.75</v>
      </c>
      <c r="E182" s="17">
        <f>(('Выборка 1'!T182-'Выборка 1'!S182)+('Выборка 1'!U182-'Выборка 1'!T182)+('Выборка 1'!V182-'Выборка 1'!U182)+('Выборка 1'!W182-'Выборка 1'!V182))/4000</f>
        <v>-4.25</v>
      </c>
      <c r="F182" s="17">
        <f>(('Выборка 1'!Y182-'Выборка 1'!X182)+('Выборка 1'!Z182+'Выборка 1'!Y182)+('Выборка 1'!AA182-'Выборка 1'!Z182)+('Выборка 1'!AB182-'Выборка 1'!AA182))/4000</f>
        <v>3622</v>
      </c>
      <c r="G182" s="17">
        <f>(('Выборка 1'!AD182-'Выборка 1'!AC182)+('Выборка 1'!AE182-'Выборка 1'!AD182)+('Выборка 1'!AF182-'Выборка 1'!AE182)+('Выборка 1'!AG182-'Выборка 1'!AF182))/4000</f>
        <v>-5</v>
      </c>
      <c r="H182" s="17">
        <f>(('Выборка 1'!AI182-'Выборка 1'!AH182)+('Выборка 1'!AJ182-'Выборка 1'!AI182)+('Выборка 1'!AK182-'Выборка 1'!AJ182)+('Выборка 1'!AL182-'Выборка 1'!AK182))/4000</f>
        <v>1498</v>
      </c>
      <c r="I182" s="17">
        <f>(('Выборка 1'!AN182-'Выборка 1'!AM182)+('Выборка 1'!AO182-'Выборка 1'!AN182)+('Выборка 1'!AP182-'Выборка 1'!AO182)+('Выборка 1'!AQ182-'Выборка 1'!AP182))/4000</f>
        <v>-5056</v>
      </c>
      <c r="J182" s="17">
        <f>((('Выборка 1'!AS182+'Выборка 1'!AX182)-('Выборка 1'!AR182+'Выборка 1'!AW182))+(('Выборка 1'!AT182+'Выборка 1'!AY182)-('Выборка 1'!AS182+'Выборка 1'!AX182))+(('Выборка 1'!AU182+'Выборка 1'!AZ182)-('Выборка 1'!AT182+'Выборка 1'!AY182))+(('Выборка 1'!AV182+'Выборка 1'!BA182)-('Выборка 1'!AU182+'Выборка 1'!AZ182)))/4000</f>
        <v>-4313.5</v>
      </c>
      <c r="K182" s="17">
        <f>(('Выборка 1'!BC182-'Выборка 1'!BB182)+('Выборка 1'!BD182-'Выборка 1'!BC182)+('Выборка 1'!BE182-'Выборка 1'!BD182)+('Выборка 1'!BF182-'Выборка 1'!BE182))/4000</f>
        <v>-659.75</v>
      </c>
      <c r="L182" s="17">
        <f t="shared" si="2"/>
        <v>-82.75</v>
      </c>
      <c r="M182" s="17">
        <f>((('Выборка 1'!BH182-'Выборка 1'!BM182)-('Выборка 1'!BG182-'Выборка 1'!BL182))+(('Выборка 1'!BI182-'Выборка 1'!BN182)-('Выборка 1'!BH182-'Выборка 1'!BM182))+(('Выборка 1'!BJ182-'Выборка 1'!BO182)-('Выборка 1'!BI182-'Выборка 1'!BN182))+(('Выборка 1'!BK182-'Выборка 1'!BP182)-('Выборка 1'!BJ182-'Выборка 1'!BO182)))/4000</f>
        <v>5.5</v>
      </c>
      <c r="N182" s="17">
        <f>(('Выборка 1'!BR182-'Выборка 1'!BQ182)+('Выборка 1'!BS182-'Выборка 1'!BR182)+('Выборка 1'!BT182-'Выборка 1'!BS182)+('Выборка 1'!BU182-'Выборка 1'!BT182))/4000</f>
        <v>-61.75</v>
      </c>
    </row>
    <row r="183" spans="1:14" x14ac:dyDescent="0.25">
      <c r="A183" s="17">
        <v>20</v>
      </c>
      <c r="B183" s="17">
        <f>(('Выборка 1'!E183-'Выборка 1'!D183)+('Выборка 1'!F183-'Выборка 1'!E183)+('Выборка 1'!G183-'Выборка 1'!F183)+('Выборка 1'!H183-'Выборка 1'!G183))/4000</f>
        <v>-40615</v>
      </c>
      <c r="C183" s="17">
        <f>(('Выборка 1'!J183-'Выборка 1'!I183)+('Выборка 1'!K183-'Выборка 1'!J183)+('Выборка 1'!L183-'Выборка 1'!K183)+('Выборка 1'!M183-'Выборка 1'!L183))/4000</f>
        <v>-2212.5</v>
      </c>
      <c r="D183" s="17">
        <f>(('Выборка 1'!O183-'Выборка 1'!N183)+('Выборка 1'!P183-'Выборка 1'!O183)+('Выборка 1'!Q183-'Выборка 1'!P183)+('Выборка 1'!R183-'Выборка 1'!Q183))/4000</f>
        <v>-20841.25</v>
      </c>
      <c r="E183" s="17">
        <f>(('Выборка 1'!T183-'Выборка 1'!S183)+('Выборка 1'!U183-'Выборка 1'!T183)+('Выборка 1'!V183-'Выборка 1'!U183)+('Выборка 1'!W183-'Выборка 1'!V183))/4000</f>
        <v>-1812</v>
      </c>
      <c r="F183" s="17">
        <f>(('Выборка 1'!Y183-'Выборка 1'!X183)+('Выборка 1'!Z183+'Выборка 1'!Y183)+('Выборка 1'!AA183-'Выборка 1'!Z183)+('Выборка 1'!AB183-'Выборка 1'!AA183))/4000</f>
        <v>-111036.5</v>
      </c>
      <c r="G183" s="17">
        <f>(('Выборка 1'!AD183-'Выборка 1'!AC183)+('Выборка 1'!AE183-'Выборка 1'!AD183)+('Выборка 1'!AF183-'Выборка 1'!AE183)+('Выборка 1'!AG183-'Выборка 1'!AF183))/4000</f>
        <v>-251.75</v>
      </c>
      <c r="H183" s="17">
        <f>(('Выборка 1'!AI183-'Выборка 1'!AH183)+('Выборка 1'!AJ183-'Выборка 1'!AI183)+('Выборка 1'!AK183-'Выборка 1'!AJ183)+('Выборка 1'!AL183-'Выборка 1'!AK183))/4000</f>
        <v>-60679.5</v>
      </c>
      <c r="I183" s="17">
        <f>(('Выборка 1'!AN183-'Выборка 1'!AM183)+('Выборка 1'!AO183-'Выборка 1'!AN183)+('Выборка 1'!AP183-'Выборка 1'!AO183)+('Выборка 1'!AQ183-'Выборка 1'!AP183))/4000</f>
        <v>-24091.75</v>
      </c>
      <c r="J183" s="17">
        <f>((('Выборка 1'!AS183+'Выборка 1'!AX183)-('Выборка 1'!AR183+'Выборка 1'!AW183))+(('Выборка 1'!AT183+'Выборка 1'!AY183)-('Выборка 1'!AS183+'Выборка 1'!AX183))+(('Выборка 1'!AU183+'Выборка 1'!AZ183)-('Выборка 1'!AT183+'Выборка 1'!AY183))+(('Выборка 1'!AV183+'Выборка 1'!BA183)-('Выборка 1'!AU183+'Выборка 1'!AZ183)))/4000</f>
        <v>-42087.5</v>
      </c>
      <c r="K183" s="17">
        <f>(('Выборка 1'!BC183-'Выборка 1'!BB183)+('Выборка 1'!BD183-'Выборка 1'!BC183)+('Выборка 1'!BE183-'Выборка 1'!BD183)+('Выборка 1'!BF183-'Выборка 1'!BE183))/4000</f>
        <v>-4310.25</v>
      </c>
      <c r="L183" s="17">
        <f t="shared" si="2"/>
        <v>22306</v>
      </c>
      <c r="M183" s="17">
        <f>((('Выборка 1'!BH183-'Выборка 1'!BM183)-('Выборка 1'!BG183-'Выборка 1'!BL183))+(('Выборка 1'!BI183-'Выборка 1'!BN183)-('Выборка 1'!BH183-'Выборка 1'!BM183))+(('Выборка 1'!BJ183-'Выборка 1'!BO183)-('Выборка 1'!BI183-'Выборка 1'!BN183))+(('Выборка 1'!BK183-'Выборка 1'!BP183)-('Выборка 1'!BJ183-'Выборка 1'!BO183)))/4000</f>
        <v>-3546.25</v>
      </c>
      <c r="N183" s="17">
        <f>(('Выборка 1'!BR183-'Выборка 1'!BQ183)+('Выборка 1'!BS183-'Выборка 1'!BR183)+('Выборка 1'!BT183-'Выборка 1'!BS183)+('Выборка 1'!BU183-'Выборка 1'!BT183))/4000</f>
        <v>18731.25</v>
      </c>
    </row>
    <row r="184" spans="1:14" x14ac:dyDescent="0.25">
      <c r="A184" s="17">
        <v>11</v>
      </c>
      <c r="B184" s="17">
        <f>(('Выборка 1'!E184-'Выборка 1'!D184)+('Выборка 1'!F184-'Выборка 1'!E184)+('Выборка 1'!G184-'Выборка 1'!F184)+('Выборка 1'!H184-'Выборка 1'!G184))/4000</f>
        <v>28801.5</v>
      </c>
      <c r="C184" s="17">
        <f>(('Выборка 1'!J184-'Выборка 1'!I184)+('Выборка 1'!K184-'Выборка 1'!J184)+('Выборка 1'!L184-'Выборка 1'!K184)+('Выборка 1'!M184-'Выборка 1'!L184))/4000</f>
        <v>-430.25</v>
      </c>
      <c r="D184" s="17">
        <f>(('Выборка 1'!O184-'Выборка 1'!N184)+('Выборка 1'!P184-'Выборка 1'!O184)+('Выборка 1'!Q184-'Выборка 1'!P184)+('Выборка 1'!R184-'Выборка 1'!Q184))/4000</f>
        <v>5624.75</v>
      </c>
      <c r="E184" s="17">
        <f>(('Выборка 1'!T184-'Выборка 1'!S184)+('Выборка 1'!U184-'Выборка 1'!T184)+('Выборка 1'!V184-'Выборка 1'!U184)+('Выборка 1'!W184-'Выборка 1'!V184))/4000</f>
        <v>1542.5</v>
      </c>
      <c r="F184" s="17">
        <f>(('Выборка 1'!Y184-'Выборка 1'!X184)+('Выборка 1'!Z184+'Выборка 1'!Y184)+('Выборка 1'!AA184-'Выборка 1'!Z184)+('Выборка 1'!AB184-'Выборка 1'!AA184))/4000</f>
        <v>-217.25</v>
      </c>
      <c r="G184" s="17">
        <f>(('Выборка 1'!AD184-'Выборка 1'!AC184)+('Выборка 1'!AE184-'Выборка 1'!AD184)+('Выборка 1'!AF184-'Выборка 1'!AE184)+('Выборка 1'!AG184-'Выборка 1'!AF184))/4000</f>
        <v>0</v>
      </c>
      <c r="H184" s="17">
        <f>(('Выборка 1'!AI184-'Выборка 1'!AH184)+('Выборка 1'!AJ184-'Выборка 1'!AI184)+('Выборка 1'!AK184-'Выборка 1'!AJ184)+('Выборка 1'!AL184-'Выборка 1'!AK184))/4000</f>
        <v>20991.75</v>
      </c>
      <c r="I184" s="17">
        <f>(('Выборка 1'!AN184-'Выборка 1'!AM184)+('Выборка 1'!AO184-'Выборка 1'!AN184)+('Выборка 1'!AP184-'Выборка 1'!AO184)+('Выборка 1'!AQ184-'Выборка 1'!AP184))/4000</f>
        <v>16045.5</v>
      </c>
      <c r="J184" s="17">
        <f>((('Выборка 1'!AS184+'Выборка 1'!AX184)-('Выборка 1'!AR184+'Выборка 1'!AW184))+(('Выборка 1'!AT184+'Выборка 1'!AY184)-('Выборка 1'!AS184+'Выборка 1'!AX184))+(('Выборка 1'!AU184+'Выборка 1'!AZ184)-('Выборка 1'!AT184+'Выборка 1'!AY184))+(('Выборка 1'!AV184+'Выборка 1'!BA184)-('Выборка 1'!AU184+'Выборка 1'!AZ184)))/4000</f>
        <v>13953.5</v>
      </c>
      <c r="K184" s="17">
        <f>(('Выборка 1'!BC184-'Выборка 1'!BB184)+('Выборка 1'!BD184-'Выборка 1'!BC184)+('Выборка 1'!BE184-'Выборка 1'!BD184)+('Выборка 1'!BF184-'Выборка 1'!BE184))/4000</f>
        <v>-1281.25</v>
      </c>
      <c r="L184" s="17">
        <f t="shared" si="2"/>
        <v>3373.25</v>
      </c>
      <c r="M184" s="17">
        <f>((('Выборка 1'!BH184-'Выборка 1'!BM184)-('Выборка 1'!BG184-'Выборка 1'!BL184))+(('Выборка 1'!BI184-'Выборка 1'!BN184)-('Выборка 1'!BH184-'Выборка 1'!BM184))+(('Выборка 1'!BJ184-'Выборка 1'!BO184)-('Выборка 1'!BI184-'Выборка 1'!BN184))+(('Выборка 1'!BK184-'Выборка 1'!BP184)-('Выборка 1'!BJ184-'Выборка 1'!BO184)))/4000</f>
        <v>369.75</v>
      </c>
      <c r="N184" s="17">
        <f>(('Выборка 1'!BR184-'Выборка 1'!BQ184)+('Выборка 1'!BS184-'Выборка 1'!BR184)+('Выборка 1'!BT184-'Выборка 1'!BS184)+('Выборка 1'!BU184-'Выборка 1'!BT184))/4000</f>
        <v>3743</v>
      </c>
    </row>
    <row r="185" spans="1:14" x14ac:dyDescent="0.25">
      <c r="A185" s="17">
        <v>11</v>
      </c>
      <c r="B185" s="17">
        <f>(('Выборка 1'!E185-'Выборка 1'!D185)+('Выборка 1'!F185-'Выборка 1'!E185)+('Выборка 1'!G185-'Выборка 1'!F185)+('Выборка 1'!H185-'Выборка 1'!G185))/4000</f>
        <v>-6948.5</v>
      </c>
      <c r="C185" s="17">
        <f>(('Выборка 1'!J185-'Выборка 1'!I185)+('Выборка 1'!K185-'Выборка 1'!J185)+('Выборка 1'!L185-'Выборка 1'!K185)+('Выборка 1'!M185-'Выборка 1'!L185))/4000</f>
        <v>0</v>
      </c>
      <c r="D185" s="17">
        <f>(('Выборка 1'!O185-'Выборка 1'!N185)+('Выборка 1'!P185-'Выборка 1'!O185)+('Выборка 1'!Q185-'Выборка 1'!P185)+('Выборка 1'!R185-'Выборка 1'!Q185))/4000</f>
        <v>-8302.5</v>
      </c>
      <c r="E185" s="17">
        <f>(('Выборка 1'!T185-'Выборка 1'!S185)+('Выборка 1'!U185-'Выборка 1'!T185)+('Выборка 1'!V185-'Выборка 1'!U185)+('Выборка 1'!W185-'Выборка 1'!V185))/4000</f>
        <v>-83.25</v>
      </c>
      <c r="F185" s="17">
        <f>(('Выборка 1'!Y185-'Выборка 1'!X185)+('Выборка 1'!Z185+'Выборка 1'!Y185)+('Выборка 1'!AA185-'Выборка 1'!Z185)+('Выборка 1'!AB185-'Выборка 1'!AA185))/4000</f>
        <v>968.25</v>
      </c>
      <c r="G185" s="17">
        <f>(('Выборка 1'!AD185-'Выборка 1'!AC185)+('Выборка 1'!AE185-'Выборка 1'!AD185)+('Выборка 1'!AF185-'Выборка 1'!AE185)+('Выборка 1'!AG185-'Выборка 1'!AF185))/4000</f>
        <v>0</v>
      </c>
      <c r="H185" s="17">
        <f>(('Выборка 1'!AI185-'Выборка 1'!AH185)+('Выборка 1'!AJ185-'Выборка 1'!AI185)+('Выборка 1'!AK185-'Выборка 1'!AJ185)+('Выборка 1'!AL185-'Выборка 1'!AK185))/4000</f>
        <v>-5715.25</v>
      </c>
      <c r="I185" s="17">
        <f>(('Выборка 1'!AN185-'Выборка 1'!AM185)+('Выборка 1'!AO185-'Выборка 1'!AN185)+('Выборка 1'!AP185-'Выборка 1'!AO185)+('Выборка 1'!AQ185-'Выборка 1'!AP185))/4000</f>
        <v>-3100.75</v>
      </c>
      <c r="J185" s="17">
        <f>((('Выборка 1'!AS185+'Выборка 1'!AX185)-('Выборка 1'!AR185+'Выборка 1'!AW185))+(('Выборка 1'!AT185+'Выборка 1'!AY185)-('Выборка 1'!AS185+'Выборка 1'!AX185))+(('Выборка 1'!AU185+'Выборка 1'!AZ185)-('Выборка 1'!AT185+'Выборка 1'!AY185))+(('Выборка 1'!AV185+'Выборка 1'!BA185)-('Выборка 1'!AU185+'Выборка 1'!AZ185)))/4000</f>
        <v>-4612.5</v>
      </c>
      <c r="K185" s="17">
        <f>(('Выборка 1'!BC185-'Выборка 1'!BB185)+('Выборка 1'!BD185-'Выборка 1'!BC185)+('Выборка 1'!BE185-'Выборка 1'!BD185)+('Выборка 1'!BF185-'Выборка 1'!BE185))/4000</f>
        <v>-532.5</v>
      </c>
      <c r="L185" s="17">
        <f t="shared" si="2"/>
        <v>2044.25</v>
      </c>
      <c r="M185" s="17">
        <f>((('Выборка 1'!BH185-'Выборка 1'!BM185)-('Выборка 1'!BG185-'Выборка 1'!BL185))+(('Выборка 1'!BI185-'Выборка 1'!BN185)-('Выборка 1'!BH185-'Выборка 1'!BM185))+(('Выборка 1'!BJ185-'Выборка 1'!BO185)-('Выборка 1'!BI185-'Выборка 1'!BN185))+(('Выборка 1'!BK185-'Выборка 1'!BP185)-('Выборка 1'!BJ185-'Выборка 1'!BO185)))/4000</f>
        <v>0</v>
      </c>
      <c r="N185" s="17">
        <f>(('Выборка 1'!BR185-'Выборка 1'!BQ185)+('Выборка 1'!BS185-'Выборка 1'!BR185)+('Выборка 1'!BT185-'Выборка 1'!BS185)+('Выборка 1'!BU185-'Выборка 1'!BT185))/4000</f>
        <v>2044.25</v>
      </c>
    </row>
    <row r="186" spans="1:14" x14ac:dyDescent="0.25">
      <c r="A186" s="17">
        <v>11</v>
      </c>
      <c r="B186" s="17">
        <f>(('Выборка 1'!E186-'Выборка 1'!D186)+('Выборка 1'!F186-'Выборка 1'!E186)+('Выборка 1'!G186-'Выборка 1'!F186)+('Выборка 1'!H186-'Выборка 1'!G186))/4000</f>
        <v>-1039.25</v>
      </c>
      <c r="C186" s="17">
        <f>(('Выборка 1'!J186-'Выборка 1'!I186)+('Выборка 1'!K186-'Выборка 1'!J186)+('Выборка 1'!L186-'Выборка 1'!K186)+('Выборка 1'!M186-'Выборка 1'!L186))/4000</f>
        <v>-2673.5</v>
      </c>
      <c r="D186" s="17">
        <f>(('Выборка 1'!O186-'Выборка 1'!N186)+('Выборка 1'!P186-'Выборка 1'!O186)+('Выборка 1'!Q186-'Выборка 1'!P186)+('Выборка 1'!R186-'Выборка 1'!Q186))/4000</f>
        <v>-1310</v>
      </c>
      <c r="E186" s="17">
        <f>(('Выборка 1'!T186-'Выборка 1'!S186)+('Выборка 1'!U186-'Выборка 1'!T186)+('Выборка 1'!V186-'Выборка 1'!U186)+('Выборка 1'!W186-'Выборка 1'!V186))/4000</f>
        <v>-1</v>
      </c>
      <c r="F186" s="17">
        <f>(('Выборка 1'!Y186-'Выборка 1'!X186)+('Выборка 1'!Z186+'Выборка 1'!Y186)+('Выборка 1'!AA186-'Выборка 1'!Z186)+('Выборка 1'!AB186-'Выборка 1'!AA186))/4000</f>
        <v>-669.75</v>
      </c>
      <c r="G186" s="17">
        <f>(('Выборка 1'!AD186-'Выборка 1'!AC186)+('Выборка 1'!AE186-'Выборка 1'!AD186)+('Выборка 1'!AF186-'Выборка 1'!AE186)+('Выборка 1'!AG186-'Выборка 1'!AF186))/4000</f>
        <v>0</v>
      </c>
      <c r="H186" s="17">
        <f>(('Выборка 1'!AI186-'Выборка 1'!AH186)+('Выборка 1'!AJ186-'Выборка 1'!AI186)+('Выборка 1'!AK186-'Выборка 1'!AJ186)+('Выборка 1'!AL186-'Выборка 1'!AK186))/4000</f>
        <v>-5028.75</v>
      </c>
      <c r="I186" s="17">
        <f>(('Выборка 1'!AN186-'Выборка 1'!AM186)+('Выборка 1'!AO186-'Выборка 1'!AN186)+('Выборка 1'!AP186-'Выборка 1'!AO186)+('Выборка 1'!AQ186-'Выборка 1'!AP186))/4000</f>
        <v>-3162.75</v>
      </c>
      <c r="J186" s="17">
        <f>((('Выборка 1'!AS186+'Выборка 1'!AX186)-('Выборка 1'!AR186+'Выборка 1'!AW186))+(('Выборка 1'!AT186+'Выборка 1'!AY186)-('Выборка 1'!AS186+'Выборка 1'!AX186))+(('Выборка 1'!AU186+'Выборка 1'!AZ186)-('Выборка 1'!AT186+'Выборка 1'!AY186))+(('Выборка 1'!AV186+'Выборка 1'!BA186)-('Выборка 1'!AU186+'Выборка 1'!AZ186)))/4000</f>
        <v>-2330.25</v>
      </c>
      <c r="K186" s="17">
        <f>(('Выборка 1'!BC186-'Выборка 1'!BB186)+('Выборка 1'!BD186-'Выборка 1'!BC186)+('Выборка 1'!BE186-'Выборка 1'!BD186)+('Выборка 1'!BF186-'Выборка 1'!BE186))/4000</f>
        <v>-902.25</v>
      </c>
      <c r="L186" s="17">
        <f t="shared" si="2"/>
        <v>69.75</v>
      </c>
      <c r="M186" s="17">
        <f>((('Выборка 1'!BH186-'Выборка 1'!BM186)-('Выборка 1'!BG186-'Выборка 1'!BL186))+(('Выборка 1'!BI186-'Выборка 1'!BN186)-('Выборка 1'!BH186-'Выборка 1'!BM186))+(('Выборка 1'!BJ186-'Выборка 1'!BO186)-('Выборка 1'!BI186-'Выборка 1'!BN186))+(('Выборка 1'!BK186-'Выборка 1'!BP186)-('Выборка 1'!BJ186-'Выборка 1'!BO186)))/4000</f>
        <v>238.5</v>
      </c>
      <c r="N186" s="17">
        <f>(('Выборка 1'!BR186-'Выборка 1'!BQ186)+('Выборка 1'!BS186-'Выборка 1'!BR186)+('Выборка 1'!BT186-'Выборка 1'!BS186)+('Выборка 1'!BU186-'Выборка 1'!BT186))/4000</f>
        <v>320.25</v>
      </c>
    </row>
    <row r="187" spans="1:14" x14ac:dyDescent="0.25">
      <c r="A187" s="17">
        <v>11</v>
      </c>
      <c r="B187" s="17">
        <f>(('Выборка 1'!E187-'Выборка 1'!D187)+('Выборка 1'!F187-'Выборка 1'!E187)+('Выборка 1'!G187-'Выборка 1'!F187)+('Выборка 1'!H187-'Выборка 1'!G187))/4000</f>
        <v>-3570.25</v>
      </c>
      <c r="C187" s="17">
        <f>(('Выборка 1'!J187-'Выборка 1'!I187)+('Выборка 1'!K187-'Выборка 1'!J187)+('Выборка 1'!L187-'Выборка 1'!K187)+('Выборка 1'!M187-'Выборка 1'!L187))/4000</f>
        <v>-316.75</v>
      </c>
      <c r="D187" s="17">
        <f>(('Выборка 1'!O187-'Выборка 1'!N187)+('Выборка 1'!P187-'Выборка 1'!O187)+('Выборка 1'!Q187-'Выборка 1'!P187)+('Выборка 1'!R187-'Выборка 1'!Q187))/4000</f>
        <v>-70341.75</v>
      </c>
      <c r="E187" s="17">
        <f>(('Выборка 1'!T187-'Выборка 1'!S187)+('Выборка 1'!U187-'Выборка 1'!T187)+('Выборка 1'!V187-'Выборка 1'!U187)+('Выборка 1'!W187-'Выборка 1'!V187))/4000</f>
        <v>3687.75</v>
      </c>
      <c r="F187" s="17">
        <f>(('Выборка 1'!Y187-'Выборка 1'!X187)+('Выборка 1'!Z187+'Выборка 1'!Y187)+('Выборка 1'!AA187-'Выборка 1'!Z187)+('Выборка 1'!AB187-'Выборка 1'!AA187))/4000</f>
        <v>-110387.25</v>
      </c>
      <c r="G187" s="17">
        <f>(('Выборка 1'!AD187-'Выборка 1'!AC187)+('Выборка 1'!AE187-'Выборка 1'!AD187)+('Выборка 1'!AF187-'Выборка 1'!AE187)+('Выборка 1'!AG187-'Выборка 1'!AF187))/4000</f>
        <v>0</v>
      </c>
      <c r="H187" s="17">
        <f>(('Выборка 1'!AI187-'Выборка 1'!AH187)+('Выборка 1'!AJ187-'Выборка 1'!AI187)+('Выборка 1'!AK187-'Выборка 1'!AJ187)+('Выборка 1'!AL187-'Выборка 1'!AK187))/4000</f>
        <v>-33638</v>
      </c>
      <c r="I187" s="17">
        <f>(('Выборка 1'!AN187-'Выборка 1'!AM187)+('Выборка 1'!AO187-'Выборка 1'!AN187)+('Выборка 1'!AP187-'Выборка 1'!AO187)+('Выборка 1'!AQ187-'Выборка 1'!AP187))/4000</f>
        <v>-109946.25</v>
      </c>
      <c r="J187" s="17">
        <f>((('Выборка 1'!AS187+'Выборка 1'!AX187)-('Выборка 1'!AR187+'Выборка 1'!AW187))+(('Выборка 1'!AT187+'Выборка 1'!AY187)-('Выборка 1'!AS187+'Выборка 1'!AX187))+(('Выборка 1'!AU187+'Выборка 1'!AZ187)-('Выборка 1'!AT187+'Выборка 1'!AY187))+(('Выборка 1'!AV187+'Выборка 1'!BA187)-('Выборка 1'!AU187+'Выборка 1'!AZ187)))/4000</f>
        <v>-45421</v>
      </c>
      <c r="K187" s="17">
        <f>(('Выборка 1'!BC187-'Выборка 1'!BB187)+('Выборка 1'!BD187-'Выборка 1'!BC187)+('Выборка 1'!BE187-'Выборка 1'!BD187)+('Выборка 1'!BF187-'Выборка 1'!BE187))/4000</f>
        <v>-11083.25</v>
      </c>
      <c r="L187" s="17">
        <f t="shared" si="2"/>
        <v>-53442</v>
      </c>
      <c r="M187" s="17">
        <f>((('Выборка 1'!BH187-'Выборка 1'!BM187)-('Выборка 1'!BG187-'Выборка 1'!BL187))+(('Выборка 1'!BI187-'Выборка 1'!BN187)-('Выборка 1'!BH187-'Выборка 1'!BM187))+(('Выборка 1'!BJ187-'Выборка 1'!BO187)-('Выборка 1'!BI187-'Выборка 1'!BN187))+(('Выборка 1'!BK187-'Выборка 1'!BP187)-('Выборка 1'!BJ187-'Выборка 1'!BO187)))/4000</f>
        <v>-184.5</v>
      </c>
      <c r="N187" s="17">
        <f>(('Выборка 1'!BR187-'Выборка 1'!BQ187)+('Выборка 1'!BS187-'Выборка 1'!BR187)+('Выборка 1'!BT187-'Выборка 1'!BS187)+('Выборка 1'!BU187-'Выборка 1'!BT187))/4000</f>
        <v>-53430.25</v>
      </c>
    </row>
    <row r="188" spans="1:14" x14ac:dyDescent="0.25">
      <c r="A188" s="17">
        <v>23</v>
      </c>
      <c r="B188" s="17">
        <f>(('Выборка 1'!E188-'Выборка 1'!D188)+('Выборка 1'!F188-'Выборка 1'!E188)+('Выборка 1'!G188-'Выборка 1'!F188)+('Выборка 1'!H188-'Выборка 1'!G188))/4000</f>
        <v>0</v>
      </c>
      <c r="C188" s="17">
        <f>(('Выборка 1'!J188-'Выборка 1'!I188)+('Выборка 1'!K188-'Выборка 1'!J188)+('Выборка 1'!L188-'Выборка 1'!K188)+('Выборка 1'!M188-'Выборка 1'!L188))/4000</f>
        <v>0</v>
      </c>
      <c r="D188" s="17">
        <f>(('Выборка 1'!O188-'Выборка 1'!N188)+('Выборка 1'!P188-'Выборка 1'!O188)+('Выборка 1'!Q188-'Выборка 1'!P188)+('Выборка 1'!R188-'Выборка 1'!Q188))/4000</f>
        <v>-28930.5</v>
      </c>
      <c r="E188" s="17">
        <f>(('Выборка 1'!T188-'Выборка 1'!S188)+('Выборка 1'!U188-'Выборка 1'!T188)+('Выборка 1'!V188-'Выборка 1'!U188)+('Выборка 1'!W188-'Выборка 1'!V188))/4000</f>
        <v>-1757.75</v>
      </c>
      <c r="F188" s="17">
        <f>(('Выборка 1'!Y188-'Выборка 1'!X188)+('Выборка 1'!Z188+'Выборка 1'!Y188)+('Выборка 1'!AA188-'Выборка 1'!Z188)+('Выборка 1'!AB188-'Выборка 1'!AA188))/4000</f>
        <v>-116273.75</v>
      </c>
      <c r="G188" s="17">
        <f>(('Выборка 1'!AD188-'Выборка 1'!AC188)+('Выборка 1'!AE188-'Выборка 1'!AD188)+('Выборка 1'!AF188-'Выборка 1'!AE188)+('Выборка 1'!AG188-'Выборка 1'!AF188))/4000</f>
        <v>0</v>
      </c>
      <c r="H188" s="17">
        <f>(('Выборка 1'!AI188-'Выборка 1'!AH188)+('Выборка 1'!AJ188-'Выборка 1'!AI188)+('Выборка 1'!AK188-'Выборка 1'!AJ188)+('Выборка 1'!AL188-'Выборка 1'!AK188))/4000</f>
        <v>-66.5</v>
      </c>
      <c r="I188" s="17">
        <f>(('Выборка 1'!AN188-'Выборка 1'!AM188)+('Выборка 1'!AO188-'Выборка 1'!AN188)+('Выборка 1'!AP188-'Выборка 1'!AO188)+('Выборка 1'!AQ188-'Выборка 1'!AP188))/4000</f>
        <v>-1691.5</v>
      </c>
      <c r="J188" s="17">
        <f>((('Выборка 1'!AS188+'Выборка 1'!AX188)-('Выборка 1'!AR188+'Выборка 1'!AW188))+(('Выборка 1'!AT188+'Выборка 1'!AY188)-('Выборка 1'!AS188+'Выборка 1'!AX188))+(('Выборка 1'!AU188+'Выборка 1'!AZ188)-('Выборка 1'!AT188+'Выборка 1'!AY188))+(('Выборка 1'!AV188+'Выборка 1'!BA188)-('Выборка 1'!AU188+'Выборка 1'!AZ188)))/4000</f>
        <v>0</v>
      </c>
      <c r="K188" s="17">
        <f>(('Выборка 1'!BC188-'Выборка 1'!BB188)+('Выборка 1'!BD188-'Выборка 1'!BC188)+('Выборка 1'!BE188-'Выборка 1'!BD188)+('Выборка 1'!BF188-'Выборка 1'!BE188))/4000</f>
        <v>-912.25</v>
      </c>
      <c r="L188" s="17">
        <f t="shared" si="2"/>
        <v>-779.25</v>
      </c>
      <c r="M188" s="17">
        <f>((('Выборка 1'!BH188-'Выборка 1'!BM188)-('Выборка 1'!BG188-'Выборка 1'!BL188))+(('Выборка 1'!BI188-'Выборка 1'!BN188)-('Выборка 1'!BH188-'Выборка 1'!BM188))+(('Выборка 1'!BJ188-'Выборка 1'!BO188)-('Выборка 1'!BI188-'Выборка 1'!BN188))+(('Выборка 1'!BK188-'Выборка 1'!BP188)-('Выборка 1'!BJ188-'Выборка 1'!BO188)))/4000</f>
        <v>-4870</v>
      </c>
      <c r="N188" s="17">
        <f>(('Выборка 1'!BR188-'Выборка 1'!BQ188)+('Выборка 1'!BS188-'Выборка 1'!BR188)+('Выборка 1'!BT188-'Выборка 1'!BS188)+('Выборка 1'!BU188-'Выборка 1'!BT188))/4000</f>
        <v>-5649.25</v>
      </c>
    </row>
    <row r="189" spans="1:14" x14ac:dyDescent="0.25">
      <c r="A189" s="17">
        <v>14</v>
      </c>
      <c r="B189" s="17">
        <f>(('Выборка 1'!E189-'Выборка 1'!D189)+('Выборка 1'!F189-'Выборка 1'!E189)+('Выборка 1'!G189-'Выборка 1'!F189)+('Выборка 1'!H189-'Выборка 1'!G189))/4000</f>
        <v>0</v>
      </c>
      <c r="C189" s="17">
        <f>(('Выборка 1'!J189-'Выборка 1'!I189)+('Выборка 1'!K189-'Выборка 1'!J189)+('Выборка 1'!L189-'Выборка 1'!K189)+('Выборка 1'!M189-'Выборка 1'!L189))/4000</f>
        <v>0</v>
      </c>
      <c r="D189" s="17">
        <f>(('Выборка 1'!O189-'Выборка 1'!N189)+('Выборка 1'!P189-'Выборка 1'!O189)+('Выборка 1'!Q189-'Выборка 1'!P189)+('Выборка 1'!R189-'Выборка 1'!Q189))/4000</f>
        <v>0</v>
      </c>
      <c r="E189" s="17">
        <f>(('Выборка 1'!T189-'Выборка 1'!S189)+('Выборка 1'!U189-'Выборка 1'!T189)+('Выборка 1'!V189-'Выборка 1'!U189)+('Выборка 1'!W189-'Выборка 1'!V189))/4000</f>
        <v>0</v>
      </c>
      <c r="F189" s="17">
        <f>(('Выборка 1'!Y189-'Выборка 1'!X189)+('Выборка 1'!Z189+'Выборка 1'!Y189)+('Выборка 1'!AA189-'Выборка 1'!Z189)+('Выборка 1'!AB189-'Выборка 1'!AA189))/4000</f>
        <v>0</v>
      </c>
      <c r="G189" s="17">
        <f>(('Выборка 1'!AD189-'Выборка 1'!AC189)+('Выборка 1'!AE189-'Выборка 1'!AD189)+('Выборка 1'!AF189-'Выборка 1'!AE189)+('Выборка 1'!AG189-'Выборка 1'!AF189))/4000</f>
        <v>0</v>
      </c>
      <c r="H189" s="17">
        <f>(('Выборка 1'!AI189-'Выборка 1'!AH189)+('Выборка 1'!AJ189-'Выборка 1'!AI189)+('Выборка 1'!AK189-'Выборка 1'!AJ189)+('Выборка 1'!AL189-'Выборка 1'!AK189))/4000</f>
        <v>0</v>
      </c>
      <c r="I189" s="17">
        <f>(('Выборка 1'!AN189-'Выборка 1'!AM189)+('Выборка 1'!AO189-'Выборка 1'!AN189)+('Выборка 1'!AP189-'Выборка 1'!AO189)+('Выборка 1'!AQ189-'Выборка 1'!AP189))/4000</f>
        <v>0</v>
      </c>
      <c r="J189" s="17">
        <f>((('Выборка 1'!AS189+'Выборка 1'!AX189)-('Выборка 1'!AR189+'Выборка 1'!AW189))+(('Выборка 1'!AT189+'Выборка 1'!AY189)-('Выборка 1'!AS189+'Выборка 1'!AX189))+(('Выборка 1'!AU189+'Выборка 1'!AZ189)-('Выборка 1'!AT189+'Выборка 1'!AY189))+(('Выборка 1'!AV189+'Выборка 1'!BA189)-('Выборка 1'!AU189+'Выборка 1'!AZ189)))/4000</f>
        <v>0</v>
      </c>
      <c r="K189" s="17">
        <f>(('Выборка 1'!BC189-'Выборка 1'!BB189)+('Выборка 1'!BD189-'Выборка 1'!BC189)+('Выборка 1'!BE189-'Выборка 1'!BD189)+('Выборка 1'!BF189-'Выборка 1'!BE189))/4000</f>
        <v>0</v>
      </c>
      <c r="L189" s="17">
        <f t="shared" si="2"/>
        <v>0</v>
      </c>
      <c r="M189" s="17">
        <f>((('Выборка 1'!BH189-'Выборка 1'!BM189)-('Выборка 1'!BG189-'Выборка 1'!BL189))+(('Выборка 1'!BI189-'Выборка 1'!BN189)-('Выборка 1'!BH189-'Выборка 1'!BM189))+(('Выборка 1'!BJ189-'Выборка 1'!BO189)-('Выборка 1'!BI189-'Выборка 1'!BN189))+(('Выборка 1'!BK189-'Выборка 1'!BP189)-('Выборка 1'!BJ189-'Выборка 1'!BO189)))/4000</f>
        <v>0</v>
      </c>
      <c r="N189" s="17">
        <f>(('Выборка 1'!BR189-'Выборка 1'!BQ189)+('Выборка 1'!BS189-'Выборка 1'!BR189)+('Выборка 1'!BT189-'Выборка 1'!BS189)+('Выборка 1'!BU189-'Выборка 1'!BT189))/4000</f>
        <v>0</v>
      </c>
    </row>
    <row r="190" spans="1:14" x14ac:dyDescent="0.25">
      <c r="A190" s="17">
        <v>20</v>
      </c>
      <c r="B190" s="17">
        <f>(('Выборка 1'!E190-'Выборка 1'!D190)+('Выборка 1'!F190-'Выборка 1'!E190)+('Выборка 1'!G190-'Выборка 1'!F190)+('Выборка 1'!H190-'Выборка 1'!G190))/4000</f>
        <v>0.25</v>
      </c>
      <c r="C190" s="17">
        <f>(('Выборка 1'!J190-'Выборка 1'!I190)+('Выборка 1'!K190-'Выборка 1'!J190)+('Выборка 1'!L190-'Выборка 1'!K190)+('Выборка 1'!M190-'Выборка 1'!L190))/4000</f>
        <v>0</v>
      </c>
      <c r="D190" s="17">
        <f>(('Выборка 1'!O190-'Выборка 1'!N190)+('Выборка 1'!P190-'Выборка 1'!O190)+('Выборка 1'!Q190-'Выборка 1'!P190)+('Выборка 1'!R190-'Выборка 1'!Q190))/4000</f>
        <v>-408.75</v>
      </c>
      <c r="E190" s="17">
        <f>(('Выборка 1'!T190-'Выборка 1'!S190)+('Выборка 1'!U190-'Выборка 1'!T190)+('Выборка 1'!V190-'Выборка 1'!U190)+('Выборка 1'!W190-'Выборка 1'!V190))/4000</f>
        <v>-71.75</v>
      </c>
      <c r="F190" s="17">
        <f>(('Выборка 1'!Y190-'Выборка 1'!X190)+('Выборка 1'!Z190+'Выборка 1'!Y190)+('Выборка 1'!AA190-'Выборка 1'!Z190)+('Выборка 1'!AB190-'Выборка 1'!AA190))/4000</f>
        <v>0</v>
      </c>
      <c r="G190" s="17">
        <f>(('Выборка 1'!AD190-'Выборка 1'!AC190)+('Выборка 1'!AE190-'Выборка 1'!AD190)+('Выборка 1'!AF190-'Выборка 1'!AE190)+('Выборка 1'!AG190-'Выборка 1'!AF190))/4000</f>
        <v>9.5</v>
      </c>
      <c r="H190" s="17">
        <f>(('Выборка 1'!AI190-'Выборка 1'!AH190)+('Выборка 1'!AJ190-'Выборка 1'!AI190)+('Выборка 1'!AK190-'Выборка 1'!AJ190)+('Выборка 1'!AL190-'Выборка 1'!AK190))/4000</f>
        <v>-54.25</v>
      </c>
      <c r="I190" s="17">
        <f>(('Выборка 1'!AN190-'Выборка 1'!AM190)+('Выборка 1'!AO190-'Выборка 1'!AN190)+('Выборка 1'!AP190-'Выборка 1'!AO190)+('Выборка 1'!AQ190-'Выборка 1'!AP190))/4000</f>
        <v>-253.25</v>
      </c>
      <c r="J190" s="17">
        <f>((('Выборка 1'!AS190+'Выборка 1'!AX190)-('Выборка 1'!AR190+'Выборка 1'!AW190))+(('Выборка 1'!AT190+'Выборка 1'!AY190)-('Выборка 1'!AS190+'Выборка 1'!AX190))+(('Выборка 1'!AU190+'Выборка 1'!AZ190)-('Выборка 1'!AT190+'Выборка 1'!AY190))+(('Выборка 1'!AV190+'Выборка 1'!BA190)-('Выборка 1'!AU190+'Выборка 1'!AZ190)))/4000</f>
        <v>-181</v>
      </c>
      <c r="K190" s="17">
        <f>(('Выборка 1'!BC190-'Выборка 1'!BB190)+('Выборка 1'!BD190-'Выборка 1'!BC190)+('Выборка 1'!BE190-'Выборка 1'!BD190)+('Выборка 1'!BF190-'Выборка 1'!BE190))/4000</f>
        <v>0</v>
      </c>
      <c r="L190" s="17">
        <f t="shared" si="2"/>
        <v>-72.25</v>
      </c>
      <c r="M190" s="17">
        <f>((('Выборка 1'!BH190-'Выборка 1'!BM190)-('Выборка 1'!BG190-'Выборка 1'!BL190))+(('Выборка 1'!BI190-'Выборка 1'!BN190)-('Выборка 1'!BH190-'Выборка 1'!BM190))+(('Выборка 1'!BJ190-'Выборка 1'!BO190)-('Выборка 1'!BI190-'Выборка 1'!BN190))+(('Выборка 1'!BK190-'Выборка 1'!BP190)-('Выборка 1'!BJ190-'Выборка 1'!BO190)))/4000</f>
        <v>60.25</v>
      </c>
      <c r="N190" s="17">
        <f>(('Выборка 1'!BR190-'Выборка 1'!BQ190)+('Выборка 1'!BS190-'Выборка 1'!BR190)+('Выборка 1'!BT190-'Выборка 1'!BS190)+('Выборка 1'!BU190-'Выборка 1'!BT190))/4000</f>
        <v>-7.25</v>
      </c>
    </row>
    <row r="191" spans="1:14" x14ac:dyDescent="0.25">
      <c r="A191" s="17">
        <v>14</v>
      </c>
      <c r="B191" s="17">
        <f>(('Выборка 1'!E191-'Выборка 1'!D191)+('Выборка 1'!F191-'Выборка 1'!E191)+('Выборка 1'!G191-'Выборка 1'!F191)+('Выборка 1'!H191-'Выборка 1'!G191))/4000</f>
        <v>-192.25</v>
      </c>
      <c r="C191" s="17">
        <f>(('Выборка 1'!J191-'Выборка 1'!I191)+('Выборка 1'!K191-'Выборка 1'!J191)+('Выборка 1'!L191-'Выборка 1'!K191)+('Выборка 1'!M191-'Выборка 1'!L191))/4000</f>
        <v>0</v>
      </c>
      <c r="D191" s="17">
        <f>(('Выборка 1'!O191-'Выборка 1'!N191)+('Выборка 1'!P191-'Выборка 1'!O191)+('Выборка 1'!Q191-'Выборка 1'!P191)+('Выборка 1'!R191-'Выборка 1'!Q191))/4000</f>
        <v>-4972</v>
      </c>
      <c r="E191" s="17">
        <f>(('Выборка 1'!T191-'Выборка 1'!S191)+('Выборка 1'!U191-'Выборка 1'!T191)+('Выборка 1'!V191-'Выборка 1'!U191)+('Выборка 1'!W191-'Выборка 1'!V191))/4000</f>
        <v>0</v>
      </c>
      <c r="F191" s="17">
        <f>(('Выборка 1'!Y191-'Выборка 1'!X191)+('Выборка 1'!Z191+'Выборка 1'!Y191)+('Выборка 1'!AA191-'Выборка 1'!Z191)+('Выборка 1'!AB191-'Выборка 1'!AA191))/4000</f>
        <v>-18314.75</v>
      </c>
      <c r="G191" s="17">
        <f>(('Выборка 1'!AD191-'Выборка 1'!AC191)+('Выборка 1'!AE191-'Выборка 1'!AD191)+('Выборка 1'!AF191-'Выборка 1'!AE191)+('Выборка 1'!AG191-'Выборка 1'!AF191))/4000</f>
        <v>-86.5</v>
      </c>
      <c r="H191" s="17">
        <f>(('Выборка 1'!AI191-'Выборка 1'!AH191)+('Выборка 1'!AJ191-'Выборка 1'!AI191)+('Выборка 1'!AK191-'Выборка 1'!AJ191)+('Выборка 1'!AL191-'Выборка 1'!AK191))/4000</f>
        <v>-1928.75</v>
      </c>
      <c r="I191" s="17">
        <f>(('Выборка 1'!AN191-'Выборка 1'!AM191)+('Выборка 1'!AO191-'Выборка 1'!AN191)+('Выборка 1'!AP191-'Выборка 1'!AO191)+('Выборка 1'!AQ191-'Выборка 1'!AP191))/4000</f>
        <v>-21620.25</v>
      </c>
      <c r="J191" s="17">
        <f>((('Выборка 1'!AS191+'Выборка 1'!AX191)-('Выборка 1'!AR191+'Выборка 1'!AW191))+(('Выборка 1'!AT191+'Выборка 1'!AY191)-('Выборка 1'!AS191+'Выборка 1'!AX191))+(('Выборка 1'!AU191+'Выборка 1'!AZ191)-('Выборка 1'!AT191+'Выборка 1'!AY191))+(('Выборка 1'!AV191+'Выборка 1'!BA191)-('Выборка 1'!AU191+'Выборка 1'!AZ191)))/4000</f>
        <v>-23363.25</v>
      </c>
      <c r="K191" s="17">
        <f>(('Выборка 1'!BC191-'Выборка 1'!BB191)+('Выборка 1'!BD191-'Выборка 1'!BC191)+('Выборка 1'!BE191-'Выборка 1'!BD191)+('Выборка 1'!BF191-'Выборка 1'!BE191))/4000</f>
        <v>-3171</v>
      </c>
      <c r="L191" s="17">
        <f t="shared" si="2"/>
        <v>4914</v>
      </c>
      <c r="M191" s="17">
        <f>((('Выборка 1'!BH191-'Выборка 1'!BM191)-('Выборка 1'!BG191-'Выборка 1'!BL191))+(('Выборка 1'!BI191-'Выборка 1'!BN191)-('Выборка 1'!BH191-'Выборка 1'!BM191))+(('Выборка 1'!BJ191-'Выборка 1'!BO191)-('Выборка 1'!BI191-'Выборка 1'!BN191))+(('Выборка 1'!BK191-'Выборка 1'!BP191)-('Выборка 1'!BJ191-'Выборка 1'!BO191)))/4000</f>
        <v>9878</v>
      </c>
      <c r="N191" s="17">
        <f>(('Выборка 1'!BR191-'Выборка 1'!BQ191)+('Выборка 1'!BS191-'Выборка 1'!BR191)+('Выборка 1'!BT191-'Выборка 1'!BS191)+('Выборка 1'!BU191-'Выборка 1'!BT191))/4000</f>
        <v>14810</v>
      </c>
    </row>
    <row r="192" spans="1:14" x14ac:dyDescent="0.25">
      <c r="A192" s="17">
        <v>28</v>
      </c>
      <c r="B192" s="17">
        <f>(('Выборка 1'!E192-'Выборка 1'!D192)+('Выборка 1'!F192-'Выборка 1'!E192)+('Выборка 1'!G192-'Выборка 1'!F192)+('Выборка 1'!H192-'Выборка 1'!G192))/4000</f>
        <v>0</v>
      </c>
      <c r="C192" s="17">
        <f>(('Выборка 1'!J192-'Выборка 1'!I192)+('Выборка 1'!K192-'Выборка 1'!J192)+('Выборка 1'!L192-'Выборка 1'!K192)+('Выборка 1'!M192-'Выборка 1'!L192))/4000</f>
        <v>0</v>
      </c>
      <c r="D192" s="17">
        <f>(('Выборка 1'!O192-'Выборка 1'!N192)+('Выборка 1'!P192-'Выборка 1'!O192)+('Выборка 1'!Q192-'Выборка 1'!P192)+('Выборка 1'!R192-'Выборка 1'!Q192))/4000</f>
        <v>-5545.25</v>
      </c>
      <c r="E192" s="17">
        <f>(('Выборка 1'!T192-'Выборка 1'!S192)+('Выборка 1'!U192-'Выборка 1'!T192)+('Выборка 1'!V192-'Выборка 1'!U192)+('Выборка 1'!W192-'Выборка 1'!V192))/4000</f>
        <v>0</v>
      </c>
      <c r="F192" s="17">
        <f>(('Выборка 1'!Y192-'Выборка 1'!X192)+('Выборка 1'!Z192+'Выборка 1'!Y192)+('Выборка 1'!AA192-'Выборка 1'!Z192)+('Выборка 1'!AB192-'Выборка 1'!AA192))/4000</f>
        <v>-5626.5</v>
      </c>
      <c r="G192" s="17">
        <f>(('Выборка 1'!AD192-'Выборка 1'!AC192)+('Выборка 1'!AE192-'Выборка 1'!AD192)+('Выборка 1'!AF192-'Выборка 1'!AE192)+('Выборка 1'!AG192-'Выборка 1'!AF192))/4000</f>
        <v>0</v>
      </c>
      <c r="H192" s="17">
        <f>(('Выборка 1'!AI192-'Выборка 1'!AH192)+('Выборка 1'!AJ192-'Выборка 1'!AI192)+('Выборка 1'!AK192-'Выборка 1'!AJ192)+('Выборка 1'!AL192-'Выборка 1'!AK192))/4000</f>
        <v>-2152.25</v>
      </c>
      <c r="I192" s="17">
        <f>(('Выборка 1'!AN192-'Выборка 1'!AM192)+('Выборка 1'!AO192-'Выборка 1'!AN192)+('Выборка 1'!AP192-'Выборка 1'!AO192)+('Выборка 1'!AQ192-'Выборка 1'!AP192))/4000</f>
        <v>-53.25</v>
      </c>
      <c r="J192" s="17">
        <f>((('Выборка 1'!AS192+'Выборка 1'!AX192)-('Выборка 1'!AR192+'Выборка 1'!AW192))+(('Выборка 1'!AT192+'Выборка 1'!AY192)-('Выборка 1'!AS192+'Выборка 1'!AX192))+(('Выборка 1'!AU192+'Выборка 1'!AZ192)-('Выборка 1'!AT192+'Выборка 1'!AY192))+(('Выборка 1'!AV192+'Выборка 1'!BA192)-('Выборка 1'!AU192+'Выборка 1'!AZ192)))/4000</f>
        <v>-157.5</v>
      </c>
      <c r="K192" s="17">
        <f>(('Выборка 1'!BC192-'Выборка 1'!BB192)+('Выборка 1'!BD192-'Выборка 1'!BC192)+('Выборка 1'!BE192-'Выборка 1'!BD192)+('Выборка 1'!BF192-'Выборка 1'!BE192))/4000</f>
        <v>0</v>
      </c>
      <c r="L192" s="17">
        <f t="shared" si="2"/>
        <v>104.25</v>
      </c>
      <c r="M192" s="17">
        <f>((('Выборка 1'!BH192-'Выборка 1'!BM192)-('Выборка 1'!BG192-'Выборка 1'!BL192))+(('Выборка 1'!BI192-'Выборка 1'!BN192)-('Выборка 1'!BH192-'Выборка 1'!BM192))+(('Выборка 1'!BJ192-'Выборка 1'!BO192)-('Выборка 1'!BI192-'Выборка 1'!BN192))+(('Выборка 1'!BK192-'Выборка 1'!BP192)-('Выборка 1'!BJ192-'Выборка 1'!BO192)))/4000</f>
        <v>1264</v>
      </c>
      <c r="N192" s="17">
        <f>(('Выборка 1'!BR192-'Выборка 1'!BQ192)+('Выборка 1'!BS192-'Выборка 1'!BR192)+('Выборка 1'!BT192-'Выборка 1'!BS192)+('Выборка 1'!BU192-'Выборка 1'!BT192))/4000</f>
        <v>1302.5</v>
      </c>
    </row>
    <row r="193" spans="1:14" x14ac:dyDescent="0.25">
      <c r="A193" s="17">
        <v>6</v>
      </c>
      <c r="B193" s="17">
        <f>(('Выборка 1'!E193-'Выборка 1'!D193)+('Выборка 1'!F193-'Выборка 1'!E193)+('Выборка 1'!G193-'Выборка 1'!F193)+('Выборка 1'!H193-'Выборка 1'!G193))/4000</f>
        <v>-173.25</v>
      </c>
      <c r="C193" s="17">
        <f>(('Выборка 1'!J193-'Выборка 1'!I193)+('Выборка 1'!K193-'Выборка 1'!J193)+('Выборка 1'!L193-'Выборка 1'!K193)+('Выборка 1'!M193-'Выборка 1'!L193))/4000</f>
        <v>-78.75</v>
      </c>
      <c r="D193" s="17">
        <f>(('Выборка 1'!O193-'Выборка 1'!N193)+('Выборка 1'!P193-'Выборка 1'!O193)+('Выборка 1'!Q193-'Выборка 1'!P193)+('Выборка 1'!R193-'Выборка 1'!Q193))/4000</f>
        <v>-937.25</v>
      </c>
      <c r="E193" s="17">
        <f>(('Выборка 1'!T193-'Выборка 1'!S193)+('Выборка 1'!U193-'Выборка 1'!T193)+('Выборка 1'!V193-'Выборка 1'!U193)+('Выборка 1'!W193-'Выборка 1'!V193))/4000</f>
        <v>-161.25</v>
      </c>
      <c r="F193" s="17">
        <f>(('Выборка 1'!Y193-'Выборка 1'!X193)+('Выборка 1'!Z193+'Выборка 1'!Y193)+('Выборка 1'!AA193-'Выборка 1'!Z193)+('Выборка 1'!AB193-'Выборка 1'!AA193))/4000</f>
        <v>-6755.5</v>
      </c>
      <c r="G193" s="17">
        <f>(('Выборка 1'!AD193-'Выборка 1'!AC193)+('Выборка 1'!AE193-'Выборка 1'!AD193)+('Выборка 1'!AF193-'Выборка 1'!AE193)+('Выборка 1'!AG193-'Выборка 1'!AF193))/4000</f>
        <v>0</v>
      </c>
      <c r="H193" s="17">
        <f>(('Выборка 1'!AI193-'Выборка 1'!AH193)+('Выборка 1'!AJ193-'Выборка 1'!AI193)+('Выборка 1'!AK193-'Выборка 1'!AJ193)+('Выборка 1'!AL193-'Выборка 1'!AK193))/4000</f>
        <v>1531</v>
      </c>
      <c r="I193" s="17">
        <f>(('Выборка 1'!AN193-'Выборка 1'!AM193)+('Выборка 1'!AO193-'Выборка 1'!AN193)+('Выборка 1'!AP193-'Выборка 1'!AO193)+('Выборка 1'!AQ193-'Выборка 1'!AP193))/4000</f>
        <v>-10425.25</v>
      </c>
      <c r="J193" s="17">
        <f>((('Выборка 1'!AS193+'Выборка 1'!AX193)-('Выборка 1'!AR193+'Выборка 1'!AW193))+(('Выборка 1'!AT193+'Выборка 1'!AY193)-('Выборка 1'!AS193+'Выборка 1'!AX193))+(('Выборка 1'!AU193+'Выборка 1'!AZ193)-('Выборка 1'!AT193+'Выборка 1'!AY193))+(('Выборка 1'!AV193+'Выборка 1'!BA193)-('Выборка 1'!AU193+'Выборка 1'!AZ193)))/4000</f>
        <v>-10775.5</v>
      </c>
      <c r="K193" s="17">
        <f>(('Выборка 1'!BC193-'Выборка 1'!BB193)+('Выборка 1'!BD193-'Выборка 1'!BC193)+('Выборка 1'!BE193-'Выборка 1'!BD193)+('Выборка 1'!BF193-'Выборка 1'!BE193))/4000</f>
        <v>0</v>
      </c>
      <c r="L193" s="17">
        <f t="shared" si="2"/>
        <v>350.25</v>
      </c>
      <c r="M193" s="17">
        <f>((('Выборка 1'!BH193-'Выборка 1'!BM193)-('Выборка 1'!BG193-'Выборка 1'!BL193))+(('Выборка 1'!BI193-'Выборка 1'!BN193)-('Выборка 1'!BH193-'Выборка 1'!BM193))+(('Выборка 1'!BJ193-'Выборка 1'!BO193)-('Выборка 1'!BI193-'Выборка 1'!BN193))+(('Выборка 1'!BK193-'Выборка 1'!BP193)-('Выборка 1'!BJ193-'Выборка 1'!BO193)))/4000</f>
        <v>-1112</v>
      </c>
      <c r="N193" s="17">
        <f>(('Выборка 1'!BR193-'Выборка 1'!BQ193)+('Выборка 1'!BS193-'Выборка 1'!BR193)+('Выборка 1'!BT193-'Выборка 1'!BS193)+('Выборка 1'!BU193-'Выборка 1'!BT193))/4000</f>
        <v>-822</v>
      </c>
    </row>
    <row r="194" spans="1:14" x14ac:dyDescent="0.25">
      <c r="A194" s="17">
        <v>6</v>
      </c>
      <c r="B194" s="17">
        <f>(('Выборка 1'!E194-'Выборка 1'!D194)+('Выборка 1'!F194-'Выборка 1'!E194)+('Выборка 1'!G194-'Выборка 1'!F194)+('Выборка 1'!H194-'Выборка 1'!G194))/4000</f>
        <v>0</v>
      </c>
      <c r="C194" s="17">
        <f>(('Выборка 1'!J194-'Выборка 1'!I194)+('Выборка 1'!K194-'Выборка 1'!J194)+('Выборка 1'!L194-'Выборка 1'!K194)+('Выборка 1'!M194-'Выборка 1'!L194))/4000</f>
        <v>0</v>
      </c>
      <c r="D194" s="17">
        <f>(('Выборка 1'!O194-'Выборка 1'!N194)+('Выборка 1'!P194-'Выборка 1'!O194)+('Выборка 1'!Q194-'Выборка 1'!P194)+('Выборка 1'!R194-'Выборка 1'!Q194))/4000</f>
        <v>0</v>
      </c>
      <c r="E194" s="17">
        <f>(('Выборка 1'!T194-'Выборка 1'!S194)+('Выборка 1'!U194-'Выборка 1'!T194)+('Выборка 1'!V194-'Выборка 1'!U194)+('Выборка 1'!W194-'Выборка 1'!V194))/4000</f>
        <v>0</v>
      </c>
      <c r="F194" s="17">
        <f>(('Выборка 1'!Y194-'Выборка 1'!X194)+('Выборка 1'!Z194+'Выборка 1'!Y194)+('Выборка 1'!AA194-'Выборка 1'!Z194)+('Выборка 1'!AB194-'Выборка 1'!AA194))/4000</f>
        <v>0</v>
      </c>
      <c r="G194" s="17">
        <f>(('Выборка 1'!AD194-'Выборка 1'!AC194)+('Выборка 1'!AE194-'Выборка 1'!AD194)+('Выборка 1'!AF194-'Выборка 1'!AE194)+('Выборка 1'!AG194-'Выборка 1'!AF194))/4000</f>
        <v>0</v>
      </c>
      <c r="H194" s="17">
        <f>(('Выборка 1'!AI194-'Выборка 1'!AH194)+('Выборка 1'!AJ194-'Выборка 1'!AI194)+('Выборка 1'!AK194-'Выборка 1'!AJ194)+('Выборка 1'!AL194-'Выборка 1'!AK194))/4000</f>
        <v>0</v>
      </c>
      <c r="I194" s="17">
        <f>(('Выборка 1'!AN194-'Выборка 1'!AM194)+('Выборка 1'!AO194-'Выборка 1'!AN194)+('Выборка 1'!AP194-'Выборка 1'!AO194)+('Выборка 1'!AQ194-'Выборка 1'!AP194))/4000</f>
        <v>0</v>
      </c>
      <c r="J194" s="17">
        <f>((('Выборка 1'!AS194+'Выборка 1'!AX194)-('Выборка 1'!AR194+'Выборка 1'!AW194))+(('Выборка 1'!AT194+'Выборка 1'!AY194)-('Выборка 1'!AS194+'Выборка 1'!AX194))+(('Выборка 1'!AU194+'Выборка 1'!AZ194)-('Выборка 1'!AT194+'Выборка 1'!AY194))+(('Выборка 1'!AV194+'Выборка 1'!BA194)-('Выборка 1'!AU194+'Выборка 1'!AZ194)))/4000</f>
        <v>0</v>
      </c>
      <c r="K194" s="17">
        <f>(('Выборка 1'!BC194-'Выборка 1'!BB194)+('Выборка 1'!BD194-'Выборка 1'!BC194)+('Выборка 1'!BE194-'Выборка 1'!BD194)+('Выборка 1'!BF194-'Выборка 1'!BE194))/4000</f>
        <v>0</v>
      </c>
      <c r="L194" s="17">
        <f t="shared" si="2"/>
        <v>0</v>
      </c>
      <c r="M194" s="17">
        <f>((('Выборка 1'!BH194-'Выборка 1'!BM194)-('Выборка 1'!BG194-'Выборка 1'!BL194))+(('Выборка 1'!BI194-'Выборка 1'!BN194)-('Выборка 1'!BH194-'Выборка 1'!BM194))+(('Выборка 1'!BJ194-'Выборка 1'!BO194)-('Выборка 1'!BI194-'Выборка 1'!BN194))+(('Выборка 1'!BK194-'Выборка 1'!BP194)-('Выборка 1'!BJ194-'Выборка 1'!BO194)))/4000</f>
        <v>0</v>
      </c>
      <c r="N194" s="17">
        <f>(('Выборка 1'!BR194-'Выборка 1'!BQ194)+('Выборка 1'!BS194-'Выборка 1'!BR194)+('Выборка 1'!BT194-'Выборка 1'!BS194)+('Выборка 1'!BU194-'Выборка 1'!BT194))/4000</f>
        <v>0</v>
      </c>
    </row>
    <row r="195" spans="1:14" x14ac:dyDescent="0.25">
      <c r="A195" s="17">
        <v>30</v>
      </c>
      <c r="B195" s="17">
        <f>(('Выборка 1'!E195-'Выборка 1'!D195)+('Выборка 1'!F195-'Выборка 1'!E195)+('Выборка 1'!G195-'Выборка 1'!F195)+('Выборка 1'!H195-'Выборка 1'!G195))/4000</f>
        <v>-11061.75</v>
      </c>
      <c r="C195" s="17">
        <f>(('Выборка 1'!J195-'Выборка 1'!I195)+('Выборка 1'!K195-'Выборка 1'!J195)+('Выборка 1'!L195-'Выборка 1'!K195)+('Выборка 1'!M195-'Выборка 1'!L195))/4000</f>
        <v>-20963.25</v>
      </c>
      <c r="D195" s="17">
        <f>(('Выборка 1'!O195-'Выборка 1'!N195)+('Выборка 1'!P195-'Выборка 1'!O195)+('Выборка 1'!Q195-'Выборка 1'!P195)+('Выборка 1'!R195-'Выборка 1'!Q195))/4000</f>
        <v>492.75</v>
      </c>
      <c r="E195" s="17">
        <f>(('Выборка 1'!T195-'Выборка 1'!S195)+('Выборка 1'!U195-'Выборка 1'!T195)+('Выборка 1'!V195-'Выборка 1'!U195)+('Выборка 1'!W195-'Выборка 1'!V195))/4000</f>
        <v>14</v>
      </c>
      <c r="F195" s="17">
        <f>(('Выборка 1'!Y195-'Выборка 1'!X195)+('Выборка 1'!Z195+'Выборка 1'!Y195)+('Выборка 1'!AA195-'Выборка 1'!Z195)+('Выборка 1'!AB195-'Выборка 1'!AA195))/4000</f>
        <v>-18336.75</v>
      </c>
      <c r="G195" s="17">
        <f>(('Выборка 1'!AD195-'Выборка 1'!AC195)+('Выборка 1'!AE195-'Выборка 1'!AD195)+('Выборка 1'!AF195-'Выборка 1'!AE195)+('Выборка 1'!AG195-'Выборка 1'!AF195))/4000</f>
        <v>6.75</v>
      </c>
      <c r="H195" s="17">
        <f>(('Выборка 1'!AI195-'Выборка 1'!AH195)+('Выборка 1'!AJ195-'Выборка 1'!AI195)+('Выборка 1'!AK195-'Выборка 1'!AJ195)+('Выборка 1'!AL195-'Выборка 1'!AK195))/4000</f>
        <v>3158.5</v>
      </c>
      <c r="I195" s="17">
        <f>(('Выборка 1'!AN195-'Выборка 1'!AM195)+('Выборка 1'!AO195-'Выборка 1'!AN195)+('Выборка 1'!AP195-'Выборка 1'!AO195)+('Выборка 1'!AQ195-'Выборка 1'!AP195))/4000</f>
        <v>-6442.5</v>
      </c>
      <c r="J195" s="17">
        <f>((('Выборка 1'!AS195+'Выборка 1'!AX195)-('Выборка 1'!AR195+'Выборка 1'!AW195))+(('Выборка 1'!AT195+'Выборка 1'!AY195)-('Выборка 1'!AS195+'Выборка 1'!AX195))+(('Выборка 1'!AU195+'Выборка 1'!AZ195)-('Выборка 1'!AT195+'Выборка 1'!AY195))+(('Выборка 1'!AV195+'Выборка 1'!BA195)-('Выборка 1'!AU195+'Выборка 1'!AZ195)))/4000</f>
        <v>-10810.75</v>
      </c>
      <c r="K195" s="17">
        <f>(('Выборка 1'!BC195-'Выборка 1'!BB195)+('Выборка 1'!BD195-'Выборка 1'!BC195)+('Выборка 1'!BE195-'Выборка 1'!BD195)+('Выборка 1'!BF195-'Выборка 1'!BE195))/4000</f>
        <v>0</v>
      </c>
      <c r="L195" s="17">
        <f t="shared" ref="L195:L253" si="3">I195-J195-K195</f>
        <v>4368.25</v>
      </c>
      <c r="M195" s="17">
        <f>((('Выборка 1'!BH195-'Выборка 1'!BM195)-('Выборка 1'!BG195-'Выборка 1'!BL195))+(('Выборка 1'!BI195-'Выборка 1'!BN195)-('Выборка 1'!BH195-'Выборка 1'!BM195))+(('Выборка 1'!BJ195-'Выборка 1'!BO195)-('Выборка 1'!BI195-'Выборка 1'!BN195))+(('Выборка 1'!BK195-'Выборка 1'!BP195)-('Выборка 1'!BJ195-'Выборка 1'!BO195)))/4000</f>
        <v>-2071</v>
      </c>
      <c r="N195" s="17">
        <f>(('Выборка 1'!BR195-'Выборка 1'!BQ195)+('Выборка 1'!BS195-'Выборка 1'!BR195)+('Выборка 1'!BT195-'Выборка 1'!BS195)+('Выборка 1'!BU195-'Выборка 1'!BT195))/4000</f>
        <v>2321</v>
      </c>
    </row>
    <row r="196" spans="1:14" x14ac:dyDescent="0.25">
      <c r="A196" s="17">
        <v>19</v>
      </c>
      <c r="B196" s="17">
        <f>(('Выборка 1'!E196-'Выборка 1'!D196)+('Выборка 1'!F196-'Выборка 1'!E196)+('Выборка 1'!G196-'Выборка 1'!F196)+('Выборка 1'!H196-'Выборка 1'!G196))/4000</f>
        <v>-973.5</v>
      </c>
      <c r="C196" s="17">
        <f>(('Выборка 1'!J196-'Выборка 1'!I196)+('Выборка 1'!K196-'Выборка 1'!J196)+('Выборка 1'!L196-'Выборка 1'!K196)+('Выборка 1'!M196-'Выборка 1'!L196))/4000</f>
        <v>-10850</v>
      </c>
      <c r="D196" s="17">
        <f>(('Выборка 1'!O196-'Выборка 1'!N196)+('Выборка 1'!P196-'Выборка 1'!O196)+('Выборка 1'!Q196-'Выборка 1'!P196)+('Выборка 1'!R196-'Выборка 1'!Q196))/4000</f>
        <v>-5843</v>
      </c>
      <c r="E196" s="17">
        <f>(('Выборка 1'!T196-'Выборка 1'!S196)+('Выборка 1'!U196-'Выборка 1'!T196)+('Выборка 1'!V196-'Выборка 1'!U196)+('Выборка 1'!W196-'Выборка 1'!V196))/4000</f>
        <v>-1</v>
      </c>
      <c r="F196" s="17">
        <f>(('Выборка 1'!Y196-'Выборка 1'!X196)+('Выборка 1'!Z196+'Выборка 1'!Y196)+('Выборка 1'!AA196-'Выборка 1'!Z196)+('Выборка 1'!AB196-'Выборка 1'!AA196))/4000</f>
        <v>10796.5</v>
      </c>
      <c r="G196" s="17">
        <f>(('Выборка 1'!AD196-'Выборка 1'!AC196)+('Выборка 1'!AE196-'Выборка 1'!AD196)+('Выборка 1'!AF196-'Выборка 1'!AE196)+('Выборка 1'!AG196-'Выборка 1'!AF196))/4000</f>
        <v>-8441.25</v>
      </c>
      <c r="H196" s="17">
        <f>(('Выборка 1'!AI196-'Выборка 1'!AH196)+('Выборка 1'!AJ196-'Выборка 1'!AI196)+('Выборка 1'!AK196-'Выборка 1'!AJ196)+('Выборка 1'!AL196-'Выборка 1'!AK196))/4000</f>
        <v>51001.75</v>
      </c>
      <c r="I196" s="17">
        <f>(('Выборка 1'!AN196-'Выборка 1'!AM196)+('Выборка 1'!AO196-'Выборка 1'!AN196)+('Выборка 1'!AP196-'Выборка 1'!AO196)+('Выборка 1'!AQ196-'Выборка 1'!AP196))/4000</f>
        <v>-14377</v>
      </c>
      <c r="J196" s="17">
        <f>((('Выборка 1'!AS196+'Выборка 1'!AX196)-('Выборка 1'!AR196+'Выборка 1'!AW196))+(('Выборка 1'!AT196+'Выборка 1'!AY196)-('Выборка 1'!AS196+'Выборка 1'!AX196))+(('Выборка 1'!AU196+'Выборка 1'!AZ196)-('Выборка 1'!AT196+'Выборка 1'!AY196))+(('Выборка 1'!AV196+'Выборка 1'!BA196)-('Выборка 1'!AU196+'Выборка 1'!AZ196)))/4000</f>
        <v>-15695.25</v>
      </c>
      <c r="K196" s="17">
        <f>(('Выборка 1'!BC196-'Выборка 1'!BB196)+('Выборка 1'!BD196-'Выборка 1'!BC196)+('Выборка 1'!BE196-'Выборка 1'!BD196)+('Выборка 1'!BF196-'Выборка 1'!BE196))/4000</f>
        <v>0</v>
      </c>
      <c r="L196" s="17">
        <f t="shared" si="3"/>
        <v>1318.25</v>
      </c>
      <c r="M196" s="17">
        <f>((('Выборка 1'!BH196-'Выборка 1'!BM196)-('Выборка 1'!BG196-'Выборка 1'!BL196))+(('Выборка 1'!BI196-'Выборка 1'!BN196)-('Выборка 1'!BH196-'Выборка 1'!BM196))+(('Выборка 1'!BJ196-'Выборка 1'!BO196)-('Выборка 1'!BI196-'Выборка 1'!BN196))+(('Выборка 1'!BK196-'Выборка 1'!BP196)-('Выборка 1'!BJ196-'Выборка 1'!BO196)))/4000</f>
        <v>265.75</v>
      </c>
      <c r="N196" s="17">
        <f>(('Выборка 1'!BR196-'Выборка 1'!BQ196)+('Выборка 1'!BS196-'Выборка 1'!BR196)+('Выборка 1'!BT196-'Выборка 1'!BS196)+('Выборка 1'!BU196-'Выборка 1'!BT196))/4000</f>
        <v>1791.25</v>
      </c>
    </row>
    <row r="197" spans="1:14" x14ac:dyDescent="0.25">
      <c r="A197" s="17">
        <v>33</v>
      </c>
      <c r="B197" s="17">
        <f>(('Выборка 1'!E197-'Выборка 1'!D197)+('Выборка 1'!F197-'Выборка 1'!E197)+('Выборка 1'!G197-'Выборка 1'!F197)+('Выборка 1'!H197-'Выборка 1'!G197))/4000</f>
        <v>-29587.75</v>
      </c>
      <c r="C197" s="17">
        <f>(('Выборка 1'!J197-'Выборка 1'!I197)+('Выборка 1'!K197-'Выборка 1'!J197)+('Выборка 1'!L197-'Выборка 1'!K197)+('Выборка 1'!M197-'Выборка 1'!L197))/4000</f>
        <v>-4487.25</v>
      </c>
      <c r="D197" s="17">
        <f>(('Выборка 1'!O197-'Выборка 1'!N197)+('Выборка 1'!P197-'Выборка 1'!O197)+('Выборка 1'!Q197-'Выборка 1'!P197)+('Выборка 1'!R197-'Выборка 1'!Q197))/4000</f>
        <v>-864</v>
      </c>
      <c r="E197" s="17">
        <f>(('Выборка 1'!T197-'Выборка 1'!S197)+('Выборка 1'!U197-'Выборка 1'!T197)+('Выборка 1'!V197-'Выборка 1'!U197)+('Выборка 1'!W197-'Выборка 1'!V197))/4000</f>
        <v>4484.5</v>
      </c>
      <c r="F197" s="17">
        <f>(('Выборка 1'!Y197-'Выборка 1'!X197)+('Выборка 1'!Z197+'Выборка 1'!Y197)+('Выборка 1'!AA197-'Выборка 1'!Z197)+('Выборка 1'!AB197-'Выборка 1'!AA197))/4000</f>
        <v>-110428.25</v>
      </c>
      <c r="G197" s="17">
        <f>(('Выборка 1'!AD197-'Выборка 1'!AC197)+('Выборка 1'!AE197-'Выборка 1'!AD197)+('Выборка 1'!AF197-'Выборка 1'!AE197)+('Выборка 1'!AG197-'Выборка 1'!AF197))/4000</f>
        <v>1467.25</v>
      </c>
      <c r="H197" s="17">
        <f>(('Выборка 1'!AI197-'Выборка 1'!AH197)+('Выборка 1'!AJ197-'Выборка 1'!AI197)+('Выборка 1'!AK197-'Выборка 1'!AJ197)+('Выборка 1'!AL197-'Выборка 1'!AK197))/4000</f>
        <v>13910</v>
      </c>
      <c r="I197" s="17">
        <f>(('Выборка 1'!AN197-'Выборка 1'!AM197)+('Выборка 1'!AO197-'Выборка 1'!AN197)+('Выборка 1'!AP197-'Выборка 1'!AO197)+('Выборка 1'!AQ197-'Выборка 1'!AP197))/4000</f>
        <v>-17138.5</v>
      </c>
      <c r="J197" s="17">
        <f>((('Выборка 1'!AS197+'Выборка 1'!AX197)-('Выборка 1'!AR197+'Выборка 1'!AW197))+(('Выборка 1'!AT197+'Выборка 1'!AY197)-('Выборка 1'!AS197+'Выборка 1'!AX197))+(('Выборка 1'!AU197+'Выборка 1'!AZ197)-('Выборка 1'!AT197+'Выборка 1'!AY197))+(('Выборка 1'!AV197+'Выборка 1'!BA197)-('Выборка 1'!AU197+'Выборка 1'!AZ197)))/4000</f>
        <v>-20937</v>
      </c>
      <c r="K197" s="17">
        <f>(('Выборка 1'!BC197-'Выборка 1'!BB197)+('Выборка 1'!BD197-'Выборка 1'!BC197)+('Выборка 1'!BE197-'Выборка 1'!BD197)+('Выборка 1'!BF197-'Выборка 1'!BE197))/4000</f>
        <v>0</v>
      </c>
      <c r="L197" s="17">
        <f t="shared" si="3"/>
        <v>3798.5</v>
      </c>
      <c r="M197" s="17">
        <f>((('Выборка 1'!BH197-'Выборка 1'!BM197)-('Выборка 1'!BG197-'Выборка 1'!BL197))+(('Выборка 1'!BI197-'Выборка 1'!BN197)-('Выборка 1'!BH197-'Выборка 1'!BM197))+(('Выборка 1'!BJ197-'Выборка 1'!BO197)-('Выборка 1'!BI197-'Выборка 1'!BN197))+(('Выборка 1'!BK197-'Выборка 1'!BP197)-('Выборка 1'!BJ197-'Выборка 1'!BO197)))/4000</f>
        <v>-1374</v>
      </c>
      <c r="N197" s="17">
        <f>(('Выборка 1'!BR197-'Выборка 1'!BQ197)+('Выборка 1'!BS197-'Выборка 1'!BR197)+('Выборка 1'!BT197-'Выборка 1'!BS197)+('Выборка 1'!BU197-'Выборка 1'!BT197))/4000</f>
        <v>5662.25</v>
      </c>
    </row>
    <row r="198" spans="1:14" x14ac:dyDescent="0.25">
      <c r="A198" s="17">
        <v>15</v>
      </c>
      <c r="B198" s="17">
        <f>(('Выборка 1'!E198-'Выборка 1'!D198)+('Выборка 1'!F198-'Выборка 1'!E198)+('Выборка 1'!G198-'Выборка 1'!F198)+('Выборка 1'!H198-'Выборка 1'!G198))/4000</f>
        <v>0</v>
      </c>
      <c r="C198" s="17">
        <f>(('Выборка 1'!J198-'Выборка 1'!I198)+('Выборка 1'!K198-'Выборка 1'!J198)+('Выборка 1'!L198-'Выборка 1'!K198)+('Выборка 1'!M198-'Выборка 1'!L198))/4000</f>
        <v>0</v>
      </c>
      <c r="D198" s="17">
        <f>(('Выборка 1'!O198-'Выборка 1'!N198)+('Выборка 1'!P198-'Выборка 1'!O198)+('Выборка 1'!Q198-'Выборка 1'!P198)+('Выборка 1'!R198-'Выборка 1'!Q198))/4000</f>
        <v>58</v>
      </c>
      <c r="E198" s="17">
        <f>(('Выборка 1'!T198-'Выборка 1'!S198)+('Выборка 1'!U198-'Выборка 1'!T198)+('Выборка 1'!V198-'Выборка 1'!U198)+('Выборка 1'!W198-'Выборка 1'!V198))/4000</f>
        <v>-383.75</v>
      </c>
      <c r="F198" s="17">
        <f>(('Выборка 1'!Y198-'Выборка 1'!X198)+('Выборка 1'!Z198+'Выборка 1'!Y198)+('Выборка 1'!AA198-'Выборка 1'!Z198)+('Выборка 1'!AB198-'Выборка 1'!AA198))/4000</f>
        <v>-2214</v>
      </c>
      <c r="G198" s="17">
        <f>(('Выборка 1'!AD198-'Выборка 1'!AC198)+('Выборка 1'!AE198-'Выборка 1'!AD198)+('Выборка 1'!AF198-'Выборка 1'!AE198)+('Выборка 1'!AG198-'Выборка 1'!AF198))/4000</f>
        <v>0</v>
      </c>
      <c r="H198" s="17">
        <f>(('Выборка 1'!AI198-'Выборка 1'!AH198)+('Выборка 1'!AJ198-'Выборка 1'!AI198)+('Выборка 1'!AK198-'Выборка 1'!AJ198)+('Выборка 1'!AL198-'Выборка 1'!AK198))/4000</f>
        <v>1341.25</v>
      </c>
      <c r="I198" s="17">
        <f>(('Выборка 1'!AN198-'Выборка 1'!AM198)+('Выборка 1'!AO198-'Выборка 1'!AN198)+('Выборка 1'!AP198-'Выборка 1'!AO198)+('Выборка 1'!AQ198-'Выборка 1'!AP198))/4000</f>
        <v>0</v>
      </c>
      <c r="J198" s="17">
        <f>((('Выборка 1'!AS198+'Выборка 1'!AX198)-('Выборка 1'!AR198+'Выборка 1'!AW198))+(('Выборка 1'!AT198+'Выборка 1'!AY198)-('Выборка 1'!AS198+'Выборка 1'!AX198))+(('Выборка 1'!AU198+'Выборка 1'!AZ198)-('Выборка 1'!AT198+'Выборка 1'!AY198))+(('Выборка 1'!AV198+'Выборка 1'!BA198)-('Выборка 1'!AU198+'Выборка 1'!AZ198)))/4000</f>
        <v>0</v>
      </c>
      <c r="K198" s="17">
        <f>(('Выборка 1'!BC198-'Выборка 1'!BB198)+('Выборка 1'!BD198-'Выборка 1'!BC198)+('Выборка 1'!BE198-'Выборка 1'!BD198)+('Выборка 1'!BF198-'Выборка 1'!BE198))/4000</f>
        <v>-31</v>
      </c>
      <c r="L198" s="17">
        <f t="shared" si="3"/>
        <v>31</v>
      </c>
      <c r="M198" s="17">
        <f>((('Выборка 1'!BH198-'Выборка 1'!BM198)-('Выборка 1'!BG198-'Выборка 1'!BL198))+(('Выборка 1'!BI198-'Выборка 1'!BN198)-('Выборка 1'!BH198-'Выборка 1'!BM198))+(('Выборка 1'!BJ198-'Выборка 1'!BO198)-('Выборка 1'!BI198-'Выборка 1'!BN198))+(('Выборка 1'!BK198-'Выборка 1'!BP198)-('Выборка 1'!BJ198-'Выборка 1'!BO198)))/4000</f>
        <v>-866.5</v>
      </c>
      <c r="N198" s="17">
        <f>(('Выборка 1'!BR198-'Выборка 1'!BQ198)+('Выборка 1'!BS198-'Выборка 1'!BR198)+('Выборка 1'!BT198-'Выборка 1'!BS198)+('Выборка 1'!BU198-'Выборка 1'!BT198))/4000</f>
        <v>-719.5</v>
      </c>
    </row>
    <row r="199" spans="1:14" x14ac:dyDescent="0.25">
      <c r="A199" s="17">
        <v>13</v>
      </c>
      <c r="B199" s="17">
        <f>(('Выборка 1'!E199-'Выборка 1'!D199)+('Выборка 1'!F199-'Выборка 1'!E199)+('Выборка 1'!G199-'Выборка 1'!F199)+('Выборка 1'!H199-'Выборка 1'!G199))/4000</f>
        <v>-2188</v>
      </c>
      <c r="C199" s="17">
        <f>(('Выборка 1'!J199-'Выборка 1'!I199)+('Выборка 1'!K199-'Выборка 1'!J199)+('Выборка 1'!L199-'Выборка 1'!K199)+('Выборка 1'!M199-'Выборка 1'!L199))/4000</f>
        <v>8557.25</v>
      </c>
      <c r="D199" s="17">
        <f>(('Выборка 1'!O199-'Выборка 1'!N199)+('Выборка 1'!P199-'Выборка 1'!O199)+('Выборка 1'!Q199-'Выборка 1'!P199)+('Выборка 1'!R199-'Выборка 1'!Q199))/4000</f>
        <v>45455.25</v>
      </c>
      <c r="E199" s="17">
        <f>(('Выборка 1'!T199-'Выборка 1'!S199)+('Выборка 1'!U199-'Выборка 1'!T199)+('Выборка 1'!V199-'Выборка 1'!U199)+('Выборка 1'!W199-'Выборка 1'!V199))/4000</f>
        <v>253.75</v>
      </c>
      <c r="F199" s="17">
        <f>(('Выборка 1'!Y199-'Выборка 1'!X199)+('Выборка 1'!Z199+'Выборка 1'!Y199)+('Выборка 1'!AA199-'Выборка 1'!Z199)+('Выборка 1'!AB199-'Выборка 1'!AA199))/4000</f>
        <v>0</v>
      </c>
      <c r="G199" s="17">
        <f>(('Выборка 1'!AD199-'Выборка 1'!AC199)+('Выборка 1'!AE199-'Выборка 1'!AD199)+('Выборка 1'!AF199-'Выборка 1'!AE199)+('Выборка 1'!AG199-'Выборка 1'!AF199))/4000</f>
        <v>172.25</v>
      </c>
      <c r="H199" s="17">
        <f>(('Выборка 1'!AI199-'Выборка 1'!AH199)+('Выборка 1'!AJ199-'Выборка 1'!AI199)+('Выборка 1'!AK199-'Выборка 1'!AJ199)+('Выборка 1'!AL199-'Выборка 1'!AK199))/4000</f>
        <v>48034</v>
      </c>
      <c r="I199" s="17">
        <f>(('Выборка 1'!AN199-'Выборка 1'!AM199)+('Выборка 1'!AO199-'Выборка 1'!AN199)+('Выборка 1'!AP199-'Выборка 1'!AO199)+('Выборка 1'!AQ199-'Выборка 1'!AP199))/4000</f>
        <v>-15456.25</v>
      </c>
      <c r="J199" s="17">
        <f>((('Выборка 1'!AS199+'Выборка 1'!AX199)-('Выборка 1'!AR199+'Выборка 1'!AW199))+(('Выборка 1'!AT199+'Выборка 1'!AY199)-('Выборка 1'!AS199+'Выборка 1'!AX199))+(('Выборка 1'!AU199+'Выборка 1'!AZ199)-('Выборка 1'!AT199+'Выборка 1'!AY199))+(('Выборка 1'!AV199+'Выборка 1'!BA199)-('Выборка 1'!AU199+'Выборка 1'!AZ199)))/4000</f>
        <v>-18258.25</v>
      </c>
      <c r="K199" s="17">
        <f>(('Выборка 1'!BC199-'Выборка 1'!BB199)+('Выборка 1'!BD199-'Выборка 1'!BC199)+('Выборка 1'!BE199-'Выборка 1'!BD199)+('Выборка 1'!BF199-'Выборка 1'!BE199))/4000</f>
        <v>0</v>
      </c>
      <c r="L199" s="17">
        <f t="shared" si="3"/>
        <v>2802</v>
      </c>
      <c r="M199" s="17">
        <f>((('Выборка 1'!BH199-'Выборка 1'!BM199)-('Выборка 1'!BG199-'Выборка 1'!BL199))+(('Выборка 1'!BI199-'Выборка 1'!BN199)-('Выборка 1'!BH199-'Выборка 1'!BM199))+(('Выборка 1'!BJ199-'Выборка 1'!BO199)-('Выборка 1'!BI199-'Выборка 1'!BN199))+(('Выборка 1'!BK199-'Выборка 1'!BP199)-('Выборка 1'!BJ199-'Выборка 1'!BO199)))/4000</f>
        <v>-4092.75</v>
      </c>
      <c r="N199" s="17">
        <f>(('Выборка 1'!BR199-'Выборка 1'!BQ199)+('Выборка 1'!BS199-'Выборка 1'!BR199)+('Выборка 1'!BT199-'Выборка 1'!BS199)+('Выборка 1'!BU199-'Выборка 1'!BT199))/4000</f>
        <v>-1031.5</v>
      </c>
    </row>
    <row r="200" spans="1:14" x14ac:dyDescent="0.25">
      <c r="A200" s="17">
        <v>13</v>
      </c>
      <c r="B200" s="17">
        <f>(('Выборка 1'!E200-'Выборка 1'!D200)+('Выборка 1'!F200-'Выборка 1'!E200)+('Выборка 1'!G200-'Выборка 1'!F200)+('Выборка 1'!H200-'Выборка 1'!G200))/4000</f>
        <v>-8886</v>
      </c>
      <c r="C200" s="17">
        <f>(('Выборка 1'!J200-'Выборка 1'!I200)+('Выборка 1'!K200-'Выборка 1'!J200)+('Выборка 1'!L200-'Выборка 1'!K200)+('Выборка 1'!M200-'Выборка 1'!L200))/4000</f>
        <v>-142.25</v>
      </c>
      <c r="D200" s="17">
        <f>(('Выборка 1'!O200-'Выборка 1'!N200)+('Выборка 1'!P200-'Выборка 1'!O200)+('Выборка 1'!Q200-'Выборка 1'!P200)+('Выборка 1'!R200-'Выборка 1'!Q200))/4000</f>
        <v>-1834.25</v>
      </c>
      <c r="E200" s="17">
        <f>(('Выборка 1'!T200-'Выборка 1'!S200)+('Выборка 1'!U200-'Выборка 1'!T200)+('Выборка 1'!V200-'Выборка 1'!U200)+('Выборка 1'!W200-'Выборка 1'!V200))/4000</f>
        <v>-0.25</v>
      </c>
      <c r="F200" s="17">
        <f>(('Выборка 1'!Y200-'Выборка 1'!X200)+('Выборка 1'!Z200+'Выборка 1'!Y200)+('Выборка 1'!AA200-'Выборка 1'!Z200)+('Выборка 1'!AB200-'Выборка 1'!AA200))/4000</f>
        <v>-24.25</v>
      </c>
      <c r="G200" s="17">
        <f>(('Выборка 1'!AD200-'Выборка 1'!AC200)+('Выборка 1'!AE200-'Выборка 1'!AD200)+('Выборка 1'!AF200-'Выборка 1'!AE200)+('Выборка 1'!AG200-'Выборка 1'!AF200))/4000</f>
        <v>-0.25</v>
      </c>
      <c r="H200" s="17">
        <f>(('Выборка 1'!AI200-'Выборка 1'!AH200)+('Выборка 1'!AJ200-'Выборка 1'!AI200)+('Выборка 1'!AK200-'Выборка 1'!AJ200)+('Выборка 1'!AL200-'Выборка 1'!AK200))/4000</f>
        <v>-3128.25</v>
      </c>
      <c r="I200" s="17">
        <f>(('Выборка 1'!AN200-'Выборка 1'!AM200)+('Выборка 1'!AO200-'Выборка 1'!AN200)+('Выборка 1'!AP200-'Выборка 1'!AO200)+('Выборка 1'!AQ200-'Выборка 1'!AP200))/4000</f>
        <v>-4871.75</v>
      </c>
      <c r="J200" s="17">
        <f>((('Выборка 1'!AS200+'Выборка 1'!AX200)-('Выборка 1'!AR200+'Выборка 1'!AW200))+(('Выборка 1'!AT200+'Выборка 1'!AY200)-('Выборка 1'!AS200+'Выборка 1'!AX200))+(('Выборка 1'!AU200+'Выборка 1'!AZ200)-('Выборка 1'!AT200+'Выборка 1'!AY200))+(('Выборка 1'!AV200+'Выборка 1'!BA200)-('Выборка 1'!AU200+'Выборка 1'!AZ200)))/4000</f>
        <v>-4759.75</v>
      </c>
      <c r="K200" s="17">
        <f>(('Выборка 1'!BC200-'Выборка 1'!BB200)+('Выборка 1'!BD200-'Выборка 1'!BC200)+('Выборка 1'!BE200-'Выборка 1'!BD200)+('Выборка 1'!BF200-'Выборка 1'!BE200))/4000</f>
        <v>0</v>
      </c>
      <c r="L200" s="17">
        <f t="shared" si="3"/>
        <v>-112</v>
      </c>
      <c r="M200" s="17">
        <f>((('Выборка 1'!BH200-'Выборка 1'!BM200)-('Выборка 1'!BG200-'Выборка 1'!BL200))+(('Выборка 1'!BI200-'Выборка 1'!BN200)-('Выборка 1'!BH200-'Выборка 1'!BM200))+(('Выборка 1'!BJ200-'Выборка 1'!BO200)-('Выборка 1'!BI200-'Выборка 1'!BN200))+(('Выборка 1'!BK200-'Выборка 1'!BP200)-('Выборка 1'!BJ200-'Выборка 1'!BO200)))/4000</f>
        <v>-18.5</v>
      </c>
      <c r="N200" s="17">
        <f>(('Выборка 1'!BR200-'Выборка 1'!BQ200)+('Выборка 1'!BS200-'Выборка 1'!BR200)+('Выборка 1'!BT200-'Выборка 1'!BS200)+('Выборка 1'!BU200-'Выборка 1'!BT200))/4000</f>
        <v>-123.75</v>
      </c>
    </row>
    <row r="201" spans="1:14" x14ac:dyDescent="0.25">
      <c r="A201" s="17">
        <v>19</v>
      </c>
      <c r="B201" s="17">
        <f>(('Выборка 1'!E201-'Выборка 1'!D201)+('Выборка 1'!F201-'Выборка 1'!E201)+('Выборка 1'!G201-'Выборка 1'!F201)+('Выборка 1'!H201-'Выборка 1'!G201))/4000</f>
        <v>0</v>
      </c>
      <c r="C201" s="17">
        <f>(('Выборка 1'!J201-'Выборка 1'!I201)+('Выборка 1'!K201-'Выборка 1'!J201)+('Выборка 1'!L201-'Выборка 1'!K201)+('Выборка 1'!M201-'Выборка 1'!L201))/4000</f>
        <v>-487.25</v>
      </c>
      <c r="D201" s="17">
        <f>(('Выборка 1'!O201-'Выборка 1'!N201)+('Выборка 1'!P201-'Выборка 1'!O201)+('Выборка 1'!Q201-'Выборка 1'!P201)+('Выборка 1'!R201-'Выборка 1'!Q201))/4000</f>
        <v>0</v>
      </c>
      <c r="E201" s="17">
        <f>(('Выборка 1'!T201-'Выборка 1'!S201)+('Выборка 1'!U201-'Выборка 1'!T201)+('Выборка 1'!V201-'Выборка 1'!U201)+('Выборка 1'!W201-'Выборка 1'!V201))/4000</f>
        <v>-28.75</v>
      </c>
      <c r="F201" s="17">
        <f>(('Выборка 1'!Y201-'Выборка 1'!X201)+('Выборка 1'!Z201+'Выборка 1'!Y201)+('Выборка 1'!AA201-'Выборка 1'!Z201)+('Выборка 1'!AB201-'Выборка 1'!AA201))/4000</f>
        <v>3122.5</v>
      </c>
      <c r="G201" s="17">
        <f>(('Выборка 1'!AD201-'Выборка 1'!AC201)+('Выборка 1'!AE201-'Выборка 1'!AD201)+('Выборка 1'!AF201-'Выборка 1'!AE201)+('Выборка 1'!AG201-'Выборка 1'!AF201))/4000</f>
        <v>-250</v>
      </c>
      <c r="H201" s="17">
        <f>(('Выборка 1'!AI201-'Выборка 1'!AH201)+('Выборка 1'!AJ201-'Выборка 1'!AI201)+('Выборка 1'!AK201-'Выборка 1'!AJ201)+('Выборка 1'!AL201-'Выборка 1'!AK201))/4000</f>
        <v>736.75</v>
      </c>
      <c r="I201" s="17">
        <f>(('Выборка 1'!AN201-'Выборка 1'!AM201)+('Выборка 1'!AO201-'Выборка 1'!AN201)+('Выборка 1'!AP201-'Выборка 1'!AO201)+('Выборка 1'!AQ201-'Выборка 1'!AP201))/4000</f>
        <v>-1807.25</v>
      </c>
      <c r="J201" s="17">
        <f>((('Выборка 1'!AS201+'Выборка 1'!AX201)-('Выборка 1'!AR201+'Выборка 1'!AW201))+(('Выборка 1'!AT201+'Выборка 1'!AY201)-('Выборка 1'!AS201+'Выборка 1'!AX201))+(('Выборка 1'!AU201+'Выборка 1'!AZ201)-('Выборка 1'!AT201+'Выборка 1'!AY201))+(('Выборка 1'!AV201+'Выборка 1'!BA201)-('Выборка 1'!AU201+'Выборка 1'!AZ201)))/4000</f>
        <v>-2157.5</v>
      </c>
      <c r="K201" s="17">
        <f>(('Выборка 1'!BC201-'Выборка 1'!BB201)+('Выборка 1'!BD201-'Выборка 1'!BC201)+('Выборка 1'!BE201-'Выборка 1'!BD201)+('Выборка 1'!BF201-'Выборка 1'!BE201))/4000</f>
        <v>0</v>
      </c>
      <c r="L201" s="17">
        <f t="shared" si="3"/>
        <v>350.25</v>
      </c>
      <c r="M201" s="17">
        <f>((('Выборка 1'!BH201-'Выборка 1'!BM201)-('Выборка 1'!BG201-'Выборка 1'!BL201))+(('Выборка 1'!BI201-'Выборка 1'!BN201)-('Выборка 1'!BH201-'Выборка 1'!BM201))+(('Выборка 1'!BJ201-'Выборка 1'!BO201)-('Выборка 1'!BI201-'Выборка 1'!BN201))+(('Выборка 1'!BK201-'Выборка 1'!BP201)-('Выборка 1'!BJ201-'Выборка 1'!BO201)))/4000</f>
        <v>-115</v>
      </c>
      <c r="N201" s="17">
        <f>(('Выборка 1'!BR201-'Выборка 1'!BQ201)+('Выборка 1'!BS201-'Выборка 1'!BR201)+('Выборка 1'!BT201-'Выборка 1'!BS201)+('Выборка 1'!BU201-'Выборка 1'!BT201))/4000</f>
        <v>253.25</v>
      </c>
    </row>
    <row r="202" spans="1:14" x14ac:dyDescent="0.25">
      <c r="A202" s="17">
        <v>19</v>
      </c>
      <c r="B202" s="17">
        <f>(('Выборка 1'!E202-'Выборка 1'!D202)+('Выборка 1'!F202-'Выборка 1'!E202)+('Выборка 1'!G202-'Выборка 1'!F202)+('Выборка 1'!H202-'Выборка 1'!G202))/4000</f>
        <v>0</v>
      </c>
      <c r="C202" s="17">
        <f>(('Выборка 1'!J202-'Выборка 1'!I202)+('Выборка 1'!K202-'Выборка 1'!J202)+('Выборка 1'!L202-'Выборка 1'!K202)+('Выборка 1'!M202-'Выборка 1'!L202))/4000</f>
        <v>0</v>
      </c>
      <c r="D202" s="17">
        <f>(('Выборка 1'!O202-'Выборка 1'!N202)+('Выборка 1'!P202-'Выборка 1'!O202)+('Выборка 1'!Q202-'Выборка 1'!P202)+('Выборка 1'!R202-'Выборка 1'!Q202))/4000</f>
        <v>0</v>
      </c>
      <c r="E202" s="17">
        <f>(('Выборка 1'!T202-'Выборка 1'!S202)+('Выборка 1'!U202-'Выборка 1'!T202)+('Выборка 1'!V202-'Выборка 1'!U202)+('Выборка 1'!W202-'Выборка 1'!V202))/4000</f>
        <v>-0.25</v>
      </c>
      <c r="F202" s="17">
        <f>(('Выборка 1'!Y202-'Выборка 1'!X202)+('Выборка 1'!Z202+'Выборка 1'!Y202)+('Выборка 1'!AA202-'Выборка 1'!Z202)+('Выборка 1'!AB202-'Выборка 1'!AA202))/4000</f>
        <v>200.75</v>
      </c>
      <c r="G202" s="17">
        <f>(('Выборка 1'!AD202-'Выборка 1'!AC202)+('Выборка 1'!AE202-'Выборка 1'!AD202)+('Выборка 1'!AF202-'Выборка 1'!AE202)+('Выборка 1'!AG202-'Выборка 1'!AF202))/4000</f>
        <v>0</v>
      </c>
      <c r="H202" s="17">
        <f>(('Выборка 1'!AI202-'Выборка 1'!AH202)+('Выборка 1'!AJ202-'Выборка 1'!AI202)+('Выборка 1'!AK202-'Выборка 1'!AJ202)+('Выборка 1'!AL202-'Выборка 1'!AK202))/4000</f>
        <v>-198.5</v>
      </c>
      <c r="I202" s="17">
        <f>(('Выборка 1'!AN202-'Выборка 1'!AM202)+('Выборка 1'!AO202-'Выборка 1'!AN202)+('Выборка 1'!AP202-'Выборка 1'!AO202)+('Выборка 1'!AQ202-'Выборка 1'!AP202))/4000</f>
        <v>0</v>
      </c>
      <c r="J202" s="17">
        <f>((('Выборка 1'!AS202+'Выборка 1'!AX202)-('Выборка 1'!AR202+'Выборка 1'!AW202))+(('Выборка 1'!AT202+'Выборка 1'!AY202)-('Выборка 1'!AS202+'Выборка 1'!AX202))+(('Выборка 1'!AU202+'Выборка 1'!AZ202)-('Выборка 1'!AT202+'Выборка 1'!AY202))+(('Выборка 1'!AV202+'Выборка 1'!BA202)-('Выборка 1'!AU202+'Выборка 1'!AZ202)))/4000</f>
        <v>0</v>
      </c>
      <c r="K202" s="17">
        <f>(('Выборка 1'!BC202-'Выборка 1'!BB202)+('Выборка 1'!BD202-'Выборка 1'!BC202)+('Выборка 1'!BE202-'Выборка 1'!BD202)+('Выборка 1'!BF202-'Выборка 1'!BE202))/4000</f>
        <v>0</v>
      </c>
      <c r="L202" s="17">
        <f t="shared" si="3"/>
        <v>0</v>
      </c>
      <c r="M202" s="17">
        <f>((('Выборка 1'!BH202-'Выборка 1'!BM202)-('Выборка 1'!BG202-'Выборка 1'!BL202))+(('Выборка 1'!BI202-'Выборка 1'!BN202)-('Выборка 1'!BH202-'Выборка 1'!BM202))+(('Выборка 1'!BJ202-'Выборка 1'!BO202)-('Выборка 1'!BI202-'Выборка 1'!BN202))+(('Выборка 1'!BK202-'Выборка 1'!BP202)-('Выборка 1'!BJ202-'Выборка 1'!BO202)))/4000</f>
        <v>0</v>
      </c>
      <c r="N202" s="17">
        <f>(('Выборка 1'!BR202-'Выборка 1'!BQ202)+('Выборка 1'!BS202-'Выборка 1'!BR202)+('Выборка 1'!BT202-'Выборка 1'!BS202)+('Выборка 1'!BU202-'Выборка 1'!BT202))/4000</f>
        <v>0</v>
      </c>
    </row>
    <row r="203" spans="1:14" x14ac:dyDescent="0.25">
      <c r="A203" s="17">
        <v>18</v>
      </c>
      <c r="B203" s="17">
        <f>(('Выборка 1'!E203-'Выборка 1'!D203)+('Выборка 1'!F203-'Выборка 1'!E203)+('Выборка 1'!G203-'Выборка 1'!F203)+('Выборка 1'!H203-'Выборка 1'!G203))/4000</f>
        <v>0</v>
      </c>
      <c r="C203" s="17">
        <f>(('Выборка 1'!J203-'Выборка 1'!I203)+('Выборка 1'!K203-'Выборка 1'!J203)+('Выборка 1'!L203-'Выборка 1'!K203)+('Выборка 1'!M203-'Выборка 1'!L203))/4000</f>
        <v>0</v>
      </c>
      <c r="D203" s="17">
        <f>(('Выборка 1'!O203-'Выборка 1'!N203)+('Выборка 1'!P203-'Выборка 1'!O203)+('Выборка 1'!Q203-'Выборка 1'!P203)+('Выборка 1'!R203-'Выборка 1'!Q203))/4000</f>
        <v>0</v>
      </c>
      <c r="E203" s="17">
        <f>(('Выборка 1'!T203-'Выборка 1'!S203)+('Выборка 1'!U203-'Выборка 1'!T203)+('Выборка 1'!V203-'Выборка 1'!U203)+('Выборка 1'!W203-'Выборка 1'!V203))/4000</f>
        <v>0</v>
      </c>
      <c r="F203" s="17">
        <f>(('Выборка 1'!Y203-'Выборка 1'!X203)+('Выборка 1'!Z203+'Выборка 1'!Y203)+('Выборка 1'!AA203-'Выборка 1'!Z203)+('Выборка 1'!AB203-'Выборка 1'!AA203))/4000</f>
        <v>0</v>
      </c>
      <c r="G203" s="17">
        <f>(('Выборка 1'!AD203-'Выборка 1'!AC203)+('Выборка 1'!AE203-'Выборка 1'!AD203)+('Выборка 1'!AF203-'Выборка 1'!AE203)+('Выборка 1'!AG203-'Выборка 1'!AF203))/4000</f>
        <v>0</v>
      </c>
      <c r="H203" s="17">
        <f>(('Выборка 1'!AI203-'Выборка 1'!AH203)+('Выборка 1'!AJ203-'Выборка 1'!AI203)+('Выборка 1'!AK203-'Выборка 1'!AJ203)+('Выборка 1'!AL203-'Выборка 1'!AK203))/4000</f>
        <v>0</v>
      </c>
      <c r="I203" s="17">
        <f>(('Выборка 1'!AN203-'Выборка 1'!AM203)+('Выборка 1'!AO203-'Выборка 1'!AN203)+('Выборка 1'!AP203-'Выборка 1'!AO203)+('Выборка 1'!AQ203-'Выборка 1'!AP203))/4000</f>
        <v>0</v>
      </c>
      <c r="J203" s="17">
        <f>((('Выборка 1'!AS203+'Выборка 1'!AX203)-('Выборка 1'!AR203+'Выборка 1'!AW203))+(('Выборка 1'!AT203+'Выборка 1'!AY203)-('Выборка 1'!AS203+'Выборка 1'!AX203))+(('Выборка 1'!AU203+'Выборка 1'!AZ203)-('Выборка 1'!AT203+'Выборка 1'!AY203))+(('Выборка 1'!AV203+'Выборка 1'!BA203)-('Выборка 1'!AU203+'Выборка 1'!AZ203)))/4000</f>
        <v>0</v>
      </c>
      <c r="K203" s="17">
        <f>(('Выборка 1'!BC203-'Выборка 1'!BB203)+('Выборка 1'!BD203-'Выборка 1'!BC203)+('Выборка 1'!BE203-'Выборка 1'!BD203)+('Выборка 1'!BF203-'Выборка 1'!BE203))/4000</f>
        <v>0</v>
      </c>
      <c r="L203" s="17">
        <f t="shared" si="3"/>
        <v>0</v>
      </c>
      <c r="M203" s="17">
        <f>((('Выборка 1'!BH203-'Выборка 1'!BM203)-('Выборка 1'!BG203-'Выборка 1'!BL203))+(('Выборка 1'!BI203-'Выборка 1'!BN203)-('Выборка 1'!BH203-'Выборка 1'!BM203))+(('Выборка 1'!BJ203-'Выборка 1'!BO203)-('Выборка 1'!BI203-'Выборка 1'!BN203))+(('Выборка 1'!BK203-'Выборка 1'!BP203)-('Выборка 1'!BJ203-'Выборка 1'!BO203)))/4000</f>
        <v>0</v>
      </c>
      <c r="N203" s="17">
        <f>(('Выборка 1'!BR203-'Выборка 1'!BQ203)+('Выборка 1'!BS203-'Выборка 1'!BR203)+('Выборка 1'!BT203-'Выборка 1'!BS203)+('Выборка 1'!BU203-'Выборка 1'!BT203))/4000</f>
        <v>0</v>
      </c>
    </row>
    <row r="204" spans="1:14" x14ac:dyDescent="0.25">
      <c r="A204" s="17">
        <v>18</v>
      </c>
      <c r="B204" s="17">
        <f>(('Выборка 1'!E204-'Выборка 1'!D204)+('Выборка 1'!F204-'Выборка 1'!E204)+('Выборка 1'!G204-'Выборка 1'!F204)+('Выборка 1'!H204-'Выборка 1'!G204))/4000</f>
        <v>-1742.5</v>
      </c>
      <c r="C204" s="17">
        <f>(('Выборка 1'!J204-'Выборка 1'!I204)+('Выборка 1'!K204-'Выборка 1'!J204)+('Выборка 1'!L204-'Выборка 1'!K204)+('Выборка 1'!M204-'Выборка 1'!L204))/4000</f>
        <v>-43905.25</v>
      </c>
      <c r="D204" s="17">
        <f>(('Выборка 1'!O204-'Выборка 1'!N204)+('Выборка 1'!P204-'Выборка 1'!O204)+('Выборка 1'!Q204-'Выборка 1'!P204)+('Выборка 1'!R204-'Выборка 1'!Q204))/4000</f>
        <v>-70301.75</v>
      </c>
      <c r="E204" s="17">
        <f>(('Выборка 1'!T204-'Выборка 1'!S204)+('Выборка 1'!U204-'Выборка 1'!T204)+('Выборка 1'!V204-'Выборка 1'!U204)+('Выборка 1'!W204-'Выборка 1'!V204))/4000</f>
        <v>12526.75</v>
      </c>
      <c r="F204" s="17">
        <f>(('Выборка 1'!Y204-'Выборка 1'!X204)+('Выборка 1'!Z204+'Выборка 1'!Y204)+('Выборка 1'!AA204-'Выборка 1'!Z204)+('Выборка 1'!AB204-'Выборка 1'!AA204))/4000</f>
        <v>-109111</v>
      </c>
      <c r="G204" s="17">
        <f>(('Выборка 1'!AD204-'Выборка 1'!AC204)+('Выборка 1'!AE204-'Выборка 1'!AD204)+('Выборка 1'!AF204-'Выборка 1'!AE204)+('Выборка 1'!AG204-'Выборка 1'!AF204))/4000</f>
        <v>34281.75</v>
      </c>
      <c r="H204" s="17">
        <f>(('Выборка 1'!AI204-'Выборка 1'!AH204)+('Выборка 1'!AJ204-'Выборка 1'!AI204)+('Выборка 1'!AK204-'Выборка 1'!AJ204)+('Выборка 1'!AL204-'Выборка 1'!AK204))/4000</f>
        <v>39419.25</v>
      </c>
      <c r="I204" s="17">
        <f>(('Выборка 1'!AN204-'Выборка 1'!AM204)+('Выборка 1'!AO204-'Выборка 1'!AN204)+('Выборка 1'!AP204-'Выборка 1'!AO204)+('Выборка 1'!AQ204-'Выборка 1'!AP204))/4000</f>
        <v>-273178.75</v>
      </c>
      <c r="J204" s="17">
        <f>((('Выборка 1'!AS204+'Выборка 1'!AX204)-('Выборка 1'!AR204+'Выборка 1'!AW204))+(('Выборка 1'!AT204+'Выборка 1'!AY204)-('Выборка 1'!AS204+'Выборка 1'!AX204))+(('Выборка 1'!AU204+'Выборка 1'!AZ204)-('Выборка 1'!AT204+'Выборка 1'!AY204))+(('Выборка 1'!AV204+'Выборка 1'!BA204)-('Выборка 1'!AU204+'Выборка 1'!AZ204)))/4000</f>
        <v>-230140.25</v>
      </c>
      <c r="K204" s="17">
        <f>(('Выборка 1'!BC204-'Выборка 1'!BB204)+('Выборка 1'!BD204-'Выборка 1'!BC204)+('Выборка 1'!BE204-'Выборка 1'!BD204)+('Выборка 1'!BF204-'Выборка 1'!BE204))/4000</f>
        <v>-2634.25</v>
      </c>
      <c r="L204" s="17">
        <f t="shared" si="3"/>
        <v>-40404.25</v>
      </c>
      <c r="M204" s="17">
        <f>((('Выборка 1'!BH204-'Выборка 1'!BM204)-('Выборка 1'!BG204-'Выборка 1'!BL204))+(('Выборка 1'!BI204-'Выборка 1'!BN204)-('Выборка 1'!BH204-'Выборка 1'!BM204))+(('Выборка 1'!BJ204-'Выборка 1'!BO204)-('Выборка 1'!BI204-'Выборка 1'!BN204))+(('Выборка 1'!BK204-'Выборка 1'!BP204)-('Выборка 1'!BJ204-'Выборка 1'!BO204)))/4000</f>
        <v>-264450.5</v>
      </c>
      <c r="N204" s="17">
        <f>(('Выборка 1'!BR204-'Выборка 1'!BQ204)+('Выборка 1'!BS204-'Выборка 1'!BR204)+('Выборка 1'!BT204-'Выборка 1'!BS204)+('Выборка 1'!BU204-'Выборка 1'!BT204))/4000</f>
        <v>-302126</v>
      </c>
    </row>
    <row r="205" spans="1:14" x14ac:dyDescent="0.25">
      <c r="A205" s="17">
        <v>6</v>
      </c>
      <c r="B205" s="17">
        <f>(('Выборка 1'!E205-'Выборка 1'!D205)+('Выборка 1'!F205-'Выборка 1'!E205)+('Выборка 1'!G205-'Выборка 1'!F205)+('Выборка 1'!H205-'Выборка 1'!G205))/4000</f>
        <v>-2225.75</v>
      </c>
      <c r="C205" s="17">
        <f>(('Выборка 1'!J205-'Выборка 1'!I205)+('Выборка 1'!K205-'Выборка 1'!J205)+('Выборка 1'!L205-'Выборка 1'!K205)+('Выборка 1'!M205-'Выборка 1'!L205))/4000</f>
        <v>-10425</v>
      </c>
      <c r="D205" s="17">
        <f>(('Выборка 1'!O205-'Выборка 1'!N205)+('Выборка 1'!P205-'Выборка 1'!O205)+('Выборка 1'!Q205-'Выборка 1'!P205)+('Выборка 1'!R205-'Выборка 1'!Q205))/4000</f>
        <v>-1420.25</v>
      </c>
      <c r="E205" s="17">
        <f>(('Выборка 1'!T205-'Выборка 1'!S205)+('Выборка 1'!U205-'Выборка 1'!T205)+('Выборка 1'!V205-'Выборка 1'!U205)+('Выборка 1'!W205-'Выборка 1'!V205))/4000</f>
        <v>-256</v>
      </c>
      <c r="F205" s="17">
        <f>(('Выборка 1'!Y205-'Выборка 1'!X205)+('Выборка 1'!Z205+'Выборка 1'!Y205)+('Выборка 1'!AA205-'Выборка 1'!Z205)+('Выборка 1'!AB205-'Выборка 1'!AA205))/4000</f>
        <v>2339.25</v>
      </c>
      <c r="G205" s="17">
        <f>(('Выборка 1'!AD205-'Выборка 1'!AC205)+('Выборка 1'!AE205-'Выборка 1'!AD205)+('Выборка 1'!AF205-'Выборка 1'!AE205)+('Выборка 1'!AG205-'Выборка 1'!AF205))/4000</f>
        <v>-925</v>
      </c>
      <c r="H205" s="17">
        <f>(('Выборка 1'!AI205-'Выборка 1'!AH205)+('Выборка 1'!AJ205-'Выборка 1'!AI205)+('Выборка 1'!AK205-'Выборка 1'!AJ205)+('Выборка 1'!AL205-'Выборка 1'!AK205))/4000</f>
        <v>-12635</v>
      </c>
      <c r="I205" s="17">
        <f>(('Выборка 1'!AN205-'Выборка 1'!AM205)+('Выборка 1'!AO205-'Выборка 1'!AN205)+('Выборка 1'!AP205-'Выборка 1'!AO205)+('Выборка 1'!AQ205-'Выборка 1'!AP205))/4000</f>
        <v>-20812.5</v>
      </c>
      <c r="J205" s="17">
        <f>((('Выборка 1'!AS205+'Выборка 1'!AX205)-('Выборка 1'!AR205+'Выборка 1'!AW205))+(('Выборка 1'!AT205+'Выборка 1'!AY205)-('Выборка 1'!AS205+'Выборка 1'!AX205))+(('Выборка 1'!AU205+'Выборка 1'!AZ205)-('Выборка 1'!AT205+'Выборка 1'!AY205))+(('Выборка 1'!AV205+'Выборка 1'!BA205)-('Выборка 1'!AU205+'Выборка 1'!AZ205)))/4000</f>
        <v>-16518</v>
      </c>
      <c r="K205" s="17">
        <f>(('Выборка 1'!BC205-'Выборка 1'!BB205)+('Выборка 1'!BD205-'Выборка 1'!BC205)+('Выборка 1'!BE205-'Выборка 1'!BD205)+('Выборка 1'!BF205-'Выборка 1'!BE205))/4000</f>
        <v>-3304.75</v>
      </c>
      <c r="L205" s="17">
        <f t="shared" si="3"/>
        <v>-989.75</v>
      </c>
      <c r="M205" s="17">
        <f>((('Выборка 1'!BH205-'Выборка 1'!BM205)-('Выборка 1'!BG205-'Выборка 1'!BL205))+(('Выборка 1'!BI205-'Выборка 1'!BN205)-('Выборка 1'!BH205-'Выборка 1'!BM205))+(('Выборка 1'!BJ205-'Выборка 1'!BO205)-('Выборка 1'!BI205-'Выборка 1'!BN205))+(('Выборка 1'!BK205-'Выборка 1'!BP205)-('Выборка 1'!BJ205-'Выборка 1'!BO205)))/4000</f>
        <v>-336.5</v>
      </c>
      <c r="N205" s="17">
        <f>(('Выборка 1'!BR205-'Выборка 1'!BQ205)+('Выборка 1'!BS205-'Выборка 1'!BR205)+('Выборка 1'!BT205-'Выборка 1'!BS205)+('Выборка 1'!BU205-'Выборка 1'!BT205))/4000</f>
        <v>-1160</v>
      </c>
    </row>
    <row r="206" spans="1:14" x14ac:dyDescent="0.25">
      <c r="A206" s="17">
        <v>33</v>
      </c>
      <c r="B206" s="17">
        <f>(('Выборка 1'!E206-'Выборка 1'!D206)+('Выборка 1'!F206-'Выборка 1'!E206)+('Выборка 1'!G206-'Выборка 1'!F206)+('Выборка 1'!H206-'Выборка 1'!G206))/4000</f>
        <v>-14583</v>
      </c>
      <c r="C206" s="17">
        <f>(('Выборка 1'!J206-'Выборка 1'!I206)+('Выборка 1'!K206-'Выборка 1'!J206)+('Выборка 1'!L206-'Выборка 1'!K206)+('Выборка 1'!M206-'Выборка 1'!L206))/4000</f>
        <v>-1534.75</v>
      </c>
      <c r="D206" s="17">
        <f>(('Выборка 1'!O206-'Выборка 1'!N206)+('Выборка 1'!P206-'Выборка 1'!O206)+('Выборка 1'!Q206-'Выборка 1'!P206)+('Выборка 1'!R206-'Выборка 1'!Q206))/4000</f>
        <v>-28778</v>
      </c>
      <c r="E206" s="17">
        <f>(('Выборка 1'!T206-'Выборка 1'!S206)+('Выборка 1'!U206-'Выборка 1'!T206)+('Выборка 1'!V206-'Выборка 1'!U206)+('Выборка 1'!W206-'Выборка 1'!V206))/4000</f>
        <v>-2610.75</v>
      </c>
      <c r="F206" s="17">
        <f>(('Выборка 1'!Y206-'Выборка 1'!X206)+('Выборка 1'!Z206+'Выборка 1'!Y206)+('Выборка 1'!AA206-'Выборка 1'!Z206)+('Выборка 1'!AB206-'Выборка 1'!AA206))/4000</f>
        <v>-1013902</v>
      </c>
      <c r="G206" s="17">
        <f>(('Выборка 1'!AD206-'Выборка 1'!AC206)+('Выборка 1'!AE206-'Выборка 1'!AD206)+('Выборка 1'!AF206-'Выборка 1'!AE206)+('Выборка 1'!AG206-'Выборка 1'!AF206))/4000</f>
        <v>0</v>
      </c>
      <c r="H206" s="17">
        <f>(('Выборка 1'!AI206-'Выборка 1'!AH206)+('Выборка 1'!AJ206-'Выборка 1'!AI206)+('Выборка 1'!AK206-'Выборка 1'!AJ206)+('Выборка 1'!AL206-'Выборка 1'!AK206))/4000</f>
        <v>24283.75</v>
      </c>
      <c r="I206" s="17">
        <f>(('Выборка 1'!AN206-'Выборка 1'!AM206)+('Выборка 1'!AO206-'Выборка 1'!AN206)+('Выборка 1'!AP206-'Выборка 1'!AO206)+('Выборка 1'!AQ206-'Выборка 1'!AP206))/4000</f>
        <v>-36.5</v>
      </c>
      <c r="J206" s="17">
        <f>((('Выборка 1'!AS206+'Выборка 1'!AX206)-('Выборка 1'!AR206+'Выборка 1'!AW206))+(('Выборка 1'!AT206+'Выборка 1'!AY206)-('Выборка 1'!AS206+'Выборка 1'!AX206))+(('Выборка 1'!AU206+'Выборка 1'!AZ206)-('Выборка 1'!AT206+'Выборка 1'!AY206))+(('Выборка 1'!AV206+'Выборка 1'!BA206)-('Выборка 1'!AU206+'Выборка 1'!AZ206)))/4000</f>
        <v>-1710</v>
      </c>
      <c r="K206" s="17">
        <f>(('Выборка 1'!BC206-'Выборка 1'!BB206)+('Выборка 1'!BD206-'Выборка 1'!BC206)+('Выборка 1'!BE206-'Выборка 1'!BD206)+('Выборка 1'!BF206-'Выборка 1'!BE206))/4000</f>
        <v>-731.5</v>
      </c>
      <c r="L206" s="17">
        <f t="shared" si="3"/>
        <v>2405</v>
      </c>
      <c r="M206" s="17">
        <f>((('Выборка 1'!BH206-'Выборка 1'!BM206)-('Выборка 1'!BG206-'Выборка 1'!BL206))+(('Выборка 1'!BI206-'Выборка 1'!BN206)-('Выборка 1'!BH206-'Выборка 1'!BM206))+(('Выборка 1'!BJ206-'Выборка 1'!BO206)-('Выборка 1'!BI206-'Выборка 1'!BN206))+(('Выборка 1'!BK206-'Выборка 1'!BP206)-('Выборка 1'!BJ206-'Выборка 1'!BO206)))/4000</f>
        <v>-274.75</v>
      </c>
      <c r="N206" s="17">
        <f>(('Выборка 1'!BR206-'Выборка 1'!BQ206)+('Выборка 1'!BS206-'Выборка 1'!BR206)+('Выборка 1'!BT206-'Выборка 1'!BS206)+('Выборка 1'!BU206-'Выборка 1'!BT206))/4000</f>
        <v>4157.5</v>
      </c>
    </row>
    <row r="207" spans="1:14" x14ac:dyDescent="0.25">
      <c r="A207" s="17">
        <v>25</v>
      </c>
      <c r="B207" s="17">
        <f>(('Выборка 1'!E207-'Выборка 1'!D207)+('Выборка 1'!F207-'Выборка 1'!E207)+('Выборка 1'!G207-'Выборка 1'!F207)+('Выборка 1'!H207-'Выборка 1'!G207))/4000</f>
        <v>-820</v>
      </c>
      <c r="C207" s="17">
        <f>(('Выборка 1'!J207-'Выборка 1'!I207)+('Выборка 1'!K207-'Выборка 1'!J207)+('Выборка 1'!L207-'Выборка 1'!K207)+('Выборка 1'!M207-'Выборка 1'!L207))/4000</f>
        <v>0</v>
      </c>
      <c r="D207" s="17">
        <f>(('Выборка 1'!O207-'Выборка 1'!N207)+('Выборка 1'!P207-'Выборка 1'!O207)+('Выборка 1'!Q207-'Выборка 1'!P207)+('Выборка 1'!R207-'Выборка 1'!Q207))/4000</f>
        <v>-57493.5</v>
      </c>
      <c r="E207" s="17">
        <f>(('Выборка 1'!T207-'Выборка 1'!S207)+('Выборка 1'!U207-'Выборка 1'!T207)+('Выборка 1'!V207-'Выборка 1'!U207)+('Выборка 1'!W207-'Выборка 1'!V207))/4000</f>
        <v>5474.75</v>
      </c>
      <c r="F207" s="17">
        <f>(('Выборка 1'!Y207-'Выборка 1'!X207)+('Выборка 1'!Z207+'Выборка 1'!Y207)+('Выборка 1'!AA207-'Выборка 1'!Z207)+('Выборка 1'!AB207-'Выборка 1'!AA207))/4000</f>
        <v>-333577.5</v>
      </c>
      <c r="G207" s="17">
        <f>(('Выборка 1'!AD207-'Выборка 1'!AC207)+('Выборка 1'!AE207-'Выборка 1'!AD207)+('Выборка 1'!AF207-'Выборка 1'!AE207)+('Выборка 1'!AG207-'Выборка 1'!AF207))/4000</f>
        <v>0</v>
      </c>
      <c r="H207" s="17">
        <f>(('Выборка 1'!AI207-'Выборка 1'!AH207)+('Выборка 1'!AJ207-'Выборка 1'!AI207)+('Выборка 1'!AK207-'Выборка 1'!AJ207)+('Выборка 1'!AL207-'Выборка 1'!AK207))/4000</f>
        <v>-33868</v>
      </c>
      <c r="I207" s="17">
        <f>(('Выборка 1'!AN207-'Выборка 1'!AM207)+('Выборка 1'!AO207-'Выборка 1'!AN207)+('Выборка 1'!AP207-'Выборка 1'!AO207)+('Выборка 1'!AQ207-'Выборка 1'!AP207))/4000</f>
        <v>-5527.75</v>
      </c>
      <c r="J207" s="17">
        <f>((('Выборка 1'!AS207+'Выборка 1'!AX207)-('Выборка 1'!AR207+'Выборка 1'!AW207))+(('Выборка 1'!AT207+'Выборка 1'!AY207)-('Выборка 1'!AS207+'Выборка 1'!AX207))+(('Выборка 1'!AU207+'Выборка 1'!AZ207)-('Выборка 1'!AT207+'Выборка 1'!AY207))+(('Выборка 1'!AV207+'Выборка 1'!BA207)-('Выборка 1'!AU207+'Выборка 1'!AZ207)))/4000</f>
        <v>-1074.5</v>
      </c>
      <c r="K207" s="17">
        <f>(('Выборка 1'!BC207-'Выборка 1'!BB207)+('Выборка 1'!BD207-'Выборка 1'!BC207)+('Выборка 1'!BE207-'Выборка 1'!BD207)+('Выборка 1'!BF207-'Выборка 1'!BE207))/4000</f>
        <v>-2840.25</v>
      </c>
      <c r="L207" s="17">
        <f t="shared" si="3"/>
        <v>-1613</v>
      </c>
      <c r="M207" s="17">
        <f>((('Выборка 1'!BH207-'Выборка 1'!BM207)-('Выборка 1'!BG207-'Выборка 1'!BL207))+(('Выборка 1'!BI207-'Выборка 1'!BN207)-('Выборка 1'!BH207-'Выборка 1'!BM207))+(('Выборка 1'!BJ207-'Выборка 1'!BO207)-('Выборка 1'!BI207-'Выборка 1'!BN207))+(('Выборка 1'!BK207-'Выборка 1'!BP207)-('Выборка 1'!BJ207-'Выборка 1'!BO207)))/4000</f>
        <v>1864</v>
      </c>
      <c r="N207" s="17">
        <f>(('Выборка 1'!BR207-'Выборка 1'!BQ207)+('Выборка 1'!BS207-'Выборка 1'!BR207)+('Выборка 1'!BT207-'Выборка 1'!BS207)+('Выборка 1'!BU207-'Выборка 1'!BT207))/4000</f>
        <v>44.5</v>
      </c>
    </row>
    <row r="208" spans="1:14" x14ac:dyDescent="0.25">
      <c r="A208" s="17">
        <v>18</v>
      </c>
      <c r="B208" s="17">
        <f>(('Выборка 1'!E208-'Выборка 1'!D208)+('Выборка 1'!F208-'Выборка 1'!E208)+('Выборка 1'!G208-'Выборка 1'!F208)+('Выборка 1'!H208-'Выборка 1'!G208))/4000</f>
        <v>-9290.25</v>
      </c>
      <c r="C208" s="17">
        <f>(('Выборка 1'!J208-'Выборка 1'!I208)+('Выборка 1'!K208-'Выборка 1'!J208)+('Выборка 1'!L208-'Выборка 1'!K208)+('Выборка 1'!M208-'Выборка 1'!L208))/4000</f>
        <v>-5476.25</v>
      </c>
      <c r="D208" s="17">
        <f>(('Выборка 1'!O208-'Выборка 1'!N208)+('Выборка 1'!P208-'Выборка 1'!O208)+('Выборка 1'!Q208-'Выборка 1'!P208)+('Выборка 1'!R208-'Выборка 1'!Q208))/4000</f>
        <v>9512.5</v>
      </c>
      <c r="E208" s="17">
        <f>(('Выборка 1'!T208-'Выборка 1'!S208)+('Выборка 1'!U208-'Выборка 1'!T208)+('Выборка 1'!V208-'Выборка 1'!U208)+('Выборка 1'!W208-'Выборка 1'!V208))/4000</f>
        <v>2728.5</v>
      </c>
      <c r="F208" s="17">
        <f>(('Выборка 1'!Y208-'Выборка 1'!X208)+('Выборка 1'!Z208+'Выборка 1'!Y208)+('Выборка 1'!AA208-'Выборка 1'!Z208)+('Выборка 1'!AB208-'Выборка 1'!AA208))/4000</f>
        <v>-62053.75</v>
      </c>
      <c r="G208" s="17">
        <f>(('Выборка 1'!AD208-'Выборка 1'!AC208)+('Выборка 1'!AE208-'Выборка 1'!AD208)+('Выборка 1'!AF208-'Выборка 1'!AE208)+('Выборка 1'!AG208-'Выборка 1'!AF208))/4000</f>
        <v>-5053.5</v>
      </c>
      <c r="H208" s="17">
        <f>(('Выборка 1'!AI208-'Выборка 1'!AH208)+('Выборка 1'!AJ208-'Выборка 1'!AI208)+('Выборка 1'!AK208-'Выборка 1'!AJ208)+('Выборка 1'!AL208-'Выборка 1'!AK208))/4000</f>
        <v>-14176.5</v>
      </c>
      <c r="I208" s="17">
        <f>(('Выборка 1'!AN208-'Выборка 1'!AM208)+('Выборка 1'!AO208-'Выборка 1'!AN208)+('Выборка 1'!AP208-'Выборка 1'!AO208)+('Выборка 1'!AQ208-'Выборка 1'!AP208))/4000</f>
        <v>-15904.5</v>
      </c>
      <c r="J208" s="17">
        <f>((('Выборка 1'!AS208+'Выборка 1'!AX208)-('Выборка 1'!AR208+'Выборка 1'!AW208))+(('Выборка 1'!AT208+'Выборка 1'!AY208)-('Выборка 1'!AS208+'Выборка 1'!AX208))+(('Выборка 1'!AU208+'Выборка 1'!AZ208)-('Выборка 1'!AT208+'Выборка 1'!AY208))+(('Выборка 1'!AV208+'Выборка 1'!BA208)-('Выборка 1'!AU208+'Выборка 1'!AZ208)))/4000</f>
        <v>-19078.5</v>
      </c>
      <c r="K208" s="17">
        <f>(('Выборка 1'!BC208-'Выборка 1'!BB208)+('Выборка 1'!BD208-'Выборка 1'!BC208)+('Выборка 1'!BE208-'Выборка 1'!BD208)+('Выборка 1'!BF208-'Выборка 1'!BE208))/4000</f>
        <v>-509.25</v>
      </c>
      <c r="L208" s="17">
        <f t="shared" si="3"/>
        <v>3683.25</v>
      </c>
      <c r="M208" s="17">
        <f>((('Выборка 1'!BH208-'Выборка 1'!BM208)-('Выборка 1'!BG208-'Выборка 1'!BL208))+(('Выборка 1'!BI208-'Выборка 1'!BN208)-('Выборка 1'!BH208-'Выборка 1'!BM208))+(('Выборка 1'!BJ208-'Выборка 1'!BO208)-('Выборка 1'!BI208-'Выборка 1'!BN208))+(('Выборка 1'!BK208-'Выборка 1'!BP208)-('Выборка 1'!BJ208-'Выборка 1'!BO208)))/4000</f>
        <v>867.25</v>
      </c>
      <c r="N208" s="17">
        <f>(('Выборка 1'!BR208-'Выборка 1'!BQ208)+('Выборка 1'!BS208-'Выборка 1'!BR208)+('Выборка 1'!BT208-'Выборка 1'!BS208)+('Выборка 1'!BU208-'Выборка 1'!BT208))/4000</f>
        <v>6932</v>
      </c>
    </row>
    <row r="209" spans="1:14" x14ac:dyDescent="0.25">
      <c r="A209" s="17">
        <v>12</v>
      </c>
      <c r="B209" s="17">
        <f>(('Выборка 1'!E209-'Выборка 1'!D209)+('Выборка 1'!F209-'Выборка 1'!E209)+('Выборка 1'!G209-'Выборка 1'!F209)+('Выборка 1'!H209-'Выборка 1'!G209))/4000</f>
        <v>0</v>
      </c>
      <c r="C209" s="17">
        <f>(('Выборка 1'!J209-'Выборка 1'!I209)+('Выборка 1'!K209-'Выборка 1'!J209)+('Выборка 1'!L209-'Выборка 1'!K209)+('Выборка 1'!M209-'Выборка 1'!L209))/4000</f>
        <v>0</v>
      </c>
      <c r="D209" s="17">
        <f>(('Выборка 1'!O209-'Выборка 1'!N209)+('Выборка 1'!P209-'Выборка 1'!O209)+('Выборка 1'!Q209-'Выборка 1'!P209)+('Выборка 1'!R209-'Выборка 1'!Q209))/4000</f>
        <v>0</v>
      </c>
      <c r="E209" s="17">
        <f>(('Выборка 1'!T209-'Выборка 1'!S209)+('Выборка 1'!U209-'Выборка 1'!T209)+('Выборка 1'!V209-'Выборка 1'!U209)+('Выборка 1'!W209-'Выборка 1'!V209))/4000</f>
        <v>0</v>
      </c>
      <c r="F209" s="17">
        <f>(('Выборка 1'!Y209-'Выборка 1'!X209)+('Выборка 1'!Z209+'Выборка 1'!Y209)+('Выборка 1'!AA209-'Выборка 1'!Z209)+('Выборка 1'!AB209-'Выборка 1'!AA209))/4000</f>
        <v>0</v>
      </c>
      <c r="G209" s="17">
        <f>(('Выборка 1'!AD209-'Выборка 1'!AC209)+('Выборка 1'!AE209-'Выборка 1'!AD209)+('Выборка 1'!AF209-'Выборка 1'!AE209)+('Выборка 1'!AG209-'Выборка 1'!AF209))/4000</f>
        <v>0</v>
      </c>
      <c r="H209" s="17">
        <f>(('Выборка 1'!AI209-'Выборка 1'!AH209)+('Выборка 1'!AJ209-'Выборка 1'!AI209)+('Выборка 1'!AK209-'Выборка 1'!AJ209)+('Выборка 1'!AL209-'Выборка 1'!AK209))/4000</f>
        <v>0</v>
      </c>
      <c r="I209" s="17">
        <f>(('Выборка 1'!AN209-'Выборка 1'!AM209)+('Выборка 1'!AO209-'Выборка 1'!AN209)+('Выборка 1'!AP209-'Выборка 1'!AO209)+('Выборка 1'!AQ209-'Выборка 1'!AP209))/4000</f>
        <v>0</v>
      </c>
      <c r="J209" s="17">
        <f>((('Выборка 1'!AS209+'Выборка 1'!AX209)-('Выборка 1'!AR209+'Выборка 1'!AW209))+(('Выборка 1'!AT209+'Выборка 1'!AY209)-('Выборка 1'!AS209+'Выборка 1'!AX209))+(('Выборка 1'!AU209+'Выборка 1'!AZ209)-('Выборка 1'!AT209+'Выборка 1'!AY209))+(('Выборка 1'!AV209+'Выборка 1'!BA209)-('Выборка 1'!AU209+'Выборка 1'!AZ209)))/4000</f>
        <v>0</v>
      </c>
      <c r="K209" s="17">
        <f>(('Выборка 1'!BC209-'Выборка 1'!BB209)+('Выборка 1'!BD209-'Выборка 1'!BC209)+('Выборка 1'!BE209-'Выборка 1'!BD209)+('Выборка 1'!BF209-'Выборка 1'!BE209))/4000</f>
        <v>0</v>
      </c>
      <c r="L209" s="17">
        <f t="shared" si="3"/>
        <v>0</v>
      </c>
      <c r="M209" s="17">
        <f>((('Выборка 1'!BH209-'Выборка 1'!BM209)-('Выборка 1'!BG209-'Выборка 1'!BL209))+(('Выборка 1'!BI209-'Выборка 1'!BN209)-('Выборка 1'!BH209-'Выборка 1'!BM209))+(('Выборка 1'!BJ209-'Выборка 1'!BO209)-('Выборка 1'!BI209-'Выборка 1'!BN209))+(('Выборка 1'!BK209-'Выборка 1'!BP209)-('Выборка 1'!BJ209-'Выборка 1'!BO209)))/4000</f>
        <v>0</v>
      </c>
      <c r="N209" s="17">
        <f>(('Выборка 1'!BR209-'Выборка 1'!BQ209)+('Выборка 1'!BS209-'Выборка 1'!BR209)+('Выборка 1'!BT209-'Выборка 1'!BS209)+('Выборка 1'!BU209-'Выборка 1'!BT209))/4000</f>
        <v>0</v>
      </c>
    </row>
    <row r="210" spans="1:14" x14ac:dyDescent="0.25">
      <c r="A210" s="17">
        <v>16</v>
      </c>
      <c r="B210" s="17">
        <f>(('Выборка 1'!E210-'Выборка 1'!D210)+('Выборка 1'!F210-'Выборка 1'!E210)+('Выборка 1'!G210-'Выборка 1'!F210)+('Выборка 1'!H210-'Выборка 1'!G210))/4000</f>
        <v>-5848.25</v>
      </c>
      <c r="C210" s="17">
        <f>(('Выборка 1'!J210-'Выборка 1'!I210)+('Выборка 1'!K210-'Выборка 1'!J210)+('Выборка 1'!L210-'Выборка 1'!K210)+('Выборка 1'!M210-'Выборка 1'!L210))/4000</f>
        <v>0</v>
      </c>
      <c r="D210" s="17">
        <f>(('Выборка 1'!O210-'Выборка 1'!N210)+('Выборка 1'!P210-'Выборка 1'!O210)+('Выборка 1'!Q210-'Выборка 1'!P210)+('Выборка 1'!R210-'Выборка 1'!Q210))/4000</f>
        <v>3440.25</v>
      </c>
      <c r="E210" s="17">
        <f>(('Выборка 1'!T210-'Выборка 1'!S210)+('Выборка 1'!U210-'Выборка 1'!T210)+('Выборка 1'!V210-'Выборка 1'!U210)+('Выборка 1'!W210-'Выборка 1'!V210))/4000</f>
        <v>-876.5</v>
      </c>
      <c r="F210" s="17">
        <f>(('Выборка 1'!Y210-'Выборка 1'!X210)+('Выборка 1'!Z210+'Выборка 1'!Y210)+('Выборка 1'!AA210-'Выборка 1'!Z210)+('Выборка 1'!AB210-'Выборка 1'!AA210))/4000</f>
        <v>0</v>
      </c>
      <c r="G210" s="17">
        <f>(('Выборка 1'!AD210-'Выборка 1'!AC210)+('Выборка 1'!AE210-'Выборка 1'!AD210)+('Выборка 1'!AF210-'Выборка 1'!AE210)+('Выборка 1'!AG210-'Выборка 1'!AF210))/4000</f>
        <v>-641.75</v>
      </c>
      <c r="H210" s="17">
        <f>(('Выборка 1'!AI210-'Выборка 1'!AH210)+('Выборка 1'!AJ210-'Выборка 1'!AI210)+('Выборка 1'!AK210-'Выборка 1'!AJ210)+('Выборка 1'!AL210-'Выборка 1'!AK210))/4000</f>
        <v>-472.25</v>
      </c>
      <c r="I210" s="17">
        <f>(('Выборка 1'!AN210-'Выборка 1'!AM210)+('Выборка 1'!AO210-'Выборка 1'!AN210)+('Выборка 1'!AP210-'Выборка 1'!AO210)+('Выборка 1'!AQ210-'Выборка 1'!AP210))/4000</f>
        <v>-157.75</v>
      </c>
      <c r="J210" s="17">
        <f>((('Выборка 1'!AS210+'Выборка 1'!AX210)-('Выборка 1'!AR210+'Выборка 1'!AW210))+(('Выборка 1'!AT210+'Выборка 1'!AY210)-('Выборка 1'!AS210+'Выборка 1'!AX210))+(('Выборка 1'!AU210+'Выборка 1'!AZ210)-('Выборка 1'!AT210+'Выборка 1'!AY210))+(('Выборка 1'!AV210+'Выборка 1'!BA210)-('Выборка 1'!AU210+'Выборка 1'!AZ210)))/4000</f>
        <v>-848</v>
      </c>
      <c r="K210" s="17">
        <f>(('Выборка 1'!BC210-'Выборка 1'!BB210)+('Выборка 1'!BD210-'Выборка 1'!BC210)+('Выборка 1'!BE210-'Выборка 1'!BD210)+('Выборка 1'!BF210-'Выборка 1'!BE210))/4000</f>
        <v>0</v>
      </c>
      <c r="L210" s="17">
        <f t="shared" si="3"/>
        <v>690.25</v>
      </c>
      <c r="M210" s="17">
        <f>((('Выборка 1'!BH210-'Выборка 1'!BM210)-('Выборка 1'!BG210-'Выборка 1'!BL210))+(('Выборка 1'!BI210-'Выборка 1'!BN210)-('Выборка 1'!BH210-'Выборка 1'!BM210))+(('Выборка 1'!BJ210-'Выборка 1'!BO210)-('Выборка 1'!BI210-'Выборка 1'!BN210))+(('Выборка 1'!BK210-'Выборка 1'!BP210)-('Выборка 1'!BJ210-'Выборка 1'!BO210)))/4000</f>
        <v>-76.5</v>
      </c>
      <c r="N210" s="17">
        <f>(('Выборка 1'!BR210-'Выборка 1'!BQ210)+('Выборка 1'!BS210-'Выборка 1'!BR210)+('Выборка 1'!BT210-'Выборка 1'!BS210)+('Выборка 1'!BU210-'Выборка 1'!BT210))/4000</f>
        <v>622</v>
      </c>
    </row>
    <row r="211" spans="1:14" x14ac:dyDescent="0.25">
      <c r="A211" s="17">
        <v>11</v>
      </c>
      <c r="B211" s="17">
        <f>(('Выборка 1'!E211-'Выборка 1'!D211)+('Выборка 1'!F211-'Выборка 1'!E211)+('Выборка 1'!G211-'Выборка 1'!F211)+('Выборка 1'!H211-'Выборка 1'!G211))/4000</f>
        <v>-62013.5</v>
      </c>
      <c r="C211" s="17">
        <f>(('Выборка 1'!J211-'Выборка 1'!I211)+('Выборка 1'!K211-'Выборка 1'!J211)+('Выборка 1'!L211-'Выборка 1'!K211)+('Выборка 1'!M211-'Выборка 1'!L211))/4000</f>
        <v>0</v>
      </c>
      <c r="D211" s="17">
        <f>(('Выборка 1'!O211-'Выборка 1'!N211)+('Выборка 1'!P211-'Выборка 1'!O211)+('Выборка 1'!Q211-'Выборка 1'!P211)+('Выборка 1'!R211-'Выборка 1'!Q211))/4000</f>
        <v>-11812.75</v>
      </c>
      <c r="E211" s="17">
        <f>(('Выборка 1'!T211-'Выборка 1'!S211)+('Выборка 1'!U211-'Выборка 1'!T211)+('Выборка 1'!V211-'Выборка 1'!U211)+('Выборка 1'!W211-'Выборка 1'!V211))/4000</f>
        <v>0</v>
      </c>
      <c r="F211" s="17">
        <f>(('Выборка 1'!Y211-'Выборка 1'!X211)+('Выборка 1'!Z211+'Выборка 1'!Y211)+('Выборка 1'!AA211-'Выборка 1'!Z211)+('Выборка 1'!AB211-'Выборка 1'!AA211))/4000</f>
        <v>-433896.25</v>
      </c>
      <c r="G211" s="17">
        <f>(('Выборка 1'!AD211-'Выборка 1'!AC211)+('Выборка 1'!AE211-'Выборка 1'!AD211)+('Выборка 1'!AF211-'Выборка 1'!AE211)+('Выборка 1'!AG211-'Выборка 1'!AF211))/4000</f>
        <v>-750</v>
      </c>
      <c r="H211" s="17">
        <f>(('Выборка 1'!AI211-'Выборка 1'!AH211)+('Выборка 1'!AJ211-'Выборка 1'!AI211)+('Выборка 1'!AK211-'Выборка 1'!AJ211)+('Выборка 1'!AL211-'Выборка 1'!AK211))/4000</f>
        <v>-61410</v>
      </c>
      <c r="I211" s="17">
        <f>(('Выборка 1'!AN211-'Выборка 1'!AM211)+('Выборка 1'!AO211-'Выборка 1'!AN211)+('Выборка 1'!AP211-'Выборка 1'!AO211)+('Выборка 1'!AQ211-'Выборка 1'!AP211))/4000</f>
        <v>0</v>
      </c>
      <c r="J211" s="17">
        <f>((('Выборка 1'!AS211+'Выборка 1'!AX211)-('Выборка 1'!AR211+'Выборка 1'!AW211))+(('Выборка 1'!AT211+'Выборка 1'!AY211)-('Выборка 1'!AS211+'Выборка 1'!AX211))+(('Выборка 1'!AU211+'Выборка 1'!AZ211)-('Выборка 1'!AT211+'Выборка 1'!AY211))+(('Выборка 1'!AV211+'Выборка 1'!BA211)-('Выборка 1'!AU211+'Выборка 1'!AZ211)))/4000</f>
        <v>0</v>
      </c>
      <c r="K211" s="17">
        <f>(('Выборка 1'!BC211-'Выборка 1'!BB211)+('Выборка 1'!BD211-'Выборка 1'!BC211)+('Выборка 1'!BE211-'Выборка 1'!BD211)+('Выборка 1'!BF211-'Выборка 1'!BE211))/4000</f>
        <v>0</v>
      </c>
      <c r="L211" s="17">
        <f t="shared" si="3"/>
        <v>0</v>
      </c>
      <c r="M211" s="17">
        <f>((('Выборка 1'!BH211-'Выборка 1'!BM211)-('Выборка 1'!BG211-'Выборка 1'!BL211))+(('Выборка 1'!BI211-'Выборка 1'!BN211)-('Выборка 1'!BH211-'Выборка 1'!BM211))+(('Выборка 1'!BJ211-'Выборка 1'!BO211)-('Выборка 1'!BI211-'Выборка 1'!BN211))+(('Выборка 1'!BK211-'Выборка 1'!BP211)-('Выборка 1'!BJ211-'Выборка 1'!BO211)))/4000</f>
        <v>8923.75</v>
      </c>
      <c r="N211" s="17">
        <f>(('Выборка 1'!BR211-'Выборка 1'!BQ211)+('Выборка 1'!BS211-'Выборка 1'!BR211)+('Выборка 1'!BT211-'Выборка 1'!BS211)+('Выборка 1'!BU211-'Выборка 1'!BT211))/4000</f>
        <v>8923.75</v>
      </c>
    </row>
    <row r="212" spans="1:14" x14ac:dyDescent="0.25">
      <c r="A212" s="17">
        <v>18</v>
      </c>
      <c r="B212" s="17">
        <f>(('Выборка 1'!E212-'Выборка 1'!D212)+('Выборка 1'!F212-'Выборка 1'!E212)+('Выборка 1'!G212-'Выборка 1'!F212)+('Выборка 1'!H212-'Выборка 1'!G212))/4000</f>
        <v>-21984</v>
      </c>
      <c r="C212" s="17">
        <f>(('Выборка 1'!J212-'Выборка 1'!I212)+('Выборка 1'!K212-'Выборка 1'!J212)+('Выборка 1'!L212-'Выборка 1'!K212)+('Выборка 1'!M212-'Выборка 1'!L212))/4000</f>
        <v>234</v>
      </c>
      <c r="D212" s="17">
        <f>(('Выборка 1'!O212-'Выборка 1'!N212)+('Выборка 1'!P212-'Выборка 1'!O212)+('Выборка 1'!Q212-'Выборка 1'!P212)+('Выборка 1'!R212-'Выборка 1'!Q212))/4000</f>
        <v>-12215</v>
      </c>
      <c r="E212" s="17">
        <f>(('Выборка 1'!T212-'Выборка 1'!S212)+('Выборка 1'!U212-'Выборка 1'!T212)+('Выборка 1'!V212-'Выборка 1'!U212)+('Выборка 1'!W212-'Выборка 1'!V212))/4000</f>
        <v>5237.25</v>
      </c>
      <c r="F212" s="17">
        <f>(('Выборка 1'!Y212-'Выборка 1'!X212)+('Выборка 1'!Z212+'Выборка 1'!Y212)+('Выборка 1'!AA212-'Выборка 1'!Z212)+('Выборка 1'!AB212-'Выборка 1'!AA212))/4000</f>
        <v>-98454.75</v>
      </c>
      <c r="G212" s="17">
        <f>(('Выборка 1'!AD212-'Выборка 1'!AC212)+('Выборка 1'!AE212-'Выборка 1'!AD212)+('Выборка 1'!AF212-'Выборка 1'!AE212)+('Выборка 1'!AG212-'Выборка 1'!AF212))/4000</f>
        <v>0</v>
      </c>
      <c r="H212" s="17">
        <f>(('Выборка 1'!AI212-'Выборка 1'!AH212)+('Выборка 1'!AJ212-'Выборка 1'!AI212)+('Выборка 1'!AK212-'Выборка 1'!AJ212)+('Выборка 1'!AL212-'Выборка 1'!AK212))/4000</f>
        <v>6466.25</v>
      </c>
      <c r="I212" s="17">
        <f>(('Выборка 1'!AN212-'Выборка 1'!AM212)+('Выборка 1'!AO212-'Выборка 1'!AN212)+('Выборка 1'!AP212-'Выборка 1'!AO212)+('Выборка 1'!AQ212-'Выборка 1'!AP212))/4000</f>
        <v>-555.25</v>
      </c>
      <c r="J212" s="17">
        <f>((('Выборка 1'!AS212+'Выборка 1'!AX212)-('Выборка 1'!AR212+'Выборка 1'!AW212))+(('Выборка 1'!AT212+'Выборка 1'!AY212)-('Выборка 1'!AS212+'Выборка 1'!AX212))+(('Выборка 1'!AU212+'Выборка 1'!AZ212)-('Выборка 1'!AT212+'Выборка 1'!AY212))+(('Выборка 1'!AV212+'Выборка 1'!BA212)-('Выборка 1'!AU212+'Выборка 1'!AZ212)))/4000</f>
        <v>-790.5</v>
      </c>
      <c r="K212" s="17">
        <f>(('Выборка 1'!BC212-'Выборка 1'!BB212)+('Выборка 1'!BD212-'Выборка 1'!BC212)+('Выборка 1'!BE212-'Выборка 1'!BD212)+('Выборка 1'!BF212-'Выборка 1'!BE212))/4000</f>
        <v>-1101</v>
      </c>
      <c r="L212" s="17">
        <f t="shared" si="3"/>
        <v>1336.25</v>
      </c>
      <c r="M212" s="17">
        <f>((('Выборка 1'!BH212-'Выборка 1'!BM212)-('Выборка 1'!BG212-'Выборка 1'!BL212))+(('Выборка 1'!BI212-'Выборка 1'!BN212)-('Выборка 1'!BH212-'Выборка 1'!BM212))+(('Выборка 1'!BJ212-'Выборка 1'!BO212)-('Выборка 1'!BI212-'Выборка 1'!BN212))+(('Выборка 1'!BK212-'Выборка 1'!BP212)-('Выборка 1'!BJ212-'Выборка 1'!BO212)))/4000</f>
        <v>-18905.5</v>
      </c>
      <c r="N212" s="17">
        <f>(('Выборка 1'!BR212-'Выборка 1'!BQ212)+('Выборка 1'!BS212-'Выборка 1'!BR212)+('Выборка 1'!BT212-'Выборка 1'!BS212)+('Выборка 1'!BU212-'Выборка 1'!BT212))/4000</f>
        <v>-17569.25</v>
      </c>
    </row>
    <row r="213" spans="1:14" x14ac:dyDescent="0.25">
      <c r="A213" s="17">
        <v>10</v>
      </c>
      <c r="B213" s="17">
        <f>(('Выборка 1'!E213-'Выборка 1'!D213)+('Выборка 1'!F213-'Выборка 1'!E213)+('Выборка 1'!G213-'Выборка 1'!F213)+('Выборка 1'!H213-'Выборка 1'!G213))/4000</f>
        <v>0</v>
      </c>
      <c r="C213" s="17">
        <f>(('Выборка 1'!J213-'Выборка 1'!I213)+('Выборка 1'!K213-'Выборка 1'!J213)+('Выборка 1'!L213-'Выборка 1'!K213)+('Выборка 1'!M213-'Выборка 1'!L213))/4000</f>
        <v>-405</v>
      </c>
      <c r="D213" s="17">
        <f>(('Выборка 1'!O213-'Выборка 1'!N213)+('Выборка 1'!P213-'Выборка 1'!O213)+('Выборка 1'!Q213-'Выборка 1'!P213)+('Выборка 1'!R213-'Выборка 1'!Q213))/4000</f>
        <v>-6089</v>
      </c>
      <c r="E213" s="17">
        <f>(('Выборка 1'!T213-'Выборка 1'!S213)+('Выборка 1'!U213-'Выборка 1'!T213)+('Выборка 1'!V213-'Выборка 1'!U213)+('Выборка 1'!W213-'Выборка 1'!V213))/4000</f>
        <v>-0.75</v>
      </c>
      <c r="F213" s="17">
        <f>(('Выборка 1'!Y213-'Выборка 1'!X213)+('Выборка 1'!Z213+'Выборка 1'!Y213)+('Выборка 1'!AA213-'Выборка 1'!Z213)+('Выборка 1'!AB213-'Выборка 1'!AA213))/4000</f>
        <v>-487.75</v>
      </c>
      <c r="G213" s="17">
        <f>(('Выборка 1'!AD213-'Выборка 1'!AC213)+('Выборка 1'!AE213-'Выборка 1'!AD213)+('Выборка 1'!AF213-'Выборка 1'!AE213)+('Выборка 1'!AG213-'Выборка 1'!AF213))/4000</f>
        <v>-78.75</v>
      </c>
      <c r="H213" s="17">
        <f>(('Выборка 1'!AI213-'Выборка 1'!AH213)+('Выборка 1'!AJ213-'Выборка 1'!AI213)+('Выборка 1'!AK213-'Выборка 1'!AJ213)+('Выборка 1'!AL213-'Выборка 1'!AK213))/4000</f>
        <v>-5950.75</v>
      </c>
      <c r="I213" s="17">
        <f>(('Выборка 1'!AN213-'Выборка 1'!AM213)+('Выборка 1'!AO213-'Выборка 1'!AN213)+('Выборка 1'!AP213-'Выборка 1'!AO213)+('Выборка 1'!AQ213-'Выборка 1'!AP213))/4000</f>
        <v>-6645</v>
      </c>
      <c r="J213" s="17">
        <f>((('Выборка 1'!AS213+'Выборка 1'!AX213)-('Выборка 1'!AR213+'Выборка 1'!AW213))+(('Выборка 1'!AT213+'Выборка 1'!AY213)-('Выборка 1'!AS213+'Выборка 1'!AX213))+(('Выборка 1'!AU213+'Выборка 1'!AZ213)-('Выборка 1'!AT213+'Выборка 1'!AY213))+(('Выборка 1'!AV213+'Выборка 1'!BA213)-('Выборка 1'!AU213+'Выборка 1'!AZ213)))/4000</f>
        <v>-6590.25</v>
      </c>
      <c r="K213" s="17">
        <f>(('Выборка 1'!BC213-'Выборка 1'!BB213)+('Выборка 1'!BD213-'Выборка 1'!BC213)+('Выборка 1'!BE213-'Выборка 1'!BD213)+('Выборка 1'!BF213-'Выборка 1'!BE213))/4000</f>
        <v>-27.25</v>
      </c>
      <c r="L213" s="17">
        <f t="shared" si="3"/>
        <v>-27.5</v>
      </c>
      <c r="M213" s="17">
        <f>((('Выборка 1'!BH213-'Выборка 1'!BM213)-('Выборка 1'!BG213-'Выборка 1'!BL213))+(('Выборка 1'!BI213-'Выборка 1'!BN213)-('Выборка 1'!BH213-'Выборка 1'!BM213))+(('Выборка 1'!BJ213-'Выборка 1'!BO213)-('Выборка 1'!BI213-'Выборка 1'!BN213))+(('Выборка 1'!BK213-'Выборка 1'!BP213)-('Выборка 1'!BJ213-'Выборка 1'!BO213)))/4000</f>
        <v>8.25</v>
      </c>
      <c r="N213" s="17">
        <f>(('Выборка 1'!BR213-'Выборка 1'!BQ213)+('Выборка 1'!BS213-'Выборка 1'!BR213)+('Выборка 1'!BT213-'Выборка 1'!BS213)+('Выборка 1'!BU213-'Выборка 1'!BT213))/4000</f>
        <v>-15.5</v>
      </c>
    </row>
    <row r="214" spans="1:14" x14ac:dyDescent="0.25">
      <c r="A214" s="17">
        <v>16</v>
      </c>
      <c r="B214" s="17">
        <f>(('Выборка 1'!E214-'Выборка 1'!D214)+('Выборка 1'!F214-'Выборка 1'!E214)+('Выборка 1'!G214-'Выборка 1'!F214)+('Выборка 1'!H214-'Выборка 1'!G214))/4000</f>
        <v>0</v>
      </c>
      <c r="C214" s="17">
        <f>(('Выборка 1'!J214-'Выборка 1'!I214)+('Выборка 1'!K214-'Выборка 1'!J214)+('Выборка 1'!L214-'Выборка 1'!K214)+('Выборка 1'!M214-'Выборка 1'!L214))/4000</f>
        <v>0</v>
      </c>
      <c r="D214" s="17">
        <f>(('Выборка 1'!O214-'Выборка 1'!N214)+('Выборка 1'!P214-'Выборка 1'!O214)+('Выборка 1'!Q214-'Выборка 1'!P214)+('Выборка 1'!R214-'Выборка 1'!Q214))/4000</f>
        <v>0</v>
      </c>
      <c r="E214" s="17">
        <f>(('Выборка 1'!T214-'Выборка 1'!S214)+('Выборка 1'!U214-'Выборка 1'!T214)+('Выборка 1'!V214-'Выборка 1'!U214)+('Выборка 1'!W214-'Выборка 1'!V214))/4000</f>
        <v>0</v>
      </c>
      <c r="F214" s="17">
        <f>(('Выборка 1'!Y214-'Выборка 1'!X214)+('Выборка 1'!Z214+'Выборка 1'!Y214)+('Выборка 1'!AA214-'Выборка 1'!Z214)+('Выборка 1'!AB214-'Выборка 1'!AA214))/4000</f>
        <v>0</v>
      </c>
      <c r="G214" s="17">
        <f>(('Выборка 1'!AD214-'Выборка 1'!AC214)+('Выборка 1'!AE214-'Выборка 1'!AD214)+('Выборка 1'!AF214-'Выборка 1'!AE214)+('Выборка 1'!AG214-'Выборка 1'!AF214))/4000</f>
        <v>0</v>
      </c>
      <c r="H214" s="17">
        <f>(('Выборка 1'!AI214-'Выборка 1'!AH214)+('Выборка 1'!AJ214-'Выборка 1'!AI214)+('Выборка 1'!AK214-'Выборка 1'!AJ214)+('Выборка 1'!AL214-'Выборка 1'!AK214))/4000</f>
        <v>0</v>
      </c>
      <c r="I214" s="17">
        <f>(('Выборка 1'!AN214-'Выборка 1'!AM214)+('Выборка 1'!AO214-'Выборка 1'!AN214)+('Выборка 1'!AP214-'Выборка 1'!AO214)+('Выборка 1'!AQ214-'Выборка 1'!AP214))/4000</f>
        <v>0</v>
      </c>
      <c r="J214" s="17">
        <f>((('Выборка 1'!AS214+'Выборка 1'!AX214)-('Выборка 1'!AR214+'Выборка 1'!AW214))+(('Выборка 1'!AT214+'Выборка 1'!AY214)-('Выборка 1'!AS214+'Выборка 1'!AX214))+(('Выборка 1'!AU214+'Выборка 1'!AZ214)-('Выборка 1'!AT214+'Выборка 1'!AY214))+(('Выборка 1'!AV214+'Выборка 1'!BA214)-('Выборка 1'!AU214+'Выборка 1'!AZ214)))/4000</f>
        <v>0</v>
      </c>
      <c r="K214" s="17">
        <f>(('Выборка 1'!BC214-'Выборка 1'!BB214)+('Выборка 1'!BD214-'Выборка 1'!BC214)+('Выборка 1'!BE214-'Выборка 1'!BD214)+('Выборка 1'!BF214-'Выборка 1'!BE214))/4000</f>
        <v>0</v>
      </c>
      <c r="L214" s="17">
        <f t="shared" si="3"/>
        <v>0</v>
      </c>
      <c r="M214" s="17">
        <f>((('Выборка 1'!BH214-'Выборка 1'!BM214)-('Выборка 1'!BG214-'Выборка 1'!BL214))+(('Выборка 1'!BI214-'Выборка 1'!BN214)-('Выборка 1'!BH214-'Выборка 1'!BM214))+(('Выборка 1'!BJ214-'Выборка 1'!BO214)-('Выборка 1'!BI214-'Выборка 1'!BN214))+(('Выборка 1'!BK214-'Выборка 1'!BP214)-('Выборка 1'!BJ214-'Выборка 1'!BO214)))/4000</f>
        <v>0</v>
      </c>
      <c r="N214" s="17">
        <f>(('Выборка 1'!BR214-'Выборка 1'!BQ214)+('Выборка 1'!BS214-'Выборка 1'!BR214)+('Выборка 1'!BT214-'Выборка 1'!BS214)+('Выборка 1'!BU214-'Выборка 1'!BT214))/4000</f>
        <v>0</v>
      </c>
    </row>
    <row r="215" spans="1:14" x14ac:dyDescent="0.25">
      <c r="A215" s="17">
        <v>9</v>
      </c>
      <c r="B215" s="17">
        <f>(('Выборка 1'!E215-'Выборка 1'!D215)+('Выборка 1'!F215-'Выборка 1'!E215)+('Выборка 1'!G215-'Выборка 1'!F215)+('Выборка 1'!H215-'Выборка 1'!G215))/4000</f>
        <v>0</v>
      </c>
      <c r="C215" s="17">
        <f>(('Выборка 1'!J215-'Выборка 1'!I215)+('Выборка 1'!K215-'Выборка 1'!J215)+('Выборка 1'!L215-'Выборка 1'!K215)+('Выборка 1'!M215-'Выборка 1'!L215))/4000</f>
        <v>0</v>
      </c>
      <c r="D215" s="17">
        <f>(('Выборка 1'!O215-'Выборка 1'!N215)+('Выборка 1'!P215-'Выборка 1'!O215)+('Выборка 1'!Q215-'Выборка 1'!P215)+('Выборка 1'!R215-'Выборка 1'!Q215))/4000</f>
        <v>-458.25</v>
      </c>
      <c r="E215" s="17">
        <f>(('Выборка 1'!T215-'Выборка 1'!S215)+('Выборка 1'!U215-'Выборка 1'!T215)+('Выборка 1'!V215-'Выборка 1'!U215)+('Выборка 1'!W215-'Выборка 1'!V215))/4000</f>
        <v>-119</v>
      </c>
      <c r="F215" s="17">
        <f>(('Выборка 1'!Y215-'Выборка 1'!X215)+('Выборка 1'!Z215+'Выборка 1'!Y215)+('Выборка 1'!AA215-'Выборка 1'!Z215)+('Выборка 1'!AB215-'Выборка 1'!AA215))/4000</f>
        <v>1924.5</v>
      </c>
      <c r="G215" s="17">
        <f>(('Выборка 1'!AD215-'Выборка 1'!AC215)+('Выборка 1'!AE215-'Выборка 1'!AD215)+('Выборка 1'!AF215-'Выборка 1'!AE215)+('Выборка 1'!AG215-'Выборка 1'!AF215))/4000</f>
        <v>0</v>
      </c>
      <c r="H215" s="17">
        <f>(('Выборка 1'!AI215-'Выборка 1'!AH215)+('Выборка 1'!AJ215-'Выборка 1'!AI215)+('Выборка 1'!AK215-'Выборка 1'!AJ215)+('Выборка 1'!AL215-'Выборка 1'!AK215))/4000</f>
        <v>-135.75</v>
      </c>
      <c r="I215" s="17">
        <f>(('Выборка 1'!AN215-'Выборка 1'!AM215)+('Выборка 1'!AO215-'Выборка 1'!AN215)+('Выборка 1'!AP215-'Выборка 1'!AO215)+('Выборка 1'!AQ215-'Выборка 1'!AP215))/4000</f>
        <v>-2903.5</v>
      </c>
      <c r="J215" s="17">
        <f>((('Выборка 1'!AS215+'Выборка 1'!AX215)-('Выборка 1'!AR215+'Выборка 1'!AW215))+(('Выборка 1'!AT215+'Выборка 1'!AY215)-('Выборка 1'!AS215+'Выборка 1'!AX215))+(('Выборка 1'!AU215+'Выборка 1'!AZ215)-('Выборка 1'!AT215+'Выборка 1'!AY215))+(('Выборка 1'!AV215+'Выборка 1'!BA215)-('Выборка 1'!AU215+'Выборка 1'!AZ215)))/4000</f>
        <v>0</v>
      </c>
      <c r="K215" s="17">
        <f>(('Выборка 1'!BC215-'Выборка 1'!BB215)+('Выборка 1'!BD215-'Выборка 1'!BC215)+('Выборка 1'!BE215-'Выборка 1'!BD215)+('Выборка 1'!BF215-'Выборка 1'!BE215))/4000</f>
        <v>-2774</v>
      </c>
      <c r="L215" s="17">
        <f t="shared" si="3"/>
        <v>-129.5</v>
      </c>
      <c r="M215" s="17">
        <f>((('Выборка 1'!BH215-'Выборка 1'!BM215)-('Выборка 1'!BG215-'Выборка 1'!BL215))+(('Выборка 1'!BI215-'Выборка 1'!BN215)-('Выборка 1'!BH215-'Выборка 1'!BM215))+(('Выборка 1'!BJ215-'Выборка 1'!BO215)-('Выборка 1'!BI215-'Выборка 1'!BN215))+(('Выборка 1'!BK215-'Выборка 1'!BP215)-('Выборка 1'!BJ215-'Выборка 1'!BO215)))/4000</f>
        <v>10.25</v>
      </c>
      <c r="N215" s="17">
        <f>(('Выборка 1'!BR215-'Выборка 1'!BQ215)+('Выборка 1'!BS215-'Выборка 1'!BR215)+('Выборка 1'!BT215-'Выборка 1'!BS215)+('Выборка 1'!BU215-'Выборка 1'!BT215))/4000</f>
        <v>46.75</v>
      </c>
    </row>
    <row r="216" spans="1:14" x14ac:dyDescent="0.25">
      <c r="A216" s="17">
        <v>18</v>
      </c>
      <c r="B216" s="17">
        <f>(('Выборка 1'!E216-'Выборка 1'!D216)+('Выборка 1'!F216-'Выборка 1'!E216)+('Выборка 1'!G216-'Выборка 1'!F216)+('Выборка 1'!H216-'Выборка 1'!G216))/4000</f>
        <v>0</v>
      </c>
      <c r="C216" s="17">
        <f>(('Выборка 1'!J216-'Выборка 1'!I216)+('Выборка 1'!K216-'Выборка 1'!J216)+('Выборка 1'!L216-'Выборка 1'!K216)+('Выборка 1'!M216-'Выборка 1'!L216))/4000</f>
        <v>0</v>
      </c>
      <c r="D216" s="17">
        <f>(('Выборка 1'!O216-'Выборка 1'!N216)+('Выборка 1'!P216-'Выборка 1'!O216)+('Выборка 1'!Q216-'Выборка 1'!P216)+('Выборка 1'!R216-'Выборка 1'!Q216))/4000</f>
        <v>0</v>
      </c>
      <c r="E216" s="17">
        <f>(('Выборка 1'!T216-'Выборка 1'!S216)+('Выборка 1'!U216-'Выборка 1'!T216)+('Выборка 1'!V216-'Выборка 1'!U216)+('Выборка 1'!W216-'Выборка 1'!V216))/4000</f>
        <v>0</v>
      </c>
      <c r="F216" s="17">
        <f>(('Выборка 1'!Y216-'Выборка 1'!X216)+('Выборка 1'!Z216+'Выборка 1'!Y216)+('Выборка 1'!AA216-'Выборка 1'!Z216)+('Выборка 1'!AB216-'Выборка 1'!AA216))/4000</f>
        <v>0</v>
      </c>
      <c r="G216" s="17">
        <f>(('Выборка 1'!AD216-'Выборка 1'!AC216)+('Выборка 1'!AE216-'Выборка 1'!AD216)+('Выборка 1'!AF216-'Выборка 1'!AE216)+('Выборка 1'!AG216-'Выборка 1'!AF216))/4000</f>
        <v>0</v>
      </c>
      <c r="H216" s="17">
        <f>(('Выборка 1'!AI216-'Выборка 1'!AH216)+('Выборка 1'!AJ216-'Выборка 1'!AI216)+('Выборка 1'!AK216-'Выборка 1'!AJ216)+('Выборка 1'!AL216-'Выборка 1'!AK216))/4000</f>
        <v>0</v>
      </c>
      <c r="I216" s="17">
        <f>(('Выборка 1'!AN216-'Выборка 1'!AM216)+('Выборка 1'!AO216-'Выборка 1'!AN216)+('Выборка 1'!AP216-'Выборка 1'!AO216)+('Выборка 1'!AQ216-'Выборка 1'!AP216))/4000</f>
        <v>0</v>
      </c>
      <c r="J216" s="17">
        <f>((('Выборка 1'!AS216+'Выборка 1'!AX216)-('Выборка 1'!AR216+'Выборка 1'!AW216))+(('Выборка 1'!AT216+'Выборка 1'!AY216)-('Выборка 1'!AS216+'Выборка 1'!AX216))+(('Выборка 1'!AU216+'Выборка 1'!AZ216)-('Выборка 1'!AT216+'Выборка 1'!AY216))+(('Выборка 1'!AV216+'Выборка 1'!BA216)-('Выборка 1'!AU216+'Выборка 1'!AZ216)))/4000</f>
        <v>0</v>
      </c>
      <c r="K216" s="17">
        <f>(('Выборка 1'!BC216-'Выборка 1'!BB216)+('Выборка 1'!BD216-'Выборка 1'!BC216)+('Выборка 1'!BE216-'Выборка 1'!BD216)+('Выборка 1'!BF216-'Выборка 1'!BE216))/4000</f>
        <v>0</v>
      </c>
      <c r="L216" s="17">
        <f t="shared" si="3"/>
        <v>0</v>
      </c>
      <c r="M216" s="17">
        <f>((('Выборка 1'!BH216-'Выборка 1'!BM216)-('Выборка 1'!BG216-'Выборка 1'!BL216))+(('Выборка 1'!BI216-'Выборка 1'!BN216)-('Выборка 1'!BH216-'Выборка 1'!BM216))+(('Выборка 1'!BJ216-'Выборка 1'!BO216)-('Выборка 1'!BI216-'Выборка 1'!BN216))+(('Выборка 1'!BK216-'Выборка 1'!BP216)-('Выборка 1'!BJ216-'Выборка 1'!BO216)))/4000</f>
        <v>0</v>
      </c>
      <c r="N216" s="17">
        <f>(('Выборка 1'!BR216-'Выборка 1'!BQ216)+('Выборка 1'!BS216-'Выборка 1'!BR216)+('Выборка 1'!BT216-'Выборка 1'!BS216)+('Выборка 1'!BU216-'Выборка 1'!BT216))/4000</f>
        <v>0</v>
      </c>
    </row>
    <row r="217" spans="1:14" x14ac:dyDescent="0.25">
      <c r="A217" s="17">
        <v>8</v>
      </c>
      <c r="B217" s="17">
        <f>(('Выборка 1'!E217-'Выборка 1'!D217)+('Выборка 1'!F217-'Выборка 1'!E217)+('Выборка 1'!G217-'Выборка 1'!F217)+('Выборка 1'!H217-'Выборка 1'!G217))/4000</f>
        <v>0</v>
      </c>
      <c r="C217" s="17">
        <f>(('Выборка 1'!J217-'Выборка 1'!I217)+('Выборка 1'!K217-'Выборка 1'!J217)+('Выборка 1'!L217-'Выборка 1'!K217)+('Выборка 1'!M217-'Выборка 1'!L217))/4000</f>
        <v>0</v>
      </c>
      <c r="D217" s="17">
        <f>(('Выборка 1'!O217-'Выборка 1'!N217)+('Выборка 1'!P217-'Выборка 1'!O217)+('Выборка 1'!Q217-'Выборка 1'!P217)+('Выборка 1'!R217-'Выборка 1'!Q217))/4000</f>
        <v>2500</v>
      </c>
      <c r="E217" s="17">
        <f>(('Выборка 1'!T217-'Выборка 1'!S217)+('Выборка 1'!U217-'Выборка 1'!T217)+('Выборка 1'!V217-'Выборка 1'!U217)+('Выборка 1'!W217-'Выборка 1'!V217))/4000</f>
        <v>0</v>
      </c>
      <c r="F217" s="17">
        <f>(('Выборка 1'!Y217-'Выборка 1'!X217)+('Выборка 1'!Z217+'Выборка 1'!Y217)+('Выборка 1'!AA217-'Выборка 1'!Z217)+('Выборка 1'!AB217-'Выборка 1'!AA217))/4000</f>
        <v>0</v>
      </c>
      <c r="G217" s="17">
        <f>(('Выборка 1'!AD217-'Выборка 1'!AC217)+('Выборка 1'!AE217-'Выборка 1'!AD217)+('Выборка 1'!AF217-'Выборка 1'!AE217)+('Выборка 1'!AG217-'Выборка 1'!AF217))/4000</f>
        <v>0</v>
      </c>
      <c r="H217" s="17">
        <f>(('Выборка 1'!AI217-'Выборка 1'!AH217)+('Выборка 1'!AJ217-'Выборка 1'!AI217)+('Выборка 1'!AK217-'Выборка 1'!AJ217)+('Выборка 1'!AL217-'Выборка 1'!AK217))/4000</f>
        <v>0</v>
      </c>
      <c r="I217" s="17">
        <f>(('Выборка 1'!AN217-'Выборка 1'!AM217)+('Выборка 1'!AO217-'Выборка 1'!AN217)+('Выборка 1'!AP217-'Выборка 1'!AO217)+('Выборка 1'!AQ217-'Выборка 1'!AP217))/4000</f>
        <v>0</v>
      </c>
      <c r="J217" s="17">
        <f>((('Выборка 1'!AS217+'Выборка 1'!AX217)-('Выборка 1'!AR217+'Выборка 1'!AW217))+(('Выборка 1'!AT217+'Выборка 1'!AY217)-('Выборка 1'!AS217+'Выборка 1'!AX217))+(('Выборка 1'!AU217+'Выборка 1'!AZ217)-('Выборка 1'!AT217+'Выборка 1'!AY217))+(('Выборка 1'!AV217+'Выборка 1'!BA217)-('Выборка 1'!AU217+'Выборка 1'!AZ217)))/4000</f>
        <v>0</v>
      </c>
      <c r="K217" s="17">
        <f>(('Выборка 1'!BC217-'Выборка 1'!BB217)+('Выборка 1'!BD217-'Выборка 1'!BC217)+('Выборка 1'!BE217-'Выборка 1'!BD217)+('Выборка 1'!BF217-'Выборка 1'!BE217))/4000</f>
        <v>0</v>
      </c>
      <c r="L217" s="17">
        <f t="shared" si="3"/>
        <v>0</v>
      </c>
      <c r="M217" s="17">
        <f>((('Выборка 1'!BH217-'Выборка 1'!BM217)-('Выборка 1'!BG217-'Выборка 1'!BL217))+(('Выборка 1'!BI217-'Выборка 1'!BN217)-('Выборка 1'!BH217-'Выборка 1'!BM217))+(('Выборка 1'!BJ217-'Выборка 1'!BO217)-('Выборка 1'!BI217-'Выборка 1'!BN217))+(('Выборка 1'!BK217-'Выборка 1'!BP217)-('Выборка 1'!BJ217-'Выборка 1'!BO217)))/4000</f>
        <v>0</v>
      </c>
      <c r="N217" s="17">
        <f>(('Выборка 1'!BR217-'Выборка 1'!BQ217)+('Выборка 1'!BS217-'Выборка 1'!BR217)+('Выборка 1'!BT217-'Выборка 1'!BS217)+('Выборка 1'!BU217-'Выборка 1'!BT217))/4000</f>
        <v>0</v>
      </c>
    </row>
    <row r="218" spans="1:14" x14ac:dyDescent="0.25">
      <c r="A218" s="17">
        <v>12</v>
      </c>
      <c r="B218" s="17">
        <f>(('Выборка 1'!E218-'Выборка 1'!D218)+('Выборка 1'!F218-'Выборка 1'!E218)+('Выборка 1'!G218-'Выборка 1'!F218)+('Выборка 1'!H218-'Выборка 1'!G218))/4000</f>
        <v>0</v>
      </c>
      <c r="C218" s="17">
        <f>(('Выборка 1'!J218-'Выборка 1'!I218)+('Выборка 1'!K218-'Выборка 1'!J218)+('Выборка 1'!L218-'Выборка 1'!K218)+('Выборка 1'!M218-'Выборка 1'!L218))/4000</f>
        <v>-1476.75</v>
      </c>
      <c r="D218" s="17">
        <f>(('Выборка 1'!O218-'Выборка 1'!N218)+('Выборка 1'!P218-'Выборка 1'!O218)+('Выборка 1'!Q218-'Выборка 1'!P218)+('Выборка 1'!R218-'Выборка 1'!Q218))/4000</f>
        <v>-6013.75</v>
      </c>
      <c r="E218" s="17">
        <f>(('Выборка 1'!T218-'Выборка 1'!S218)+('Выборка 1'!U218-'Выборка 1'!T218)+('Выборка 1'!V218-'Выборка 1'!U218)+('Выборка 1'!W218-'Выборка 1'!V218))/4000</f>
        <v>-6</v>
      </c>
      <c r="F218" s="17">
        <f>(('Выборка 1'!Y218-'Выборка 1'!X218)+('Выборка 1'!Z218+'Выборка 1'!Y218)+('Выборка 1'!AA218-'Выборка 1'!Z218)+('Выборка 1'!AB218-'Выборка 1'!AA218))/4000</f>
        <v>-28450</v>
      </c>
      <c r="G218" s="17">
        <f>(('Выборка 1'!AD218-'Выборка 1'!AC218)+('Выборка 1'!AE218-'Выборка 1'!AD218)+('Выборка 1'!AF218-'Выборка 1'!AE218)+('Выборка 1'!AG218-'Выборка 1'!AF218))/4000</f>
        <v>-6986.5</v>
      </c>
      <c r="H218" s="17">
        <f>(('Выборка 1'!AI218-'Выборка 1'!AH218)+('Выборка 1'!AJ218-'Выборка 1'!AI218)+('Выборка 1'!AK218-'Выборка 1'!AJ218)+('Выборка 1'!AL218-'Выборка 1'!AK218))/4000</f>
        <v>-12184.25</v>
      </c>
      <c r="I218" s="17">
        <f>(('Выборка 1'!AN218-'Выборка 1'!AM218)+('Выборка 1'!AO218-'Выборка 1'!AN218)+('Выборка 1'!AP218-'Выборка 1'!AO218)+('Выборка 1'!AQ218-'Выборка 1'!AP218))/4000</f>
        <v>-1762.5</v>
      </c>
      <c r="J218" s="17">
        <f>((('Выборка 1'!AS218+'Выборка 1'!AX218)-('Выборка 1'!AR218+'Выборка 1'!AW218))+(('Выборка 1'!AT218+'Выборка 1'!AY218)-('Выборка 1'!AS218+'Выборка 1'!AX218))+(('Выборка 1'!AU218+'Выборка 1'!AZ218)-('Выборка 1'!AT218+'Выборка 1'!AY218))+(('Выборка 1'!AV218+'Выборка 1'!BA218)-('Выборка 1'!AU218+'Выборка 1'!AZ218)))/4000</f>
        <v>-1235.25</v>
      </c>
      <c r="K218" s="17">
        <f>(('Выборка 1'!BC218-'Выборка 1'!BB218)+('Выборка 1'!BD218-'Выборка 1'!BC218)+('Выборка 1'!BE218-'Выборка 1'!BD218)+('Выборка 1'!BF218-'Выборка 1'!BE218))/4000</f>
        <v>-1249</v>
      </c>
      <c r="L218" s="17">
        <f t="shared" si="3"/>
        <v>721.75</v>
      </c>
      <c r="M218" s="17">
        <f>((('Выборка 1'!BH218-'Выборка 1'!BM218)-('Выборка 1'!BG218-'Выборка 1'!BL218))+(('Выборка 1'!BI218-'Выборка 1'!BN218)-('Выборка 1'!BH218-'Выборка 1'!BM218))+(('Выборка 1'!BJ218-'Выборка 1'!BO218)-('Выборка 1'!BI218-'Выборка 1'!BN218))+(('Выборка 1'!BK218-'Выборка 1'!BP218)-('Выборка 1'!BJ218-'Выборка 1'!BO218)))/4000</f>
        <v>1259.75</v>
      </c>
      <c r="N218" s="17">
        <f>(('Выборка 1'!BR218-'Выборка 1'!BQ218)+('Выборка 1'!BS218-'Выборка 1'!BR218)+('Выборка 1'!BT218-'Выборка 1'!BS218)+('Выборка 1'!BU218-'Выборка 1'!BT218))/4000</f>
        <v>1660.75</v>
      </c>
    </row>
    <row r="219" spans="1:14" x14ac:dyDescent="0.25">
      <c r="A219" s="17">
        <v>22</v>
      </c>
      <c r="B219" s="17">
        <f>(('Выборка 1'!E219-'Выборка 1'!D219)+('Выборка 1'!F219-'Выборка 1'!E219)+('Выборка 1'!G219-'Выборка 1'!F219)+('Выборка 1'!H219-'Выборка 1'!G219))/4000</f>
        <v>-19997.5</v>
      </c>
      <c r="C219" s="17">
        <f>(('Выборка 1'!J219-'Выборка 1'!I219)+('Выборка 1'!K219-'Выборка 1'!J219)+('Выборка 1'!L219-'Выборка 1'!K219)+('Выборка 1'!M219-'Выборка 1'!L219))/4000</f>
        <v>-263601</v>
      </c>
      <c r="D219" s="17">
        <f>(('Выборка 1'!O219-'Выборка 1'!N219)+('Выборка 1'!P219-'Выборка 1'!O219)+('Выборка 1'!Q219-'Выборка 1'!P219)+('Выборка 1'!R219-'Выборка 1'!Q219))/4000</f>
        <v>-392161</v>
      </c>
      <c r="E219" s="17">
        <f>(('Выборка 1'!T219-'Выборка 1'!S219)+('Выборка 1'!U219-'Выборка 1'!T219)+('Выборка 1'!V219-'Выборка 1'!U219)+('Выборка 1'!W219-'Выборка 1'!V219))/4000</f>
        <v>58684.75</v>
      </c>
      <c r="F219" s="17">
        <f>(('Выборка 1'!Y219-'Выборка 1'!X219)+('Выборка 1'!Z219+'Выборка 1'!Y219)+('Выборка 1'!AA219-'Выборка 1'!Z219)+('Выборка 1'!AB219-'Выборка 1'!AA219))/4000</f>
        <v>-374178.25</v>
      </c>
      <c r="G219" s="17">
        <f>(('Выборка 1'!AD219-'Выборка 1'!AC219)+('Выборка 1'!AE219-'Выборка 1'!AD219)+('Выборка 1'!AF219-'Выборка 1'!AE219)+('Выборка 1'!AG219-'Выборка 1'!AF219))/4000</f>
        <v>0</v>
      </c>
      <c r="H219" s="17">
        <f>(('Выборка 1'!AI219-'Выборка 1'!AH219)+('Выборка 1'!AJ219-'Выборка 1'!AI219)+('Выборка 1'!AK219-'Выборка 1'!AJ219)+('Выборка 1'!AL219-'Выборка 1'!AK219))/4000</f>
        <v>-2488673.5</v>
      </c>
      <c r="I219" s="17">
        <f>(('Выборка 1'!AN219-'Выборка 1'!AM219)+('Выборка 1'!AO219-'Выборка 1'!AN219)+('Выборка 1'!AP219-'Выборка 1'!AO219)+('Выборка 1'!AQ219-'Выборка 1'!AP219))/4000</f>
        <v>-919418</v>
      </c>
      <c r="J219" s="17">
        <f>((('Выборка 1'!AS219+'Выборка 1'!AX219)-('Выборка 1'!AR219+'Выборка 1'!AW219))+(('Выборка 1'!AT219+'Выборка 1'!AY219)-('Выборка 1'!AS219+'Выборка 1'!AX219))+(('Выборка 1'!AU219+'Выборка 1'!AZ219)-('Выборка 1'!AT219+'Выборка 1'!AY219))+(('Выборка 1'!AV219+'Выборка 1'!BA219)-('Выборка 1'!AU219+'Выборка 1'!AZ219)))/4000</f>
        <v>-904939.5</v>
      </c>
      <c r="K219" s="17">
        <f>(('Выборка 1'!BC219-'Выборка 1'!BB219)+('Выборка 1'!BD219-'Выборка 1'!BC219)+('Выборка 1'!BE219-'Выборка 1'!BD219)+('Выборка 1'!BF219-'Выборка 1'!BE219))/4000</f>
        <v>-50584</v>
      </c>
      <c r="L219" s="17">
        <f t="shared" si="3"/>
        <v>36105.5</v>
      </c>
      <c r="M219" s="17">
        <f>((('Выборка 1'!BH219-'Выборка 1'!BM219)-('Выборка 1'!BG219-'Выборка 1'!BL219))+(('Выборка 1'!BI219-'Выборка 1'!BN219)-('Выборка 1'!BH219-'Выборка 1'!BM219))+(('Выборка 1'!BJ219-'Выборка 1'!BO219)-('Выборка 1'!BI219-'Выборка 1'!BN219))+(('Выборка 1'!BK219-'Выборка 1'!BP219)-('Выборка 1'!BJ219-'Выборка 1'!BO219)))/4000</f>
        <v>-337328.25</v>
      </c>
      <c r="N219" s="17">
        <f>(('Выборка 1'!BR219-'Выборка 1'!BQ219)+('Выборка 1'!BS219-'Выборка 1'!BR219)+('Выборка 1'!BT219-'Выборка 1'!BS219)+('Выборка 1'!BU219-'Выборка 1'!BT219))/4000</f>
        <v>-294897.5</v>
      </c>
    </row>
    <row r="220" spans="1:14" x14ac:dyDescent="0.25">
      <c r="A220" s="17">
        <v>31</v>
      </c>
      <c r="B220" s="17">
        <f>(('Выборка 1'!E220-'Выборка 1'!D220)+('Выборка 1'!F220-'Выборка 1'!E220)+('Выборка 1'!G220-'Выборка 1'!F220)+('Выборка 1'!H220-'Выборка 1'!G220))/4000</f>
        <v>-120093.25</v>
      </c>
      <c r="C220" s="17">
        <f>(('Выборка 1'!J220-'Выборка 1'!I220)+('Выборка 1'!K220-'Выборка 1'!J220)+('Выборка 1'!L220-'Выборка 1'!K220)+('Выборка 1'!M220-'Выборка 1'!L220))/4000</f>
        <v>-11266.75</v>
      </c>
      <c r="D220" s="17">
        <f>(('Выборка 1'!O220-'Выборка 1'!N220)+('Выборка 1'!P220-'Выборка 1'!O220)+('Выборка 1'!Q220-'Выборка 1'!P220)+('Выборка 1'!R220-'Выборка 1'!Q220))/4000</f>
        <v>-21530.75</v>
      </c>
      <c r="E220" s="17">
        <f>(('Выборка 1'!T220-'Выборка 1'!S220)+('Выборка 1'!U220-'Выборка 1'!T220)+('Выборка 1'!V220-'Выборка 1'!U220)+('Выборка 1'!W220-'Выборка 1'!V220))/4000</f>
        <v>557</v>
      </c>
      <c r="F220" s="17">
        <f>(('Выборка 1'!Y220-'Выборка 1'!X220)+('Выборка 1'!Z220+'Выборка 1'!Y220)+('Выборка 1'!AA220-'Выборка 1'!Z220)+('Выборка 1'!AB220-'Выборка 1'!AA220))/4000</f>
        <v>-899624.75</v>
      </c>
      <c r="G220" s="17">
        <f>(('Выборка 1'!AD220-'Выборка 1'!AC220)+('Выборка 1'!AE220-'Выборка 1'!AD220)+('Выборка 1'!AF220-'Выборка 1'!AE220)+('Выборка 1'!AG220-'Выборка 1'!AF220))/4000</f>
        <v>-68289.5</v>
      </c>
      <c r="H220" s="17">
        <f>(('Выборка 1'!AI220-'Выборка 1'!AH220)+('Выборка 1'!AJ220-'Выборка 1'!AI220)+('Выборка 1'!AK220-'Выборка 1'!AJ220)+('Выборка 1'!AL220-'Выборка 1'!AK220))/4000</f>
        <v>-202624</v>
      </c>
      <c r="I220" s="17">
        <f>(('Выборка 1'!AN220-'Выборка 1'!AM220)+('Выборка 1'!AO220-'Выборка 1'!AN220)+('Выборка 1'!AP220-'Выборка 1'!AO220)+('Выборка 1'!AQ220-'Выборка 1'!AP220))/4000</f>
        <v>2685.5</v>
      </c>
      <c r="J220" s="17">
        <f>((('Выборка 1'!AS220+'Выборка 1'!AX220)-('Выборка 1'!AR220+'Выборка 1'!AW220))+(('Выборка 1'!AT220+'Выборка 1'!AY220)-('Выборка 1'!AS220+'Выборка 1'!AX220))+(('Выборка 1'!AU220+'Выборка 1'!AZ220)-('Выборка 1'!AT220+'Выборка 1'!AY220))+(('Выборка 1'!AV220+'Выборка 1'!BA220)-('Выборка 1'!AU220+'Выборка 1'!AZ220)))/4000</f>
        <v>0</v>
      </c>
      <c r="K220" s="17">
        <f>(('Выборка 1'!BC220-'Выборка 1'!BB220)+('Выборка 1'!BD220-'Выборка 1'!BC220)+('Выборка 1'!BE220-'Выборка 1'!BD220)+('Выборка 1'!BF220-'Выборка 1'!BE220))/4000</f>
        <v>-14365.5</v>
      </c>
      <c r="L220" s="17">
        <f t="shared" si="3"/>
        <v>17051</v>
      </c>
      <c r="M220" s="17">
        <f>((('Выборка 1'!BH220-'Выборка 1'!BM220)-('Выборка 1'!BG220-'Выборка 1'!BL220))+(('Выборка 1'!BI220-'Выборка 1'!BN220)-('Выборка 1'!BH220-'Выборка 1'!BM220))+(('Выборка 1'!BJ220-'Выборка 1'!BO220)-('Выборка 1'!BI220-'Выборка 1'!BN220))+(('Выборка 1'!BK220-'Выборка 1'!BP220)-('Выборка 1'!BJ220-'Выборка 1'!BO220)))/4000</f>
        <v>10969.75</v>
      </c>
      <c r="N220" s="17">
        <f>(('Выборка 1'!BR220-'Выборка 1'!BQ220)+('Выборка 1'!BS220-'Выборка 1'!BR220)+('Выборка 1'!BT220-'Выборка 1'!BS220)+('Выборка 1'!BU220-'Выборка 1'!BT220))/4000</f>
        <v>35950.25</v>
      </c>
    </row>
    <row r="221" spans="1:14" x14ac:dyDescent="0.25">
      <c r="A221" s="17">
        <v>22</v>
      </c>
      <c r="B221" s="17">
        <f>(('Выборка 1'!E221-'Выборка 1'!D221)+('Выборка 1'!F221-'Выборка 1'!E221)+('Выборка 1'!G221-'Выборка 1'!F221)+('Выборка 1'!H221-'Выборка 1'!G221))/4000</f>
        <v>-9110.25</v>
      </c>
      <c r="C221" s="17">
        <f>(('Выборка 1'!J221-'Выборка 1'!I221)+('Выборка 1'!K221-'Выборка 1'!J221)+('Выборка 1'!L221-'Выборка 1'!K221)+('Выборка 1'!M221-'Выборка 1'!L221))/4000</f>
        <v>-83677.75</v>
      </c>
      <c r="D221" s="17">
        <f>(('Выборка 1'!O221-'Выборка 1'!N221)+('Выборка 1'!P221-'Выборка 1'!O221)+('Выборка 1'!Q221-'Выборка 1'!P221)+('Выборка 1'!R221-'Выборка 1'!Q221))/4000</f>
        <v>-181069.25</v>
      </c>
      <c r="E221" s="17">
        <f>(('Выборка 1'!T221-'Выборка 1'!S221)+('Выборка 1'!U221-'Выборка 1'!T221)+('Выборка 1'!V221-'Выборка 1'!U221)+('Выборка 1'!W221-'Выборка 1'!V221))/4000</f>
        <v>-21593.5</v>
      </c>
      <c r="F221" s="17">
        <f>(('Выборка 1'!Y221-'Выборка 1'!X221)+('Выборка 1'!Z221+'Выборка 1'!Y221)+('Выборка 1'!AA221-'Выборка 1'!Z221)+('Выборка 1'!AB221-'Выборка 1'!AA221))/4000</f>
        <v>-200897.75</v>
      </c>
      <c r="G221" s="17">
        <f>(('Выборка 1'!AD221-'Выборка 1'!AC221)+('Выборка 1'!AE221-'Выборка 1'!AD221)+('Выборка 1'!AF221-'Выборка 1'!AE221)+('Выборка 1'!AG221-'Выборка 1'!AF221))/4000</f>
        <v>0</v>
      </c>
      <c r="H221" s="17">
        <f>(('Выборка 1'!AI221-'Выборка 1'!AH221)+('Выборка 1'!AJ221-'Выборка 1'!AI221)+('Выборка 1'!AK221-'Выборка 1'!AJ221)+('Выборка 1'!AL221-'Выборка 1'!AK221))/4000</f>
        <v>-121957.75</v>
      </c>
      <c r="I221" s="17">
        <f>(('Выборка 1'!AN221-'Выборка 1'!AM221)+('Выборка 1'!AO221-'Выборка 1'!AN221)+('Выборка 1'!AP221-'Выборка 1'!AO221)+('Выборка 1'!AQ221-'Выборка 1'!AP221))/4000</f>
        <v>-858956.5</v>
      </c>
      <c r="J221" s="17">
        <f>((('Выборка 1'!AS221+'Выборка 1'!AX221)-('Выборка 1'!AR221+'Выборка 1'!AW221))+(('Выборка 1'!AT221+'Выборка 1'!AY221)-('Выборка 1'!AS221+'Выборка 1'!AX221))+(('Выборка 1'!AU221+'Выборка 1'!AZ221)-('Выборка 1'!AT221+'Выборка 1'!AY221))+(('Выборка 1'!AV221+'Выборка 1'!BA221)-('Выборка 1'!AU221+'Выборка 1'!AZ221)))/4000</f>
        <v>-887204.5</v>
      </c>
      <c r="K221" s="17">
        <f>(('Выборка 1'!BC221-'Выборка 1'!BB221)+('Выборка 1'!BD221-'Выборка 1'!BC221)+('Выборка 1'!BE221-'Выборка 1'!BD221)+('Выборка 1'!BF221-'Выборка 1'!BE221))/4000</f>
        <v>0</v>
      </c>
      <c r="L221" s="17">
        <f t="shared" si="3"/>
        <v>28248</v>
      </c>
      <c r="M221" s="17">
        <f>((('Выборка 1'!BH221-'Выборка 1'!BM221)-('Выборка 1'!BG221-'Выборка 1'!BL221))+(('Выборка 1'!BI221-'Выборка 1'!BN221)-('Выборка 1'!BH221-'Выборка 1'!BM221))+(('Выборка 1'!BJ221-'Выборка 1'!BO221)-('Выборка 1'!BI221-'Выборка 1'!BN221))+(('Выборка 1'!BK221-'Выборка 1'!BP221)-('Выборка 1'!BJ221-'Выборка 1'!BO221)))/4000</f>
        <v>1650.5</v>
      </c>
      <c r="N221" s="17">
        <f>(('Выборка 1'!BR221-'Выборка 1'!BQ221)+('Выборка 1'!BS221-'Выборка 1'!BR221)+('Выборка 1'!BT221-'Выборка 1'!BS221)+('Выборка 1'!BU221-'Выборка 1'!BT221))/4000</f>
        <v>21708.25</v>
      </c>
    </row>
    <row r="222" spans="1:14" x14ac:dyDescent="0.25">
      <c r="A222" s="17">
        <v>11</v>
      </c>
      <c r="B222" s="17">
        <f>(('Выборка 1'!E222-'Выборка 1'!D222)+('Выборка 1'!F222-'Выборка 1'!E222)+('Выборка 1'!G222-'Выборка 1'!F222)+('Выборка 1'!H222-'Выборка 1'!G222))/4000</f>
        <v>54256.25</v>
      </c>
      <c r="C222" s="17">
        <f>(('Выборка 1'!J222-'Выборка 1'!I222)+('Выборка 1'!K222-'Выборка 1'!J222)+('Выборка 1'!L222-'Выборка 1'!K222)+('Выборка 1'!M222-'Выборка 1'!L222))/4000</f>
        <v>-11635.5</v>
      </c>
      <c r="D222" s="17">
        <f>(('Выборка 1'!O222-'Выборка 1'!N222)+('Выборка 1'!P222-'Выборка 1'!O222)+('Выборка 1'!Q222-'Выборка 1'!P222)+('Выборка 1'!R222-'Выборка 1'!Q222))/4000</f>
        <v>-72310.5</v>
      </c>
      <c r="E222" s="17">
        <f>(('Выборка 1'!T222-'Выборка 1'!S222)+('Выборка 1'!U222-'Выборка 1'!T222)+('Выборка 1'!V222-'Выборка 1'!U222)+('Выборка 1'!W222-'Выборка 1'!V222))/4000</f>
        <v>-2519</v>
      </c>
      <c r="F222" s="17">
        <f>(('Выборка 1'!Y222-'Выборка 1'!X222)+('Выборка 1'!Z222+'Выборка 1'!Y222)+('Выборка 1'!AA222-'Выборка 1'!Z222)+('Выборка 1'!AB222-'Выборка 1'!AA222))/4000</f>
        <v>-1194.5</v>
      </c>
      <c r="G222" s="17">
        <f>(('Выборка 1'!AD222-'Выборка 1'!AC222)+('Выборка 1'!AE222-'Выборка 1'!AD222)+('Выборка 1'!AF222-'Выборка 1'!AE222)+('Выборка 1'!AG222-'Выборка 1'!AF222))/4000</f>
        <v>-90229</v>
      </c>
      <c r="H222" s="17">
        <f>(('Выборка 1'!AI222-'Выборка 1'!AH222)+('Выборка 1'!AJ222-'Выборка 1'!AI222)+('Выборка 1'!AK222-'Выборка 1'!AJ222)+('Выборка 1'!AL222-'Выборка 1'!AK222))/4000</f>
        <v>-153504.25</v>
      </c>
      <c r="I222" s="17">
        <f>(('Выборка 1'!AN222-'Выборка 1'!AM222)+('Выборка 1'!AO222-'Выборка 1'!AN222)+('Выборка 1'!AP222-'Выборка 1'!AO222)+('Выборка 1'!AQ222-'Выборка 1'!AP222))/4000</f>
        <v>-263201.75</v>
      </c>
      <c r="J222" s="17">
        <f>((('Выборка 1'!AS222+'Выборка 1'!AX222)-('Выборка 1'!AR222+'Выборка 1'!AW222))+(('Выборка 1'!AT222+'Выборка 1'!AY222)-('Выборка 1'!AS222+'Выборка 1'!AX222))+(('Выборка 1'!AU222+'Выборка 1'!AZ222)-('Выборка 1'!AT222+'Выборка 1'!AY222))+(('Выборка 1'!AV222+'Выборка 1'!BA222)-('Выборка 1'!AU222+'Выборка 1'!AZ222)))/4000</f>
        <v>-222673</v>
      </c>
      <c r="K222" s="17">
        <f>(('Выборка 1'!BC222-'Выборка 1'!BB222)+('Выборка 1'!BD222-'Выборка 1'!BC222)+('Выборка 1'!BE222-'Выборка 1'!BD222)+('Выборка 1'!BF222-'Выборка 1'!BE222))/4000</f>
        <v>-10558.75</v>
      </c>
      <c r="L222" s="17">
        <f t="shared" si="3"/>
        <v>-29970</v>
      </c>
      <c r="M222" s="17">
        <f>((('Выборка 1'!BH222-'Выборка 1'!BM222)-('Выборка 1'!BG222-'Выборка 1'!BL222))+(('Выборка 1'!BI222-'Выборка 1'!BN222)-('Выборка 1'!BH222-'Выборка 1'!BM222))+(('Выборка 1'!BJ222-'Выборка 1'!BO222)-('Выборка 1'!BI222-'Выборка 1'!BN222))+(('Выборка 1'!BK222-'Выборка 1'!BP222)-('Выборка 1'!BJ222-'Выборка 1'!BO222)))/4000</f>
        <v>49260.5</v>
      </c>
      <c r="N222" s="17">
        <f>(('Выборка 1'!BR222-'Выборка 1'!BQ222)+('Выборка 1'!BS222-'Выборка 1'!BR222)+('Выборка 1'!BT222-'Выборка 1'!BS222)+('Выборка 1'!BU222-'Выборка 1'!BT222))/4000</f>
        <v>15836.25</v>
      </c>
    </row>
    <row r="223" spans="1:14" x14ac:dyDescent="0.25">
      <c r="A223" s="17">
        <v>8</v>
      </c>
      <c r="B223" s="17">
        <f>(('Выборка 1'!E223-'Выборка 1'!D223)+('Выборка 1'!F223-'Выборка 1'!E223)+('Выборка 1'!G223-'Выборка 1'!F223)+('Выборка 1'!H223-'Выборка 1'!G223))/4000</f>
        <v>-3187.25</v>
      </c>
      <c r="C223" s="17">
        <f>(('Выборка 1'!J223-'Выборка 1'!I223)+('Выборка 1'!K223-'Выборка 1'!J223)+('Выборка 1'!L223-'Выборка 1'!K223)+('Выборка 1'!M223-'Выборка 1'!L223))/4000</f>
        <v>-3690.25</v>
      </c>
      <c r="D223" s="17">
        <f>(('Выборка 1'!O223-'Выборка 1'!N223)+('Выборка 1'!P223-'Выборка 1'!O223)+('Выборка 1'!Q223-'Выборка 1'!P223)+('Выборка 1'!R223-'Выборка 1'!Q223))/4000</f>
        <v>-5778.5</v>
      </c>
      <c r="E223" s="17">
        <f>(('Выборка 1'!T223-'Выборка 1'!S223)+('Выборка 1'!U223-'Выборка 1'!T223)+('Выборка 1'!V223-'Выборка 1'!U223)+('Выборка 1'!W223-'Выборка 1'!V223))/4000</f>
        <v>-7.5</v>
      </c>
      <c r="F223" s="17">
        <f>(('Выборка 1'!Y223-'Выборка 1'!X223)+('Выборка 1'!Z223+'Выборка 1'!Y223)+('Выборка 1'!AA223-'Выборка 1'!Z223)+('Выборка 1'!AB223-'Выборка 1'!AA223))/4000</f>
        <v>0</v>
      </c>
      <c r="G223" s="17">
        <f>(('Выборка 1'!AD223-'Выборка 1'!AC223)+('Выборка 1'!AE223-'Выборка 1'!AD223)+('Выборка 1'!AF223-'Выборка 1'!AE223)+('Выборка 1'!AG223-'Выборка 1'!AF223))/4000</f>
        <v>-2313.5</v>
      </c>
      <c r="H223" s="17">
        <f>(('Выборка 1'!AI223-'Выборка 1'!AH223)+('Выборка 1'!AJ223-'Выборка 1'!AI223)+('Выборка 1'!AK223-'Выборка 1'!AJ223)+('Выборка 1'!AL223-'Выборка 1'!AK223))/4000</f>
        <v>-6693.75</v>
      </c>
      <c r="I223" s="17">
        <f>(('Выборка 1'!AN223-'Выборка 1'!AM223)+('Выборка 1'!AO223-'Выборка 1'!AN223)+('Выборка 1'!AP223-'Выборка 1'!AO223)+('Выборка 1'!AQ223-'Выборка 1'!AP223))/4000</f>
        <v>-6912</v>
      </c>
      <c r="J223" s="17">
        <f>((('Выборка 1'!AS223+'Выборка 1'!AX223)-('Выборка 1'!AR223+'Выборка 1'!AW223))+(('Выборка 1'!AT223+'Выборка 1'!AY223)-('Выборка 1'!AS223+'Выборка 1'!AX223))+(('Выборка 1'!AU223+'Выборка 1'!AZ223)-('Выборка 1'!AT223+'Выборка 1'!AY223))+(('Выборка 1'!AV223+'Выборка 1'!BA223)-('Выборка 1'!AU223+'Выборка 1'!AZ223)))/4000</f>
        <v>-7578.25</v>
      </c>
      <c r="K223" s="17">
        <f>(('Выборка 1'!BC223-'Выборка 1'!BB223)+('Выборка 1'!BD223-'Выборка 1'!BC223)+('Выборка 1'!BE223-'Выборка 1'!BD223)+('Выборка 1'!BF223-'Выборка 1'!BE223))/4000</f>
        <v>0</v>
      </c>
      <c r="L223" s="17">
        <f t="shared" si="3"/>
        <v>666.25</v>
      </c>
      <c r="M223" s="17">
        <f>((('Выборка 1'!BH223-'Выборка 1'!BM223)-('Выборка 1'!BG223-'Выборка 1'!BL223))+(('Выборка 1'!BI223-'Выборка 1'!BN223)-('Выборка 1'!BH223-'Выборка 1'!BM223))+(('Выборка 1'!BJ223-'Выборка 1'!BO223)-('Выборка 1'!BI223-'Выборка 1'!BN223))+(('Выборка 1'!BK223-'Выборка 1'!BP223)-('Выборка 1'!BJ223-'Выборка 1'!BO223)))/4000</f>
        <v>-1133.5</v>
      </c>
      <c r="N223" s="17">
        <f>(('Выборка 1'!BR223-'Выборка 1'!BQ223)+('Выборка 1'!BS223-'Выборка 1'!BR223)+('Выборка 1'!BT223-'Выборка 1'!BS223)+('Выборка 1'!BU223-'Выборка 1'!BT223))/4000</f>
        <v>-113.5</v>
      </c>
    </row>
    <row r="224" spans="1:14" x14ac:dyDescent="0.25">
      <c r="A224" s="17">
        <v>16</v>
      </c>
      <c r="B224" s="17">
        <f>(('Выборка 1'!E224-'Выборка 1'!D224)+('Выборка 1'!F224-'Выборка 1'!E224)+('Выборка 1'!G224-'Выборка 1'!F224)+('Выборка 1'!H224-'Выборка 1'!G224))/4000</f>
        <v>0</v>
      </c>
      <c r="C224" s="17">
        <f>(('Выборка 1'!J224-'Выборка 1'!I224)+('Выборка 1'!K224-'Выборка 1'!J224)+('Выборка 1'!L224-'Выборка 1'!K224)+('Выборка 1'!M224-'Выборка 1'!L224))/4000</f>
        <v>0</v>
      </c>
      <c r="D224" s="17">
        <f>(('Выборка 1'!O224-'Выборка 1'!N224)+('Выборка 1'!P224-'Выборка 1'!O224)+('Выборка 1'!Q224-'Выборка 1'!P224)+('Выборка 1'!R224-'Выборка 1'!Q224))/4000</f>
        <v>0</v>
      </c>
      <c r="E224" s="17">
        <f>(('Выборка 1'!T224-'Выборка 1'!S224)+('Выборка 1'!U224-'Выборка 1'!T224)+('Выборка 1'!V224-'Выборка 1'!U224)+('Выборка 1'!W224-'Выборка 1'!V224))/4000</f>
        <v>0</v>
      </c>
      <c r="F224" s="17">
        <f>(('Выборка 1'!Y224-'Выборка 1'!X224)+('Выборка 1'!Z224+'Выборка 1'!Y224)+('Выборка 1'!AA224-'Выборка 1'!Z224)+('Выборка 1'!AB224-'Выборка 1'!AA224))/4000</f>
        <v>0</v>
      </c>
      <c r="G224" s="17">
        <f>(('Выборка 1'!AD224-'Выборка 1'!AC224)+('Выборка 1'!AE224-'Выборка 1'!AD224)+('Выборка 1'!AF224-'Выборка 1'!AE224)+('Выборка 1'!AG224-'Выборка 1'!AF224))/4000</f>
        <v>0</v>
      </c>
      <c r="H224" s="17">
        <f>(('Выборка 1'!AI224-'Выборка 1'!AH224)+('Выборка 1'!AJ224-'Выборка 1'!AI224)+('Выборка 1'!AK224-'Выборка 1'!AJ224)+('Выборка 1'!AL224-'Выборка 1'!AK224))/4000</f>
        <v>0</v>
      </c>
      <c r="I224" s="17">
        <f>(('Выборка 1'!AN224-'Выборка 1'!AM224)+('Выборка 1'!AO224-'Выборка 1'!AN224)+('Выборка 1'!AP224-'Выборка 1'!AO224)+('Выборка 1'!AQ224-'Выборка 1'!AP224))/4000</f>
        <v>0</v>
      </c>
      <c r="J224" s="17">
        <f>((('Выборка 1'!AS224+'Выборка 1'!AX224)-('Выборка 1'!AR224+'Выборка 1'!AW224))+(('Выборка 1'!AT224+'Выборка 1'!AY224)-('Выборка 1'!AS224+'Выборка 1'!AX224))+(('Выборка 1'!AU224+'Выборка 1'!AZ224)-('Выборка 1'!AT224+'Выборка 1'!AY224))+(('Выборка 1'!AV224+'Выборка 1'!BA224)-('Выборка 1'!AU224+'Выборка 1'!AZ224)))/4000</f>
        <v>0</v>
      </c>
      <c r="K224" s="17">
        <f>(('Выборка 1'!BC224-'Выборка 1'!BB224)+('Выборка 1'!BD224-'Выборка 1'!BC224)+('Выборка 1'!BE224-'Выборка 1'!BD224)+('Выборка 1'!BF224-'Выборка 1'!BE224))/4000</f>
        <v>0</v>
      </c>
      <c r="L224" s="17">
        <f t="shared" si="3"/>
        <v>0</v>
      </c>
      <c r="M224" s="17">
        <f>((('Выборка 1'!BH224-'Выборка 1'!BM224)-('Выборка 1'!BG224-'Выборка 1'!BL224))+(('Выборка 1'!BI224-'Выборка 1'!BN224)-('Выборка 1'!BH224-'Выборка 1'!BM224))+(('Выборка 1'!BJ224-'Выборка 1'!BO224)-('Выборка 1'!BI224-'Выборка 1'!BN224))+(('Выборка 1'!BK224-'Выборка 1'!BP224)-('Выборка 1'!BJ224-'Выборка 1'!BO224)))/4000</f>
        <v>0</v>
      </c>
      <c r="N224" s="17">
        <f>(('Выборка 1'!BR224-'Выборка 1'!BQ224)+('Выборка 1'!BS224-'Выборка 1'!BR224)+('Выборка 1'!BT224-'Выборка 1'!BS224)+('Выборка 1'!BU224-'Выборка 1'!BT224))/4000</f>
        <v>0</v>
      </c>
    </row>
    <row r="225" spans="1:14" x14ac:dyDescent="0.25">
      <c r="A225" s="17">
        <v>32</v>
      </c>
      <c r="B225" s="17">
        <f>(('Выборка 1'!E225-'Выборка 1'!D225)+('Выборка 1'!F225-'Выборка 1'!E225)+('Выборка 1'!G225-'Выборка 1'!F225)+('Выборка 1'!H225-'Выборка 1'!G225))/4000</f>
        <v>-49582.5</v>
      </c>
      <c r="C225" s="17">
        <f>(('Выборка 1'!J225-'Выборка 1'!I225)+('Выборка 1'!K225-'Выборка 1'!J225)+('Выборка 1'!L225-'Выборка 1'!K225)+('Выборка 1'!M225-'Выборка 1'!L225))/4000</f>
        <v>-847140.5</v>
      </c>
      <c r="D225" s="17">
        <f>(('Выборка 1'!O225-'Выборка 1'!N225)+('Выборка 1'!P225-'Выборка 1'!O225)+('Выборка 1'!Q225-'Выборка 1'!P225)+('Выборка 1'!R225-'Выборка 1'!Q225))/4000</f>
        <v>-3714470.5</v>
      </c>
      <c r="E225" s="17">
        <f>(('Выборка 1'!T225-'Выборка 1'!S225)+('Выборка 1'!U225-'Выборка 1'!T225)+('Выборка 1'!V225-'Выборка 1'!U225)+('Выборка 1'!W225-'Выборка 1'!V225))/4000</f>
        <v>-11056</v>
      </c>
      <c r="F225" s="17">
        <f>(('Выборка 1'!Y225-'Выборка 1'!X225)+('Выборка 1'!Z225+'Выборка 1'!Y225)+('Выборка 1'!AA225-'Выборка 1'!Z225)+('Выборка 1'!AB225-'Выборка 1'!AA225))/4000</f>
        <v>299250.25</v>
      </c>
      <c r="G225" s="17">
        <f>(('Выборка 1'!AD225-'Выборка 1'!AC225)+('Выборка 1'!AE225-'Выборка 1'!AD225)+('Выборка 1'!AF225-'Выборка 1'!AE225)+('Выборка 1'!AG225-'Выборка 1'!AF225))/4000</f>
        <v>-582693.75</v>
      </c>
      <c r="H225" s="17">
        <f>(('Выборка 1'!AI225-'Выборка 1'!AH225)+('Выборка 1'!AJ225-'Выборка 1'!AI225)+('Выборка 1'!AK225-'Выборка 1'!AJ225)+('Выборка 1'!AL225-'Выборка 1'!AK225))/4000</f>
        <v>-3900685.5</v>
      </c>
      <c r="I225" s="17">
        <f>(('Выборка 1'!AN225-'Выборка 1'!AM225)+('Выборка 1'!AO225-'Выборка 1'!AN225)+('Выборка 1'!AP225-'Выборка 1'!AO225)+('Выборка 1'!AQ225-'Выборка 1'!AP225))/4000</f>
        <v>-1381926.5</v>
      </c>
      <c r="J225" s="17">
        <f>((('Выборка 1'!AS225+'Выборка 1'!AX225)-('Выборка 1'!AR225+'Выборка 1'!AW225))+(('Выборка 1'!AT225+'Выборка 1'!AY225)-('Выборка 1'!AS225+'Выборка 1'!AX225))+(('Выборка 1'!AU225+'Выборка 1'!AZ225)-('Выборка 1'!AT225+'Выборка 1'!AY225))+(('Выборка 1'!AV225+'Выборка 1'!BA225)-('Выборка 1'!AU225+'Выборка 1'!AZ225)))/4000</f>
        <v>-1306429.75</v>
      </c>
      <c r="K225" s="17">
        <f>(('Выборка 1'!BC225-'Выборка 1'!BB225)+('Выборка 1'!BD225-'Выборка 1'!BC225)+('Выборка 1'!BE225-'Выборка 1'!BD225)+('Выборка 1'!BF225-'Выборка 1'!BE225))/4000</f>
        <v>0</v>
      </c>
      <c r="L225" s="17">
        <f t="shared" si="3"/>
        <v>-75496.75</v>
      </c>
      <c r="M225" s="17">
        <f>((('Выборка 1'!BH225-'Выборка 1'!BM225)-('Выборка 1'!BG225-'Выборка 1'!BL225))+(('Выборка 1'!BI225-'Выборка 1'!BN225)-('Выборка 1'!BH225-'Выборка 1'!BM225))+(('Выборка 1'!BJ225-'Выборка 1'!BO225)-('Выборка 1'!BI225-'Выборка 1'!BN225))+(('Выборка 1'!BK225-'Выборка 1'!BP225)-('Выборка 1'!BJ225-'Выборка 1'!BO225)))/4000</f>
        <v>18771.25</v>
      </c>
      <c r="N225" s="17">
        <f>(('Выборка 1'!BR225-'Выборка 1'!BQ225)+('Выборка 1'!BS225-'Выборка 1'!BR225)+('Выборка 1'!BT225-'Выборка 1'!BS225)+('Выборка 1'!BU225-'Выборка 1'!BT225))/4000</f>
        <v>-6783.25</v>
      </c>
    </row>
    <row r="226" spans="1:14" x14ac:dyDescent="0.25">
      <c r="A226" s="17">
        <v>19</v>
      </c>
      <c r="B226" s="17">
        <f>(('Выборка 1'!E226-'Выборка 1'!D226)+('Выборка 1'!F226-'Выборка 1'!E226)+('Выборка 1'!G226-'Выборка 1'!F226)+('Выборка 1'!H226-'Выборка 1'!G226))/4000</f>
        <v>-14276.5</v>
      </c>
      <c r="C226" s="17">
        <f>(('Выборка 1'!J226-'Выборка 1'!I226)+('Выборка 1'!K226-'Выборка 1'!J226)+('Выборка 1'!L226-'Выборка 1'!K226)+('Выборка 1'!M226-'Выборка 1'!L226))/4000</f>
        <v>0</v>
      </c>
      <c r="D226" s="17">
        <f>(('Выборка 1'!O226-'Выборка 1'!N226)+('Выборка 1'!P226-'Выборка 1'!O226)+('Выборка 1'!Q226-'Выборка 1'!P226)+('Выборка 1'!R226-'Выборка 1'!Q226))/4000</f>
        <v>-415</v>
      </c>
      <c r="E226" s="17">
        <f>(('Выборка 1'!T226-'Выборка 1'!S226)+('Выборка 1'!U226-'Выборка 1'!T226)+('Выборка 1'!V226-'Выборка 1'!U226)+('Выборка 1'!W226-'Выборка 1'!V226))/4000</f>
        <v>1974</v>
      </c>
      <c r="F226" s="17">
        <f>(('Выборка 1'!Y226-'Выборка 1'!X226)+('Выборка 1'!Z226+'Выборка 1'!Y226)+('Выборка 1'!AA226-'Выборка 1'!Z226)+('Выборка 1'!AB226-'Выборка 1'!AA226))/4000</f>
        <v>-372439</v>
      </c>
      <c r="G226" s="17">
        <f>(('Выборка 1'!AD226-'Выборка 1'!AC226)+('Выборка 1'!AE226-'Выборка 1'!AD226)+('Выборка 1'!AF226-'Выборка 1'!AE226)+('Выборка 1'!AG226-'Выборка 1'!AF226))/4000</f>
        <v>-92</v>
      </c>
      <c r="H226" s="17">
        <f>(('Выборка 1'!AI226-'Выборка 1'!AH226)+('Выборка 1'!AJ226-'Выборка 1'!AI226)+('Выборка 1'!AK226-'Выборка 1'!AJ226)+('Выборка 1'!AL226-'Выборка 1'!AK226))/4000</f>
        <v>-1506</v>
      </c>
      <c r="I226" s="17">
        <f>(('Выборка 1'!AN226-'Выборка 1'!AM226)+('Выборка 1'!AO226-'Выборка 1'!AN226)+('Выборка 1'!AP226-'Выборка 1'!AO226)+('Выборка 1'!AQ226-'Выборка 1'!AP226))/4000</f>
        <v>0</v>
      </c>
      <c r="J226" s="17">
        <f>((('Выборка 1'!AS226+'Выборка 1'!AX226)-('Выборка 1'!AR226+'Выборка 1'!AW226))+(('Выборка 1'!AT226+'Выборка 1'!AY226)-('Выборка 1'!AS226+'Выборка 1'!AX226))+(('Выборка 1'!AU226+'Выборка 1'!AZ226)-('Выборка 1'!AT226+'Выборка 1'!AY226))+(('Выборка 1'!AV226+'Выборка 1'!BA226)-('Выборка 1'!AU226+'Выборка 1'!AZ226)))/4000</f>
        <v>364</v>
      </c>
      <c r="K226" s="17">
        <f>(('Выборка 1'!BC226-'Выборка 1'!BB226)+('Выборка 1'!BD226-'Выборка 1'!BC226)+('Выборка 1'!BE226-'Выборка 1'!BD226)+('Выборка 1'!BF226-'Выборка 1'!BE226))/4000</f>
        <v>-1162.75</v>
      </c>
      <c r="L226" s="17">
        <f t="shared" si="3"/>
        <v>798.75</v>
      </c>
      <c r="M226" s="17">
        <f>((('Выборка 1'!BH226-'Выборка 1'!BM226)-('Выборка 1'!BG226-'Выборка 1'!BL226))+(('Выборка 1'!BI226-'Выборка 1'!BN226)-('Выборка 1'!BH226-'Выборка 1'!BM226))+(('Выборка 1'!BJ226-'Выборка 1'!BO226)-('Выборка 1'!BI226-'Выборка 1'!BN226))+(('Выборка 1'!BK226-'Выборка 1'!BP226)-('Выборка 1'!BJ226-'Выборка 1'!BO226)))/4000</f>
        <v>385609.75</v>
      </c>
      <c r="N226" s="17">
        <f>(('Выборка 1'!BR226-'Выборка 1'!BQ226)+('Выборка 1'!BS226-'Выборка 1'!BR226)+('Выборка 1'!BT226-'Выборка 1'!BS226)+('Выборка 1'!BU226-'Выборка 1'!BT226))/4000</f>
        <v>386408.5</v>
      </c>
    </row>
    <row r="227" spans="1:14" x14ac:dyDescent="0.25">
      <c r="A227" s="17">
        <v>13</v>
      </c>
      <c r="B227" s="17">
        <f>(('Выборка 1'!E227-'Выборка 1'!D227)+('Выборка 1'!F227-'Выборка 1'!E227)+('Выборка 1'!G227-'Выборка 1'!F227)+('Выборка 1'!H227-'Выборка 1'!G227))/4000</f>
        <v>18131</v>
      </c>
      <c r="C227" s="17">
        <f>(('Выборка 1'!J227-'Выборка 1'!I227)+('Выборка 1'!K227-'Выборка 1'!J227)+('Выборка 1'!L227-'Выборка 1'!K227)+('Выборка 1'!M227-'Выборка 1'!L227))/4000</f>
        <v>0</v>
      </c>
      <c r="D227" s="17">
        <f>(('Выборка 1'!O227-'Выборка 1'!N227)+('Выборка 1'!P227-'Выборка 1'!O227)+('Выборка 1'!Q227-'Выборка 1'!P227)+('Выборка 1'!R227-'Выборка 1'!Q227))/4000</f>
        <v>-2503.25</v>
      </c>
      <c r="E227" s="17">
        <f>(('Выборка 1'!T227-'Выборка 1'!S227)+('Выборка 1'!U227-'Выборка 1'!T227)+('Выборка 1'!V227-'Выборка 1'!U227)+('Выборка 1'!W227-'Выборка 1'!V227))/4000</f>
        <v>102</v>
      </c>
      <c r="F227" s="17">
        <f>(('Выборка 1'!Y227-'Выборка 1'!X227)+('Выборка 1'!Z227+'Выборка 1'!Y227)+('Выборка 1'!AA227-'Выборка 1'!Z227)+('Выборка 1'!AB227-'Выборка 1'!AA227))/4000</f>
        <v>-101007</v>
      </c>
      <c r="G227" s="17">
        <f>(('Выборка 1'!AD227-'Выборка 1'!AC227)+('Выборка 1'!AE227-'Выборка 1'!AD227)+('Выборка 1'!AF227-'Выборка 1'!AE227)+('Выборка 1'!AG227-'Выборка 1'!AF227))/4000</f>
        <v>-1652</v>
      </c>
      <c r="H227" s="17">
        <f>(('Выборка 1'!AI227-'Выборка 1'!AH227)+('Выборка 1'!AJ227-'Выборка 1'!AI227)+('Выборка 1'!AK227-'Выборка 1'!AJ227)+('Выборка 1'!AL227-'Выборка 1'!AK227))/4000</f>
        <v>-395.5</v>
      </c>
      <c r="I227" s="17">
        <f>(('Выборка 1'!AN227-'Выборка 1'!AM227)+('Выборка 1'!AO227-'Выборка 1'!AN227)+('Выборка 1'!AP227-'Выборка 1'!AO227)+('Выборка 1'!AQ227-'Выборка 1'!AP227))/4000</f>
        <v>0</v>
      </c>
      <c r="J227" s="17">
        <f>((('Выборка 1'!AS227+'Выборка 1'!AX227)-('Выборка 1'!AR227+'Выборка 1'!AW227))+(('Выборка 1'!AT227+'Выборка 1'!AY227)-('Выборка 1'!AS227+'Выборка 1'!AX227))+(('Выборка 1'!AU227+'Выборка 1'!AZ227)-('Выборка 1'!AT227+'Выборка 1'!AY227))+(('Выборка 1'!AV227+'Выборка 1'!BA227)-('Выборка 1'!AU227+'Выборка 1'!AZ227)))/4000</f>
        <v>0</v>
      </c>
      <c r="K227" s="17">
        <f>(('Выборка 1'!BC227-'Выборка 1'!BB227)+('Выборка 1'!BD227-'Выборка 1'!BC227)+('Выборка 1'!BE227-'Выборка 1'!BD227)+('Выборка 1'!BF227-'Выборка 1'!BE227))/4000</f>
        <v>-791.75</v>
      </c>
      <c r="L227" s="17">
        <f t="shared" si="3"/>
        <v>791.75</v>
      </c>
      <c r="M227" s="17">
        <f>((('Выборка 1'!BH227-'Выборка 1'!BM227)-('Выборка 1'!BG227-'Выборка 1'!BL227))+(('Выборка 1'!BI227-'Выборка 1'!BN227)-('Выборка 1'!BH227-'Выборка 1'!BM227))+(('Выборка 1'!BJ227-'Выборка 1'!BO227)-('Выборка 1'!BI227-'Выборка 1'!BN227))+(('Выборка 1'!BK227-'Выборка 1'!BP227)-('Выборка 1'!BJ227-'Выборка 1'!BO227)))/4000</f>
        <v>18472.5</v>
      </c>
      <c r="N227" s="17">
        <f>(('Выборка 1'!BR227-'Выборка 1'!BQ227)+('Выборка 1'!BS227-'Выборка 1'!BR227)+('Выборка 1'!BT227-'Выборка 1'!BS227)+('Выборка 1'!BU227-'Выборка 1'!BT227))/4000</f>
        <v>19183.75</v>
      </c>
    </row>
    <row r="228" spans="1:14" x14ac:dyDescent="0.25">
      <c r="A228" s="17">
        <v>23</v>
      </c>
      <c r="B228" s="17">
        <f>(('Выборка 1'!E228-'Выборка 1'!D228)+('Выборка 1'!F228-'Выборка 1'!E228)+('Выборка 1'!G228-'Выборка 1'!F228)+('Выборка 1'!H228-'Выборка 1'!G228))/4000</f>
        <v>-19.5</v>
      </c>
      <c r="C228" s="17">
        <f>(('Выборка 1'!J228-'Выборка 1'!I228)+('Выборка 1'!K228-'Выборка 1'!J228)+('Выборка 1'!L228-'Выборка 1'!K228)+('Выборка 1'!M228-'Выборка 1'!L228))/4000</f>
        <v>14.25</v>
      </c>
      <c r="D228" s="17">
        <f>(('Выборка 1'!O228-'Выборка 1'!N228)+('Выборка 1'!P228-'Выборка 1'!O228)+('Выборка 1'!Q228-'Выборка 1'!P228)+('Выборка 1'!R228-'Выборка 1'!Q228))/4000</f>
        <v>3144</v>
      </c>
      <c r="E228" s="17">
        <f>(('Выборка 1'!T228-'Выборка 1'!S228)+('Выборка 1'!U228-'Выборка 1'!T228)+('Выборка 1'!V228-'Выборка 1'!U228)+('Выборка 1'!W228-'Выборка 1'!V228))/4000</f>
        <v>112.25</v>
      </c>
      <c r="F228" s="17">
        <f>(('Выборка 1'!Y228-'Выборка 1'!X228)+('Выборка 1'!Z228+'Выборка 1'!Y228)+('Выборка 1'!AA228-'Выборка 1'!Z228)+('Выборка 1'!AB228-'Выборка 1'!AA228))/4000</f>
        <v>0</v>
      </c>
      <c r="G228" s="17">
        <f>(('Выборка 1'!AD228-'Выборка 1'!AC228)+('Выборка 1'!AE228-'Выборка 1'!AD228)+('Выборка 1'!AF228-'Выборка 1'!AE228)+('Выборка 1'!AG228-'Выборка 1'!AF228))/4000</f>
        <v>0</v>
      </c>
      <c r="H228" s="17">
        <f>(('Выборка 1'!AI228-'Выборка 1'!AH228)+('Выборка 1'!AJ228-'Выборка 1'!AI228)+('Выборка 1'!AK228-'Выборка 1'!AJ228)+('Выборка 1'!AL228-'Выборка 1'!AK228))/4000</f>
        <v>416.5</v>
      </c>
      <c r="I228" s="17">
        <f>(('Выборка 1'!AN228-'Выборка 1'!AM228)+('Выборка 1'!AO228-'Выборка 1'!AN228)+('Выборка 1'!AP228-'Выборка 1'!AO228)+('Выборка 1'!AQ228-'Выборка 1'!AP228))/4000</f>
        <v>-1270.5</v>
      </c>
      <c r="J228" s="17">
        <f>((('Выборка 1'!AS228+'Выборка 1'!AX228)-('Выборка 1'!AR228+'Выборка 1'!AW228))+(('Выборка 1'!AT228+'Выборка 1'!AY228)-('Выборка 1'!AS228+'Выборка 1'!AX228))+(('Выборка 1'!AU228+'Выборка 1'!AZ228)-('Выборка 1'!AT228+'Выборка 1'!AY228))+(('Выборка 1'!AV228+'Выборка 1'!BA228)-('Выборка 1'!AU228+'Выборка 1'!AZ228)))/4000</f>
        <v>-736</v>
      </c>
      <c r="K228" s="17">
        <f>(('Выборка 1'!BC228-'Выборка 1'!BB228)+('Выборка 1'!BD228-'Выборка 1'!BC228)+('Выборка 1'!BE228-'Выборка 1'!BD228)+('Выборка 1'!BF228-'Выборка 1'!BE228))/4000</f>
        <v>0</v>
      </c>
      <c r="L228" s="17">
        <f t="shared" si="3"/>
        <v>-534.5</v>
      </c>
      <c r="M228" s="17">
        <f>((('Выборка 1'!BH228-'Выборка 1'!BM228)-('Выборка 1'!BG228-'Выборка 1'!BL228))+(('Выборка 1'!BI228-'Выборка 1'!BN228)-('Выборка 1'!BH228-'Выборка 1'!BM228))+(('Выборка 1'!BJ228-'Выборка 1'!BO228)-('Выборка 1'!BI228-'Выборка 1'!BN228))+(('Выборка 1'!BK228-'Выборка 1'!BP228)-('Выборка 1'!BJ228-'Выборка 1'!BO228)))/4000</f>
        <v>10.25</v>
      </c>
      <c r="N228" s="17">
        <f>(('Выборка 1'!BR228-'Выборка 1'!BQ228)+('Выборка 1'!BS228-'Выборка 1'!BR228)+('Выборка 1'!BT228-'Выборка 1'!BS228)+('Выборка 1'!BU228-'Выборка 1'!BT228))/4000</f>
        <v>-6170.75</v>
      </c>
    </row>
    <row r="229" spans="1:14" x14ac:dyDescent="0.25">
      <c r="A229" s="17">
        <v>29</v>
      </c>
      <c r="B229" s="17">
        <f>(('Выборка 1'!E229-'Выборка 1'!D229)+('Выборка 1'!F229-'Выборка 1'!E229)+('Выборка 1'!G229-'Выборка 1'!F229)+('Выборка 1'!H229-'Выборка 1'!G229))/4000</f>
        <v>-5568</v>
      </c>
      <c r="C229" s="17">
        <f>(('Выборка 1'!J229-'Выборка 1'!I229)+('Выборка 1'!K229-'Выборка 1'!J229)+('Выборка 1'!L229-'Выборка 1'!K229)+('Выборка 1'!M229-'Выборка 1'!L229))/4000</f>
        <v>-104448.5</v>
      </c>
      <c r="D229" s="17">
        <f>(('Выборка 1'!O229-'Выборка 1'!N229)+('Выборка 1'!P229-'Выборка 1'!O229)+('Выборка 1'!Q229-'Выборка 1'!P229)+('Выборка 1'!R229-'Выборка 1'!Q229))/4000</f>
        <v>-13989.5</v>
      </c>
      <c r="E229" s="17">
        <f>(('Выборка 1'!T229-'Выборка 1'!S229)+('Выборка 1'!U229-'Выборка 1'!T229)+('Выборка 1'!V229-'Выборка 1'!U229)+('Выборка 1'!W229-'Выборка 1'!V229))/4000</f>
        <v>-2284</v>
      </c>
      <c r="F229" s="17">
        <f>(('Выборка 1'!Y229-'Выборка 1'!X229)+('Выборка 1'!Z229+'Выборка 1'!Y229)+('Выборка 1'!AA229-'Выборка 1'!Z229)+('Выборка 1'!AB229-'Выборка 1'!AA229))/4000</f>
        <v>-58714.25</v>
      </c>
      <c r="G229" s="17">
        <f>(('Выборка 1'!AD229-'Выборка 1'!AC229)+('Выборка 1'!AE229-'Выборка 1'!AD229)+('Выборка 1'!AF229-'Выборка 1'!AE229)+('Выборка 1'!AG229-'Выборка 1'!AF229))/4000</f>
        <v>-797</v>
      </c>
      <c r="H229" s="17">
        <f>(('Выборка 1'!AI229-'Выборка 1'!AH229)+('Выборка 1'!AJ229-'Выборка 1'!AI229)+('Выборка 1'!AK229-'Выборка 1'!AJ229)+('Выборка 1'!AL229-'Выборка 1'!AK229))/4000</f>
        <v>-141195.5</v>
      </c>
      <c r="I229" s="17">
        <f>(('Выборка 1'!AN229-'Выборка 1'!AM229)+('Выборка 1'!AO229-'Выборка 1'!AN229)+('Выборка 1'!AP229-'Выборка 1'!AO229)+('Выборка 1'!AQ229-'Выборка 1'!AP229))/4000</f>
        <v>-124.5</v>
      </c>
      <c r="J229" s="17">
        <f>((('Выборка 1'!AS229+'Выборка 1'!AX229)-('Выборка 1'!AR229+'Выборка 1'!AW229))+(('Выборка 1'!AT229+'Выборка 1'!AY229)-('Выборка 1'!AS229+'Выборка 1'!AX229))+(('Выборка 1'!AU229+'Выборка 1'!AZ229)-('Выборка 1'!AT229+'Выборка 1'!AY229))+(('Выборка 1'!AV229+'Выборка 1'!BA229)-('Выборка 1'!AU229+'Выборка 1'!AZ229)))/4000</f>
        <v>-522.75</v>
      </c>
      <c r="K229" s="17">
        <f>(('Выборка 1'!BC229-'Выборка 1'!BB229)+('Выборка 1'!BD229-'Выборка 1'!BC229)+('Выборка 1'!BE229-'Выборка 1'!BD229)+('Выборка 1'!BF229-'Выборка 1'!BE229))/4000</f>
        <v>-598.75</v>
      </c>
      <c r="L229" s="17">
        <f t="shared" si="3"/>
        <v>997</v>
      </c>
      <c r="M229" s="17">
        <f>((('Выборка 1'!BH229-'Выборка 1'!BM229)-('Выборка 1'!BG229-'Выборка 1'!BL229))+(('Выборка 1'!BI229-'Выборка 1'!BN229)-('Выборка 1'!BH229-'Выборка 1'!BM229))+(('Выборка 1'!BJ229-'Выборка 1'!BO229)-('Выборка 1'!BI229-'Выборка 1'!BN229))+(('Выборка 1'!BK229-'Выборка 1'!BP229)-('Выборка 1'!BJ229-'Выборка 1'!BO229)))/4000</f>
        <v>-2561</v>
      </c>
      <c r="N229" s="17">
        <f>(('Выборка 1'!BR229-'Выборка 1'!BQ229)+('Выборка 1'!BS229-'Выборка 1'!BR229)+('Выборка 1'!BT229-'Выборка 1'!BS229)+('Выборка 1'!BU229-'Выборка 1'!BT229))/4000</f>
        <v>-1122.5</v>
      </c>
    </row>
    <row r="230" spans="1:14" x14ac:dyDescent="0.25">
      <c r="A230" s="17">
        <v>20</v>
      </c>
      <c r="B230" s="17">
        <f>(('Выборка 1'!E230-'Выборка 1'!D230)+('Выборка 1'!F230-'Выборка 1'!E230)+('Выборка 1'!G230-'Выборка 1'!F230)+('Выборка 1'!H230-'Выборка 1'!G230))/4000</f>
        <v>0</v>
      </c>
      <c r="C230" s="17">
        <f>(('Выборка 1'!J230-'Выборка 1'!I230)+('Выборка 1'!K230-'Выборка 1'!J230)+('Выборка 1'!L230-'Выборка 1'!K230)+('Выборка 1'!M230-'Выборка 1'!L230))/4000</f>
        <v>0</v>
      </c>
      <c r="D230" s="17">
        <f>(('Выборка 1'!O230-'Выборка 1'!N230)+('Выборка 1'!P230-'Выборка 1'!O230)+('Выборка 1'!Q230-'Выборка 1'!P230)+('Выборка 1'!R230-'Выборка 1'!Q230))/4000</f>
        <v>131945.5</v>
      </c>
      <c r="E230" s="17">
        <f>(('Выборка 1'!T230-'Выборка 1'!S230)+('Выборка 1'!U230-'Выборка 1'!T230)+('Выборка 1'!V230-'Выборка 1'!U230)+('Выборка 1'!W230-'Выборка 1'!V230))/4000</f>
        <v>-2839.5</v>
      </c>
      <c r="F230" s="17">
        <f>(('Выборка 1'!Y230-'Выборка 1'!X230)+('Выборка 1'!Z230+'Выборка 1'!Y230)+('Выборка 1'!AA230-'Выборка 1'!Z230)+('Выборка 1'!AB230-'Выборка 1'!AA230))/4000</f>
        <v>-402448.5</v>
      </c>
      <c r="G230" s="17">
        <f>(('Выборка 1'!AD230-'Выборка 1'!AC230)+('Выборка 1'!AE230-'Выборка 1'!AD230)+('Выборка 1'!AF230-'Выборка 1'!AE230)+('Выборка 1'!AG230-'Выборка 1'!AF230))/4000</f>
        <v>51485</v>
      </c>
      <c r="H230" s="17">
        <f>(('Выборка 1'!AI230-'Выборка 1'!AH230)+('Выборка 1'!AJ230-'Выборка 1'!AI230)+('Выборка 1'!AK230-'Выборка 1'!AJ230)+('Выборка 1'!AL230-'Выборка 1'!AK230))/4000</f>
        <v>186826.5</v>
      </c>
      <c r="I230" s="17">
        <f>(('Выборка 1'!AN230-'Выборка 1'!AM230)+('Выборка 1'!AO230-'Выборка 1'!AN230)+('Выборка 1'!AP230-'Выборка 1'!AO230)+('Выборка 1'!AQ230-'Выборка 1'!AP230))/4000</f>
        <v>-526.75</v>
      </c>
      <c r="J230" s="17">
        <f>((('Выборка 1'!AS230+'Выборка 1'!AX230)-('Выборка 1'!AR230+'Выборка 1'!AW230))+(('Выборка 1'!AT230+'Выборка 1'!AY230)-('Выборка 1'!AS230+'Выборка 1'!AX230))+(('Выборка 1'!AU230+'Выборка 1'!AZ230)-('Выборка 1'!AT230+'Выборка 1'!AY230))+(('Выборка 1'!AV230+'Выборка 1'!BA230)-('Выборка 1'!AU230+'Выборка 1'!AZ230)))/4000</f>
        <v>-4123.25</v>
      </c>
      <c r="K230" s="17">
        <f>(('Выборка 1'!BC230-'Выборка 1'!BB230)+('Выборка 1'!BD230-'Выборка 1'!BC230)+('Выборка 1'!BE230-'Выборка 1'!BD230)+('Выборка 1'!BF230-'Выборка 1'!BE230))/4000</f>
        <v>160</v>
      </c>
      <c r="L230" s="17">
        <f t="shared" si="3"/>
        <v>3436.5</v>
      </c>
      <c r="M230" s="17">
        <f>((('Выборка 1'!BH230-'Выборка 1'!BM230)-('Выборка 1'!BG230-'Выборка 1'!BL230))+(('Выборка 1'!BI230-'Выборка 1'!BN230)-('Выборка 1'!BH230-'Выборка 1'!BM230))+(('Выборка 1'!BJ230-'Выборка 1'!BO230)-('Выборка 1'!BI230-'Выборка 1'!BN230))+(('Выборка 1'!BK230-'Выборка 1'!BP230)-('Выборка 1'!BJ230-'Выборка 1'!BO230)))/4000</f>
        <v>619119</v>
      </c>
      <c r="N230" s="17">
        <f>(('Выборка 1'!BR230-'Выборка 1'!BQ230)+('Выборка 1'!BS230-'Выборка 1'!BR230)+('Выборка 1'!BT230-'Выборка 1'!BS230)+('Выборка 1'!BU230-'Выборка 1'!BT230))/4000</f>
        <v>619951.5</v>
      </c>
    </row>
    <row r="231" spans="1:14" x14ac:dyDescent="0.25">
      <c r="A231" s="17">
        <v>19</v>
      </c>
      <c r="B231" s="17">
        <f>(('Выборка 1'!E231-'Выборка 1'!D231)+('Выборка 1'!F231-'Выборка 1'!E231)+('Выборка 1'!G231-'Выборка 1'!F231)+('Выборка 1'!H231-'Выборка 1'!G231))/4000</f>
        <v>-8574.25</v>
      </c>
      <c r="C231" s="17">
        <f>(('Выборка 1'!J231-'Выборка 1'!I231)+('Выборка 1'!K231-'Выборка 1'!J231)+('Выборка 1'!L231-'Выборка 1'!K231)+('Выборка 1'!M231-'Выборка 1'!L231))/4000</f>
        <v>-11336.25</v>
      </c>
      <c r="D231" s="17">
        <f>(('Выборка 1'!O231-'Выборка 1'!N231)+('Выборка 1'!P231-'Выборка 1'!O231)+('Выборка 1'!Q231-'Выборка 1'!P231)+('Выборка 1'!R231-'Выборка 1'!Q231))/4000</f>
        <v>-1450</v>
      </c>
      <c r="E231" s="17">
        <f>(('Выборка 1'!T231-'Выборка 1'!S231)+('Выборка 1'!U231-'Выборка 1'!T231)+('Выборка 1'!V231-'Выборка 1'!U231)+('Выборка 1'!W231-'Выборка 1'!V231))/4000</f>
        <v>-167.25</v>
      </c>
      <c r="F231" s="17">
        <f>(('Выборка 1'!Y231-'Выборка 1'!X231)+('Выборка 1'!Z231+'Выборка 1'!Y231)+('Выборка 1'!AA231-'Выборка 1'!Z231)+('Выборка 1'!AB231-'Выборка 1'!AA231))/4000</f>
        <v>-29589.25</v>
      </c>
      <c r="G231" s="17">
        <f>(('Выборка 1'!AD231-'Выборка 1'!AC231)+('Выборка 1'!AE231-'Выборка 1'!AD231)+('Выборка 1'!AF231-'Выборка 1'!AE231)+('Выборка 1'!AG231-'Выборка 1'!AF231))/4000</f>
        <v>0</v>
      </c>
      <c r="H231" s="17">
        <f>(('Выборка 1'!AI231-'Выборка 1'!AH231)+('Выборка 1'!AJ231-'Выборка 1'!AI231)+('Выборка 1'!AK231-'Выборка 1'!AJ231)+('Выборка 1'!AL231-'Выборка 1'!AK231))/4000</f>
        <v>-15868</v>
      </c>
      <c r="I231" s="17">
        <f>(('Выборка 1'!AN231-'Выборка 1'!AM231)+('Выборка 1'!AO231-'Выборка 1'!AN231)+('Выборка 1'!AP231-'Выборка 1'!AO231)+('Выборка 1'!AQ231-'Выборка 1'!AP231))/4000</f>
        <v>-42215.25</v>
      </c>
      <c r="J231" s="17">
        <f>((('Выборка 1'!AS231+'Выборка 1'!AX231)-('Выборка 1'!AR231+'Выборка 1'!AW231))+(('Выборка 1'!AT231+'Выборка 1'!AY231)-('Выборка 1'!AS231+'Выборка 1'!AX231))+(('Выборка 1'!AU231+'Выборка 1'!AZ231)-('Выборка 1'!AT231+'Выборка 1'!AY231))+(('Выборка 1'!AV231+'Выборка 1'!BA231)-('Выборка 1'!AU231+'Выборка 1'!AZ231)))/4000</f>
        <v>-37110.25</v>
      </c>
      <c r="K231" s="17">
        <f>(('Выборка 1'!BC231-'Выборка 1'!BB231)+('Выборка 1'!BD231-'Выборка 1'!BC231)+('Выборка 1'!BE231-'Выборка 1'!BD231)+('Выборка 1'!BF231-'Выборка 1'!BE231))/4000</f>
        <v>-5959</v>
      </c>
      <c r="L231" s="17">
        <f t="shared" si="3"/>
        <v>854</v>
      </c>
      <c r="M231" s="17">
        <f>((('Выборка 1'!BH231-'Выборка 1'!BM231)-('Выборка 1'!BG231-'Выборка 1'!BL231))+(('Выборка 1'!BI231-'Выборка 1'!BN231)-('Выборка 1'!BH231-'Выборка 1'!BM231))+(('Выборка 1'!BJ231-'Выборка 1'!BO231)-('Выборка 1'!BI231-'Выборка 1'!BN231))+(('Выборка 1'!BK231-'Выборка 1'!BP231)-('Выборка 1'!BJ231-'Выборка 1'!BO231)))/4000</f>
        <v>-950.75</v>
      </c>
      <c r="N231" s="17">
        <f>(('Выборка 1'!BR231-'Выборка 1'!BQ231)+('Выборка 1'!BS231-'Выборка 1'!BR231)+('Выборка 1'!BT231-'Выборка 1'!BS231)+('Выборка 1'!BU231-'Выборка 1'!BT231))/4000</f>
        <v>19845</v>
      </c>
    </row>
    <row r="232" spans="1:14" x14ac:dyDescent="0.25">
      <c r="A232" s="17">
        <v>10</v>
      </c>
      <c r="B232" s="17">
        <f>(('Выборка 1'!E232-'Выборка 1'!D232)+('Выборка 1'!F232-'Выборка 1'!E232)+('Выборка 1'!G232-'Выборка 1'!F232)+('Выборка 1'!H232-'Выборка 1'!G232))/4000</f>
        <v>-12016</v>
      </c>
      <c r="C232" s="17">
        <f>(('Выборка 1'!J232-'Выборка 1'!I232)+('Выборка 1'!K232-'Выборка 1'!J232)+('Выборка 1'!L232-'Выборка 1'!K232)+('Выборка 1'!M232-'Выборка 1'!L232))/4000</f>
        <v>0</v>
      </c>
      <c r="D232" s="17">
        <f>(('Выборка 1'!O232-'Выборка 1'!N232)+('Выборка 1'!P232-'Выборка 1'!O232)+('Выборка 1'!Q232-'Выборка 1'!P232)+('Выборка 1'!R232-'Выборка 1'!Q232))/4000</f>
        <v>-12717</v>
      </c>
      <c r="E232" s="17">
        <f>(('Выборка 1'!T232-'Выборка 1'!S232)+('Выборка 1'!U232-'Выборка 1'!T232)+('Выборка 1'!V232-'Выборка 1'!U232)+('Выборка 1'!W232-'Выборка 1'!V232))/4000</f>
        <v>-1049.75</v>
      </c>
      <c r="F232" s="17">
        <f>(('Выборка 1'!Y232-'Выборка 1'!X232)+('Выборка 1'!Z232+'Выборка 1'!Y232)+('Выборка 1'!AA232-'Выборка 1'!Z232)+('Выборка 1'!AB232-'Выборка 1'!AA232))/4000</f>
        <v>0</v>
      </c>
      <c r="G232" s="17">
        <f>(('Выборка 1'!AD232-'Выборка 1'!AC232)+('Выборка 1'!AE232-'Выборка 1'!AD232)+('Выборка 1'!AF232-'Выборка 1'!AE232)+('Выборка 1'!AG232-'Выборка 1'!AF232))/4000</f>
        <v>0</v>
      </c>
      <c r="H232" s="17">
        <f>(('Выборка 1'!AI232-'Выборка 1'!AH232)+('Выборка 1'!AJ232-'Выборка 1'!AI232)+('Выборка 1'!AK232-'Выборка 1'!AJ232)+('Выборка 1'!AL232-'Выборка 1'!AK232))/4000</f>
        <v>-14252.25</v>
      </c>
      <c r="I232" s="17">
        <f>(('Выборка 1'!AN232-'Выборка 1'!AM232)+('Выборка 1'!AO232-'Выборка 1'!AN232)+('Выборка 1'!AP232-'Выборка 1'!AO232)+('Выборка 1'!AQ232-'Выборка 1'!AP232))/4000</f>
        <v>-23657.25</v>
      </c>
      <c r="J232" s="17">
        <f>((('Выборка 1'!AS232+'Выборка 1'!AX232)-('Выборка 1'!AR232+'Выборка 1'!AW232))+(('Выборка 1'!AT232+'Выборка 1'!AY232)-('Выборка 1'!AS232+'Выборка 1'!AX232))+(('Выборка 1'!AU232+'Выборка 1'!AZ232)-('Выборка 1'!AT232+'Выборка 1'!AY232))+(('Выборка 1'!AV232+'Выборка 1'!BA232)-('Выборка 1'!AU232+'Выборка 1'!AZ232)))/4000</f>
        <v>-15020.5</v>
      </c>
      <c r="K232" s="17">
        <f>(('Выборка 1'!BC232-'Выборка 1'!BB232)+('Выборка 1'!BD232-'Выборка 1'!BC232)+('Выборка 1'!BE232-'Выборка 1'!BD232)+('Выборка 1'!BF232-'Выборка 1'!BE232))/4000</f>
        <v>0</v>
      </c>
      <c r="L232" s="17">
        <f t="shared" si="3"/>
        <v>-8636.75</v>
      </c>
      <c r="M232" s="17">
        <f>((('Выборка 1'!BH232-'Выборка 1'!BM232)-('Выборка 1'!BG232-'Выборка 1'!BL232))+(('Выборка 1'!BI232-'Выборка 1'!BN232)-('Выборка 1'!BH232-'Выборка 1'!BM232))+(('Выборка 1'!BJ232-'Выборка 1'!BO232)-('Выборка 1'!BI232-'Выборка 1'!BN232))+(('Выборка 1'!BK232-'Выборка 1'!BP232)-('Выборка 1'!BJ232-'Выборка 1'!BO232)))/4000</f>
        <v>7452.5</v>
      </c>
      <c r="N232" s="17">
        <f>(('Выборка 1'!BR232-'Выборка 1'!BQ232)+('Выборка 1'!BS232-'Выборка 1'!BR232)+('Выборка 1'!BT232-'Выборка 1'!BS232)+('Выборка 1'!BU232-'Выборка 1'!BT232))/4000</f>
        <v>-947.5</v>
      </c>
    </row>
    <row r="233" spans="1:14" x14ac:dyDescent="0.25">
      <c r="A233" s="17">
        <v>10</v>
      </c>
      <c r="B233" s="17">
        <f>(('Выборка 1'!E233-'Выборка 1'!D233)+('Выборка 1'!F233-'Выборка 1'!E233)+('Выборка 1'!G233-'Выборка 1'!F233)+('Выборка 1'!H233-'Выборка 1'!G233))/4000</f>
        <v>-683</v>
      </c>
      <c r="C233" s="17">
        <f>(('Выборка 1'!J233-'Выборка 1'!I233)+('Выборка 1'!K233-'Выборка 1'!J233)+('Выборка 1'!L233-'Выборка 1'!K233)+('Выборка 1'!M233-'Выборка 1'!L233))/4000</f>
        <v>-713</v>
      </c>
      <c r="D233" s="17">
        <f>(('Выборка 1'!O233-'Выборка 1'!N233)+('Выборка 1'!P233-'Выборка 1'!O233)+('Выборка 1'!Q233-'Выборка 1'!P233)+('Выборка 1'!R233-'Выборка 1'!Q233))/4000</f>
        <v>-22941.75</v>
      </c>
      <c r="E233" s="17">
        <f>(('Выборка 1'!T233-'Выборка 1'!S233)+('Выборка 1'!U233-'Выборка 1'!T233)+('Выборка 1'!V233-'Выборка 1'!U233)+('Выборка 1'!W233-'Выборка 1'!V233))/4000</f>
        <v>-1197</v>
      </c>
      <c r="F233" s="17">
        <f>(('Выборка 1'!Y233-'Выборка 1'!X233)+('Выборка 1'!Z233+'Выборка 1'!Y233)+('Выборка 1'!AA233-'Выборка 1'!Z233)+('Выборка 1'!AB233-'Выборка 1'!AA233))/4000</f>
        <v>-3046.5</v>
      </c>
      <c r="G233" s="17">
        <f>(('Выборка 1'!AD233-'Выборка 1'!AC233)+('Выборка 1'!AE233-'Выборка 1'!AD233)+('Выборка 1'!AF233-'Выборка 1'!AE233)+('Выборка 1'!AG233-'Выборка 1'!AF233))/4000</f>
        <v>0</v>
      </c>
      <c r="H233" s="17">
        <f>(('Выборка 1'!AI233-'Выборка 1'!AH233)+('Выборка 1'!AJ233-'Выборка 1'!AI233)+('Выборка 1'!AK233-'Выборка 1'!AJ233)+('Выборка 1'!AL233-'Выборка 1'!AK233))/4000</f>
        <v>-20534.25</v>
      </c>
      <c r="I233" s="17">
        <f>(('Выборка 1'!AN233-'Выборка 1'!AM233)+('Выборка 1'!AO233-'Выборка 1'!AN233)+('Выборка 1'!AP233-'Выборка 1'!AO233)+('Выборка 1'!AQ233-'Выборка 1'!AP233))/4000</f>
        <v>-27270.25</v>
      </c>
      <c r="J233" s="17">
        <f>((('Выборка 1'!AS233+'Выборка 1'!AX233)-('Выборка 1'!AR233+'Выборка 1'!AW233))+(('Выборка 1'!AT233+'Выборка 1'!AY233)-('Выборка 1'!AS233+'Выборка 1'!AX233))+(('Выборка 1'!AU233+'Выборка 1'!AZ233)-('Выборка 1'!AT233+'Выборка 1'!AY233))+(('Выборка 1'!AV233+'Выборка 1'!BA233)-('Выборка 1'!AU233+'Выборка 1'!AZ233)))/4000</f>
        <v>-17121.5</v>
      </c>
      <c r="K233" s="17">
        <f>(('Выборка 1'!BC233-'Выборка 1'!BB233)+('Выборка 1'!BD233-'Выборка 1'!BC233)+('Выборка 1'!BE233-'Выборка 1'!BD233)+('Выборка 1'!BF233-'Выборка 1'!BE233))/4000</f>
        <v>-816.5</v>
      </c>
      <c r="L233" s="17">
        <f t="shared" si="3"/>
        <v>-9332.25</v>
      </c>
      <c r="M233" s="17">
        <f>((('Выборка 1'!BH233-'Выборка 1'!BM233)-('Выборка 1'!BG233-'Выборка 1'!BL233))+(('Выборка 1'!BI233-'Выборка 1'!BN233)-('Выборка 1'!BH233-'Выборка 1'!BM233))+(('Выборка 1'!BJ233-'Выборка 1'!BO233)-('Выборка 1'!BI233-'Выборка 1'!BN233))+(('Выборка 1'!BK233-'Выборка 1'!BP233)-('Выборка 1'!BJ233-'Выборка 1'!BO233)))/4000</f>
        <v>6285.75</v>
      </c>
      <c r="N233" s="17">
        <f>(('Выборка 1'!BR233-'Выборка 1'!BQ233)+('Выборка 1'!BS233-'Выборка 1'!BR233)+('Выборка 1'!BT233-'Выборка 1'!BS233)+('Выборка 1'!BU233-'Выборка 1'!BT233))/4000</f>
        <v>-3046.5</v>
      </c>
    </row>
    <row r="234" spans="1:14" x14ac:dyDescent="0.25">
      <c r="A234" s="17">
        <v>9</v>
      </c>
      <c r="B234" s="17">
        <f>(('Выборка 1'!E234-'Выборка 1'!D234)+('Выборка 1'!F234-'Выборка 1'!E234)+('Выборка 1'!G234-'Выборка 1'!F234)+('Выборка 1'!H234-'Выборка 1'!G234))/4000</f>
        <v>-13792</v>
      </c>
      <c r="C234" s="17">
        <f>(('Выборка 1'!J234-'Выборка 1'!I234)+('Выборка 1'!K234-'Выборка 1'!J234)+('Выборка 1'!L234-'Выборка 1'!K234)+('Выборка 1'!M234-'Выборка 1'!L234))/4000</f>
        <v>-51264.25</v>
      </c>
      <c r="D234" s="17">
        <f>(('Выборка 1'!O234-'Выборка 1'!N234)+('Выборка 1'!P234-'Выборка 1'!O234)+('Выборка 1'!Q234-'Выборка 1'!P234)+('Выборка 1'!R234-'Выборка 1'!Q234))/4000</f>
        <v>-73235</v>
      </c>
      <c r="E234" s="17">
        <f>(('Выборка 1'!T234-'Выборка 1'!S234)+('Выборка 1'!U234-'Выборка 1'!T234)+('Выборка 1'!V234-'Выборка 1'!U234)+('Выборка 1'!W234-'Выборка 1'!V234))/4000</f>
        <v>2004.75</v>
      </c>
      <c r="F234" s="17">
        <f>(('Выборка 1'!Y234-'Выборка 1'!X234)+('Выборка 1'!Z234+'Выборка 1'!Y234)+('Выборка 1'!AA234-'Выборка 1'!Z234)+('Выборка 1'!AB234-'Выборка 1'!AA234))/4000</f>
        <v>-210107.75</v>
      </c>
      <c r="G234" s="17">
        <f>(('Выборка 1'!AD234-'Выборка 1'!AC234)+('Выборка 1'!AE234-'Выборка 1'!AD234)+('Выборка 1'!AF234-'Выборка 1'!AE234)+('Выборка 1'!AG234-'Выборка 1'!AF234))/4000</f>
        <v>-3583.25</v>
      </c>
      <c r="H234" s="17">
        <f>(('Выборка 1'!AI234-'Выборка 1'!AH234)+('Выборка 1'!AJ234-'Выборка 1'!AI234)+('Выборка 1'!AK234-'Выборка 1'!AJ234)+('Выборка 1'!AL234-'Выборка 1'!AK234))/4000</f>
        <v>-56625.25</v>
      </c>
      <c r="I234" s="17">
        <f>(('Выборка 1'!AN234-'Выборка 1'!AM234)+('Выборка 1'!AO234-'Выборка 1'!AN234)+('Выборка 1'!AP234-'Выборка 1'!AO234)+('Выборка 1'!AQ234-'Выборка 1'!AP234))/4000</f>
        <v>-189422.5</v>
      </c>
      <c r="J234" s="17">
        <f>((('Выборка 1'!AS234+'Выборка 1'!AX234)-('Выборка 1'!AR234+'Выборка 1'!AW234))+(('Выборка 1'!AT234+'Выборка 1'!AY234)-('Выборка 1'!AS234+'Выборка 1'!AX234))+(('Выборка 1'!AU234+'Выборка 1'!AZ234)-('Выборка 1'!AT234+'Выборка 1'!AY234))+(('Выборка 1'!AV234+'Выборка 1'!BA234)-('Выборка 1'!AU234+'Выборка 1'!AZ234)))/4000</f>
        <v>-94764.25</v>
      </c>
      <c r="K234" s="17">
        <f>(('Выборка 1'!BC234-'Выборка 1'!BB234)+('Выборка 1'!BD234-'Выборка 1'!BC234)+('Выборка 1'!BE234-'Выборка 1'!BD234)+('Выборка 1'!BF234-'Выборка 1'!BE234))/4000</f>
        <v>-79989.5</v>
      </c>
      <c r="L234" s="17">
        <f t="shared" si="3"/>
        <v>-14668.75</v>
      </c>
      <c r="M234" s="17">
        <f>((('Выборка 1'!BH234-'Выборка 1'!BM234)-('Выборка 1'!BG234-'Выборка 1'!BL234))+(('Выборка 1'!BI234-'Выборка 1'!BN234)-('Выборка 1'!BH234-'Выборка 1'!BM234))+(('Выборка 1'!BJ234-'Выборка 1'!BO234)-('Выборка 1'!BI234-'Выборка 1'!BN234))+(('Выборка 1'!BK234-'Выборка 1'!BP234)-('Выборка 1'!BJ234-'Выборка 1'!BO234)))/4000</f>
        <v>12138.25</v>
      </c>
      <c r="N234" s="17">
        <f>(('Выборка 1'!BR234-'Выборка 1'!BQ234)+('Выборка 1'!BS234-'Выборка 1'!BR234)+('Выборка 1'!BT234-'Выборка 1'!BS234)+('Выборка 1'!BU234-'Выборка 1'!BT234))/4000</f>
        <v>-1372.5</v>
      </c>
    </row>
    <row r="235" spans="1:14" x14ac:dyDescent="0.25">
      <c r="A235" s="17">
        <v>9</v>
      </c>
      <c r="B235" s="17">
        <f>(('Выборка 1'!E235-'Выборка 1'!D235)+('Выборка 1'!F235-'Выборка 1'!E235)+('Выборка 1'!G235-'Выборка 1'!F235)+('Выборка 1'!H235-'Выборка 1'!G235))/4000</f>
        <v>-2895.75</v>
      </c>
      <c r="C235" s="17">
        <f>(('Выборка 1'!J235-'Выборка 1'!I235)+('Выборка 1'!K235-'Выборка 1'!J235)+('Выборка 1'!L235-'Выборка 1'!K235)+('Выборка 1'!M235-'Выборка 1'!L235))/4000</f>
        <v>-690.75</v>
      </c>
      <c r="D235" s="17">
        <f>(('Выборка 1'!O235-'Выборка 1'!N235)+('Выборка 1'!P235-'Выборка 1'!O235)+('Выборка 1'!Q235-'Выборка 1'!P235)+('Выборка 1'!R235-'Выборка 1'!Q235))/4000</f>
        <v>-3851.25</v>
      </c>
      <c r="E235" s="17">
        <f>(('Выборка 1'!T235-'Выборка 1'!S235)+('Выборка 1'!U235-'Выборка 1'!T235)+('Выборка 1'!V235-'Выборка 1'!U235)+('Выборка 1'!W235-'Выборка 1'!V235))/4000</f>
        <v>0</v>
      </c>
      <c r="F235" s="17">
        <f>(('Выборка 1'!Y235-'Выборка 1'!X235)+('Выборка 1'!Z235+'Выборка 1'!Y235)+('Выборка 1'!AA235-'Выборка 1'!Z235)+('Выборка 1'!AB235-'Выборка 1'!AA235))/4000</f>
        <v>92.75</v>
      </c>
      <c r="G235" s="17">
        <f>(('Выборка 1'!AD235-'Выборка 1'!AC235)+('Выборка 1'!AE235-'Выборка 1'!AD235)+('Выборка 1'!AF235-'Выборка 1'!AE235)+('Выборка 1'!AG235-'Выборка 1'!AF235))/4000</f>
        <v>-1681.25</v>
      </c>
      <c r="H235" s="17">
        <f>(('Выборка 1'!AI235-'Выборка 1'!AH235)+('Выборка 1'!AJ235-'Выборка 1'!AI235)+('Выборка 1'!AK235-'Выборка 1'!AJ235)+('Выборка 1'!AL235-'Выборка 1'!AK235))/4000</f>
        <v>-4601</v>
      </c>
      <c r="I235" s="17">
        <f>(('Выборка 1'!AN235-'Выборка 1'!AM235)+('Выборка 1'!AO235-'Выборка 1'!AN235)+('Выборка 1'!AP235-'Выборка 1'!AO235)+('Выборка 1'!AQ235-'Выборка 1'!AP235))/4000</f>
        <v>-7607.25</v>
      </c>
      <c r="J235" s="17">
        <f>((('Выборка 1'!AS235+'Выборка 1'!AX235)-('Выборка 1'!AR235+'Выборка 1'!AW235))+(('Выборка 1'!AT235+'Выборка 1'!AY235)-('Выборка 1'!AS235+'Выборка 1'!AX235))+(('Выборка 1'!AU235+'Выборка 1'!AZ235)-('Выборка 1'!AT235+'Выборка 1'!AY235))+(('Выборка 1'!AV235+'Выборка 1'!BA235)-('Выборка 1'!AU235+'Выборка 1'!AZ235)))/4000</f>
        <v>-4034.5</v>
      </c>
      <c r="K235" s="17">
        <f>(('Выборка 1'!BC235-'Выборка 1'!BB235)+('Выборка 1'!BD235-'Выборка 1'!BC235)+('Выборка 1'!BE235-'Выборка 1'!BD235)+('Выборка 1'!BF235-'Выборка 1'!BE235))/4000</f>
        <v>-3369</v>
      </c>
      <c r="L235" s="17">
        <f t="shared" si="3"/>
        <v>-203.75</v>
      </c>
      <c r="M235" s="17">
        <f>((('Выборка 1'!BH235-'Выборка 1'!BM235)-('Выборка 1'!BG235-'Выборка 1'!BL235))+(('Выборка 1'!BI235-'Выборка 1'!BN235)-('Выборка 1'!BH235-'Выборка 1'!BM235))+(('Выборка 1'!BJ235-'Выборка 1'!BO235)-('Выборка 1'!BI235-'Выборка 1'!BN235))+(('Выборка 1'!BK235-'Выборка 1'!BP235)-('Выборка 1'!BJ235-'Выборка 1'!BO235)))/4000</f>
        <v>139.25</v>
      </c>
      <c r="N235" s="17">
        <f>(('Выборка 1'!BR235-'Выборка 1'!BQ235)+('Выборка 1'!BS235-'Выборка 1'!BR235)+('Выборка 1'!BT235-'Выборка 1'!BS235)+('Выборка 1'!BU235-'Выборка 1'!BT235))/4000</f>
        <v>-40.25</v>
      </c>
    </row>
    <row r="236" spans="1:14" x14ac:dyDescent="0.25">
      <c r="A236" s="17">
        <v>31</v>
      </c>
      <c r="B236" s="17">
        <f>(('Выборка 1'!E236-'Выборка 1'!D236)+('Выборка 1'!F236-'Выборка 1'!E236)+('Выборка 1'!G236-'Выборка 1'!F236)+('Выборка 1'!H236-'Выборка 1'!G236))/4000</f>
        <v>0</v>
      </c>
      <c r="C236" s="17">
        <f>(('Выборка 1'!J236-'Выборка 1'!I236)+('Выборка 1'!K236-'Выборка 1'!J236)+('Выборка 1'!L236-'Выборка 1'!K236)+('Выборка 1'!M236-'Выборка 1'!L236))/4000</f>
        <v>0</v>
      </c>
      <c r="D236" s="17">
        <f>(('Выборка 1'!O236-'Выборка 1'!N236)+('Выборка 1'!P236-'Выборка 1'!O236)+('Выборка 1'!Q236-'Выборка 1'!P236)+('Выборка 1'!R236-'Выборка 1'!Q236))/4000</f>
        <v>0</v>
      </c>
      <c r="E236" s="17">
        <f>(('Выборка 1'!T236-'Выборка 1'!S236)+('Выборка 1'!U236-'Выборка 1'!T236)+('Выборка 1'!V236-'Выборка 1'!U236)+('Выборка 1'!W236-'Выборка 1'!V236))/4000</f>
        <v>0</v>
      </c>
      <c r="F236" s="17">
        <f>(('Выборка 1'!Y236-'Выборка 1'!X236)+('Выборка 1'!Z236+'Выборка 1'!Y236)+('Выборка 1'!AA236-'Выборка 1'!Z236)+('Выборка 1'!AB236-'Выборка 1'!AA236))/4000</f>
        <v>0</v>
      </c>
      <c r="G236" s="17">
        <f>(('Выборка 1'!AD236-'Выборка 1'!AC236)+('Выборка 1'!AE236-'Выборка 1'!AD236)+('Выборка 1'!AF236-'Выборка 1'!AE236)+('Выборка 1'!AG236-'Выборка 1'!AF236))/4000</f>
        <v>0</v>
      </c>
      <c r="H236" s="17">
        <f>(('Выборка 1'!AI236-'Выборка 1'!AH236)+('Выборка 1'!AJ236-'Выборка 1'!AI236)+('Выборка 1'!AK236-'Выборка 1'!AJ236)+('Выборка 1'!AL236-'Выборка 1'!AK236))/4000</f>
        <v>0</v>
      </c>
      <c r="I236" s="17">
        <f>(('Выборка 1'!AN236-'Выборка 1'!AM236)+('Выборка 1'!AO236-'Выборка 1'!AN236)+('Выборка 1'!AP236-'Выборка 1'!AO236)+('Выборка 1'!AQ236-'Выборка 1'!AP236))/4000</f>
        <v>0</v>
      </c>
      <c r="J236" s="17">
        <f>((('Выборка 1'!AS236+'Выборка 1'!AX236)-('Выборка 1'!AR236+'Выборка 1'!AW236))+(('Выборка 1'!AT236+'Выборка 1'!AY236)-('Выборка 1'!AS236+'Выборка 1'!AX236))+(('Выборка 1'!AU236+'Выборка 1'!AZ236)-('Выборка 1'!AT236+'Выборка 1'!AY236))+(('Выборка 1'!AV236+'Выборка 1'!BA236)-('Выборка 1'!AU236+'Выборка 1'!AZ236)))/4000</f>
        <v>0</v>
      </c>
      <c r="K236" s="17">
        <f>(('Выборка 1'!BC236-'Выборка 1'!BB236)+('Выборка 1'!BD236-'Выборка 1'!BC236)+('Выборка 1'!BE236-'Выборка 1'!BD236)+('Выборка 1'!BF236-'Выборка 1'!BE236))/4000</f>
        <v>0</v>
      </c>
      <c r="L236" s="17">
        <f t="shared" si="3"/>
        <v>0</v>
      </c>
      <c r="M236" s="17">
        <f>((('Выборка 1'!BH236-'Выборка 1'!BM236)-('Выборка 1'!BG236-'Выборка 1'!BL236))+(('Выборка 1'!BI236-'Выборка 1'!BN236)-('Выборка 1'!BH236-'Выборка 1'!BM236))+(('Выборка 1'!BJ236-'Выборка 1'!BO236)-('Выборка 1'!BI236-'Выборка 1'!BN236))+(('Выборка 1'!BK236-'Выборка 1'!BP236)-('Выборка 1'!BJ236-'Выборка 1'!BO236)))/4000</f>
        <v>0</v>
      </c>
      <c r="N236" s="17">
        <f>(('Выборка 1'!BR236-'Выборка 1'!BQ236)+('Выборка 1'!BS236-'Выборка 1'!BR236)+('Выборка 1'!BT236-'Выборка 1'!BS236)+('Выборка 1'!BU236-'Выборка 1'!BT236))/4000</f>
        <v>0</v>
      </c>
    </row>
    <row r="237" spans="1:14" x14ac:dyDescent="0.25">
      <c r="A237" s="17">
        <v>19</v>
      </c>
      <c r="B237" s="17">
        <f>(('Выборка 1'!E237-'Выборка 1'!D237)+('Выборка 1'!F237-'Выборка 1'!E237)+('Выборка 1'!G237-'Выборка 1'!F237)+('Выборка 1'!H237-'Выборка 1'!G237))/4000</f>
        <v>0</v>
      </c>
      <c r="C237" s="17">
        <f>(('Выборка 1'!J237-'Выборка 1'!I237)+('Выборка 1'!K237-'Выборка 1'!J237)+('Выборка 1'!L237-'Выборка 1'!K237)+('Выборка 1'!M237-'Выборка 1'!L237))/4000</f>
        <v>0</v>
      </c>
      <c r="D237" s="17">
        <f>(('Выборка 1'!O237-'Выборка 1'!N237)+('Выборка 1'!P237-'Выборка 1'!O237)+('Выборка 1'!Q237-'Выборка 1'!P237)+('Выборка 1'!R237-'Выборка 1'!Q237))/4000</f>
        <v>0</v>
      </c>
      <c r="E237" s="17">
        <f>(('Выборка 1'!T237-'Выборка 1'!S237)+('Выборка 1'!U237-'Выборка 1'!T237)+('Выборка 1'!V237-'Выборка 1'!U237)+('Выборка 1'!W237-'Выборка 1'!V237))/4000</f>
        <v>0</v>
      </c>
      <c r="F237" s="17">
        <f>(('Выборка 1'!Y237-'Выборка 1'!X237)+('Выборка 1'!Z237+'Выборка 1'!Y237)+('Выборка 1'!AA237-'Выборка 1'!Z237)+('Выборка 1'!AB237-'Выборка 1'!AA237))/4000</f>
        <v>0</v>
      </c>
      <c r="G237" s="17">
        <f>(('Выборка 1'!AD237-'Выборка 1'!AC237)+('Выборка 1'!AE237-'Выборка 1'!AD237)+('Выборка 1'!AF237-'Выборка 1'!AE237)+('Выборка 1'!AG237-'Выборка 1'!AF237))/4000</f>
        <v>0</v>
      </c>
      <c r="H237" s="17">
        <f>(('Выборка 1'!AI237-'Выборка 1'!AH237)+('Выборка 1'!AJ237-'Выборка 1'!AI237)+('Выборка 1'!AK237-'Выборка 1'!AJ237)+('Выборка 1'!AL237-'Выборка 1'!AK237))/4000</f>
        <v>0</v>
      </c>
      <c r="I237" s="17">
        <f>(('Выборка 1'!AN237-'Выборка 1'!AM237)+('Выборка 1'!AO237-'Выборка 1'!AN237)+('Выборка 1'!AP237-'Выборка 1'!AO237)+('Выборка 1'!AQ237-'Выборка 1'!AP237))/4000</f>
        <v>0</v>
      </c>
      <c r="J237" s="17">
        <f>((('Выборка 1'!AS237+'Выборка 1'!AX237)-('Выборка 1'!AR237+'Выборка 1'!AW237))+(('Выборка 1'!AT237+'Выборка 1'!AY237)-('Выборка 1'!AS237+'Выборка 1'!AX237))+(('Выборка 1'!AU237+'Выборка 1'!AZ237)-('Выборка 1'!AT237+'Выборка 1'!AY237))+(('Выборка 1'!AV237+'Выборка 1'!BA237)-('Выборка 1'!AU237+'Выборка 1'!AZ237)))/4000</f>
        <v>0</v>
      </c>
      <c r="K237" s="17">
        <f>(('Выборка 1'!BC237-'Выборка 1'!BB237)+('Выборка 1'!BD237-'Выборка 1'!BC237)+('Выборка 1'!BE237-'Выборка 1'!BD237)+('Выборка 1'!BF237-'Выборка 1'!BE237))/4000</f>
        <v>0</v>
      </c>
      <c r="L237" s="17">
        <f t="shared" si="3"/>
        <v>0</v>
      </c>
      <c r="M237" s="17">
        <f>((('Выборка 1'!BH237-'Выборка 1'!BM237)-('Выборка 1'!BG237-'Выборка 1'!BL237))+(('Выборка 1'!BI237-'Выборка 1'!BN237)-('Выборка 1'!BH237-'Выборка 1'!BM237))+(('Выборка 1'!BJ237-'Выборка 1'!BO237)-('Выборка 1'!BI237-'Выборка 1'!BN237))+(('Выборка 1'!BK237-'Выборка 1'!BP237)-('Выборка 1'!BJ237-'Выборка 1'!BO237)))/4000</f>
        <v>0</v>
      </c>
      <c r="N237" s="17">
        <f>(('Выборка 1'!BR237-'Выборка 1'!BQ237)+('Выборка 1'!BS237-'Выборка 1'!BR237)+('Выборка 1'!BT237-'Выборка 1'!BS237)+('Выборка 1'!BU237-'Выборка 1'!BT237))/4000</f>
        <v>0</v>
      </c>
    </row>
    <row r="238" spans="1:14" x14ac:dyDescent="0.25">
      <c r="A238" s="17">
        <v>30</v>
      </c>
      <c r="B238" s="17">
        <f>(('Выборка 1'!E238-'Выборка 1'!D238)+('Выборка 1'!F238-'Выборка 1'!E238)+('Выборка 1'!G238-'Выборка 1'!F238)+('Выборка 1'!H238-'Выборка 1'!G238))/4000</f>
        <v>0</v>
      </c>
      <c r="C238" s="17">
        <f>(('Выборка 1'!J238-'Выборка 1'!I238)+('Выборка 1'!K238-'Выборка 1'!J238)+('Выборка 1'!L238-'Выборка 1'!K238)+('Выборка 1'!M238-'Выборка 1'!L238))/4000</f>
        <v>0</v>
      </c>
      <c r="D238" s="17">
        <f>(('Выборка 1'!O238-'Выборка 1'!N238)+('Выборка 1'!P238-'Выборка 1'!O238)+('Выборка 1'!Q238-'Выборка 1'!P238)+('Выборка 1'!R238-'Выборка 1'!Q238))/4000</f>
        <v>0</v>
      </c>
      <c r="E238" s="17">
        <f>(('Выборка 1'!T238-'Выборка 1'!S238)+('Выборка 1'!U238-'Выборка 1'!T238)+('Выборка 1'!V238-'Выборка 1'!U238)+('Выборка 1'!W238-'Выборка 1'!V238))/4000</f>
        <v>0</v>
      </c>
      <c r="F238" s="17">
        <f>(('Выборка 1'!Y238-'Выборка 1'!X238)+('Выборка 1'!Z238+'Выборка 1'!Y238)+('Выборка 1'!AA238-'Выборка 1'!Z238)+('Выборка 1'!AB238-'Выборка 1'!AA238))/4000</f>
        <v>0</v>
      </c>
      <c r="G238" s="17">
        <f>(('Выборка 1'!AD238-'Выборка 1'!AC238)+('Выборка 1'!AE238-'Выборка 1'!AD238)+('Выборка 1'!AF238-'Выборка 1'!AE238)+('Выборка 1'!AG238-'Выборка 1'!AF238))/4000</f>
        <v>0</v>
      </c>
      <c r="H238" s="17">
        <f>(('Выборка 1'!AI238-'Выборка 1'!AH238)+('Выборка 1'!AJ238-'Выборка 1'!AI238)+('Выборка 1'!AK238-'Выборка 1'!AJ238)+('Выборка 1'!AL238-'Выборка 1'!AK238))/4000</f>
        <v>0</v>
      </c>
      <c r="I238" s="17">
        <f>(('Выборка 1'!AN238-'Выборка 1'!AM238)+('Выборка 1'!AO238-'Выборка 1'!AN238)+('Выборка 1'!AP238-'Выборка 1'!AO238)+('Выборка 1'!AQ238-'Выборка 1'!AP238))/4000</f>
        <v>0</v>
      </c>
      <c r="J238" s="17">
        <f>((('Выборка 1'!AS238+'Выборка 1'!AX238)-('Выборка 1'!AR238+'Выборка 1'!AW238))+(('Выборка 1'!AT238+'Выборка 1'!AY238)-('Выборка 1'!AS238+'Выборка 1'!AX238))+(('Выборка 1'!AU238+'Выборка 1'!AZ238)-('Выборка 1'!AT238+'Выборка 1'!AY238))+(('Выборка 1'!AV238+'Выборка 1'!BA238)-('Выборка 1'!AU238+'Выборка 1'!AZ238)))/4000</f>
        <v>0</v>
      </c>
      <c r="K238" s="17">
        <f>(('Выборка 1'!BC238-'Выборка 1'!BB238)+('Выборка 1'!BD238-'Выборка 1'!BC238)+('Выборка 1'!BE238-'Выборка 1'!BD238)+('Выборка 1'!BF238-'Выборка 1'!BE238))/4000</f>
        <v>0</v>
      </c>
      <c r="L238" s="17">
        <f t="shared" si="3"/>
        <v>0</v>
      </c>
      <c r="M238" s="17">
        <f>((('Выборка 1'!BH238-'Выборка 1'!BM238)-('Выборка 1'!BG238-'Выборка 1'!BL238))+(('Выборка 1'!BI238-'Выборка 1'!BN238)-('Выборка 1'!BH238-'Выборка 1'!BM238))+(('Выборка 1'!BJ238-'Выборка 1'!BO238)-('Выборка 1'!BI238-'Выборка 1'!BN238))+(('Выборка 1'!BK238-'Выборка 1'!BP238)-('Выборка 1'!BJ238-'Выборка 1'!BO238)))/4000</f>
        <v>0</v>
      </c>
      <c r="N238" s="17">
        <f>(('Выборка 1'!BR238-'Выборка 1'!BQ238)+('Выборка 1'!BS238-'Выборка 1'!BR238)+('Выборка 1'!BT238-'Выборка 1'!BS238)+('Выборка 1'!BU238-'Выборка 1'!BT238))/4000</f>
        <v>0</v>
      </c>
    </row>
    <row r="239" spans="1:14" x14ac:dyDescent="0.25">
      <c r="A239" s="17">
        <v>23</v>
      </c>
      <c r="B239" s="17">
        <f>(('Выборка 1'!E239-'Выборка 1'!D239)+('Выборка 1'!F239-'Выборка 1'!E239)+('Выборка 1'!G239-'Выборка 1'!F239)+('Выборка 1'!H239-'Выборка 1'!G239))/4000</f>
        <v>0</v>
      </c>
      <c r="C239" s="17">
        <f>(('Выборка 1'!J239-'Выборка 1'!I239)+('Выборка 1'!K239-'Выборка 1'!J239)+('Выборка 1'!L239-'Выборка 1'!K239)+('Выборка 1'!M239-'Выборка 1'!L239))/4000</f>
        <v>0</v>
      </c>
      <c r="D239" s="17">
        <f>(('Выборка 1'!O239-'Выборка 1'!N239)+('Выборка 1'!P239-'Выборка 1'!O239)+('Выборка 1'!Q239-'Выборка 1'!P239)+('Выборка 1'!R239-'Выборка 1'!Q239))/4000</f>
        <v>0</v>
      </c>
      <c r="E239" s="17">
        <f>(('Выборка 1'!T239-'Выборка 1'!S239)+('Выборка 1'!U239-'Выборка 1'!T239)+('Выборка 1'!V239-'Выборка 1'!U239)+('Выборка 1'!W239-'Выборка 1'!V239))/4000</f>
        <v>0</v>
      </c>
      <c r="F239" s="17">
        <f>(('Выборка 1'!Y239-'Выборка 1'!X239)+('Выборка 1'!Z239+'Выборка 1'!Y239)+('Выборка 1'!AA239-'Выборка 1'!Z239)+('Выборка 1'!AB239-'Выборка 1'!AA239))/4000</f>
        <v>0</v>
      </c>
      <c r="G239" s="17">
        <f>(('Выборка 1'!AD239-'Выборка 1'!AC239)+('Выборка 1'!AE239-'Выборка 1'!AD239)+('Выборка 1'!AF239-'Выборка 1'!AE239)+('Выборка 1'!AG239-'Выборка 1'!AF239))/4000</f>
        <v>0</v>
      </c>
      <c r="H239" s="17">
        <f>(('Выборка 1'!AI239-'Выборка 1'!AH239)+('Выборка 1'!AJ239-'Выборка 1'!AI239)+('Выборка 1'!AK239-'Выборка 1'!AJ239)+('Выборка 1'!AL239-'Выборка 1'!AK239))/4000</f>
        <v>0</v>
      </c>
      <c r="I239" s="17">
        <f>(('Выборка 1'!AN239-'Выборка 1'!AM239)+('Выборка 1'!AO239-'Выборка 1'!AN239)+('Выборка 1'!AP239-'Выборка 1'!AO239)+('Выборка 1'!AQ239-'Выборка 1'!AP239))/4000</f>
        <v>0</v>
      </c>
      <c r="J239" s="17">
        <f>((('Выборка 1'!AS239+'Выборка 1'!AX239)-('Выборка 1'!AR239+'Выборка 1'!AW239))+(('Выборка 1'!AT239+'Выборка 1'!AY239)-('Выборка 1'!AS239+'Выборка 1'!AX239))+(('Выборка 1'!AU239+'Выборка 1'!AZ239)-('Выборка 1'!AT239+'Выборка 1'!AY239))+(('Выборка 1'!AV239+'Выборка 1'!BA239)-('Выборка 1'!AU239+'Выборка 1'!AZ239)))/4000</f>
        <v>0</v>
      </c>
      <c r="K239" s="17">
        <f>(('Выборка 1'!BC239-'Выборка 1'!BB239)+('Выборка 1'!BD239-'Выборка 1'!BC239)+('Выборка 1'!BE239-'Выборка 1'!BD239)+('Выборка 1'!BF239-'Выборка 1'!BE239))/4000</f>
        <v>0</v>
      </c>
      <c r="L239" s="17">
        <f t="shared" si="3"/>
        <v>0</v>
      </c>
      <c r="M239" s="17">
        <f>((('Выборка 1'!BH239-'Выборка 1'!BM239)-('Выборка 1'!BG239-'Выборка 1'!BL239))+(('Выборка 1'!BI239-'Выборка 1'!BN239)-('Выборка 1'!BH239-'Выборка 1'!BM239))+(('Выборка 1'!BJ239-'Выборка 1'!BO239)-('Выборка 1'!BI239-'Выборка 1'!BN239))+(('Выборка 1'!BK239-'Выборка 1'!BP239)-('Выборка 1'!BJ239-'Выборка 1'!BO239)))/4000</f>
        <v>0</v>
      </c>
      <c r="N239" s="17">
        <f>(('Выборка 1'!BR239-'Выборка 1'!BQ239)+('Выборка 1'!BS239-'Выборка 1'!BR239)+('Выборка 1'!BT239-'Выборка 1'!BS239)+('Выборка 1'!BU239-'Выборка 1'!BT239))/4000</f>
        <v>0</v>
      </c>
    </row>
    <row r="240" spans="1:14" x14ac:dyDescent="0.25">
      <c r="A240" s="17">
        <v>6</v>
      </c>
      <c r="B240" s="17">
        <f>(('Выборка 1'!E240-'Выборка 1'!D240)+('Выборка 1'!F240-'Выборка 1'!E240)+('Выборка 1'!G240-'Выборка 1'!F240)+('Выборка 1'!H240-'Выборка 1'!G240))/4000</f>
        <v>0</v>
      </c>
      <c r="C240" s="17">
        <f>(('Выборка 1'!J240-'Выборка 1'!I240)+('Выборка 1'!K240-'Выборка 1'!J240)+('Выборка 1'!L240-'Выборка 1'!K240)+('Выборка 1'!M240-'Выборка 1'!L240))/4000</f>
        <v>-628</v>
      </c>
      <c r="D240" s="17">
        <f>(('Выборка 1'!O240-'Выборка 1'!N240)+('Выборка 1'!P240-'Выборка 1'!O240)+('Выборка 1'!Q240-'Выборка 1'!P240)+('Выборка 1'!R240-'Выборка 1'!Q240))/4000</f>
        <v>-2964.25</v>
      </c>
      <c r="E240" s="17">
        <f>(('Выборка 1'!T240-'Выборка 1'!S240)+('Выборка 1'!U240-'Выборка 1'!T240)+('Выборка 1'!V240-'Выборка 1'!U240)+('Выборка 1'!W240-'Выборка 1'!V240))/4000</f>
        <v>-1007.75</v>
      </c>
      <c r="F240" s="17">
        <f>(('Выборка 1'!Y240-'Выборка 1'!X240)+('Выборка 1'!Z240+'Выборка 1'!Y240)+('Выборка 1'!AA240-'Выборка 1'!Z240)+('Выборка 1'!AB240-'Выборка 1'!AA240))/4000</f>
        <v>207.25</v>
      </c>
      <c r="G240" s="17">
        <f>(('Выборка 1'!AD240-'Выборка 1'!AC240)+('Выборка 1'!AE240-'Выборка 1'!AD240)+('Выборка 1'!AF240-'Выборка 1'!AE240)+('Выборка 1'!AG240-'Выборка 1'!AF240))/4000</f>
        <v>0</v>
      </c>
      <c r="H240" s="17">
        <f>(('Выборка 1'!AI240-'Выборка 1'!AH240)+('Выборка 1'!AJ240-'Выборка 1'!AI240)+('Выборка 1'!AK240-'Выборка 1'!AJ240)+('Выборка 1'!AL240-'Выборка 1'!AK240))/4000</f>
        <v>-5656.75</v>
      </c>
      <c r="I240" s="17">
        <f>(('Выборка 1'!AN240-'Выборка 1'!AM240)+('Выборка 1'!AO240-'Выборка 1'!AN240)+('Выборка 1'!AP240-'Выборка 1'!AO240)+('Выборка 1'!AQ240-'Выборка 1'!AP240))/4000</f>
        <v>-4846.75</v>
      </c>
      <c r="J240" s="17">
        <f>((('Выборка 1'!AS240+'Выборка 1'!AX240)-('Выборка 1'!AR240+'Выборка 1'!AW240))+(('Выборка 1'!AT240+'Выборка 1'!AY240)-('Выборка 1'!AS240+'Выборка 1'!AX240))+(('Выборка 1'!AU240+'Выборка 1'!AZ240)-('Выборка 1'!AT240+'Выборка 1'!AY240))+(('Выборка 1'!AV240+'Выборка 1'!BA240)-('Выборка 1'!AU240+'Выборка 1'!AZ240)))/4000</f>
        <v>-3814.75</v>
      </c>
      <c r="K240" s="17">
        <f>(('Выборка 1'!BC240-'Выборка 1'!BB240)+('Выборка 1'!BD240-'Выборка 1'!BC240)+('Выборка 1'!BE240-'Выборка 1'!BD240)+('Выборка 1'!BF240-'Выборка 1'!BE240))/4000</f>
        <v>-901.5</v>
      </c>
      <c r="L240" s="17">
        <f t="shared" si="3"/>
        <v>-130.5</v>
      </c>
      <c r="M240" s="17">
        <f>((('Выборка 1'!BH240-'Выборка 1'!BM240)-('Выборка 1'!BG240-'Выборка 1'!BL240))+(('Выборка 1'!BI240-'Выборка 1'!BN240)-('Выборка 1'!BH240-'Выборка 1'!BM240))+(('Выборка 1'!BJ240-'Выборка 1'!BO240)-('Выборка 1'!BI240-'Выборка 1'!BN240))+(('Выборка 1'!BK240-'Выборка 1'!BP240)-('Выборка 1'!BJ240-'Выборка 1'!BO240)))/4000</f>
        <v>113.75</v>
      </c>
      <c r="N240" s="17">
        <f>(('Выборка 1'!BR240-'Выборка 1'!BQ240)+('Выборка 1'!BS240-'Выборка 1'!BR240)+('Выборка 1'!BT240-'Выборка 1'!BS240)+('Выборка 1'!BU240-'Выборка 1'!BT240))/4000</f>
        <v>-16.75</v>
      </c>
    </row>
    <row r="241" spans="1:14" x14ac:dyDescent="0.25">
      <c r="A241" s="17">
        <v>34</v>
      </c>
      <c r="B241" s="17">
        <f>(('Выборка 1'!E241-'Выборка 1'!D241)+('Выборка 1'!F241-'Выборка 1'!E241)+('Выборка 1'!G241-'Выборка 1'!F241)+('Выборка 1'!H241-'Выборка 1'!G241))/4000</f>
        <v>0</v>
      </c>
      <c r="C241" s="17">
        <f>(('Выборка 1'!J241-'Выборка 1'!I241)+('Выборка 1'!K241-'Выборка 1'!J241)+('Выборка 1'!L241-'Выборка 1'!K241)+('Выборка 1'!M241-'Выборка 1'!L241))/4000</f>
        <v>0</v>
      </c>
      <c r="D241" s="17">
        <f>(('Выборка 1'!O241-'Выборка 1'!N241)+('Выборка 1'!P241-'Выборка 1'!O241)+('Выборка 1'!Q241-'Выборка 1'!P241)+('Выборка 1'!R241-'Выборка 1'!Q241))/4000</f>
        <v>0</v>
      </c>
      <c r="E241" s="17">
        <f>(('Выборка 1'!T241-'Выборка 1'!S241)+('Выборка 1'!U241-'Выборка 1'!T241)+('Выборка 1'!V241-'Выборка 1'!U241)+('Выборка 1'!W241-'Выборка 1'!V241))/4000</f>
        <v>0</v>
      </c>
      <c r="F241" s="17">
        <f>(('Выборка 1'!Y241-'Выборка 1'!X241)+('Выборка 1'!Z241+'Выборка 1'!Y241)+('Выборка 1'!AA241-'Выборка 1'!Z241)+('Выборка 1'!AB241-'Выборка 1'!AA241))/4000</f>
        <v>0</v>
      </c>
      <c r="G241" s="17">
        <f>(('Выборка 1'!AD241-'Выборка 1'!AC241)+('Выборка 1'!AE241-'Выборка 1'!AD241)+('Выборка 1'!AF241-'Выборка 1'!AE241)+('Выборка 1'!AG241-'Выборка 1'!AF241))/4000</f>
        <v>0</v>
      </c>
      <c r="H241" s="17">
        <f>(('Выборка 1'!AI241-'Выборка 1'!AH241)+('Выборка 1'!AJ241-'Выборка 1'!AI241)+('Выборка 1'!AK241-'Выборка 1'!AJ241)+('Выборка 1'!AL241-'Выборка 1'!AK241))/4000</f>
        <v>0</v>
      </c>
      <c r="I241" s="17">
        <f>(('Выборка 1'!AN241-'Выборка 1'!AM241)+('Выборка 1'!AO241-'Выборка 1'!AN241)+('Выборка 1'!AP241-'Выборка 1'!AO241)+('Выборка 1'!AQ241-'Выборка 1'!AP241))/4000</f>
        <v>0</v>
      </c>
      <c r="J241" s="17">
        <f>((('Выборка 1'!AS241+'Выборка 1'!AX241)-('Выборка 1'!AR241+'Выборка 1'!AW241))+(('Выборка 1'!AT241+'Выборка 1'!AY241)-('Выборка 1'!AS241+'Выборка 1'!AX241))+(('Выборка 1'!AU241+'Выборка 1'!AZ241)-('Выборка 1'!AT241+'Выборка 1'!AY241))+(('Выборка 1'!AV241+'Выборка 1'!BA241)-('Выборка 1'!AU241+'Выборка 1'!AZ241)))/4000</f>
        <v>0</v>
      </c>
      <c r="K241" s="17">
        <f>(('Выборка 1'!BC241-'Выборка 1'!BB241)+('Выборка 1'!BD241-'Выборка 1'!BC241)+('Выборка 1'!BE241-'Выборка 1'!BD241)+('Выборка 1'!BF241-'Выборка 1'!BE241))/4000</f>
        <v>0</v>
      </c>
      <c r="L241" s="17">
        <f t="shared" si="3"/>
        <v>0</v>
      </c>
      <c r="M241" s="17">
        <f>((('Выборка 1'!BH241-'Выборка 1'!BM241)-('Выборка 1'!BG241-'Выборка 1'!BL241))+(('Выборка 1'!BI241-'Выборка 1'!BN241)-('Выборка 1'!BH241-'Выборка 1'!BM241))+(('Выборка 1'!BJ241-'Выборка 1'!BO241)-('Выборка 1'!BI241-'Выборка 1'!BN241))+(('Выборка 1'!BK241-'Выборка 1'!BP241)-('Выборка 1'!BJ241-'Выборка 1'!BO241)))/4000</f>
        <v>0</v>
      </c>
      <c r="N241" s="17">
        <f>(('Выборка 1'!BR241-'Выборка 1'!BQ241)+('Выборка 1'!BS241-'Выборка 1'!BR241)+('Выборка 1'!BT241-'Выборка 1'!BS241)+('Выборка 1'!BU241-'Выборка 1'!BT241))/4000</f>
        <v>0</v>
      </c>
    </row>
    <row r="242" spans="1:14" x14ac:dyDescent="0.25">
      <c r="A242" s="17">
        <v>30</v>
      </c>
      <c r="B242" s="17">
        <f>(('Выборка 1'!E242-'Выборка 1'!D242)+('Выборка 1'!F242-'Выборка 1'!E242)+('Выборка 1'!G242-'Выборка 1'!F242)+('Выборка 1'!H242-'Выборка 1'!G242))/4000</f>
        <v>0</v>
      </c>
      <c r="C242" s="17">
        <f>(('Выборка 1'!J242-'Выборка 1'!I242)+('Выборка 1'!K242-'Выборка 1'!J242)+('Выборка 1'!L242-'Выборка 1'!K242)+('Выборка 1'!M242-'Выборка 1'!L242))/4000</f>
        <v>0</v>
      </c>
      <c r="D242" s="17">
        <f>(('Выборка 1'!O242-'Выборка 1'!N242)+('Выборка 1'!P242-'Выборка 1'!O242)+('Выборка 1'!Q242-'Выборка 1'!P242)+('Выборка 1'!R242-'Выборка 1'!Q242))/4000</f>
        <v>0</v>
      </c>
      <c r="E242" s="17">
        <f>(('Выборка 1'!T242-'Выборка 1'!S242)+('Выборка 1'!U242-'Выборка 1'!T242)+('Выборка 1'!V242-'Выборка 1'!U242)+('Выборка 1'!W242-'Выборка 1'!V242))/4000</f>
        <v>0</v>
      </c>
      <c r="F242" s="17">
        <f>(('Выборка 1'!Y242-'Выборка 1'!X242)+('Выборка 1'!Z242+'Выборка 1'!Y242)+('Выборка 1'!AA242-'Выборка 1'!Z242)+('Выборка 1'!AB242-'Выборка 1'!AA242))/4000</f>
        <v>0</v>
      </c>
      <c r="G242" s="17">
        <f>(('Выборка 1'!AD242-'Выборка 1'!AC242)+('Выборка 1'!AE242-'Выборка 1'!AD242)+('Выборка 1'!AF242-'Выборка 1'!AE242)+('Выборка 1'!AG242-'Выборка 1'!AF242))/4000</f>
        <v>0</v>
      </c>
      <c r="H242" s="17">
        <f>(('Выборка 1'!AI242-'Выборка 1'!AH242)+('Выборка 1'!AJ242-'Выборка 1'!AI242)+('Выборка 1'!AK242-'Выборка 1'!AJ242)+('Выборка 1'!AL242-'Выборка 1'!AK242))/4000</f>
        <v>0</v>
      </c>
      <c r="I242" s="17">
        <f>(('Выборка 1'!AN242-'Выборка 1'!AM242)+('Выборка 1'!AO242-'Выборка 1'!AN242)+('Выборка 1'!AP242-'Выборка 1'!AO242)+('Выборка 1'!AQ242-'Выборка 1'!AP242))/4000</f>
        <v>0</v>
      </c>
      <c r="J242" s="17">
        <f>((('Выборка 1'!AS242+'Выборка 1'!AX242)-('Выборка 1'!AR242+'Выборка 1'!AW242))+(('Выборка 1'!AT242+'Выборка 1'!AY242)-('Выборка 1'!AS242+'Выборка 1'!AX242))+(('Выборка 1'!AU242+'Выборка 1'!AZ242)-('Выборка 1'!AT242+'Выборка 1'!AY242))+(('Выборка 1'!AV242+'Выборка 1'!BA242)-('Выборка 1'!AU242+'Выборка 1'!AZ242)))/4000</f>
        <v>0</v>
      </c>
      <c r="K242" s="17">
        <f>(('Выборка 1'!BC242-'Выборка 1'!BB242)+('Выборка 1'!BD242-'Выборка 1'!BC242)+('Выборка 1'!BE242-'Выборка 1'!BD242)+('Выборка 1'!BF242-'Выборка 1'!BE242))/4000</f>
        <v>0</v>
      </c>
      <c r="L242" s="17">
        <f t="shared" si="3"/>
        <v>0</v>
      </c>
      <c r="M242" s="17">
        <f>((('Выборка 1'!BH242-'Выборка 1'!BM242)-('Выборка 1'!BG242-'Выборка 1'!BL242))+(('Выборка 1'!BI242-'Выборка 1'!BN242)-('Выборка 1'!BH242-'Выборка 1'!BM242))+(('Выборка 1'!BJ242-'Выборка 1'!BO242)-('Выборка 1'!BI242-'Выборка 1'!BN242))+(('Выборка 1'!BK242-'Выборка 1'!BP242)-('Выборка 1'!BJ242-'Выборка 1'!BO242)))/4000</f>
        <v>0</v>
      </c>
      <c r="N242" s="17">
        <f>(('Выборка 1'!BR242-'Выборка 1'!BQ242)+('Выборка 1'!BS242-'Выборка 1'!BR242)+('Выборка 1'!BT242-'Выборка 1'!BS242)+('Выборка 1'!BU242-'Выборка 1'!BT242))/4000</f>
        <v>0</v>
      </c>
    </row>
    <row r="243" spans="1:14" x14ac:dyDescent="0.25">
      <c r="A243" s="17">
        <v>32</v>
      </c>
      <c r="B243" s="17">
        <f>(('Выборка 1'!E243-'Выборка 1'!D243)+('Выборка 1'!F243-'Выборка 1'!E243)+('Выборка 1'!G243-'Выборка 1'!F243)+('Выборка 1'!H243-'Выборка 1'!G243))/4000</f>
        <v>0</v>
      </c>
      <c r="C243" s="17">
        <f>(('Выборка 1'!J243-'Выборка 1'!I243)+('Выборка 1'!K243-'Выборка 1'!J243)+('Выборка 1'!L243-'Выборка 1'!K243)+('Выборка 1'!M243-'Выборка 1'!L243))/4000</f>
        <v>0</v>
      </c>
      <c r="D243" s="17">
        <f>(('Выборка 1'!O243-'Выборка 1'!N243)+('Выборка 1'!P243-'Выборка 1'!O243)+('Выборка 1'!Q243-'Выборка 1'!P243)+('Выборка 1'!R243-'Выборка 1'!Q243))/4000</f>
        <v>0</v>
      </c>
      <c r="E243" s="17">
        <f>(('Выборка 1'!T243-'Выборка 1'!S243)+('Выборка 1'!U243-'Выборка 1'!T243)+('Выборка 1'!V243-'Выборка 1'!U243)+('Выборка 1'!W243-'Выборка 1'!V243))/4000</f>
        <v>0</v>
      </c>
      <c r="F243" s="17">
        <f>(('Выборка 1'!Y243-'Выборка 1'!X243)+('Выборка 1'!Z243+'Выборка 1'!Y243)+('Выборка 1'!AA243-'Выборка 1'!Z243)+('Выборка 1'!AB243-'Выборка 1'!AA243))/4000</f>
        <v>0</v>
      </c>
      <c r="G243" s="17">
        <f>(('Выборка 1'!AD243-'Выборка 1'!AC243)+('Выборка 1'!AE243-'Выборка 1'!AD243)+('Выборка 1'!AF243-'Выборка 1'!AE243)+('Выборка 1'!AG243-'Выборка 1'!AF243))/4000</f>
        <v>0</v>
      </c>
      <c r="H243" s="17">
        <f>(('Выборка 1'!AI243-'Выборка 1'!AH243)+('Выборка 1'!AJ243-'Выборка 1'!AI243)+('Выборка 1'!AK243-'Выборка 1'!AJ243)+('Выборка 1'!AL243-'Выборка 1'!AK243))/4000</f>
        <v>0</v>
      </c>
      <c r="I243" s="17">
        <f>(('Выборка 1'!AN243-'Выборка 1'!AM243)+('Выборка 1'!AO243-'Выборка 1'!AN243)+('Выборка 1'!AP243-'Выборка 1'!AO243)+('Выборка 1'!AQ243-'Выборка 1'!AP243))/4000</f>
        <v>0</v>
      </c>
      <c r="J243" s="17">
        <f>((('Выборка 1'!AS243+'Выборка 1'!AX243)-('Выборка 1'!AR243+'Выборка 1'!AW243))+(('Выборка 1'!AT243+'Выборка 1'!AY243)-('Выборка 1'!AS243+'Выборка 1'!AX243))+(('Выборка 1'!AU243+'Выборка 1'!AZ243)-('Выборка 1'!AT243+'Выборка 1'!AY243))+(('Выборка 1'!AV243+'Выборка 1'!BA243)-('Выборка 1'!AU243+'Выборка 1'!AZ243)))/4000</f>
        <v>0</v>
      </c>
      <c r="K243" s="17">
        <f>(('Выборка 1'!BC243-'Выборка 1'!BB243)+('Выборка 1'!BD243-'Выборка 1'!BC243)+('Выборка 1'!BE243-'Выборка 1'!BD243)+('Выборка 1'!BF243-'Выборка 1'!BE243))/4000</f>
        <v>0</v>
      </c>
      <c r="L243" s="17">
        <f t="shared" si="3"/>
        <v>0</v>
      </c>
      <c r="M243" s="17">
        <f>((('Выборка 1'!BH243-'Выборка 1'!BM243)-('Выборка 1'!BG243-'Выборка 1'!BL243))+(('Выборка 1'!BI243-'Выборка 1'!BN243)-('Выборка 1'!BH243-'Выборка 1'!BM243))+(('Выборка 1'!BJ243-'Выборка 1'!BO243)-('Выборка 1'!BI243-'Выборка 1'!BN243))+(('Выборка 1'!BK243-'Выборка 1'!BP243)-('Выборка 1'!BJ243-'Выборка 1'!BO243)))/4000</f>
        <v>0</v>
      </c>
      <c r="N243" s="17">
        <f>(('Выборка 1'!BR243-'Выборка 1'!BQ243)+('Выборка 1'!BS243-'Выборка 1'!BR243)+('Выборка 1'!BT243-'Выборка 1'!BS243)+('Выборка 1'!BU243-'Выборка 1'!BT243))/4000</f>
        <v>0</v>
      </c>
    </row>
    <row r="244" spans="1:14" x14ac:dyDescent="0.25">
      <c r="A244" s="17">
        <v>31</v>
      </c>
      <c r="B244" s="17">
        <f>(('Выборка 1'!E244-'Выборка 1'!D244)+('Выборка 1'!F244-'Выборка 1'!E244)+('Выборка 1'!G244-'Выборка 1'!F244)+('Выборка 1'!H244-'Выборка 1'!G244))/4000</f>
        <v>0</v>
      </c>
      <c r="C244" s="17">
        <f>(('Выборка 1'!J244-'Выборка 1'!I244)+('Выборка 1'!K244-'Выборка 1'!J244)+('Выборка 1'!L244-'Выборка 1'!K244)+('Выборка 1'!M244-'Выборка 1'!L244))/4000</f>
        <v>0</v>
      </c>
      <c r="D244" s="17">
        <f>(('Выборка 1'!O244-'Выборка 1'!N244)+('Выборка 1'!P244-'Выборка 1'!O244)+('Выборка 1'!Q244-'Выборка 1'!P244)+('Выборка 1'!R244-'Выборка 1'!Q244))/4000</f>
        <v>0</v>
      </c>
      <c r="E244" s="17">
        <f>(('Выборка 1'!T244-'Выборка 1'!S244)+('Выборка 1'!U244-'Выборка 1'!T244)+('Выборка 1'!V244-'Выборка 1'!U244)+('Выборка 1'!W244-'Выборка 1'!V244))/4000</f>
        <v>0</v>
      </c>
      <c r="F244" s="17">
        <f>(('Выборка 1'!Y244-'Выборка 1'!X244)+('Выборка 1'!Z244+'Выборка 1'!Y244)+('Выборка 1'!AA244-'Выборка 1'!Z244)+('Выборка 1'!AB244-'Выборка 1'!AA244))/4000</f>
        <v>0</v>
      </c>
      <c r="G244" s="17">
        <f>(('Выборка 1'!AD244-'Выборка 1'!AC244)+('Выборка 1'!AE244-'Выборка 1'!AD244)+('Выборка 1'!AF244-'Выборка 1'!AE244)+('Выборка 1'!AG244-'Выборка 1'!AF244))/4000</f>
        <v>0</v>
      </c>
      <c r="H244" s="17">
        <f>(('Выборка 1'!AI244-'Выборка 1'!AH244)+('Выборка 1'!AJ244-'Выборка 1'!AI244)+('Выборка 1'!AK244-'Выборка 1'!AJ244)+('Выборка 1'!AL244-'Выборка 1'!AK244))/4000</f>
        <v>0</v>
      </c>
      <c r="I244" s="17">
        <f>(('Выборка 1'!AN244-'Выборка 1'!AM244)+('Выборка 1'!AO244-'Выборка 1'!AN244)+('Выборка 1'!AP244-'Выборка 1'!AO244)+('Выборка 1'!AQ244-'Выборка 1'!AP244))/4000</f>
        <v>0</v>
      </c>
      <c r="J244" s="17">
        <f>((('Выборка 1'!AS244+'Выборка 1'!AX244)-('Выборка 1'!AR244+'Выборка 1'!AW244))+(('Выборка 1'!AT244+'Выборка 1'!AY244)-('Выборка 1'!AS244+'Выборка 1'!AX244))+(('Выборка 1'!AU244+'Выборка 1'!AZ244)-('Выборка 1'!AT244+'Выборка 1'!AY244))+(('Выборка 1'!AV244+'Выборка 1'!BA244)-('Выборка 1'!AU244+'Выборка 1'!AZ244)))/4000</f>
        <v>0</v>
      </c>
      <c r="K244" s="17">
        <f>(('Выборка 1'!BC244-'Выборка 1'!BB244)+('Выборка 1'!BD244-'Выборка 1'!BC244)+('Выборка 1'!BE244-'Выборка 1'!BD244)+('Выборка 1'!BF244-'Выборка 1'!BE244))/4000</f>
        <v>0</v>
      </c>
      <c r="L244" s="17">
        <f t="shared" si="3"/>
        <v>0</v>
      </c>
      <c r="M244" s="17">
        <f>((('Выборка 1'!BH244-'Выборка 1'!BM244)-('Выборка 1'!BG244-'Выборка 1'!BL244))+(('Выборка 1'!BI244-'Выборка 1'!BN244)-('Выборка 1'!BH244-'Выборка 1'!BM244))+(('Выборка 1'!BJ244-'Выборка 1'!BO244)-('Выборка 1'!BI244-'Выборка 1'!BN244))+(('Выборка 1'!BK244-'Выборка 1'!BP244)-('Выборка 1'!BJ244-'Выборка 1'!BO244)))/4000</f>
        <v>0</v>
      </c>
      <c r="N244" s="17">
        <f>(('Выборка 1'!BR244-'Выборка 1'!BQ244)+('Выборка 1'!BS244-'Выборка 1'!BR244)+('Выборка 1'!BT244-'Выборка 1'!BS244)+('Выборка 1'!BU244-'Выборка 1'!BT244))/4000</f>
        <v>0</v>
      </c>
    </row>
    <row r="245" spans="1:14" x14ac:dyDescent="0.25">
      <c r="A245" s="17">
        <v>35</v>
      </c>
      <c r="B245" s="17">
        <f>(('Выборка 1'!E245-'Выборка 1'!D245)+('Выборка 1'!F245-'Выборка 1'!E245)+('Выборка 1'!G245-'Выборка 1'!F245)+('Выборка 1'!H245-'Выборка 1'!G245))/4000</f>
        <v>0</v>
      </c>
      <c r="C245" s="17">
        <f>(('Выборка 1'!J245-'Выборка 1'!I245)+('Выборка 1'!K245-'Выборка 1'!J245)+('Выборка 1'!L245-'Выборка 1'!K245)+('Выборка 1'!M245-'Выборка 1'!L245))/4000</f>
        <v>0</v>
      </c>
      <c r="D245" s="17">
        <f>(('Выборка 1'!O245-'Выборка 1'!N245)+('Выборка 1'!P245-'Выборка 1'!O245)+('Выборка 1'!Q245-'Выборка 1'!P245)+('Выборка 1'!R245-'Выборка 1'!Q245))/4000</f>
        <v>0</v>
      </c>
      <c r="E245" s="17">
        <f>(('Выборка 1'!T245-'Выборка 1'!S245)+('Выборка 1'!U245-'Выборка 1'!T245)+('Выборка 1'!V245-'Выборка 1'!U245)+('Выборка 1'!W245-'Выборка 1'!V245))/4000</f>
        <v>0</v>
      </c>
      <c r="F245" s="17">
        <f>(('Выборка 1'!Y245-'Выборка 1'!X245)+('Выборка 1'!Z245+'Выборка 1'!Y245)+('Выборка 1'!AA245-'Выборка 1'!Z245)+('Выборка 1'!AB245-'Выборка 1'!AA245))/4000</f>
        <v>0</v>
      </c>
      <c r="G245" s="17">
        <f>(('Выборка 1'!AD245-'Выборка 1'!AC245)+('Выборка 1'!AE245-'Выборка 1'!AD245)+('Выборка 1'!AF245-'Выборка 1'!AE245)+('Выборка 1'!AG245-'Выборка 1'!AF245))/4000</f>
        <v>0</v>
      </c>
      <c r="H245" s="17">
        <f>(('Выборка 1'!AI245-'Выборка 1'!AH245)+('Выборка 1'!AJ245-'Выборка 1'!AI245)+('Выборка 1'!AK245-'Выборка 1'!AJ245)+('Выборка 1'!AL245-'Выборка 1'!AK245))/4000</f>
        <v>0</v>
      </c>
      <c r="I245" s="17">
        <f>(('Выборка 1'!AN245-'Выборка 1'!AM245)+('Выборка 1'!AO245-'Выборка 1'!AN245)+('Выборка 1'!AP245-'Выборка 1'!AO245)+('Выборка 1'!AQ245-'Выборка 1'!AP245))/4000</f>
        <v>0</v>
      </c>
      <c r="J245" s="17">
        <f>((('Выборка 1'!AS245+'Выборка 1'!AX245)-('Выборка 1'!AR245+'Выборка 1'!AW245))+(('Выборка 1'!AT245+'Выборка 1'!AY245)-('Выборка 1'!AS245+'Выборка 1'!AX245))+(('Выборка 1'!AU245+'Выборка 1'!AZ245)-('Выборка 1'!AT245+'Выборка 1'!AY245))+(('Выборка 1'!AV245+'Выборка 1'!BA245)-('Выборка 1'!AU245+'Выборка 1'!AZ245)))/4000</f>
        <v>0</v>
      </c>
      <c r="K245" s="17">
        <f>(('Выборка 1'!BC245-'Выборка 1'!BB245)+('Выборка 1'!BD245-'Выборка 1'!BC245)+('Выборка 1'!BE245-'Выборка 1'!BD245)+('Выборка 1'!BF245-'Выборка 1'!BE245))/4000</f>
        <v>0</v>
      </c>
      <c r="L245" s="17">
        <f t="shared" si="3"/>
        <v>0</v>
      </c>
      <c r="M245" s="17">
        <f>((('Выборка 1'!BH245-'Выборка 1'!BM245)-('Выборка 1'!BG245-'Выборка 1'!BL245))+(('Выборка 1'!BI245-'Выборка 1'!BN245)-('Выборка 1'!BH245-'Выборка 1'!BM245))+(('Выборка 1'!BJ245-'Выборка 1'!BO245)-('Выборка 1'!BI245-'Выборка 1'!BN245))+(('Выборка 1'!BK245-'Выборка 1'!BP245)-('Выборка 1'!BJ245-'Выборка 1'!BO245)))/4000</f>
        <v>0</v>
      </c>
      <c r="N245" s="17">
        <f>(('Выборка 1'!BR245-'Выборка 1'!BQ245)+('Выборка 1'!BS245-'Выборка 1'!BR245)+('Выборка 1'!BT245-'Выборка 1'!BS245)+('Выборка 1'!BU245-'Выборка 1'!BT245))/4000</f>
        <v>0</v>
      </c>
    </row>
    <row r="246" spans="1:14" x14ac:dyDescent="0.25">
      <c r="A246" s="17">
        <v>31</v>
      </c>
      <c r="B246" s="17">
        <f>(('Выборка 1'!E246-'Выборка 1'!D246)+('Выборка 1'!F246-'Выборка 1'!E246)+('Выборка 1'!G246-'Выборка 1'!F246)+('Выборка 1'!H246-'Выборка 1'!G246))/4000</f>
        <v>0</v>
      </c>
      <c r="C246" s="17">
        <f>(('Выборка 1'!J246-'Выборка 1'!I246)+('Выборка 1'!K246-'Выборка 1'!J246)+('Выборка 1'!L246-'Выборка 1'!K246)+('Выборка 1'!M246-'Выборка 1'!L246))/4000</f>
        <v>0</v>
      </c>
      <c r="D246" s="17">
        <f>(('Выборка 1'!O246-'Выборка 1'!N246)+('Выборка 1'!P246-'Выборка 1'!O246)+('Выборка 1'!Q246-'Выборка 1'!P246)+('Выборка 1'!R246-'Выборка 1'!Q246))/4000</f>
        <v>0</v>
      </c>
      <c r="E246" s="17">
        <f>(('Выборка 1'!T246-'Выборка 1'!S246)+('Выборка 1'!U246-'Выборка 1'!T246)+('Выборка 1'!V246-'Выборка 1'!U246)+('Выборка 1'!W246-'Выборка 1'!V246))/4000</f>
        <v>0</v>
      </c>
      <c r="F246" s="17">
        <f>(('Выборка 1'!Y246-'Выборка 1'!X246)+('Выборка 1'!Z246+'Выборка 1'!Y246)+('Выборка 1'!AA246-'Выборка 1'!Z246)+('Выборка 1'!AB246-'Выборка 1'!AA246))/4000</f>
        <v>0</v>
      </c>
      <c r="G246" s="17">
        <f>(('Выборка 1'!AD246-'Выборка 1'!AC246)+('Выборка 1'!AE246-'Выборка 1'!AD246)+('Выборка 1'!AF246-'Выборка 1'!AE246)+('Выборка 1'!AG246-'Выборка 1'!AF246))/4000</f>
        <v>0</v>
      </c>
      <c r="H246" s="17">
        <f>(('Выборка 1'!AI246-'Выборка 1'!AH246)+('Выборка 1'!AJ246-'Выборка 1'!AI246)+('Выборка 1'!AK246-'Выборка 1'!AJ246)+('Выборка 1'!AL246-'Выборка 1'!AK246))/4000</f>
        <v>0</v>
      </c>
      <c r="I246" s="17">
        <f>(('Выборка 1'!AN246-'Выборка 1'!AM246)+('Выборка 1'!AO246-'Выборка 1'!AN246)+('Выборка 1'!AP246-'Выборка 1'!AO246)+('Выборка 1'!AQ246-'Выборка 1'!AP246))/4000</f>
        <v>0</v>
      </c>
      <c r="J246" s="17">
        <f>((('Выборка 1'!AS246+'Выборка 1'!AX246)-('Выборка 1'!AR246+'Выборка 1'!AW246))+(('Выборка 1'!AT246+'Выборка 1'!AY246)-('Выборка 1'!AS246+'Выборка 1'!AX246))+(('Выборка 1'!AU246+'Выборка 1'!AZ246)-('Выборка 1'!AT246+'Выборка 1'!AY246))+(('Выборка 1'!AV246+'Выборка 1'!BA246)-('Выборка 1'!AU246+'Выборка 1'!AZ246)))/4000</f>
        <v>0</v>
      </c>
      <c r="K246" s="17">
        <f>(('Выборка 1'!BC246-'Выборка 1'!BB246)+('Выборка 1'!BD246-'Выборка 1'!BC246)+('Выборка 1'!BE246-'Выборка 1'!BD246)+('Выборка 1'!BF246-'Выборка 1'!BE246))/4000</f>
        <v>0</v>
      </c>
      <c r="L246" s="17">
        <f t="shared" si="3"/>
        <v>0</v>
      </c>
      <c r="M246" s="17">
        <f>((('Выборка 1'!BH246-'Выборка 1'!BM246)-('Выборка 1'!BG246-'Выборка 1'!BL246))+(('Выборка 1'!BI246-'Выборка 1'!BN246)-('Выборка 1'!BH246-'Выборка 1'!BM246))+(('Выборка 1'!BJ246-'Выборка 1'!BO246)-('Выборка 1'!BI246-'Выборка 1'!BN246))+(('Выборка 1'!BK246-'Выборка 1'!BP246)-('Выборка 1'!BJ246-'Выборка 1'!BO246)))/4000</f>
        <v>0</v>
      </c>
      <c r="N246" s="17">
        <f>(('Выборка 1'!BR246-'Выборка 1'!BQ246)+('Выборка 1'!BS246-'Выборка 1'!BR246)+('Выборка 1'!BT246-'Выборка 1'!BS246)+('Выборка 1'!BU246-'Выборка 1'!BT246))/4000</f>
        <v>0</v>
      </c>
    </row>
    <row r="247" spans="1:14" x14ac:dyDescent="0.25">
      <c r="A247" s="17">
        <v>34</v>
      </c>
      <c r="B247" s="17">
        <f>(('Выборка 1'!E247-'Выборка 1'!D247)+('Выборка 1'!F247-'Выборка 1'!E247)+('Выборка 1'!G247-'Выборка 1'!F247)+('Выборка 1'!H247-'Выборка 1'!G247))/4000</f>
        <v>0</v>
      </c>
      <c r="C247" s="17">
        <f>(('Выборка 1'!J247-'Выборка 1'!I247)+('Выборка 1'!K247-'Выборка 1'!J247)+('Выборка 1'!L247-'Выборка 1'!K247)+('Выборка 1'!M247-'Выборка 1'!L247))/4000</f>
        <v>0</v>
      </c>
      <c r="D247" s="17">
        <f>(('Выборка 1'!O247-'Выборка 1'!N247)+('Выборка 1'!P247-'Выборка 1'!O247)+('Выборка 1'!Q247-'Выборка 1'!P247)+('Выборка 1'!R247-'Выборка 1'!Q247))/4000</f>
        <v>0</v>
      </c>
      <c r="E247" s="17">
        <f>(('Выборка 1'!T247-'Выборка 1'!S247)+('Выборка 1'!U247-'Выборка 1'!T247)+('Выборка 1'!V247-'Выборка 1'!U247)+('Выборка 1'!W247-'Выборка 1'!V247))/4000</f>
        <v>0</v>
      </c>
      <c r="F247" s="17">
        <f>(('Выборка 1'!Y247-'Выборка 1'!X247)+('Выборка 1'!Z247+'Выборка 1'!Y247)+('Выборка 1'!AA247-'Выборка 1'!Z247)+('Выборка 1'!AB247-'Выборка 1'!AA247))/4000</f>
        <v>0</v>
      </c>
      <c r="G247" s="17">
        <f>(('Выборка 1'!AD247-'Выборка 1'!AC247)+('Выборка 1'!AE247-'Выборка 1'!AD247)+('Выборка 1'!AF247-'Выборка 1'!AE247)+('Выборка 1'!AG247-'Выборка 1'!AF247))/4000</f>
        <v>0</v>
      </c>
      <c r="H247" s="17">
        <f>(('Выборка 1'!AI247-'Выборка 1'!AH247)+('Выборка 1'!AJ247-'Выборка 1'!AI247)+('Выборка 1'!AK247-'Выборка 1'!AJ247)+('Выборка 1'!AL247-'Выборка 1'!AK247))/4000</f>
        <v>0</v>
      </c>
      <c r="I247" s="17">
        <f>(('Выборка 1'!AN247-'Выборка 1'!AM247)+('Выборка 1'!AO247-'Выборка 1'!AN247)+('Выборка 1'!AP247-'Выборка 1'!AO247)+('Выборка 1'!AQ247-'Выборка 1'!AP247))/4000</f>
        <v>0</v>
      </c>
      <c r="J247" s="17">
        <f>((('Выборка 1'!AS247+'Выборка 1'!AX247)-('Выборка 1'!AR247+'Выборка 1'!AW247))+(('Выборка 1'!AT247+'Выборка 1'!AY247)-('Выборка 1'!AS247+'Выборка 1'!AX247))+(('Выборка 1'!AU247+'Выборка 1'!AZ247)-('Выборка 1'!AT247+'Выборка 1'!AY247))+(('Выборка 1'!AV247+'Выборка 1'!BA247)-('Выборка 1'!AU247+'Выборка 1'!AZ247)))/4000</f>
        <v>0</v>
      </c>
      <c r="K247" s="17">
        <f>(('Выборка 1'!BC247-'Выборка 1'!BB247)+('Выборка 1'!BD247-'Выборка 1'!BC247)+('Выборка 1'!BE247-'Выборка 1'!BD247)+('Выборка 1'!BF247-'Выборка 1'!BE247))/4000</f>
        <v>0</v>
      </c>
      <c r="L247" s="17">
        <f t="shared" si="3"/>
        <v>0</v>
      </c>
      <c r="M247" s="17">
        <f>((('Выборка 1'!BH247-'Выборка 1'!BM247)-('Выборка 1'!BG247-'Выборка 1'!BL247))+(('Выборка 1'!BI247-'Выборка 1'!BN247)-('Выборка 1'!BH247-'Выборка 1'!BM247))+(('Выборка 1'!BJ247-'Выборка 1'!BO247)-('Выборка 1'!BI247-'Выборка 1'!BN247))+(('Выборка 1'!BK247-'Выборка 1'!BP247)-('Выборка 1'!BJ247-'Выборка 1'!BO247)))/4000</f>
        <v>0</v>
      </c>
      <c r="N247" s="17">
        <f>(('Выборка 1'!BR247-'Выборка 1'!BQ247)+('Выборка 1'!BS247-'Выборка 1'!BR247)+('Выборка 1'!BT247-'Выборка 1'!BS247)+('Выборка 1'!BU247-'Выборка 1'!BT247))/4000</f>
        <v>0</v>
      </c>
    </row>
    <row r="248" spans="1:14" x14ac:dyDescent="0.25">
      <c r="A248" s="17">
        <v>33</v>
      </c>
      <c r="B248" s="17">
        <f>(('Выборка 1'!E248-'Выборка 1'!D248)+('Выборка 1'!F248-'Выборка 1'!E248)+('Выборка 1'!G248-'Выборка 1'!F248)+('Выборка 1'!H248-'Выборка 1'!G248))/4000</f>
        <v>0</v>
      </c>
      <c r="C248" s="17">
        <f>(('Выборка 1'!J248-'Выборка 1'!I248)+('Выборка 1'!K248-'Выборка 1'!J248)+('Выборка 1'!L248-'Выборка 1'!K248)+('Выборка 1'!M248-'Выборка 1'!L248))/4000</f>
        <v>0</v>
      </c>
      <c r="D248" s="17">
        <f>(('Выборка 1'!O248-'Выборка 1'!N248)+('Выборка 1'!P248-'Выборка 1'!O248)+('Выборка 1'!Q248-'Выборка 1'!P248)+('Выборка 1'!R248-'Выборка 1'!Q248))/4000</f>
        <v>0</v>
      </c>
      <c r="E248" s="17">
        <f>(('Выборка 1'!T248-'Выборка 1'!S248)+('Выборка 1'!U248-'Выборка 1'!T248)+('Выборка 1'!V248-'Выборка 1'!U248)+('Выборка 1'!W248-'Выборка 1'!V248))/4000</f>
        <v>0</v>
      </c>
      <c r="F248" s="17">
        <f>(('Выборка 1'!Y248-'Выборка 1'!X248)+('Выборка 1'!Z248+'Выборка 1'!Y248)+('Выборка 1'!AA248-'Выборка 1'!Z248)+('Выборка 1'!AB248-'Выборка 1'!AA248))/4000</f>
        <v>0</v>
      </c>
      <c r="G248" s="17">
        <f>(('Выборка 1'!AD248-'Выборка 1'!AC248)+('Выборка 1'!AE248-'Выборка 1'!AD248)+('Выборка 1'!AF248-'Выборка 1'!AE248)+('Выборка 1'!AG248-'Выборка 1'!AF248))/4000</f>
        <v>0</v>
      </c>
      <c r="H248" s="17">
        <f>(('Выборка 1'!AI248-'Выборка 1'!AH248)+('Выборка 1'!AJ248-'Выборка 1'!AI248)+('Выборка 1'!AK248-'Выборка 1'!AJ248)+('Выборка 1'!AL248-'Выборка 1'!AK248))/4000</f>
        <v>0</v>
      </c>
      <c r="I248" s="17">
        <f>(('Выборка 1'!AN248-'Выборка 1'!AM248)+('Выборка 1'!AO248-'Выборка 1'!AN248)+('Выборка 1'!AP248-'Выборка 1'!AO248)+('Выборка 1'!AQ248-'Выборка 1'!AP248))/4000</f>
        <v>0</v>
      </c>
      <c r="J248" s="17">
        <f>((('Выборка 1'!AS248+'Выборка 1'!AX248)-('Выборка 1'!AR248+'Выборка 1'!AW248))+(('Выборка 1'!AT248+'Выборка 1'!AY248)-('Выборка 1'!AS248+'Выборка 1'!AX248))+(('Выборка 1'!AU248+'Выборка 1'!AZ248)-('Выборка 1'!AT248+'Выборка 1'!AY248))+(('Выборка 1'!AV248+'Выборка 1'!BA248)-('Выборка 1'!AU248+'Выборка 1'!AZ248)))/4000</f>
        <v>0</v>
      </c>
      <c r="K248" s="17">
        <f>(('Выборка 1'!BC248-'Выборка 1'!BB248)+('Выборка 1'!BD248-'Выборка 1'!BC248)+('Выборка 1'!BE248-'Выборка 1'!BD248)+('Выборка 1'!BF248-'Выборка 1'!BE248))/4000</f>
        <v>0</v>
      </c>
      <c r="L248" s="17">
        <f t="shared" si="3"/>
        <v>0</v>
      </c>
      <c r="M248" s="17">
        <f>((('Выборка 1'!BH248-'Выборка 1'!BM248)-('Выборка 1'!BG248-'Выборка 1'!BL248))+(('Выборка 1'!BI248-'Выборка 1'!BN248)-('Выборка 1'!BH248-'Выборка 1'!BM248))+(('Выборка 1'!BJ248-'Выборка 1'!BO248)-('Выборка 1'!BI248-'Выборка 1'!BN248))+(('Выборка 1'!BK248-'Выборка 1'!BP248)-('Выборка 1'!BJ248-'Выборка 1'!BO248)))/4000</f>
        <v>0</v>
      </c>
      <c r="N248" s="17">
        <f>(('Выборка 1'!BR248-'Выборка 1'!BQ248)+('Выборка 1'!BS248-'Выборка 1'!BR248)+('Выборка 1'!BT248-'Выборка 1'!BS248)+('Выборка 1'!BU248-'Выборка 1'!BT248))/4000</f>
        <v>0</v>
      </c>
    </row>
    <row r="249" spans="1:14" x14ac:dyDescent="0.25">
      <c r="A249" s="17">
        <v>31</v>
      </c>
      <c r="B249" s="17">
        <f>(('Выборка 1'!E249-'Выборка 1'!D249)+('Выборка 1'!F249-'Выборка 1'!E249)+('Выборка 1'!G249-'Выборка 1'!F249)+('Выборка 1'!H249-'Выборка 1'!G249))/4000</f>
        <v>-837.75</v>
      </c>
      <c r="C249" s="17">
        <f>(('Выборка 1'!J249-'Выборка 1'!I249)+('Выборка 1'!K249-'Выборка 1'!J249)+('Выборка 1'!L249-'Выборка 1'!K249)+('Выборка 1'!M249-'Выборка 1'!L249))/4000</f>
        <v>0</v>
      </c>
      <c r="D249" s="17">
        <f>(('Выборка 1'!O249-'Выборка 1'!N249)+('Выборка 1'!P249-'Выборка 1'!O249)+('Выборка 1'!Q249-'Выборка 1'!P249)+('Выборка 1'!R249-'Выборка 1'!Q249))/4000</f>
        <v>-3606.75</v>
      </c>
      <c r="E249" s="17">
        <f>(('Выборка 1'!T249-'Выборка 1'!S249)+('Выборка 1'!U249-'Выборка 1'!T249)+('Выборка 1'!V249-'Выборка 1'!U249)+('Выборка 1'!W249-'Выборка 1'!V249))/4000</f>
        <v>42123.25</v>
      </c>
      <c r="F249" s="17">
        <f>(('Выборка 1'!Y249-'Выборка 1'!X249)+('Выборка 1'!Z249+'Выборка 1'!Y249)+('Выборка 1'!AA249-'Выборка 1'!Z249)+('Выборка 1'!AB249-'Выборка 1'!AA249))/4000</f>
        <v>15584.25</v>
      </c>
      <c r="G249" s="17">
        <f>(('Выборка 1'!AD249-'Выборка 1'!AC249)+('Выборка 1'!AE249-'Выборка 1'!AD249)+('Выборка 1'!AF249-'Выборка 1'!AE249)+('Выборка 1'!AG249-'Выборка 1'!AF249))/4000</f>
        <v>0</v>
      </c>
      <c r="H249" s="17">
        <f>(('Выборка 1'!AI249-'Выборка 1'!AH249)+('Выборка 1'!AJ249-'Выборка 1'!AI249)+('Выборка 1'!AK249-'Выборка 1'!AJ249)+('Выборка 1'!AL249-'Выборка 1'!AK249))/4000</f>
        <v>22880.25</v>
      </c>
      <c r="I249" s="17">
        <f>(('Выборка 1'!AN249-'Выборка 1'!AM249)+('Выборка 1'!AO249-'Выборка 1'!AN249)+('Выборка 1'!AP249-'Выборка 1'!AO249)+('Выборка 1'!AQ249-'Выборка 1'!AP249))/4000</f>
        <v>4071.5</v>
      </c>
      <c r="J249" s="17">
        <f>((('Выборка 1'!AS249+'Выборка 1'!AX249)-('Выборка 1'!AR249+'Выборка 1'!AW249))+(('Выборка 1'!AT249+'Выборка 1'!AY249)-('Выборка 1'!AS249+'Выборка 1'!AX249))+(('Выборка 1'!AU249+'Выборка 1'!AZ249)-('Выборка 1'!AT249+'Выборка 1'!AY249))+(('Выборка 1'!AV249+'Выборка 1'!BA249)-('Выборка 1'!AU249+'Выборка 1'!AZ249)))/4000</f>
        <v>1294.25</v>
      </c>
      <c r="K249" s="17">
        <f>(('Выборка 1'!BC249-'Выборка 1'!BB249)+('Выборка 1'!BD249-'Выборка 1'!BC249)+('Выборка 1'!BE249-'Выборка 1'!BD249)+('Выборка 1'!BF249-'Выборка 1'!BE249))/4000</f>
        <v>-373.5</v>
      </c>
      <c r="L249" s="17">
        <f t="shared" si="3"/>
        <v>3150.75</v>
      </c>
      <c r="M249" s="17">
        <f>((('Выборка 1'!BH249-'Выборка 1'!BM249)-('Выборка 1'!BG249-'Выборка 1'!BL249))+(('Выборка 1'!BI249-'Выборка 1'!BN249)-('Выборка 1'!BH249-'Выборка 1'!BM249))+(('Выборка 1'!BJ249-'Выборка 1'!BO249)-('Выборка 1'!BI249-'Выборка 1'!BN249))+(('Выборка 1'!BK249-'Выборка 1'!BP249)-('Выборка 1'!BJ249-'Выборка 1'!BO249)))/4000</f>
        <v>4814.25</v>
      </c>
      <c r="N249" s="17">
        <f>(('Выборка 1'!BR249-'Выборка 1'!BQ249)+('Выборка 1'!BS249-'Выборка 1'!BR249)+('Выборка 1'!BT249-'Выборка 1'!BS249)+('Выборка 1'!BU249-'Выборка 1'!BT249))/4000</f>
        <v>5407.25</v>
      </c>
    </row>
    <row r="250" spans="1:14" x14ac:dyDescent="0.25">
      <c r="A250" s="17">
        <v>24</v>
      </c>
      <c r="B250" s="17">
        <f>(('Выборка 1'!E250-'Выборка 1'!D250)+('Выборка 1'!F250-'Выборка 1'!E250)+('Выборка 1'!G250-'Выборка 1'!F250)+('Выборка 1'!H250-'Выборка 1'!G250))/4000</f>
        <v>-724.5</v>
      </c>
      <c r="C250" s="17">
        <f>(('Выборка 1'!J250-'Выборка 1'!I250)+('Выборка 1'!K250-'Выборка 1'!J250)+('Выборка 1'!L250-'Выборка 1'!K250)+('Выборка 1'!M250-'Выборка 1'!L250))/4000</f>
        <v>0</v>
      </c>
      <c r="D250" s="17">
        <f>(('Выборка 1'!O250-'Выборка 1'!N250)+('Выборка 1'!P250-'Выборка 1'!O250)+('Выборка 1'!Q250-'Выборка 1'!P250)+('Выборка 1'!R250-'Выборка 1'!Q250))/4000</f>
        <v>-282.75</v>
      </c>
      <c r="E250" s="17">
        <f>(('Выборка 1'!T250-'Выборка 1'!S250)+('Выборка 1'!U250-'Выборка 1'!T250)+('Выборка 1'!V250-'Выборка 1'!U250)+('Выборка 1'!W250-'Выборка 1'!V250))/4000</f>
        <v>105.5</v>
      </c>
      <c r="F250" s="17">
        <f>(('Выборка 1'!Y250-'Выборка 1'!X250)+('Выборка 1'!Z250+'Выборка 1'!Y250)+('Выборка 1'!AA250-'Выборка 1'!Z250)+('Выборка 1'!AB250-'Выборка 1'!AA250))/4000</f>
        <v>0</v>
      </c>
      <c r="G250" s="17">
        <f>(('Выборка 1'!AD250-'Выборка 1'!AC250)+('Выборка 1'!AE250-'Выборка 1'!AD250)+('Выборка 1'!AF250-'Выборка 1'!AE250)+('Выборка 1'!AG250-'Выборка 1'!AF250))/4000</f>
        <v>0</v>
      </c>
      <c r="H250" s="17">
        <f>(('Выборка 1'!AI250-'Выборка 1'!AH250)+('Выборка 1'!AJ250-'Выборка 1'!AI250)+('Выборка 1'!AK250-'Выборка 1'!AJ250)+('Выборка 1'!AL250-'Выборка 1'!AK250))/4000</f>
        <v>615</v>
      </c>
      <c r="I250" s="17">
        <f>(('Выборка 1'!AN250-'Выборка 1'!AM250)+('Выборка 1'!AO250-'Выборка 1'!AN250)+('Выборка 1'!AP250-'Выборка 1'!AO250)+('Выборка 1'!AQ250-'Выборка 1'!AP250))/4000</f>
        <v>0</v>
      </c>
      <c r="J250" s="17">
        <f>((('Выборка 1'!AS250+'Выборка 1'!AX250)-('Выборка 1'!AR250+'Выборка 1'!AW250))+(('Выборка 1'!AT250+'Выборка 1'!AY250)-('Выборка 1'!AS250+'Выборка 1'!AX250))+(('Выборка 1'!AU250+'Выборка 1'!AZ250)-('Выборка 1'!AT250+'Выборка 1'!AY250))+(('Выборка 1'!AV250+'Выборка 1'!BA250)-('Выборка 1'!AU250+'Выборка 1'!AZ250)))/4000</f>
        <v>247</v>
      </c>
      <c r="K250" s="17">
        <f>(('Выборка 1'!BC250-'Выборка 1'!BB250)+('Выборка 1'!BD250-'Выборка 1'!BC250)+('Выборка 1'!BE250-'Выборка 1'!BD250)+('Выборка 1'!BF250-'Выборка 1'!BE250))/4000</f>
        <v>0</v>
      </c>
      <c r="L250" s="17">
        <f t="shared" si="3"/>
        <v>-247</v>
      </c>
      <c r="M250" s="17">
        <f>((('Выборка 1'!BH250-'Выборка 1'!BM250)-('Выборка 1'!BG250-'Выборка 1'!BL250))+(('Выборка 1'!BI250-'Выборка 1'!BN250)-('Выборка 1'!BH250-'Выборка 1'!BM250))+(('Выборка 1'!BJ250-'Выборка 1'!BO250)-('Выборка 1'!BI250-'Выборка 1'!BN250))+(('Выборка 1'!BK250-'Выборка 1'!BP250)-('Выборка 1'!BJ250-'Выборка 1'!BO250)))/4000</f>
        <v>-155.5</v>
      </c>
      <c r="N250" s="17">
        <f>(('Выборка 1'!BR250-'Выборка 1'!BQ250)+('Выборка 1'!BS250-'Выборка 1'!BR250)+('Выборка 1'!BT250-'Выборка 1'!BS250)+('Выборка 1'!BU250-'Выборка 1'!BT250))/4000</f>
        <v>-402.5</v>
      </c>
    </row>
    <row r="251" spans="1:14" x14ac:dyDescent="0.25">
      <c r="A251" s="17">
        <v>17</v>
      </c>
      <c r="B251" s="17">
        <f>(('Выборка 1'!E251-'Выборка 1'!D251)+('Выборка 1'!F251-'Выборка 1'!E251)+('Выборка 1'!G251-'Выборка 1'!F251)+('Выборка 1'!H251-'Выборка 1'!G251))/4000</f>
        <v>-2809.25</v>
      </c>
      <c r="C251" s="17">
        <f>(('Выборка 1'!J251-'Выборка 1'!I251)+('Выборка 1'!K251-'Выборка 1'!J251)+('Выборка 1'!L251-'Выборка 1'!K251)+('Выборка 1'!M251-'Выборка 1'!L251))/4000</f>
        <v>26.75</v>
      </c>
      <c r="D251" s="17">
        <f>(('Выборка 1'!O251-'Выборка 1'!N251)+('Выборка 1'!P251-'Выборка 1'!O251)+('Выборка 1'!Q251-'Выборка 1'!P251)+('Выборка 1'!R251-'Выборка 1'!Q251))/4000</f>
        <v>3512.5</v>
      </c>
      <c r="E251" s="17">
        <f>(('Выборка 1'!T251-'Выборка 1'!S251)+('Выборка 1'!U251-'Выборка 1'!T251)+('Выборка 1'!V251-'Выборка 1'!U251)+('Выборка 1'!W251-'Выборка 1'!V251))/4000</f>
        <v>-9</v>
      </c>
      <c r="F251" s="17">
        <f>(('Выборка 1'!Y251-'Выборка 1'!X251)+('Выборка 1'!Z251+'Выборка 1'!Y251)+('Выборка 1'!AA251-'Выборка 1'!Z251)+('Выборка 1'!AB251-'Выборка 1'!AA251))/4000</f>
        <v>34233.5</v>
      </c>
      <c r="G251" s="17">
        <f>(('Выборка 1'!AD251-'Выборка 1'!AC251)+('Выборка 1'!AE251-'Выборка 1'!AD251)+('Выборка 1'!AF251-'Выборка 1'!AE251)+('Выборка 1'!AG251-'Выборка 1'!AF251))/4000</f>
        <v>-691.5</v>
      </c>
      <c r="H251" s="17">
        <f>(('Выборка 1'!AI251-'Выборка 1'!AH251)+('Выборка 1'!AJ251-'Выборка 1'!AI251)+('Выборка 1'!AK251-'Выборка 1'!AJ251)+('Выборка 1'!AL251-'Выборка 1'!AK251))/4000</f>
        <v>-1401</v>
      </c>
      <c r="I251" s="17">
        <f>(('Выборка 1'!AN251-'Выборка 1'!AM251)+('Выборка 1'!AO251-'Выборка 1'!AN251)+('Выборка 1'!AP251-'Выборка 1'!AO251)+('Выборка 1'!AQ251-'Выборка 1'!AP251))/4000</f>
        <v>1406.75</v>
      </c>
      <c r="J251" s="17">
        <f>((('Выборка 1'!AS251+'Выборка 1'!AX251)-('Выборка 1'!AR251+'Выборка 1'!AW251))+(('Выборка 1'!AT251+'Выборка 1'!AY251)-('Выборка 1'!AS251+'Выборка 1'!AX251))+(('Выборка 1'!AU251+'Выборка 1'!AZ251)-('Выборка 1'!AT251+'Выборка 1'!AY251))+(('Выборка 1'!AV251+'Выборка 1'!BA251)-('Выборка 1'!AU251+'Выборка 1'!AZ251)))/4000</f>
        <v>19.25</v>
      </c>
      <c r="K251" s="17">
        <f>(('Выборка 1'!BC251-'Выборка 1'!BB251)+('Выборка 1'!BD251-'Выборка 1'!BC251)+('Выборка 1'!BE251-'Выборка 1'!BD251)+('Выборка 1'!BF251-'Выборка 1'!BE251))/4000</f>
        <v>3273</v>
      </c>
      <c r="L251" s="17">
        <f t="shared" si="3"/>
        <v>-1885.5</v>
      </c>
      <c r="M251" s="17">
        <f>((('Выборка 1'!BH251-'Выборка 1'!BM251)-('Выборка 1'!BG251-'Выборка 1'!BL251))+(('Выборка 1'!BI251-'Выборка 1'!BN251)-('Выборка 1'!BH251-'Выборка 1'!BM251))+(('Выборка 1'!BJ251-'Выборка 1'!BO251)-('Выборка 1'!BI251-'Выборка 1'!BN251))+(('Выборка 1'!BK251-'Выборка 1'!BP251)-('Выборка 1'!BJ251-'Выборка 1'!BO251)))/4000</f>
        <v>1833.75</v>
      </c>
      <c r="N251" s="17">
        <f>(('Выборка 1'!BR251-'Выборка 1'!BQ251)+('Выборка 1'!BS251-'Выборка 1'!BR251)+('Выборка 1'!BT251-'Выборка 1'!BS251)+('Выборка 1'!BU251-'Выборка 1'!BT251))/4000</f>
        <v>-1152</v>
      </c>
    </row>
    <row r="252" spans="1:14" x14ac:dyDescent="0.25">
      <c r="A252" s="17">
        <v>13</v>
      </c>
      <c r="B252" s="17">
        <f>(('Выборка 1'!E252-'Выборка 1'!D252)+('Выборка 1'!F252-'Выборка 1'!E252)+('Выборка 1'!G252-'Выборка 1'!F252)+('Выборка 1'!H252-'Выборка 1'!G252))/4000</f>
        <v>10425</v>
      </c>
      <c r="C252" s="17">
        <f>(('Выборка 1'!J252-'Выборка 1'!I252)+('Выборка 1'!K252-'Выборка 1'!J252)+('Выборка 1'!L252-'Выборка 1'!K252)+('Выборка 1'!M252-'Выборка 1'!L252))/4000</f>
        <v>-158</v>
      </c>
      <c r="D252" s="17">
        <f>(('Выборка 1'!O252-'Выборка 1'!N252)+('Выборка 1'!P252-'Выборка 1'!O252)+('Выборка 1'!Q252-'Выборка 1'!P252)+('Выборка 1'!R252-'Выборка 1'!Q252))/4000</f>
        <v>0</v>
      </c>
      <c r="E252" s="17">
        <f>(('Выборка 1'!T252-'Выборка 1'!S252)+('Выборка 1'!U252-'Выборка 1'!T252)+('Выборка 1'!V252-'Выборка 1'!U252)+('Выборка 1'!W252-'Выборка 1'!V252))/4000</f>
        <v>250</v>
      </c>
      <c r="F252" s="17">
        <f>(('Выборка 1'!Y252-'Выборка 1'!X252)+('Выборка 1'!Z252+'Выборка 1'!Y252)+('Выборка 1'!AA252-'Выборка 1'!Z252)+('Выборка 1'!AB252-'Выборка 1'!AA252))/4000</f>
        <v>-51321.25</v>
      </c>
      <c r="G252" s="17">
        <f>(('Выборка 1'!AD252-'Выборка 1'!AC252)+('Выборка 1'!AE252-'Выборка 1'!AD252)+('Выборка 1'!AF252-'Выборка 1'!AE252)+('Выборка 1'!AG252-'Выборка 1'!AF252))/4000</f>
        <v>-17187.75</v>
      </c>
      <c r="H252" s="17">
        <f>(('Выборка 1'!AI252-'Выборка 1'!AH252)+('Выборка 1'!AJ252-'Выборка 1'!AI252)+('Выборка 1'!AK252-'Выборка 1'!AJ252)+('Выборка 1'!AL252-'Выборка 1'!AK252))/4000</f>
        <v>-1377</v>
      </c>
      <c r="I252" s="17">
        <f>(('Выборка 1'!AN252-'Выборка 1'!AM252)+('Выборка 1'!AO252-'Выборка 1'!AN252)+('Выборка 1'!AP252-'Выборка 1'!AO252)+('Выборка 1'!AQ252-'Выборка 1'!AP252))/4000</f>
        <v>0</v>
      </c>
      <c r="J252" s="17">
        <f>((('Выборка 1'!AS252+'Выборка 1'!AX252)-('Выборка 1'!AR252+'Выборка 1'!AW252))+(('Выборка 1'!AT252+'Выборка 1'!AY252)-('Выборка 1'!AS252+'Выборка 1'!AX252))+(('Выборка 1'!AU252+'Выборка 1'!AZ252)-('Выборка 1'!AT252+'Выборка 1'!AY252))+(('Выборка 1'!AV252+'Выборка 1'!BA252)-('Выборка 1'!AU252+'Выборка 1'!AZ252)))/4000</f>
        <v>-4</v>
      </c>
      <c r="K252" s="17">
        <f>(('Выборка 1'!BC252-'Выборка 1'!BB252)+('Выборка 1'!BD252-'Выборка 1'!BC252)+('Выборка 1'!BE252-'Выборка 1'!BD252)+('Выборка 1'!BF252-'Выборка 1'!BE252))/4000</f>
        <v>-442.5</v>
      </c>
      <c r="L252" s="17">
        <f t="shared" si="3"/>
        <v>446.5</v>
      </c>
      <c r="M252" s="17">
        <f>((('Выборка 1'!BH252-'Выборка 1'!BM252)-('Выборка 1'!BG252-'Выборка 1'!BL252))+(('Выборка 1'!BI252-'Выборка 1'!BN252)-('Выборка 1'!BH252-'Выборка 1'!BM252))+(('Выборка 1'!BJ252-'Выборка 1'!BO252)-('Выборка 1'!BI252-'Выборка 1'!BN252))+(('Выборка 1'!BK252-'Выборка 1'!BP252)-('Выборка 1'!BJ252-'Выборка 1'!BO252)))/4000</f>
        <v>1.75</v>
      </c>
      <c r="N252" s="17">
        <f>(('Выборка 1'!BR252-'Выборка 1'!BQ252)+('Выборка 1'!BS252-'Выборка 1'!BR252)+('Выборка 1'!BT252-'Выборка 1'!BS252)+('Выборка 1'!BU252-'Выборка 1'!BT252))/4000</f>
        <v>448.25</v>
      </c>
    </row>
    <row r="253" spans="1:14" x14ac:dyDescent="0.25">
      <c r="A253" s="17">
        <v>21</v>
      </c>
      <c r="B253" s="17">
        <f>(('Выборка 1'!E253-'Выборка 1'!D253)+('Выборка 1'!F253-'Выборка 1'!E253)+('Выборка 1'!G253-'Выборка 1'!F253)+('Выборка 1'!H253-'Выборка 1'!G253))/4000</f>
        <v>-1899.75</v>
      </c>
      <c r="C253" s="17">
        <f>(('Выборка 1'!J253-'Выборка 1'!I253)+('Выборка 1'!K253-'Выборка 1'!J253)+('Выборка 1'!L253-'Выборка 1'!K253)+('Выборка 1'!M253-'Выборка 1'!L253))/4000</f>
        <v>-10142.5</v>
      </c>
      <c r="D253" s="17">
        <f>(('Выборка 1'!O253-'Выборка 1'!N253)+('Выборка 1'!P253-'Выборка 1'!O253)+('Выборка 1'!Q253-'Выборка 1'!P253)+('Выборка 1'!R253-'Выборка 1'!Q253))/4000</f>
        <v>-91675</v>
      </c>
      <c r="E253" s="17">
        <f>(('Выборка 1'!T253-'Выборка 1'!S253)+('Выборка 1'!U253-'Выборка 1'!T253)+('Выборка 1'!V253-'Выборка 1'!U253)+('Выборка 1'!W253-'Выборка 1'!V253))/4000</f>
        <v>8356.25</v>
      </c>
      <c r="F253" s="17">
        <f>(('Выборка 1'!Y253-'Выборка 1'!X253)+('Выборка 1'!Z253+'Выборка 1'!Y253)+('Выборка 1'!AA253-'Выборка 1'!Z253)+('Выборка 1'!AB253-'Выборка 1'!AA253))/4000</f>
        <v>-153562.25</v>
      </c>
      <c r="G253" s="17">
        <f>(('Выборка 1'!AD253-'Выборка 1'!AC253)+('Выборка 1'!AE253-'Выборка 1'!AD253)+('Выборка 1'!AF253-'Выборка 1'!AE253)+('Выборка 1'!AG253-'Выборка 1'!AF253))/4000</f>
        <v>67624.75</v>
      </c>
      <c r="H253" s="17">
        <f>(('Выборка 1'!AI253-'Выборка 1'!AH253)+('Выборка 1'!AJ253-'Выборка 1'!AI253)+('Выборка 1'!AK253-'Выборка 1'!AJ253)+('Выборка 1'!AL253-'Выборка 1'!AK253))/4000</f>
        <v>22868.25</v>
      </c>
      <c r="I253" s="17">
        <f>(('Выборка 1'!AN253-'Выборка 1'!AM253)+('Выборка 1'!AO253-'Выборка 1'!AN253)+('Выборка 1'!AP253-'Выборка 1'!AO253)+('Выборка 1'!AQ253-'Выборка 1'!AP253))/4000</f>
        <v>-174485.5</v>
      </c>
      <c r="J253" s="17">
        <f>((('Выборка 1'!AS253+'Выборка 1'!AX253)-('Выборка 1'!AR253+'Выборка 1'!AW253))+(('Выборка 1'!AT253+'Выборка 1'!AY253)-('Выборка 1'!AS253+'Выборка 1'!AX253))+(('Выборка 1'!AU253+'Выборка 1'!AZ253)-('Выборка 1'!AT253+'Выборка 1'!AY253))+(('Выборка 1'!AV253+'Выборка 1'!BA253)-('Выборка 1'!AU253+'Выборка 1'!AZ253)))/4000</f>
        <v>-139379.25</v>
      </c>
      <c r="K253" s="17">
        <f>(('Выборка 1'!BC253-'Выборка 1'!BB253)+('Выборка 1'!BD253-'Выборка 1'!BC253)+('Выборка 1'!BE253-'Выборка 1'!BD253)+('Выборка 1'!BF253-'Выборка 1'!BE253))/4000</f>
        <v>-21734</v>
      </c>
      <c r="L253" s="17">
        <f t="shared" si="3"/>
        <v>-13372.25</v>
      </c>
      <c r="M253" s="17">
        <f>((('Выборка 1'!BH253-'Выборка 1'!BM253)-('Выборка 1'!BG253-'Выборка 1'!BL253))+(('Выборка 1'!BI253-'Выборка 1'!BN253)-('Выборка 1'!BH253-'Выборка 1'!BM253))+(('Выборка 1'!BJ253-'Выборка 1'!BO253)-('Выборка 1'!BI253-'Выборка 1'!BN253))+(('Выборка 1'!BK253-'Выборка 1'!BP253)-('Выборка 1'!BJ253-'Выборка 1'!BO253)))/4000</f>
        <v>8038.25</v>
      </c>
      <c r="N253" s="17">
        <f>(('Выборка 1'!BR253-'Выборка 1'!BQ253)+('Выборка 1'!BS253-'Выборка 1'!BR253)+('Выборка 1'!BT253-'Выборка 1'!BS253)+('Выборка 1'!BU253-'Выборка 1'!BT253))/4000</f>
        <v>1730.75</v>
      </c>
    </row>
  </sheetData>
  <pageMargins left="0.75" right="0.75" top="0.75" bottom="0.5" header="0.5" footer="0.75"/>
  <pageSetup paperSize="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16"/>
  <sheetViews>
    <sheetView workbookViewId="0">
      <selection activeCell="Y11" sqref="Y11"/>
    </sheetView>
  </sheetViews>
  <sheetFormatPr defaultColWidth="25.5703125" defaultRowHeight="12.75" x14ac:dyDescent="0.2"/>
  <cols>
    <col min="1" max="1" width="25" style="30" customWidth="1"/>
    <col min="2" max="2" width="14.7109375" style="30" customWidth="1"/>
    <col min="3" max="3" width="25" style="30" customWidth="1"/>
    <col min="4" max="4" width="15.5703125" style="30" customWidth="1"/>
    <col min="5" max="5" width="25" style="30" customWidth="1"/>
    <col min="6" max="6" width="15.42578125" style="30" customWidth="1"/>
    <col min="7" max="7" width="25" style="30" customWidth="1"/>
    <col min="8" max="8" width="15.7109375" style="30" customWidth="1"/>
    <col min="9" max="9" width="25" style="30" customWidth="1"/>
    <col min="10" max="10" width="15.28515625" style="30" customWidth="1"/>
    <col min="11" max="11" width="25" style="30" customWidth="1"/>
    <col min="12" max="12" width="15.5703125" style="30" customWidth="1"/>
    <col min="13" max="13" width="25" style="30" customWidth="1"/>
    <col min="14" max="14" width="15.42578125" style="30" customWidth="1"/>
    <col min="15" max="15" width="25" style="30" customWidth="1"/>
    <col min="16" max="16" width="15.28515625" style="30" customWidth="1"/>
    <col min="17" max="17" width="25" style="30" customWidth="1"/>
    <col min="18" max="18" width="14.85546875" style="30" customWidth="1"/>
    <col min="19" max="19" width="25" style="30" customWidth="1"/>
    <col min="20" max="20" width="15.7109375" style="30" customWidth="1"/>
    <col min="21" max="21" width="25" style="30" customWidth="1"/>
    <col min="22" max="22" width="14.85546875" style="30" customWidth="1"/>
    <col min="23" max="23" width="25" style="30" customWidth="1"/>
    <col min="24" max="24" width="14.7109375" style="30" customWidth="1"/>
    <col min="25" max="25" width="25" style="30" customWidth="1"/>
    <col min="26" max="26" width="15.7109375" style="30" customWidth="1"/>
    <col min="27" max="27" width="25" style="30" customWidth="1"/>
    <col min="28" max="28" width="13.7109375" style="30" customWidth="1"/>
    <col min="29" max="16384" width="25.5703125" style="30"/>
  </cols>
  <sheetData>
    <row r="1" spans="1:28" s="28" customFormat="1" ht="43.15" customHeight="1" x14ac:dyDescent="0.2">
      <c r="A1" s="56" t="s">
        <v>3</v>
      </c>
      <c r="B1" s="56"/>
      <c r="C1" s="56" t="s">
        <v>820</v>
      </c>
      <c r="D1" s="56"/>
      <c r="E1" s="56" t="s">
        <v>821</v>
      </c>
      <c r="F1" s="56"/>
      <c r="G1" s="56" t="s">
        <v>822</v>
      </c>
      <c r="H1" s="56"/>
      <c r="I1" s="56" t="s">
        <v>823</v>
      </c>
      <c r="J1" s="56"/>
      <c r="K1" s="56" t="s">
        <v>824</v>
      </c>
      <c r="L1" s="56"/>
      <c r="M1" s="56" t="s">
        <v>825</v>
      </c>
      <c r="N1" s="56"/>
      <c r="O1" s="56" t="s">
        <v>826</v>
      </c>
      <c r="P1" s="56"/>
      <c r="Q1" s="56" t="s">
        <v>827</v>
      </c>
      <c r="R1" s="56"/>
      <c r="S1" s="56" t="s">
        <v>828</v>
      </c>
      <c r="T1" s="56"/>
      <c r="U1" s="56" t="s">
        <v>829</v>
      </c>
      <c r="V1" s="56"/>
      <c r="W1" s="56" t="s">
        <v>830</v>
      </c>
      <c r="X1" s="56"/>
      <c r="Y1" s="56" t="s">
        <v>831</v>
      </c>
      <c r="Z1" s="56"/>
      <c r="AA1" s="56" t="s">
        <v>832</v>
      </c>
      <c r="AB1" s="56"/>
    </row>
    <row r="2" spans="1:28" x14ac:dyDescent="0.2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</row>
    <row r="3" spans="1:28" x14ac:dyDescent="0.2">
      <c r="A3" s="32" t="s">
        <v>833</v>
      </c>
      <c r="B3" s="32">
        <v>17.051587301587301</v>
      </c>
      <c r="C3" s="32" t="s">
        <v>833</v>
      </c>
      <c r="D3" s="32">
        <v>-8738.5505952380954</v>
      </c>
      <c r="E3" s="32" t="s">
        <v>833</v>
      </c>
      <c r="F3" s="32">
        <v>-44744.909722222219</v>
      </c>
      <c r="G3" s="32" t="s">
        <v>833</v>
      </c>
      <c r="H3" s="32">
        <v>-65850.996031746035</v>
      </c>
      <c r="I3" s="32" t="s">
        <v>833</v>
      </c>
      <c r="J3" s="32">
        <v>-4831.270833333333</v>
      </c>
      <c r="K3" s="32" t="s">
        <v>833</v>
      </c>
      <c r="L3" s="32">
        <v>-126011.32341269842</v>
      </c>
      <c r="M3" s="32" t="s">
        <v>833</v>
      </c>
      <c r="N3" s="32">
        <v>-11272.617063492064</v>
      </c>
      <c r="O3" s="32" t="s">
        <v>833</v>
      </c>
      <c r="P3" s="32">
        <v>-50835.400793650791</v>
      </c>
      <c r="Q3" s="32" t="s">
        <v>833</v>
      </c>
      <c r="R3" s="32">
        <v>-205153.20833333334</v>
      </c>
      <c r="S3" s="32" t="s">
        <v>833</v>
      </c>
      <c r="T3" s="32">
        <v>-197732.93452380953</v>
      </c>
      <c r="U3" s="32" t="s">
        <v>833</v>
      </c>
      <c r="V3" s="32">
        <v>-2685.6626984126983</v>
      </c>
      <c r="W3" s="32" t="s">
        <v>833</v>
      </c>
      <c r="X3" s="32">
        <v>-4734.6111111111113</v>
      </c>
      <c r="Y3" s="32" t="s">
        <v>833</v>
      </c>
      <c r="Z3" s="32">
        <v>16616.065476190477</v>
      </c>
      <c r="AA3" s="32" t="s">
        <v>833</v>
      </c>
      <c r="AB3" s="32">
        <v>14825.088293650793</v>
      </c>
    </row>
    <row r="4" spans="1:28" x14ac:dyDescent="0.2">
      <c r="A4" s="32" t="s">
        <v>834</v>
      </c>
      <c r="B4" s="32">
        <v>0.48571462412605609</v>
      </c>
      <c r="C4" s="32" t="s">
        <v>834</v>
      </c>
      <c r="D4" s="32">
        <v>3816.7581488092906</v>
      </c>
      <c r="E4" s="32" t="s">
        <v>834</v>
      </c>
      <c r="F4" s="32">
        <v>24035.585550711447</v>
      </c>
      <c r="G4" s="32" t="s">
        <v>834</v>
      </c>
      <c r="H4" s="32">
        <v>30691.360396316832</v>
      </c>
      <c r="I4" s="32" t="s">
        <v>834</v>
      </c>
      <c r="J4" s="32">
        <v>3332.5182600801331</v>
      </c>
      <c r="K4" s="32" t="s">
        <v>834</v>
      </c>
      <c r="L4" s="32">
        <v>57542.758781301323</v>
      </c>
      <c r="M4" s="32" t="s">
        <v>834</v>
      </c>
      <c r="N4" s="32">
        <v>11835.394536228523</v>
      </c>
      <c r="O4" s="32" t="s">
        <v>834</v>
      </c>
      <c r="P4" s="32">
        <v>35610.412808857269</v>
      </c>
      <c r="Q4" s="32" t="s">
        <v>834</v>
      </c>
      <c r="R4" s="32">
        <v>106790.13323333397</v>
      </c>
      <c r="S4" s="32" t="s">
        <v>834</v>
      </c>
      <c r="T4" s="32">
        <v>105516.21274294221</v>
      </c>
      <c r="U4" s="32" t="s">
        <v>834</v>
      </c>
      <c r="V4" s="32">
        <v>883.75423122688028</v>
      </c>
      <c r="W4" s="32" t="s">
        <v>834</v>
      </c>
      <c r="X4" s="32">
        <v>2157.8093885029457</v>
      </c>
      <c r="Y4" s="32" t="s">
        <v>834</v>
      </c>
      <c r="Z4" s="32">
        <v>12243.62467131282</v>
      </c>
      <c r="AA4" s="32" t="s">
        <v>834</v>
      </c>
      <c r="AB4" s="32">
        <v>12066.500319961906</v>
      </c>
    </row>
    <row r="5" spans="1:28" x14ac:dyDescent="0.2">
      <c r="A5" s="32" t="s">
        <v>835</v>
      </c>
      <c r="B5" s="32">
        <v>16</v>
      </c>
      <c r="C5" s="32" t="s">
        <v>835</v>
      </c>
      <c r="D5" s="32">
        <v>-16.25</v>
      </c>
      <c r="E5" s="32" t="s">
        <v>835</v>
      </c>
      <c r="F5" s="32">
        <v>-6.25</v>
      </c>
      <c r="G5" s="32" t="s">
        <v>835</v>
      </c>
      <c r="H5" s="32">
        <v>-1111.125</v>
      </c>
      <c r="I5" s="32" t="s">
        <v>835</v>
      </c>
      <c r="J5" s="32">
        <v>-1.25</v>
      </c>
      <c r="K5" s="32" t="s">
        <v>835</v>
      </c>
      <c r="L5" s="32">
        <v>0</v>
      </c>
      <c r="M5" s="32" t="s">
        <v>835</v>
      </c>
      <c r="N5" s="32">
        <v>0</v>
      </c>
      <c r="O5" s="32" t="s">
        <v>835</v>
      </c>
      <c r="P5" s="32">
        <v>-117.875</v>
      </c>
      <c r="Q5" s="32" t="s">
        <v>835</v>
      </c>
      <c r="R5" s="32">
        <v>-1907</v>
      </c>
      <c r="S5" s="32" t="s">
        <v>835</v>
      </c>
      <c r="T5" s="32">
        <v>-1755.625</v>
      </c>
      <c r="U5" s="32" t="s">
        <v>835</v>
      </c>
      <c r="V5" s="32">
        <v>0</v>
      </c>
      <c r="W5" s="32" t="s">
        <v>835</v>
      </c>
      <c r="X5" s="32">
        <v>0</v>
      </c>
      <c r="Y5" s="32" t="s">
        <v>835</v>
      </c>
      <c r="Z5" s="32">
        <v>0</v>
      </c>
      <c r="AA5" s="32" t="s">
        <v>835</v>
      </c>
      <c r="AB5" s="32">
        <v>0</v>
      </c>
    </row>
    <row r="6" spans="1:28" x14ac:dyDescent="0.2">
      <c r="A6" s="32" t="s">
        <v>836</v>
      </c>
      <c r="B6" s="32">
        <v>17</v>
      </c>
      <c r="C6" s="32" t="s">
        <v>836</v>
      </c>
      <c r="D6" s="32">
        <v>0</v>
      </c>
      <c r="E6" s="32" t="s">
        <v>836</v>
      </c>
      <c r="F6" s="32">
        <v>0</v>
      </c>
      <c r="G6" s="32" t="s">
        <v>836</v>
      </c>
      <c r="H6" s="32">
        <v>0</v>
      </c>
      <c r="I6" s="32" t="s">
        <v>836</v>
      </c>
      <c r="J6" s="32">
        <v>0</v>
      </c>
      <c r="K6" s="32" t="s">
        <v>836</v>
      </c>
      <c r="L6" s="32">
        <v>0</v>
      </c>
      <c r="M6" s="32" t="s">
        <v>836</v>
      </c>
      <c r="N6" s="32">
        <v>0</v>
      </c>
      <c r="O6" s="32" t="s">
        <v>836</v>
      </c>
      <c r="P6" s="32">
        <v>0</v>
      </c>
      <c r="Q6" s="32" t="s">
        <v>836</v>
      </c>
      <c r="R6" s="32">
        <v>0</v>
      </c>
      <c r="S6" s="32" t="s">
        <v>836</v>
      </c>
      <c r="T6" s="32">
        <v>0</v>
      </c>
      <c r="U6" s="32" t="s">
        <v>836</v>
      </c>
      <c r="V6" s="32">
        <v>0</v>
      </c>
      <c r="W6" s="32" t="s">
        <v>836</v>
      </c>
      <c r="X6" s="32">
        <v>0</v>
      </c>
      <c r="Y6" s="32" t="s">
        <v>836</v>
      </c>
      <c r="Z6" s="32">
        <v>0</v>
      </c>
      <c r="AA6" s="32" t="s">
        <v>836</v>
      </c>
      <c r="AB6" s="32">
        <v>0</v>
      </c>
    </row>
    <row r="7" spans="1:28" x14ac:dyDescent="0.2">
      <c r="A7" s="32" t="s">
        <v>837</v>
      </c>
      <c r="B7" s="32">
        <v>7.7104806215085464</v>
      </c>
      <c r="C7" s="32" t="s">
        <v>837</v>
      </c>
      <c r="D7" s="32">
        <v>60589.157257371844</v>
      </c>
      <c r="E7" s="32" t="s">
        <v>837</v>
      </c>
      <c r="F7" s="32">
        <v>381553.09189799963</v>
      </c>
      <c r="G7" s="32" t="s">
        <v>837</v>
      </c>
      <c r="H7" s="32">
        <v>487210.2420414667</v>
      </c>
      <c r="I7" s="32" t="s">
        <v>837</v>
      </c>
      <c r="J7" s="32">
        <v>52902.087334522206</v>
      </c>
      <c r="K7" s="32" t="s">
        <v>837</v>
      </c>
      <c r="L7" s="32">
        <v>913462.97692740883</v>
      </c>
      <c r="M7" s="32" t="s">
        <v>837</v>
      </c>
      <c r="N7" s="32">
        <v>187881.06366715985</v>
      </c>
      <c r="O7" s="32" t="s">
        <v>837</v>
      </c>
      <c r="P7" s="32">
        <v>565297.7782595125</v>
      </c>
      <c r="Q7" s="32" t="s">
        <v>837</v>
      </c>
      <c r="R7" s="32">
        <v>1695240.810065134</v>
      </c>
      <c r="S7" s="32" t="s">
        <v>837</v>
      </c>
      <c r="T7" s="32">
        <v>1675017.9492192578</v>
      </c>
      <c r="U7" s="32" t="s">
        <v>837</v>
      </c>
      <c r="V7" s="32">
        <v>14029.163495564388</v>
      </c>
      <c r="W7" s="32" t="s">
        <v>837</v>
      </c>
      <c r="X7" s="32">
        <v>34254.162111954909</v>
      </c>
      <c r="Y7" s="32" t="s">
        <v>837</v>
      </c>
      <c r="Z7" s="32">
        <v>194361.51615785199</v>
      </c>
      <c r="AA7" s="32" t="s">
        <v>837</v>
      </c>
      <c r="AB7" s="32">
        <v>191549.7542490031</v>
      </c>
    </row>
    <row r="8" spans="1:28" x14ac:dyDescent="0.2">
      <c r="A8" s="32" t="s">
        <v>838</v>
      </c>
      <c r="B8" s="32">
        <v>59.451511414658818</v>
      </c>
      <c r="C8" s="32" t="s">
        <v>838</v>
      </c>
      <c r="D8" s="32">
        <v>3671045977.1585355</v>
      </c>
      <c r="E8" s="32" t="s">
        <v>838</v>
      </c>
      <c r="F8" s="32">
        <v>145582761936.92334</v>
      </c>
      <c r="G8" s="32" t="s">
        <v>838</v>
      </c>
      <c r="H8" s="32">
        <v>237373819950.10455</v>
      </c>
      <c r="I8" s="32" t="s">
        <v>838</v>
      </c>
      <c r="J8" s="32">
        <v>2798630844.3494148</v>
      </c>
      <c r="K8" s="32" t="s">
        <v>838</v>
      </c>
      <c r="L8" s="32">
        <v>834414610217.08374</v>
      </c>
      <c r="M8" s="32" t="s">
        <v>838</v>
      </c>
      <c r="N8" s="32">
        <v>35299294084.703377</v>
      </c>
      <c r="O8" s="32" t="s">
        <v>838</v>
      </c>
      <c r="P8" s="32">
        <v>319561578105.14099</v>
      </c>
      <c r="Q8" s="32" t="s">
        <v>838</v>
      </c>
      <c r="R8" s="32">
        <v>2873841404110.2915</v>
      </c>
      <c r="S8" s="32" t="s">
        <v>838</v>
      </c>
      <c r="T8" s="32">
        <v>2805685130206.688</v>
      </c>
      <c r="U8" s="32" t="s">
        <v>838</v>
      </c>
      <c r="V8" s="32">
        <v>196817428.38527638</v>
      </c>
      <c r="W8" s="32" t="s">
        <v>838</v>
      </c>
      <c r="X8" s="32">
        <v>1173347621.9920874</v>
      </c>
      <c r="Y8" s="32" t="s">
        <v>838</v>
      </c>
      <c r="Z8" s="32">
        <v>37776398963.178963</v>
      </c>
      <c r="AA8" s="32" t="s">
        <v>838</v>
      </c>
      <c r="AB8" s="32">
        <v>36691308352.853477</v>
      </c>
    </row>
    <row r="9" spans="1:28" x14ac:dyDescent="0.2">
      <c r="A9" s="32" t="s">
        <v>839</v>
      </c>
      <c r="B9" s="32">
        <v>-0.44685059877624989</v>
      </c>
      <c r="C9" s="32" t="s">
        <v>839</v>
      </c>
      <c r="D9" s="32">
        <v>193.73747949110773</v>
      </c>
      <c r="E9" s="32" t="s">
        <v>839</v>
      </c>
      <c r="F9" s="32">
        <v>91.335854551551961</v>
      </c>
      <c r="G9" s="32" t="s">
        <v>839</v>
      </c>
      <c r="H9" s="32">
        <v>125.03577723615979</v>
      </c>
      <c r="I9" s="32" t="s">
        <v>839</v>
      </c>
      <c r="J9" s="32">
        <v>216.75968087619319</v>
      </c>
      <c r="K9" s="32" t="s">
        <v>839</v>
      </c>
      <c r="L9" s="32">
        <v>98.653932992277504</v>
      </c>
      <c r="M9" s="32" t="s">
        <v>839</v>
      </c>
      <c r="N9" s="32">
        <v>112.74091035990432</v>
      </c>
      <c r="O9" s="32" t="s">
        <v>839</v>
      </c>
      <c r="P9" s="32">
        <v>75.566346428449719</v>
      </c>
      <c r="Q9" s="32" t="s">
        <v>839</v>
      </c>
      <c r="R9" s="32">
        <v>201.20588789202765</v>
      </c>
      <c r="S9" s="32" t="s">
        <v>839</v>
      </c>
      <c r="T9" s="32">
        <v>203.60704195065441</v>
      </c>
      <c r="U9" s="32" t="s">
        <v>839</v>
      </c>
      <c r="V9" s="32">
        <v>68.355442604293813</v>
      </c>
      <c r="W9" s="32" t="s">
        <v>839</v>
      </c>
      <c r="X9" s="32">
        <v>46.475859680683911</v>
      </c>
      <c r="Y9" s="32" t="s">
        <v>839</v>
      </c>
      <c r="Z9" s="32">
        <v>183.91626722260926</v>
      </c>
      <c r="AA9" s="32" t="s">
        <v>839</v>
      </c>
      <c r="AB9" s="32">
        <v>195.465466937743</v>
      </c>
    </row>
    <row r="10" spans="1:28" x14ac:dyDescent="0.2">
      <c r="A10" s="32" t="s">
        <v>840</v>
      </c>
      <c r="B10" s="32">
        <v>0.62437646082335085</v>
      </c>
      <c r="C10" s="32" t="s">
        <v>840</v>
      </c>
      <c r="D10" s="32">
        <v>-13.16855042163054</v>
      </c>
      <c r="E10" s="32" t="s">
        <v>840</v>
      </c>
      <c r="F10" s="32">
        <v>-7.3021008322130987</v>
      </c>
      <c r="G10" s="32" t="s">
        <v>840</v>
      </c>
      <c r="H10" s="32">
        <v>-10.605808217749859</v>
      </c>
      <c r="I10" s="32" t="s">
        <v>840</v>
      </c>
      <c r="J10" s="32">
        <v>-14.293463263875303</v>
      </c>
      <c r="K10" s="32" t="s">
        <v>840</v>
      </c>
      <c r="L10" s="32">
        <v>-6.4944793975677912</v>
      </c>
      <c r="M10" s="32" t="s">
        <v>840</v>
      </c>
      <c r="N10" s="32">
        <v>-7.1424473988772732</v>
      </c>
      <c r="O10" s="32" t="s">
        <v>840</v>
      </c>
      <c r="P10" s="32">
        <v>-6.6485901501989586</v>
      </c>
      <c r="Q10" s="32" t="s">
        <v>840</v>
      </c>
      <c r="R10" s="32">
        <v>-13.670435559747533</v>
      </c>
      <c r="S10" s="32" t="s">
        <v>840</v>
      </c>
      <c r="T10" s="32">
        <v>-13.775954537786316</v>
      </c>
      <c r="U10" s="32" t="s">
        <v>840</v>
      </c>
      <c r="V10" s="32">
        <v>-6.9538289854281237</v>
      </c>
      <c r="W10" s="32" t="s">
        <v>840</v>
      </c>
      <c r="X10" s="32">
        <v>-6.1667507968513329</v>
      </c>
      <c r="Y10" s="32" t="s">
        <v>840</v>
      </c>
      <c r="Z10" s="32">
        <v>12.739709070622562</v>
      </c>
      <c r="AA10" s="32" t="s">
        <v>840</v>
      </c>
      <c r="AB10" s="32">
        <v>13.284414376354295</v>
      </c>
    </row>
    <row r="11" spans="1:28" x14ac:dyDescent="0.2">
      <c r="A11" s="32" t="s">
        <v>841</v>
      </c>
      <c r="B11" s="32">
        <v>31</v>
      </c>
      <c r="C11" s="32" t="s">
        <v>841</v>
      </c>
      <c r="D11" s="32">
        <v>995350</v>
      </c>
      <c r="E11" s="32" t="s">
        <v>841</v>
      </c>
      <c r="F11" s="32">
        <v>6801014.75</v>
      </c>
      <c r="G11" s="32" t="s">
        <v>841</v>
      </c>
      <c r="H11" s="32">
        <v>6962339.25</v>
      </c>
      <c r="I11" s="32" t="s">
        <v>841</v>
      </c>
      <c r="J11" s="32">
        <v>869202.5</v>
      </c>
      <c r="K11" s="32" t="s">
        <v>841</v>
      </c>
      <c r="L11" s="32">
        <v>17489261.5</v>
      </c>
      <c r="M11" s="32" t="s">
        <v>841</v>
      </c>
      <c r="N11" s="32">
        <v>3656009.25</v>
      </c>
      <c r="O11" s="32" t="s">
        <v>841</v>
      </c>
      <c r="P11" s="32">
        <v>9255719.25</v>
      </c>
      <c r="Q11" s="32" t="s">
        <v>841</v>
      </c>
      <c r="R11" s="32">
        <v>25574411.25</v>
      </c>
      <c r="S11" s="32" t="s">
        <v>841</v>
      </c>
      <c r="T11" s="32">
        <v>25351285.75</v>
      </c>
      <c r="U11" s="32" t="s">
        <v>841</v>
      </c>
      <c r="V11" s="32">
        <v>214570.75</v>
      </c>
      <c r="W11" s="32" t="s">
        <v>841</v>
      </c>
      <c r="X11" s="32">
        <v>422946.5</v>
      </c>
      <c r="Y11" s="32" t="s">
        <v>841</v>
      </c>
      <c r="Z11" s="32">
        <v>3194577.5</v>
      </c>
      <c r="AA11" s="32" t="s">
        <v>841</v>
      </c>
      <c r="AB11" s="32">
        <v>3159375.25</v>
      </c>
    </row>
    <row r="12" spans="1:28" x14ac:dyDescent="0.2">
      <c r="A12" s="32" t="s">
        <v>842</v>
      </c>
      <c r="B12" s="32">
        <v>4</v>
      </c>
      <c r="C12" s="32" t="s">
        <v>842</v>
      </c>
      <c r="D12" s="32">
        <v>-906188.75</v>
      </c>
      <c r="E12" s="32" t="s">
        <v>842</v>
      </c>
      <c r="F12" s="32">
        <v>-4530739</v>
      </c>
      <c r="G12" s="32" t="s">
        <v>842</v>
      </c>
      <c r="H12" s="32">
        <v>-6371149</v>
      </c>
      <c r="I12" s="32" t="s">
        <v>842</v>
      </c>
      <c r="J12" s="32">
        <v>-810517.75</v>
      </c>
      <c r="K12" s="32" t="s">
        <v>842</v>
      </c>
      <c r="L12" s="32">
        <v>-11252285</v>
      </c>
      <c r="M12" s="32" t="s">
        <v>842</v>
      </c>
      <c r="N12" s="32">
        <v>-2394480.75</v>
      </c>
      <c r="O12" s="32" t="s">
        <v>842</v>
      </c>
      <c r="P12" s="32">
        <v>-6377809</v>
      </c>
      <c r="Q12" s="32" t="s">
        <v>842</v>
      </c>
      <c r="R12" s="32">
        <v>-25535453.25</v>
      </c>
      <c r="S12" s="32" t="s">
        <v>842</v>
      </c>
      <c r="T12" s="32">
        <v>-25301486.75</v>
      </c>
      <c r="U12" s="32" t="s">
        <v>842</v>
      </c>
      <c r="V12" s="32">
        <v>-157545</v>
      </c>
      <c r="W12" s="32" t="s">
        <v>842</v>
      </c>
      <c r="X12" s="32">
        <v>-313674.25</v>
      </c>
      <c r="Y12" s="32" t="s">
        <v>842</v>
      </c>
      <c r="Z12" s="32">
        <v>-337328.25</v>
      </c>
      <c r="AA12" s="32" t="s">
        <v>842</v>
      </c>
      <c r="AB12" s="32">
        <v>-302126</v>
      </c>
    </row>
    <row r="13" spans="1:28" x14ac:dyDescent="0.2">
      <c r="A13" s="32" t="s">
        <v>843</v>
      </c>
      <c r="B13" s="32">
        <v>35</v>
      </c>
      <c r="C13" s="32" t="s">
        <v>843</v>
      </c>
      <c r="D13" s="32">
        <v>89161.25</v>
      </c>
      <c r="E13" s="32" t="s">
        <v>843</v>
      </c>
      <c r="F13" s="32">
        <v>2270275.75</v>
      </c>
      <c r="G13" s="32" t="s">
        <v>843</v>
      </c>
      <c r="H13" s="32">
        <v>591190.25</v>
      </c>
      <c r="I13" s="32" t="s">
        <v>843</v>
      </c>
      <c r="J13" s="32">
        <v>58684.75</v>
      </c>
      <c r="K13" s="32" t="s">
        <v>843</v>
      </c>
      <c r="L13" s="32">
        <v>6236976.5</v>
      </c>
      <c r="M13" s="32" t="s">
        <v>843</v>
      </c>
      <c r="N13" s="32">
        <v>1261528.5</v>
      </c>
      <c r="O13" s="32" t="s">
        <v>843</v>
      </c>
      <c r="P13" s="32">
        <v>2877910.25</v>
      </c>
      <c r="Q13" s="32" t="s">
        <v>843</v>
      </c>
      <c r="R13" s="32">
        <v>38958</v>
      </c>
      <c r="S13" s="32" t="s">
        <v>843</v>
      </c>
      <c r="T13" s="32">
        <v>49799</v>
      </c>
      <c r="U13" s="32" t="s">
        <v>843</v>
      </c>
      <c r="V13" s="32">
        <v>57025.75</v>
      </c>
      <c r="W13" s="32" t="s">
        <v>843</v>
      </c>
      <c r="X13" s="32">
        <v>109272.25</v>
      </c>
      <c r="Y13" s="32" t="s">
        <v>843</v>
      </c>
      <c r="Z13" s="32">
        <v>2857249.25</v>
      </c>
      <c r="AA13" s="32" t="s">
        <v>843</v>
      </c>
      <c r="AB13" s="32">
        <v>2857249.25</v>
      </c>
    </row>
    <row r="14" spans="1:28" x14ac:dyDescent="0.2">
      <c r="A14" s="32" t="s">
        <v>844</v>
      </c>
      <c r="B14" s="32">
        <v>4297</v>
      </c>
      <c r="C14" s="32" t="s">
        <v>844</v>
      </c>
      <c r="D14" s="32">
        <v>-2202114.75</v>
      </c>
      <c r="E14" s="32" t="s">
        <v>844</v>
      </c>
      <c r="F14" s="32">
        <v>-11275717.25</v>
      </c>
      <c r="G14" s="32" t="s">
        <v>844</v>
      </c>
      <c r="H14" s="32">
        <v>-16594451</v>
      </c>
      <c r="I14" s="32" t="s">
        <v>844</v>
      </c>
      <c r="J14" s="32">
        <v>-1217480.25</v>
      </c>
      <c r="K14" s="32" t="s">
        <v>844</v>
      </c>
      <c r="L14" s="32">
        <v>-31754853.5</v>
      </c>
      <c r="M14" s="32" t="s">
        <v>844</v>
      </c>
      <c r="N14" s="32">
        <v>-2840699.5</v>
      </c>
      <c r="O14" s="32" t="s">
        <v>844</v>
      </c>
      <c r="P14" s="32">
        <v>-12810521</v>
      </c>
      <c r="Q14" s="32" t="s">
        <v>844</v>
      </c>
      <c r="R14" s="32">
        <v>-51698608.5</v>
      </c>
      <c r="S14" s="32" t="s">
        <v>844</v>
      </c>
      <c r="T14" s="32">
        <v>-49828699.5</v>
      </c>
      <c r="U14" s="32" t="s">
        <v>844</v>
      </c>
      <c r="V14" s="32">
        <v>-676787</v>
      </c>
      <c r="W14" s="32" t="s">
        <v>844</v>
      </c>
      <c r="X14" s="32">
        <v>-1193122</v>
      </c>
      <c r="Y14" s="32" t="s">
        <v>844</v>
      </c>
      <c r="Z14" s="32">
        <v>4187248.5</v>
      </c>
      <c r="AA14" s="32" t="s">
        <v>844</v>
      </c>
      <c r="AB14" s="32">
        <v>3735922.25</v>
      </c>
    </row>
    <row r="15" spans="1:28" x14ac:dyDescent="0.2">
      <c r="A15" s="32" t="s">
        <v>845</v>
      </c>
      <c r="B15" s="32">
        <v>252</v>
      </c>
      <c r="C15" s="32" t="s">
        <v>845</v>
      </c>
      <c r="D15" s="32">
        <v>252</v>
      </c>
      <c r="E15" s="32" t="s">
        <v>845</v>
      </c>
      <c r="F15" s="32">
        <v>252</v>
      </c>
      <c r="G15" s="32" t="s">
        <v>845</v>
      </c>
      <c r="H15" s="32">
        <v>252</v>
      </c>
      <c r="I15" s="32" t="s">
        <v>845</v>
      </c>
      <c r="J15" s="32">
        <v>252</v>
      </c>
      <c r="K15" s="32" t="s">
        <v>845</v>
      </c>
      <c r="L15" s="32">
        <v>252</v>
      </c>
      <c r="M15" s="32" t="s">
        <v>845</v>
      </c>
      <c r="N15" s="32">
        <v>252</v>
      </c>
      <c r="O15" s="32" t="s">
        <v>845</v>
      </c>
      <c r="P15" s="32">
        <v>252</v>
      </c>
      <c r="Q15" s="32" t="s">
        <v>845</v>
      </c>
      <c r="R15" s="32">
        <v>252</v>
      </c>
      <c r="S15" s="32" t="s">
        <v>845</v>
      </c>
      <c r="T15" s="32">
        <v>252</v>
      </c>
      <c r="U15" s="32" t="s">
        <v>845</v>
      </c>
      <c r="V15" s="32">
        <v>252</v>
      </c>
      <c r="W15" s="32" t="s">
        <v>845</v>
      </c>
      <c r="X15" s="32">
        <v>252</v>
      </c>
      <c r="Y15" s="32" t="s">
        <v>845</v>
      </c>
      <c r="Z15" s="32">
        <v>252</v>
      </c>
      <c r="AA15" s="32" t="s">
        <v>845</v>
      </c>
      <c r="AB15" s="32">
        <v>252</v>
      </c>
    </row>
    <row r="16" spans="1:28" x14ac:dyDescent="0.2">
      <c r="A16" s="32" t="s">
        <v>846</v>
      </c>
      <c r="B16" s="32">
        <v>0.95659560665891519</v>
      </c>
      <c r="C16" s="32" t="s">
        <v>846</v>
      </c>
      <c r="D16" s="32">
        <v>7516.9531561870854</v>
      </c>
      <c r="E16" s="32" t="s">
        <v>846</v>
      </c>
      <c r="F16" s="32">
        <v>47337.128427325129</v>
      </c>
      <c r="G16" s="32" t="s">
        <v>846</v>
      </c>
      <c r="H16" s="32">
        <v>60445.411892483164</v>
      </c>
      <c r="I16" s="32" t="s">
        <v>846</v>
      </c>
      <c r="J16" s="32">
        <v>6563.2619821550361</v>
      </c>
      <c r="K16" s="32" t="s">
        <v>846</v>
      </c>
      <c r="L16" s="32">
        <v>113328.17154572815</v>
      </c>
      <c r="M16" s="32" t="s">
        <v>846</v>
      </c>
      <c r="N16" s="32">
        <v>23309.338146452123</v>
      </c>
      <c r="O16" s="32" t="s">
        <v>846</v>
      </c>
      <c r="P16" s="32">
        <v>70133.28969774337</v>
      </c>
      <c r="Q16" s="32" t="s">
        <v>846</v>
      </c>
      <c r="R16" s="32">
        <v>210318.91405232943</v>
      </c>
      <c r="S16" s="32" t="s">
        <v>846</v>
      </c>
      <c r="T16" s="32">
        <v>207809.97838555966</v>
      </c>
      <c r="U16" s="32" t="s">
        <v>846</v>
      </c>
      <c r="V16" s="32">
        <v>1740.5187593002299</v>
      </c>
      <c r="W16" s="32" t="s">
        <v>846</v>
      </c>
      <c r="X16" s="32">
        <v>4249.7196471349707</v>
      </c>
      <c r="Y16" s="32" t="s">
        <v>846</v>
      </c>
      <c r="Z16" s="32">
        <v>24113.331138077727</v>
      </c>
      <c r="AA16" s="32" t="s">
        <v>846</v>
      </c>
      <c r="AB16" s="32">
        <v>23764.491782788682</v>
      </c>
    </row>
  </sheetData>
  <mergeCells count="14">
    <mergeCell ref="O1:P1"/>
    <mergeCell ref="AA1:AB1"/>
    <mergeCell ref="Y1:Z1"/>
    <mergeCell ref="W1:X1"/>
    <mergeCell ref="S1:T1"/>
    <mergeCell ref="Q1:R1"/>
    <mergeCell ref="U1:V1"/>
    <mergeCell ref="M1:N1"/>
    <mergeCell ref="K1:L1"/>
    <mergeCell ref="I1:J1"/>
    <mergeCell ref="G1:H1"/>
    <mergeCell ref="A1:B1"/>
    <mergeCell ref="C1:D1"/>
    <mergeCell ref="E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5"/>
  <sheetViews>
    <sheetView zoomScale="90" zoomScaleNormal="90" workbookViewId="0">
      <selection activeCell="C14" sqref="C14"/>
    </sheetView>
  </sheetViews>
  <sheetFormatPr defaultColWidth="8.85546875" defaultRowHeight="12" x14ac:dyDescent="0.2"/>
  <cols>
    <col min="1" max="1" width="41.140625" style="34" customWidth="1"/>
    <col min="2" max="2" width="9.7109375" style="33" customWidth="1"/>
    <col min="3" max="3" width="13.5703125" style="33" customWidth="1"/>
    <col min="4" max="4" width="12.7109375" style="33" customWidth="1"/>
    <col min="5" max="5" width="16.42578125" style="33" customWidth="1"/>
    <col min="6" max="6" width="16.140625" style="33" customWidth="1"/>
    <col min="7" max="7" width="15.7109375" style="33" customWidth="1"/>
    <col min="8" max="8" width="14.5703125" style="33" customWidth="1"/>
    <col min="9" max="9" width="12.42578125" style="33" customWidth="1"/>
    <col min="10" max="10" width="11.7109375" style="33" customWidth="1"/>
    <col min="11" max="11" width="13.85546875" style="33" customWidth="1"/>
    <col min="12" max="12" width="13.5703125" style="33" customWidth="1"/>
    <col min="13" max="13" width="11.7109375" style="33" customWidth="1"/>
    <col min="14" max="14" width="14.28515625" style="33" customWidth="1"/>
    <col min="15" max="15" width="11.7109375" style="33" customWidth="1"/>
    <col min="16" max="16384" width="8.85546875" style="33"/>
  </cols>
  <sheetData>
    <row r="1" spans="1:15" s="34" customFormat="1" ht="96" x14ac:dyDescent="0.2">
      <c r="A1" s="40"/>
      <c r="B1" s="40" t="s">
        <v>3</v>
      </c>
      <c r="C1" s="40" t="s">
        <v>820</v>
      </c>
      <c r="D1" s="40" t="s">
        <v>821</v>
      </c>
      <c r="E1" s="40" t="s">
        <v>822</v>
      </c>
      <c r="F1" s="40" t="s">
        <v>823</v>
      </c>
      <c r="G1" s="40" t="s">
        <v>824</v>
      </c>
      <c r="H1" s="40" t="s">
        <v>825</v>
      </c>
      <c r="I1" s="40" t="s">
        <v>826</v>
      </c>
      <c r="J1" s="40" t="s">
        <v>827</v>
      </c>
      <c r="K1" s="40" t="s">
        <v>828</v>
      </c>
      <c r="L1" s="40" t="s">
        <v>829</v>
      </c>
      <c r="M1" s="40" t="s">
        <v>830</v>
      </c>
      <c r="N1" s="40" t="s">
        <v>831</v>
      </c>
      <c r="O1" s="40" t="s">
        <v>832</v>
      </c>
    </row>
    <row r="2" spans="1:15" x14ac:dyDescent="0.2">
      <c r="A2" s="38" t="s">
        <v>3</v>
      </c>
      <c r="B2" s="39">
        <v>1</v>
      </c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</row>
    <row r="3" spans="1:15" ht="24" x14ac:dyDescent="0.2">
      <c r="A3" s="38" t="s">
        <v>820</v>
      </c>
      <c r="B3" s="39">
        <v>-4.3273838744875615E-2</v>
      </c>
      <c r="C3" s="39">
        <v>1</v>
      </c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</row>
    <row r="4" spans="1:15" ht="24" x14ac:dyDescent="0.2">
      <c r="A4" s="38" t="s">
        <v>821</v>
      </c>
      <c r="B4" s="39">
        <v>-9.4832015283515342E-2</v>
      </c>
      <c r="C4" s="39">
        <v>0.1676540187511672</v>
      </c>
      <c r="D4" s="39">
        <v>1</v>
      </c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</row>
    <row r="5" spans="1:15" ht="36" x14ac:dyDescent="0.2">
      <c r="A5" s="38" t="s">
        <v>822</v>
      </c>
      <c r="B5" s="39">
        <v>-6.8394039663815354E-2</v>
      </c>
      <c r="C5" s="39">
        <v>0.17522809914502011</v>
      </c>
      <c r="D5" s="39">
        <v>0.51758643015472883</v>
      </c>
      <c r="E5" s="39">
        <v>1</v>
      </c>
      <c r="F5" s="39"/>
      <c r="G5" s="39"/>
      <c r="H5" s="39"/>
      <c r="I5" s="39"/>
      <c r="J5" s="39"/>
      <c r="K5" s="39"/>
      <c r="L5" s="39"/>
      <c r="M5" s="39"/>
      <c r="N5" s="39"/>
      <c r="O5" s="39"/>
    </row>
    <row r="6" spans="1:15" ht="36" x14ac:dyDescent="0.2">
      <c r="A6" s="38" t="s">
        <v>823</v>
      </c>
      <c r="B6" s="39">
        <v>1.3057393559913984E-2</v>
      </c>
      <c r="C6" s="39">
        <v>0.15568745279828164</v>
      </c>
      <c r="D6" s="39">
        <v>0.46422859074904166</v>
      </c>
      <c r="E6" s="39">
        <v>0.83147259688030428</v>
      </c>
      <c r="F6" s="39">
        <v>1</v>
      </c>
      <c r="G6" s="39"/>
      <c r="H6" s="39"/>
      <c r="I6" s="39"/>
      <c r="J6" s="39"/>
      <c r="K6" s="39"/>
      <c r="L6" s="39"/>
      <c r="M6" s="39"/>
      <c r="N6" s="39"/>
      <c r="O6" s="39"/>
    </row>
    <row r="7" spans="1:15" ht="36" x14ac:dyDescent="0.2">
      <c r="A7" s="38" t="s">
        <v>824</v>
      </c>
      <c r="B7" s="39">
        <v>-7.7792877468869981E-2</v>
      </c>
      <c r="C7" s="39">
        <v>0.27062473944170046</v>
      </c>
      <c r="D7" s="39">
        <v>0.57755058743908727</v>
      </c>
      <c r="E7" s="39">
        <v>0.64547912767670845</v>
      </c>
      <c r="F7" s="39">
        <v>0.74718454990969962</v>
      </c>
      <c r="G7" s="39">
        <v>1</v>
      </c>
      <c r="H7" s="39"/>
      <c r="I7" s="39"/>
      <c r="J7" s="39"/>
      <c r="K7" s="39"/>
      <c r="L7" s="39"/>
      <c r="M7" s="39"/>
      <c r="N7" s="39"/>
      <c r="O7" s="39"/>
    </row>
    <row r="8" spans="1:15" ht="24" x14ac:dyDescent="0.2">
      <c r="A8" s="38" t="s">
        <v>825</v>
      </c>
      <c r="B8" s="39">
        <v>1.4470928032716516E-2</v>
      </c>
      <c r="C8" s="39">
        <v>0.11791628941113075</v>
      </c>
      <c r="D8" s="39">
        <v>0.3179076752634602</v>
      </c>
      <c r="E8" s="39">
        <v>0.69250257993982312</v>
      </c>
      <c r="F8" s="39">
        <v>0.76933663026660903</v>
      </c>
      <c r="G8" s="39">
        <v>0.54117535740935874</v>
      </c>
      <c r="H8" s="39">
        <v>1</v>
      </c>
      <c r="I8" s="39"/>
      <c r="J8" s="39"/>
      <c r="K8" s="39"/>
      <c r="L8" s="39"/>
      <c r="M8" s="39"/>
      <c r="N8" s="39"/>
      <c r="O8" s="39"/>
    </row>
    <row r="9" spans="1:15" ht="36" x14ac:dyDescent="0.2">
      <c r="A9" s="38" t="s">
        <v>826</v>
      </c>
      <c r="B9" s="39">
        <v>-8.8124305744533532E-2</v>
      </c>
      <c r="C9" s="39">
        <v>2.8501498713689167E-2</v>
      </c>
      <c r="D9" s="39">
        <v>6.3183923368080111E-2</v>
      </c>
      <c r="E9" s="39">
        <v>0.31219104428386013</v>
      </c>
      <c r="F9" s="39">
        <v>5.689015346499994E-2</v>
      </c>
      <c r="G9" s="39">
        <v>-0.36896545990854163</v>
      </c>
      <c r="H9" s="39">
        <v>0.14651156355734588</v>
      </c>
      <c r="I9" s="39">
        <v>1</v>
      </c>
      <c r="J9" s="39"/>
      <c r="K9" s="39"/>
      <c r="L9" s="39"/>
      <c r="M9" s="39"/>
      <c r="N9" s="39"/>
      <c r="O9" s="39"/>
    </row>
    <row r="10" spans="1:15" ht="24" x14ac:dyDescent="0.2">
      <c r="A10" s="38" t="s">
        <v>827</v>
      </c>
      <c r="B10" s="39">
        <v>-9.8010801572622243E-3</v>
      </c>
      <c r="C10" s="39">
        <v>0.16841151328489687</v>
      </c>
      <c r="D10" s="39">
        <v>0.5474525851025418</v>
      </c>
      <c r="E10" s="39">
        <v>0.85429576506561788</v>
      </c>
      <c r="F10" s="39">
        <v>0.95836854184145259</v>
      </c>
      <c r="G10" s="39">
        <v>0.7550814227707815</v>
      </c>
      <c r="H10" s="39">
        <v>0.78038524726895964</v>
      </c>
      <c r="I10" s="39">
        <v>0.1115329479384969</v>
      </c>
      <c r="J10" s="39">
        <v>1</v>
      </c>
      <c r="K10" s="39"/>
      <c r="L10" s="39"/>
      <c r="M10" s="39"/>
      <c r="N10" s="39"/>
      <c r="O10" s="39"/>
    </row>
    <row r="11" spans="1:15" ht="36" x14ac:dyDescent="0.2">
      <c r="A11" s="38" t="s">
        <v>828</v>
      </c>
      <c r="B11" s="39">
        <v>-9.681540823500652E-3</v>
      </c>
      <c r="C11" s="39">
        <v>0.16679525747349516</v>
      </c>
      <c r="D11" s="39">
        <v>0.54142432042018074</v>
      </c>
      <c r="E11" s="39">
        <v>0.8497557119077227</v>
      </c>
      <c r="F11" s="39">
        <v>0.95926911268398496</v>
      </c>
      <c r="G11" s="39">
        <v>0.75420874062144105</v>
      </c>
      <c r="H11" s="39">
        <v>0.78958479274289106</v>
      </c>
      <c r="I11" s="39">
        <v>0.11028305262921106</v>
      </c>
      <c r="J11" s="39">
        <v>0.99973896200647561</v>
      </c>
      <c r="K11" s="39">
        <v>1</v>
      </c>
      <c r="L11" s="39"/>
      <c r="M11" s="39"/>
      <c r="N11" s="39"/>
      <c r="O11" s="39"/>
    </row>
    <row r="12" spans="1:15" ht="24" x14ac:dyDescent="0.2">
      <c r="A12" s="38" t="s">
        <v>829</v>
      </c>
      <c r="B12" s="39">
        <v>1.0724885466404037E-2</v>
      </c>
      <c r="C12" s="39">
        <v>8.2727906691323766E-2</v>
      </c>
      <c r="D12" s="39">
        <v>0.36997158056148649</v>
      </c>
      <c r="E12" s="39">
        <v>0.2435883326989581</v>
      </c>
      <c r="F12" s="39">
        <v>7.4747155771860418E-2</v>
      </c>
      <c r="G12" s="39">
        <v>9.2651503527307486E-2</v>
      </c>
      <c r="H12" s="39">
        <v>-0.12786101702693822</v>
      </c>
      <c r="I12" s="39">
        <v>0.23494450050042273</v>
      </c>
      <c r="J12" s="39">
        <v>0.1874865229416221</v>
      </c>
      <c r="K12" s="39">
        <v>0.17028340018469229</v>
      </c>
      <c r="L12" s="39">
        <v>1</v>
      </c>
      <c r="M12" s="39"/>
      <c r="N12" s="39"/>
      <c r="O12" s="39"/>
    </row>
    <row r="13" spans="1:15" ht="24" x14ac:dyDescent="0.2">
      <c r="A13" s="38" t="s">
        <v>830</v>
      </c>
      <c r="B13" s="39">
        <v>-1.6024259467606113E-2</v>
      </c>
      <c r="C13" s="39">
        <v>0.14457854049464755</v>
      </c>
      <c r="D13" s="39">
        <v>0.466457686199308</v>
      </c>
      <c r="E13" s="39">
        <v>0.62659931055517326</v>
      </c>
      <c r="F13" s="39">
        <v>0.49114735928487796</v>
      </c>
      <c r="G13" s="39">
        <v>0.45050997489248329</v>
      </c>
      <c r="H13" s="39">
        <v>6.3233237867557954E-2</v>
      </c>
      <c r="I13" s="39">
        <v>3.0741886204785317E-2</v>
      </c>
      <c r="J13" s="39">
        <v>0.5263542873408672</v>
      </c>
      <c r="K13" s="39">
        <v>0.50771654748584838</v>
      </c>
      <c r="L13" s="39">
        <v>0.54235423152731499</v>
      </c>
      <c r="M13" s="39">
        <v>1</v>
      </c>
      <c r="N13" s="39"/>
      <c r="O13" s="39"/>
    </row>
    <row r="14" spans="1:15" ht="36" x14ac:dyDescent="0.2">
      <c r="A14" s="38" t="s">
        <v>831</v>
      </c>
      <c r="B14" s="39">
        <v>4.7154251280694726E-2</v>
      </c>
      <c r="C14" s="39">
        <v>-9.6087404055642978E-2</v>
      </c>
      <c r="D14" s="39">
        <v>-5.7470895550641908E-2</v>
      </c>
      <c r="E14" s="39">
        <v>-0.17480082624377674</v>
      </c>
      <c r="F14" s="39">
        <v>-0.18074106533030718</v>
      </c>
      <c r="G14" s="39">
        <v>0.26236039963362767</v>
      </c>
      <c r="H14" s="39">
        <v>-6.4140194919523275E-2</v>
      </c>
      <c r="I14" s="39">
        <v>-0.64616162996928694</v>
      </c>
      <c r="J14" s="39">
        <v>-0.15755985321944521</v>
      </c>
      <c r="K14" s="39">
        <v>-0.15498947316924513</v>
      </c>
      <c r="L14" s="39">
        <v>-6.7627854123389564E-2</v>
      </c>
      <c r="M14" s="39">
        <v>-0.19101274359652382</v>
      </c>
      <c r="N14" s="39">
        <v>1</v>
      </c>
      <c r="O14" s="39"/>
    </row>
    <row r="15" spans="1:15" ht="24" x14ac:dyDescent="0.2">
      <c r="A15" s="38" t="s">
        <v>832</v>
      </c>
      <c r="B15" s="39">
        <v>5.3912662106758026E-2</v>
      </c>
      <c r="C15" s="39">
        <v>-9.7850592663568228E-2</v>
      </c>
      <c r="D15" s="39">
        <v>-5.5978909352847474E-2</v>
      </c>
      <c r="E15" s="39">
        <v>-0.12599816527711824</v>
      </c>
      <c r="F15" s="39">
        <v>-0.15161883869316106</v>
      </c>
      <c r="G15" s="39">
        <v>0.28012962495296351</v>
      </c>
      <c r="H15" s="39">
        <v>-8.3433629128521689E-2</v>
      </c>
      <c r="I15" s="39">
        <v>-0.64341173882205871</v>
      </c>
      <c r="J15" s="39">
        <v>-0.12986250730601542</v>
      </c>
      <c r="K15" s="39">
        <v>-0.12971821628594607</v>
      </c>
      <c r="L15" s="39">
        <v>2.1583237699228444E-3</v>
      </c>
      <c r="M15" s="39">
        <v>-8.4607556023325273E-2</v>
      </c>
      <c r="N15" s="39">
        <v>0.99176047532921996</v>
      </c>
      <c r="O15" s="39">
        <v>1</v>
      </c>
    </row>
  </sheetData>
  <conditionalFormatting sqref="B2:O15">
    <cfRule type="cellIs" dxfId="7" priority="1" operator="lessThan">
      <formula>0</formula>
    </cfRule>
    <cfRule type="cellIs" dxfId="6" priority="2" operator="between">
      <formula>0.67</formula>
      <formula>0.99999</formula>
    </cfRule>
    <cfRule type="cellIs" dxfId="5" priority="3" operator="greaterThan">
      <formula>0.67</formula>
    </cfRule>
    <cfRule type="cellIs" dxfId="4" priority="4" operator="greaterThan">
      <formula>0.67</formula>
    </cfRule>
  </conditionalFormatting>
  <conditionalFormatting sqref="G5">
    <cfRule type="cellIs" dxfId="3" priority="5" operator="greaterThan">
      <formula>0.67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255"/>
  <sheetViews>
    <sheetView zoomScale="70" zoomScaleNormal="70" workbookViewId="0">
      <selection activeCell="B1" sqref="B1:B1048576"/>
    </sheetView>
  </sheetViews>
  <sheetFormatPr defaultColWidth="8.85546875" defaultRowHeight="15" x14ac:dyDescent="0.25"/>
  <cols>
    <col min="1" max="1" width="6.7109375" style="19" customWidth="1"/>
    <col min="2" max="3" width="20.28515625" style="19" customWidth="1"/>
    <col min="4" max="4" width="25.7109375" style="19" customWidth="1"/>
    <col min="5" max="5" width="25.7109375" style="20" customWidth="1"/>
    <col min="6" max="6" width="25.7109375" style="19" customWidth="1"/>
    <col min="7" max="10" width="25.7109375" style="20" customWidth="1"/>
    <col min="11" max="11" width="25.7109375" style="19" customWidth="1"/>
    <col min="12" max="14" width="25.7109375" style="20" customWidth="1"/>
    <col min="15" max="16" width="25.7109375" style="19" customWidth="1"/>
    <col min="17" max="16384" width="8.85546875" style="15"/>
  </cols>
  <sheetData>
    <row r="1" spans="2:16" ht="75" x14ac:dyDescent="0.25">
      <c r="B1" s="41" t="s">
        <v>847</v>
      </c>
      <c r="C1" s="13" t="s">
        <v>3</v>
      </c>
      <c r="D1" s="13" t="s">
        <v>820</v>
      </c>
      <c r="E1" s="14" t="s">
        <v>821</v>
      </c>
      <c r="F1" s="13" t="s">
        <v>822</v>
      </c>
      <c r="G1" s="14" t="s">
        <v>823</v>
      </c>
      <c r="H1" s="14" t="s">
        <v>824</v>
      </c>
      <c r="I1" s="14" t="s">
        <v>825</v>
      </c>
      <c r="J1" s="14" t="s">
        <v>826</v>
      </c>
      <c r="K1" s="13" t="s">
        <v>827</v>
      </c>
      <c r="L1" s="14" t="s">
        <v>828</v>
      </c>
      <c r="M1" s="14" t="s">
        <v>829</v>
      </c>
      <c r="N1" s="14" t="s">
        <v>830</v>
      </c>
      <c r="O1" s="13" t="s">
        <v>831</v>
      </c>
      <c r="P1" s="13" t="s">
        <v>832</v>
      </c>
    </row>
    <row r="2" spans="2:16" x14ac:dyDescent="0.25">
      <c r="B2" s="42">
        <f>('Выборка 1'!AL2+'Выборка 1'!AG2)/1000</f>
        <v>58</v>
      </c>
      <c r="C2" s="17">
        <v>12</v>
      </c>
      <c r="D2" s="17">
        <f>(('Выборка 1'!E2-'Выборка 1'!D2)+('Выборка 1'!F2-'Выборка 1'!E2)+('Выборка 1'!G2-'Выборка 1'!F2)+('Выборка 1'!H2-'Выборка 1'!G2))/4/1000</f>
        <v>0</v>
      </c>
      <c r="E2" s="44">
        <f>(('Выборка 1'!J2-'Выборка 1'!I2)+('Выборка 1'!K2-'Выборка 1'!J2)+('Выборка 1'!L2-'Выборка 1'!K2)+('Выборка 1'!M2-'Выборка 1'!L2))/4000</f>
        <v>0</v>
      </c>
      <c r="F2" s="17">
        <f>(('Выборка 1'!O2-'Выборка 1'!N2)+('Выборка 1'!P2-'Выборка 1'!O2)+('Выборка 1'!Q2-'Выборка 1'!P2)+('Выборка 1'!R2-'Выборка 1'!Q2))/4000</f>
        <v>-186.25</v>
      </c>
      <c r="G2" s="44">
        <f>(('Выборка 1'!T2-'Выборка 1'!S2)+('Выборка 1'!U2-'Выборка 1'!T2)+('Выборка 1'!V2-'Выборка 1'!U2)+('Выборка 1'!W2-'Выборка 1'!V2))/4000</f>
        <v>-132.25</v>
      </c>
      <c r="H2" s="44">
        <f>(('Выборка 1'!Y2-'Выборка 1'!X2)+('Выборка 1'!Z2+'Выборка 1'!Y2)+('Выборка 1'!AA2-'Выборка 1'!Z2)+('Выборка 1'!AB2-'Выборка 1'!AA2))/4000</f>
        <v>0</v>
      </c>
      <c r="I2" s="44">
        <f>(('Выборка 1'!AD2-'Выборка 1'!AC2)+('Выборка 1'!AE2-'Выборка 1'!AD2)+('Выборка 1'!AF2-'Выборка 1'!AE2)+('Выборка 1'!AG2-'Выборка 1'!AF2))/4000</f>
        <v>-536.25</v>
      </c>
      <c r="J2" s="44">
        <f>(('Выборка 1'!AI2-'Выборка 1'!AH2)+('Выборка 1'!AJ2-'Выборка 1'!AI2)+('Выборка 1'!AK2-'Выборка 1'!AJ2)+('Выборка 1'!AL2-'Выборка 1'!AK2))/4000</f>
        <v>14.5</v>
      </c>
      <c r="K2" s="17">
        <f>(('Выборка 1'!AN2-'Выборка 1'!AM2)+('Выборка 1'!AO2-'Выборка 1'!AN2)+('Выборка 1'!AP2-'Выборка 1'!AO2)+('Выборка 1'!AQ2-'Выборка 1'!AP2))/4000</f>
        <v>-2740.5</v>
      </c>
      <c r="L2" s="44">
        <f>((('Выборка 1'!AS2+'Выборка 1'!AX2)-('Выборка 1'!AR2+'Выборка 1'!AW2))+(('Выборка 1'!AT2+'Выборка 1'!AY2)-('Выборка 1'!AS2+'Выборка 1'!AX2))+(('Выборка 1'!AU2+'Выборка 1'!AZ2)-('Выборка 1'!AT2+'Выборка 1'!AY2))+(('Выборка 1'!AV2+'Выборка 1'!BA2)-('Выборка 1'!AU2+'Выборка 1'!AZ2)))/4000</f>
        <v>-2329.75</v>
      </c>
      <c r="M2" s="44">
        <f>(('Выборка 1'!BC2-'Выборка 1'!BB2)+('Выборка 1'!BD2-'Выборка 1'!BC2)+('Выборка 1'!BE2-'Выборка 1'!BD2)+('Выборка 1'!BF2-'Выборка 1'!BE2))/4000</f>
        <v>0</v>
      </c>
      <c r="N2" s="44">
        <f>K2-L2-M2</f>
        <v>-410.75</v>
      </c>
      <c r="O2" s="17">
        <f>((('Выборка 1'!BH2-'Выборка 1'!BM2)-('Выборка 1'!BG2-'Выборка 1'!BL2))+(('Выборка 1'!BI2-'Выборка 1'!BN2)-('Выборка 1'!BH2-'Выборка 1'!BM2))+(('Выборка 1'!BJ2-'Выборка 1'!BO2)-('Выборка 1'!BI2-'Выборка 1'!BN2))+(('Выборка 1'!BK2-'Выборка 1'!BP2)-('Выборка 1'!BJ2-'Выборка 1'!BO2)))/4000</f>
        <v>55.5</v>
      </c>
      <c r="P2" s="17">
        <f>(('Выборка 1'!BR2-'Выборка 1'!BQ2)+('Выборка 1'!BS2-'Выборка 1'!BR2)+('Выборка 1'!BT2-'Выборка 1'!BS2)+('Выборка 1'!BU2-'Выборка 1'!BT2))/4000</f>
        <v>-482</v>
      </c>
    </row>
    <row r="3" spans="2:16" x14ac:dyDescent="0.25">
      <c r="B3" s="42">
        <f>('Выборка 1'!AL3+'Выборка 1'!AG3)/1000</f>
        <v>16300</v>
      </c>
      <c r="C3" s="17">
        <v>17</v>
      </c>
      <c r="D3" s="17">
        <f>(('Выборка 1'!E3-'Выборка 1'!D3)+('Выборка 1'!F3-'Выборка 1'!E3)+('Выборка 1'!G3-'Выборка 1'!F3)+('Выборка 1'!H3-'Выборка 1'!G3))/4000</f>
        <v>-374</v>
      </c>
      <c r="E3" s="44">
        <f>(('Выборка 1'!J3-'Выборка 1'!I3)+('Выборка 1'!K3-'Выборка 1'!J3)+('Выборка 1'!L3-'Выборка 1'!K3)+('Выборка 1'!M3-'Выборка 1'!L3))/4000</f>
        <v>-493</v>
      </c>
      <c r="F3" s="17">
        <f>(('Выборка 1'!O3-'Выборка 1'!N3)+('Выборка 1'!P3-'Выборка 1'!O3)+('Выборка 1'!Q3-'Выборка 1'!P3)+('Выборка 1'!R3-'Выборка 1'!Q3))/4000</f>
        <v>-6043.5</v>
      </c>
      <c r="G3" s="44">
        <f>(('Выборка 1'!T3-'Выборка 1'!S3)+('Выборка 1'!U3-'Выборка 1'!T3)+('Выборка 1'!V3-'Выборка 1'!U3)+('Выборка 1'!W3-'Выборка 1'!V3))/4000</f>
        <v>-4097.25</v>
      </c>
      <c r="H3" s="44">
        <f>(('Выборка 1'!Y3-'Выборка 1'!X3)+('Выборка 1'!Z3+'Выборка 1'!Y3)+('Выборка 1'!AA3-'Выборка 1'!Z3)+('Выборка 1'!AB3-'Выборка 1'!AA3))/4000</f>
        <v>-7997.75</v>
      </c>
      <c r="I3" s="44">
        <f>(('Выборка 1'!AD3-'Выборка 1'!AC3)+('Выборка 1'!AE3-'Выборка 1'!AD3)+('Выборка 1'!AF3-'Выборка 1'!AE3)+('Выборка 1'!AG3-'Выборка 1'!AF3))/4000</f>
        <v>0</v>
      </c>
      <c r="J3" s="44">
        <f>(('Выборка 1'!AI3-'Выборка 1'!AH3)+('Выборка 1'!AJ3-'Выборка 1'!AI3)+('Выборка 1'!AK3-'Выборка 1'!AJ3)+('Выборка 1'!AL3-'Выборка 1'!AK3))/4000</f>
        <v>768</v>
      </c>
      <c r="K3" s="17">
        <f>(('Выборка 1'!AN3-'Выборка 1'!AM3)+('Выборка 1'!AO3-'Выборка 1'!AN3)+('Выборка 1'!AP3-'Выборка 1'!AO3)+('Выборка 1'!AQ3-'Выборка 1'!AP3))/4000</f>
        <v>-27902.25</v>
      </c>
      <c r="L3" s="44">
        <f>((('Выборка 1'!AS3+'Выборка 1'!AX3)-('Выборка 1'!AR3+'Выборка 1'!AW3))+(('Выборка 1'!AT3+'Выборка 1'!AY3)-('Выборка 1'!AS3+'Выборка 1'!AX3))+(('Выборка 1'!AU3+'Выборка 1'!AZ3)-('Выборка 1'!AT3+'Выборка 1'!AY3))+(('Выборка 1'!AV3+'Выборка 1'!BA3)-('Выборка 1'!AU3+'Выборка 1'!AZ3)))/4000</f>
        <v>-23558.75</v>
      </c>
      <c r="M3" s="44">
        <f>(('Выборка 1'!BC3-'Выборка 1'!BB3)+('Выборка 1'!BD3-'Выборка 1'!BC3)+('Выборка 1'!BE3-'Выборка 1'!BD3)+('Выборка 1'!BF3-'Выборка 1'!BE3))/4000</f>
        <v>0</v>
      </c>
      <c r="N3" s="44">
        <f t="shared" ref="N3:N66" si="0">K3-L3-M3</f>
        <v>-4343.5</v>
      </c>
      <c r="O3" s="17">
        <f>((('Выборка 1'!BH3-'Выборка 1'!BM3)-('Выборка 1'!BG3-'Выборка 1'!BL3))+(('Выборка 1'!BI3-'Выборка 1'!BN3)-('Выборка 1'!BH3-'Выборка 1'!BM3))+(('Выборка 1'!BJ3-'Выборка 1'!BO3)-('Выборка 1'!BI3-'Выборка 1'!BN3))+(('Выборка 1'!BK3-'Выборка 1'!BP3)-('Выборка 1'!BJ3-'Выборка 1'!BO3)))/4000</f>
        <v>-1577.5</v>
      </c>
      <c r="P3" s="17">
        <f>(('Выборка 1'!BR3-'Выборка 1'!BQ3)+('Выборка 1'!BS3-'Выборка 1'!BR3)+('Выборка 1'!BT3-'Выборка 1'!BS3)+('Выборка 1'!BU3-'Выборка 1'!BT3))/4000</f>
        <v>-5596</v>
      </c>
    </row>
    <row r="4" spans="2:16" x14ac:dyDescent="0.25">
      <c r="B4" s="42">
        <f>('Выборка 1'!AL4+'Выборка 1'!AG4)/1000</f>
        <v>0</v>
      </c>
      <c r="C4" s="17">
        <v>10</v>
      </c>
      <c r="D4" s="17">
        <f>(('Выборка 1'!E4-'Выборка 1'!D4)+('Выборка 1'!F4-'Выборка 1'!E4)+('Выборка 1'!G4-'Выборка 1'!F4)+('Выборка 1'!H4-'Выборка 1'!G4))/4000</f>
        <v>0</v>
      </c>
      <c r="E4" s="44">
        <f>(('Выборка 1'!J4-'Выборка 1'!I4)+('Выборка 1'!K4-'Выборка 1'!J4)+('Выборка 1'!L4-'Выборка 1'!K4)+('Выборка 1'!M4-'Выборка 1'!L4))/4000</f>
        <v>-8654</v>
      </c>
      <c r="F4" s="17">
        <f>(('Выборка 1'!O4-'Выборка 1'!N4)+('Выборка 1'!P4-'Выборка 1'!O4)+('Выборка 1'!Q4-'Выборка 1'!P4)+('Выборка 1'!R4-'Выборка 1'!Q4))/4000</f>
        <v>-246.25</v>
      </c>
      <c r="G4" s="44">
        <f>(('Выборка 1'!T4-'Выборка 1'!S4)+('Выборка 1'!U4-'Выборка 1'!T4)+('Выборка 1'!V4-'Выборка 1'!U4)+('Выборка 1'!W4-'Выборка 1'!V4))/4000</f>
        <v>0</v>
      </c>
      <c r="H4" s="44">
        <f>(('Выборка 1'!Y4-'Выборка 1'!X4)+('Выборка 1'!Z4+'Выборка 1'!Y4)+('Выборка 1'!AA4-'Выборка 1'!Z4)+('Выборка 1'!AB4-'Выборка 1'!AA4))/4000</f>
        <v>-85421.5</v>
      </c>
      <c r="I4" s="44">
        <f>(('Выборка 1'!AD4-'Выборка 1'!AC4)+('Выборка 1'!AE4-'Выборка 1'!AD4)+('Выборка 1'!AF4-'Выборка 1'!AE4)+('Выборка 1'!AG4-'Выборка 1'!AF4))/4000</f>
        <v>0</v>
      </c>
      <c r="J4" s="44">
        <f>(('Выборка 1'!AI4-'Выборка 1'!AH4)+('Выборка 1'!AJ4-'Выборка 1'!AI4)+('Выборка 1'!AK4-'Выборка 1'!AJ4)+('Выборка 1'!AL4-'Выборка 1'!AK4))/4000</f>
        <v>-1638.5</v>
      </c>
      <c r="K4" s="17">
        <f>(('Выборка 1'!AN4-'Выборка 1'!AM4)+('Выборка 1'!AO4-'Выборка 1'!AN4)+('Выборка 1'!AP4-'Выборка 1'!AO4)+('Выборка 1'!AQ4-'Выборка 1'!AP4))/4000</f>
        <v>0</v>
      </c>
      <c r="L4" s="44">
        <f>((('Выборка 1'!AS4+'Выборка 1'!AX4)-('Выборка 1'!AR4+'Выборка 1'!AW4))+(('Выборка 1'!AT4+'Выборка 1'!AY4)-('Выборка 1'!AS4+'Выборка 1'!AX4))+(('Выборка 1'!AU4+'Выборка 1'!AZ4)-('Выборка 1'!AT4+'Выборка 1'!AY4))+(('Выборка 1'!AV4+'Выборка 1'!BA4)-('Выборка 1'!AU4+'Выборка 1'!AZ4)))/4000</f>
        <v>0</v>
      </c>
      <c r="M4" s="44">
        <f>(('Выборка 1'!BC4-'Выборка 1'!BB4)+('Выборка 1'!BD4-'Выборка 1'!BC4)+('Выборка 1'!BE4-'Выборка 1'!BD4)+('Выборка 1'!BF4-'Выборка 1'!BE4))/4000</f>
        <v>0</v>
      </c>
      <c r="N4" s="44">
        <f t="shared" si="0"/>
        <v>0</v>
      </c>
      <c r="O4" s="17">
        <f>((('Выборка 1'!BH4-'Выборка 1'!BM4)-('Выборка 1'!BG4-'Выборка 1'!BL4))+(('Выборка 1'!BI4-'Выборка 1'!BN4)-('Выборка 1'!BH4-'Выборка 1'!BM4))+(('Выборка 1'!BJ4-'Выборка 1'!BO4)-('Выборка 1'!BI4-'Выборка 1'!BN4))+(('Выборка 1'!BK4-'Выборка 1'!BP4)-('Выборка 1'!BJ4-'Выборка 1'!BO4)))/4000</f>
        <v>0</v>
      </c>
      <c r="P4" s="17">
        <f>(('Выборка 1'!BR4-'Выборка 1'!BQ4)+('Выборка 1'!BS4-'Выборка 1'!BR4)+('Выборка 1'!BT4-'Выборка 1'!BS4)+('Выборка 1'!BU4-'Выборка 1'!BT4))/4000</f>
        <v>0</v>
      </c>
    </row>
    <row r="5" spans="2:16" x14ac:dyDescent="0.25">
      <c r="B5" s="42">
        <f>('Выборка 1'!AL5+'Выборка 1'!AG5)/1000</f>
        <v>42556</v>
      </c>
      <c r="C5" s="17">
        <v>18</v>
      </c>
      <c r="D5" s="17">
        <f>(('Выборка 1'!E5-'Выборка 1'!D5)+('Выборка 1'!F5-'Выборка 1'!E5)+('Выборка 1'!G5-'Выборка 1'!F5)+('Выборка 1'!H5-'Выборка 1'!G5))/4000</f>
        <v>0</v>
      </c>
      <c r="E5" s="44">
        <f>(('Выборка 1'!J5-'Выборка 1'!I5)+('Выборка 1'!K5-'Выборка 1'!J5)+('Выборка 1'!L5-'Выборка 1'!K5)+('Выборка 1'!M5-'Выборка 1'!L5))/4000</f>
        <v>-0.5</v>
      </c>
      <c r="F5" s="17">
        <f>(('Выборка 1'!O5-'Выборка 1'!N5)+('Выборка 1'!P5-'Выборка 1'!O5)+('Выборка 1'!Q5-'Выборка 1'!P5)+('Выборка 1'!R5-'Выборка 1'!Q5))/4000</f>
        <v>-6187</v>
      </c>
      <c r="G5" s="44">
        <f>(('Выборка 1'!T5-'Выборка 1'!S5)+('Выборка 1'!U5-'Выборка 1'!T5)+('Выборка 1'!V5-'Выборка 1'!U5)+('Выборка 1'!W5-'Выборка 1'!V5))/4000</f>
        <v>-8925.5</v>
      </c>
      <c r="H5" s="44">
        <f>(('Выборка 1'!Y5-'Выборка 1'!X5)+('Выборка 1'!Z5+'Выборка 1'!Y5)+('Выборка 1'!AA5-'Выборка 1'!Z5)+('Выборка 1'!AB5-'Выборка 1'!AA5))/4000</f>
        <v>-3561.25</v>
      </c>
      <c r="I5" s="44">
        <f>(('Выборка 1'!AD5-'Выборка 1'!AC5)+('Выборка 1'!AE5-'Выборка 1'!AD5)+('Выборка 1'!AF5-'Выборка 1'!AE5)+('Выборка 1'!AG5-'Выборка 1'!AF5))/4000</f>
        <v>0</v>
      </c>
      <c r="J5" s="44">
        <f>(('Выборка 1'!AI5-'Выборка 1'!AH5)+('Выборка 1'!AJ5-'Выборка 1'!AI5)+('Выборка 1'!AK5-'Выборка 1'!AJ5)+('Выборка 1'!AL5-'Выборка 1'!AK5))/4000</f>
        <v>-1196.5</v>
      </c>
      <c r="K5" s="17">
        <f>(('Выборка 1'!AN5-'Выборка 1'!AM5)+('Выборка 1'!AO5-'Выборка 1'!AN5)+('Выборка 1'!AP5-'Выборка 1'!AO5)+('Выборка 1'!AQ5-'Выборка 1'!AP5))/4000</f>
        <v>-28999.5</v>
      </c>
      <c r="L5" s="44">
        <f>((('Выборка 1'!AS5+'Выборка 1'!AX5)-('Выборка 1'!AR5+'Выборка 1'!AW5))+(('Выборка 1'!AT5+'Выборка 1'!AY5)-('Выборка 1'!AS5+'Выборка 1'!AX5))+(('Выборка 1'!AU5+'Выборка 1'!AZ5)-('Выборка 1'!AT5+'Выборка 1'!AY5))+(('Выборка 1'!AV5+'Выборка 1'!BA5)-('Выборка 1'!AU5+'Выборка 1'!AZ5)))/4000</f>
        <v>-25238.5</v>
      </c>
      <c r="M5" s="44">
        <f>(('Выборка 1'!BC5-'Выборка 1'!BB5)+('Выборка 1'!BD5-'Выборка 1'!BC5)+('Выборка 1'!BE5-'Выборка 1'!BD5)+('Выборка 1'!BF5-'Выборка 1'!BE5))/4000</f>
        <v>0</v>
      </c>
      <c r="N5" s="44">
        <f t="shared" si="0"/>
        <v>-3761</v>
      </c>
      <c r="O5" s="17">
        <f>((('Выборка 1'!BH5-'Выборка 1'!BM5)-('Выборка 1'!BG5-'Выборка 1'!BL5))+(('Выборка 1'!BI5-'Выборка 1'!BN5)-('Выборка 1'!BH5-'Выборка 1'!BM5))+(('Выборка 1'!BJ5-'Выборка 1'!BO5)-('Выборка 1'!BI5-'Выборка 1'!BN5))+(('Выборка 1'!BK5-'Выборка 1'!BP5)-('Выборка 1'!BJ5-'Выборка 1'!BO5)))/4000</f>
        <v>4050.25</v>
      </c>
      <c r="P5" s="17">
        <f>(('Выборка 1'!BR5-'Выборка 1'!BQ5)+('Выборка 1'!BS5-'Выборка 1'!BR5)+('Выборка 1'!BT5-'Выборка 1'!BS5)+('Выборка 1'!BU5-'Выборка 1'!BT5))/4000</f>
        <v>342.25</v>
      </c>
    </row>
    <row r="6" spans="2:16" x14ac:dyDescent="0.25">
      <c r="B6" s="42">
        <f>('Выборка 1'!AL6+'Выборка 1'!AG6)/1000</f>
        <v>0</v>
      </c>
      <c r="C6" s="17">
        <v>16</v>
      </c>
      <c r="D6" s="17">
        <f>(('Выборка 1'!E6-'Выборка 1'!D6)+('Выборка 1'!F6-'Выборка 1'!E6)+('Выборка 1'!G6-'Выборка 1'!F6)+('Выборка 1'!H6-'Выборка 1'!G6))/4000</f>
        <v>0</v>
      </c>
      <c r="E6" s="44">
        <f>(('Выборка 1'!J6-'Выборка 1'!I6)+('Выборка 1'!K6-'Выборка 1'!J6)+('Выборка 1'!L6-'Выборка 1'!K6)+('Выборка 1'!M6-'Выборка 1'!L6))/4000</f>
        <v>-16.75</v>
      </c>
      <c r="F6" s="17">
        <f>(('Выборка 1'!O6-'Выборка 1'!N6)+('Выборка 1'!P6-'Выборка 1'!O6)+('Выборка 1'!Q6-'Выборка 1'!P6)+('Выборка 1'!R6-'Выборка 1'!Q6))/4000</f>
        <v>-780.75</v>
      </c>
      <c r="G6" s="44">
        <f>(('Выборка 1'!T6-'Выборка 1'!S6)+('Выборка 1'!U6-'Выборка 1'!T6)+('Выборка 1'!V6-'Выборка 1'!U6)+('Выборка 1'!W6-'Выборка 1'!V6))/4000</f>
        <v>-67.5</v>
      </c>
      <c r="H6" s="44">
        <f>(('Выборка 1'!Y6-'Выборка 1'!X6)+('Выборка 1'!Z6+'Выборка 1'!Y6)+('Выборка 1'!AA6-'Выборка 1'!Z6)+('Выборка 1'!AB6-'Выборка 1'!AA6))/4000</f>
        <v>1392.75</v>
      </c>
      <c r="I6" s="44">
        <f>(('Выборка 1'!AD6-'Выборка 1'!AC6)+('Выборка 1'!AE6-'Выборка 1'!AD6)+('Выборка 1'!AF6-'Выборка 1'!AE6)+('Выборка 1'!AG6-'Выборка 1'!AF6))/4000</f>
        <v>0</v>
      </c>
      <c r="J6" s="44">
        <f>(('Выборка 1'!AI6-'Выборка 1'!AH6)+('Выборка 1'!AJ6-'Выборка 1'!AI6)+('Выборка 1'!AK6-'Выборка 1'!AJ6)+('Выборка 1'!AL6-'Выборка 1'!AK6))/4000</f>
        <v>-45889.75</v>
      </c>
      <c r="K6" s="17">
        <f>(('Выборка 1'!AN6-'Выборка 1'!AM6)+('Выборка 1'!AO6-'Выборка 1'!AN6)+('Выборка 1'!AP6-'Выборка 1'!AO6)+('Выборка 1'!AQ6-'Выборка 1'!AP6))/4000</f>
        <v>-6629.25</v>
      </c>
      <c r="L6" s="44">
        <f>((('Выборка 1'!AS6+'Выборка 1'!AX6)-('Выборка 1'!AR6+'Выборка 1'!AW6))+(('Выборка 1'!AT6+'Выборка 1'!AY6)-('Выборка 1'!AS6+'Выборка 1'!AX6))+(('Выборка 1'!AU6+'Выборка 1'!AZ6)-('Выборка 1'!AT6+'Выборка 1'!AY6))+(('Выборка 1'!AV6+'Выборка 1'!BA6)-('Выборка 1'!AU6+'Выборка 1'!AZ6)))/4000</f>
        <v>-4712.25</v>
      </c>
      <c r="M6" s="44">
        <f>(('Выборка 1'!BC6-'Выборка 1'!BB6)+('Выборка 1'!BD6-'Выборка 1'!BC6)+('Выборка 1'!BE6-'Выборка 1'!BD6)+('Выборка 1'!BF6-'Выборка 1'!BE6))/4000</f>
        <v>-338.25</v>
      </c>
      <c r="N6" s="44">
        <f t="shared" si="0"/>
        <v>-1578.75</v>
      </c>
      <c r="O6" s="17">
        <f>((('Выборка 1'!BH6-'Выборка 1'!BM6)-('Выборка 1'!BG6-'Выборка 1'!BL6))+(('Выборка 1'!BI6-'Выборка 1'!BN6)-('Выборка 1'!BH6-'Выборка 1'!BM6))+(('Выборка 1'!BJ6-'Выборка 1'!BO6)-('Выборка 1'!BI6-'Выборка 1'!BN6))+(('Выборка 1'!BK6-'Выборка 1'!BP6)-('Выборка 1'!BJ6-'Выборка 1'!BO6)))/4000</f>
        <v>1531.25</v>
      </c>
      <c r="P6" s="17">
        <f>(('Выборка 1'!BR6-'Выборка 1'!BQ6)+('Выборка 1'!BS6-'Выборка 1'!BR6)+('Выборка 1'!BT6-'Выборка 1'!BS6)+('Выборка 1'!BU6-'Выборка 1'!BT6))/4000</f>
        <v>-47.5</v>
      </c>
    </row>
    <row r="7" spans="2:16" x14ac:dyDescent="0.25">
      <c r="B7" s="42">
        <f>('Выборка 1'!AL7+'Выборка 1'!AG7)/1000</f>
        <v>28101</v>
      </c>
      <c r="C7" s="17">
        <v>30</v>
      </c>
      <c r="D7" s="17">
        <f>(('Выборка 1'!E7-'Выборка 1'!D7)+('Выборка 1'!F7-'Выборка 1'!E7)+('Выборка 1'!G7-'Выборка 1'!F7)+('Выборка 1'!H7-'Выборка 1'!G7))/4000</f>
        <v>-235.25</v>
      </c>
      <c r="E7" s="44">
        <f>(('Выборка 1'!J7-'Выборка 1'!I7)+('Выборка 1'!K7-'Выборка 1'!J7)+('Выборка 1'!L7-'Выборка 1'!K7)+('Выборка 1'!M7-'Выборка 1'!L7))/4000</f>
        <v>-211.5</v>
      </c>
      <c r="F7" s="17">
        <f>(('Выборка 1'!O7-'Выборка 1'!N7)+('Выборка 1'!P7-'Выборка 1'!O7)+('Выборка 1'!Q7-'Выборка 1'!P7)+('Выборка 1'!R7-'Выборка 1'!Q7))/4000</f>
        <v>-458.75</v>
      </c>
      <c r="G7" s="44">
        <f>(('Выборка 1'!T7-'Выборка 1'!S7)+('Выборка 1'!U7-'Выборка 1'!T7)+('Выборка 1'!V7-'Выборка 1'!U7)+('Выборка 1'!W7-'Выборка 1'!V7))/4000</f>
        <v>-692</v>
      </c>
      <c r="H7" s="44">
        <f>(('Выборка 1'!Y7-'Выборка 1'!X7)+('Выборка 1'!Z7+'Выборка 1'!Y7)+('Выборка 1'!AA7-'Выборка 1'!Z7)+('Выборка 1'!AB7-'Выборка 1'!AA7))/4000</f>
        <v>-18621.75</v>
      </c>
      <c r="I7" s="44">
        <f>(('Выборка 1'!AD7-'Выборка 1'!AC7)+('Выборка 1'!AE7-'Выборка 1'!AD7)+('Выборка 1'!AF7-'Выборка 1'!AE7)+('Выборка 1'!AG7-'Выборка 1'!AF7))/4000</f>
        <v>0</v>
      </c>
      <c r="J7" s="44">
        <f>(('Выборка 1'!AI7-'Выборка 1'!AH7)+('Выборка 1'!AJ7-'Выборка 1'!AI7)+('Выборка 1'!AK7-'Выборка 1'!AJ7)+('Выборка 1'!AL7-'Выборка 1'!AK7))/4000</f>
        <v>2580</v>
      </c>
      <c r="K7" s="17">
        <f>(('Выборка 1'!AN7-'Выборка 1'!AM7)+('Выборка 1'!AO7-'Выборка 1'!AN7)+('Выборка 1'!AP7-'Выборка 1'!AO7)+('Выборка 1'!AQ7-'Выборка 1'!AP7))/4000</f>
        <v>-3495</v>
      </c>
      <c r="L7" s="44">
        <f>((('Выборка 1'!AS7+'Выборка 1'!AX7)-('Выборка 1'!AR7+'Выборка 1'!AW7))+(('Выборка 1'!AT7+'Выборка 1'!AY7)-('Выборка 1'!AS7+'Выборка 1'!AX7))+(('Выборка 1'!AU7+'Выборка 1'!AZ7)-('Выборка 1'!AT7+'Выборка 1'!AY7))+(('Выборка 1'!AV7+'Выборка 1'!BA7)-('Выборка 1'!AU7+'Выборка 1'!AZ7)))/4000</f>
        <v>-2881.5</v>
      </c>
      <c r="M7" s="44">
        <f>(('Выборка 1'!BC7-'Выборка 1'!BB7)+('Выборка 1'!BD7-'Выборка 1'!BC7)+('Выборка 1'!BE7-'Выборка 1'!BD7)+('Выборка 1'!BF7-'Выборка 1'!BE7))/4000</f>
        <v>-1944.5</v>
      </c>
      <c r="N7" s="44">
        <f t="shared" si="0"/>
        <v>1331</v>
      </c>
      <c r="O7" s="17">
        <f>((('Выборка 1'!BH7-'Выборка 1'!BM7)-('Выборка 1'!BG7-'Выборка 1'!BL7))+(('Выборка 1'!BI7-'Выборка 1'!BN7)-('Выборка 1'!BH7-'Выборка 1'!BM7))+(('Выборка 1'!BJ7-'Выборка 1'!BO7)-('Выборка 1'!BI7-'Выборка 1'!BN7))+(('Выборка 1'!BK7-'Выборка 1'!BP7)-('Выборка 1'!BJ7-'Выборка 1'!BO7)))/4000</f>
        <v>-27.5</v>
      </c>
      <c r="P7" s="17">
        <f>(('Выборка 1'!BR7-'Выборка 1'!BQ7)+('Выборка 1'!BS7-'Выборка 1'!BR7)+('Выборка 1'!BT7-'Выборка 1'!BS7)+('Выборка 1'!BU7-'Выборка 1'!BT7))/4000</f>
        <v>1227.75</v>
      </c>
    </row>
    <row r="8" spans="2:16" x14ac:dyDescent="0.25">
      <c r="B8" s="42">
        <f>('Выборка 1'!AL8+'Выборка 1'!AG8)/1000</f>
        <v>49764</v>
      </c>
      <c r="C8" s="17">
        <v>18</v>
      </c>
      <c r="D8" s="17">
        <f>(('Выборка 1'!E8-'Выборка 1'!D8)+('Выборка 1'!F8-'Выборка 1'!E8)+('Выборка 1'!G8-'Выборка 1'!F8)+('Выборка 1'!H8-'Выборка 1'!G8))/4000</f>
        <v>0</v>
      </c>
      <c r="E8" s="44">
        <f>(('Выборка 1'!J8-'Выборка 1'!I8)+('Выборка 1'!K8-'Выборка 1'!J8)+('Выборка 1'!L8-'Выборка 1'!K8)+('Выборка 1'!M8-'Выборка 1'!L8))/4000</f>
        <v>0</v>
      </c>
      <c r="F8" s="17">
        <f>(('Выборка 1'!O8-'Выборка 1'!N8)+('Выборка 1'!P8-'Выборка 1'!O8)+('Выборка 1'!Q8-'Выборка 1'!P8)+('Выборка 1'!R8-'Выборка 1'!Q8))/4000</f>
        <v>1485.5</v>
      </c>
      <c r="G8" s="44">
        <f>(('Выборка 1'!T8-'Выборка 1'!S8)+('Выборка 1'!U8-'Выборка 1'!T8)+('Выборка 1'!V8-'Выборка 1'!U8)+('Выборка 1'!W8-'Выборка 1'!V8))/4000</f>
        <v>-298</v>
      </c>
      <c r="H8" s="44">
        <f>(('Выборка 1'!Y8-'Выборка 1'!X8)+('Выборка 1'!Z8+'Выборка 1'!Y8)+('Выборка 1'!AA8-'Выборка 1'!Z8)+('Выборка 1'!AB8-'Выборка 1'!AA8))/4000</f>
        <v>7031.25</v>
      </c>
      <c r="I8" s="44">
        <f>(('Выборка 1'!AD8-'Выборка 1'!AC8)+('Выборка 1'!AE8-'Выборка 1'!AD8)+('Выборка 1'!AF8-'Выборка 1'!AE8)+('Выборка 1'!AG8-'Выборка 1'!AF8))/4000</f>
        <v>-24930.25</v>
      </c>
      <c r="J8" s="44">
        <f>(('Выборка 1'!AI8-'Выборка 1'!AH8)+('Выборка 1'!AJ8-'Выборка 1'!AI8)+('Выборка 1'!AK8-'Выборка 1'!AJ8)+('Выборка 1'!AL8-'Выборка 1'!AK8))/4000</f>
        <v>12441</v>
      </c>
      <c r="K8" s="17">
        <f>(('Выборка 1'!AN8-'Выборка 1'!AM8)+('Выборка 1'!AO8-'Выборка 1'!AN8)+('Выборка 1'!AP8-'Выборка 1'!AO8)+('Выборка 1'!AQ8-'Выборка 1'!AP8))/4000</f>
        <v>0</v>
      </c>
      <c r="L8" s="44">
        <f>((('Выборка 1'!AS8+'Выборка 1'!AX8)-('Выборка 1'!AR8+'Выборка 1'!AW8))+(('Выборка 1'!AT8+'Выборка 1'!AY8)-('Выборка 1'!AS8+'Выборка 1'!AX8))+(('Выборка 1'!AU8+'Выборка 1'!AZ8)-('Выборка 1'!AT8+'Выборка 1'!AY8))+(('Выборка 1'!AV8+'Выборка 1'!BA8)-('Выборка 1'!AU8+'Выборка 1'!AZ8)))/4000</f>
        <v>0</v>
      </c>
      <c r="M8" s="44">
        <f>(('Выборка 1'!BC8-'Выборка 1'!BB8)+('Выборка 1'!BD8-'Выборка 1'!BC8)+('Выборка 1'!BE8-'Выборка 1'!BD8)+('Выборка 1'!BF8-'Выборка 1'!BE8))/4000</f>
        <v>0</v>
      </c>
      <c r="N8" s="44">
        <f t="shared" si="0"/>
        <v>0</v>
      </c>
      <c r="O8" s="17">
        <f>((('Выборка 1'!BH8-'Выборка 1'!BM8)-('Выборка 1'!BG8-'Выборка 1'!BL8))+(('Выборка 1'!BI8-'Выборка 1'!BN8)-('Выборка 1'!BH8-'Выборка 1'!BM8))+(('Выборка 1'!BJ8-'Выборка 1'!BO8)-('Выборка 1'!BI8-'Выборка 1'!BN8))+(('Выборка 1'!BK8-'Выборка 1'!BP8)-('Выборка 1'!BJ8-'Выборка 1'!BO8)))/4000</f>
        <v>93.25</v>
      </c>
      <c r="P8" s="17">
        <f>(('Выборка 1'!BR8-'Выборка 1'!BQ8)+('Выборка 1'!BS8-'Выборка 1'!BR8)+('Выборка 1'!BT8-'Выборка 1'!BS8)+('Выборка 1'!BU8-'Выборка 1'!BT8))/4000</f>
        <v>93.25</v>
      </c>
    </row>
    <row r="9" spans="2:16" x14ac:dyDescent="0.25">
      <c r="B9" s="42">
        <f>('Выборка 1'!AL9+'Выборка 1'!AG9)/1000</f>
        <v>48749</v>
      </c>
      <c r="C9" s="17">
        <v>20</v>
      </c>
      <c r="D9" s="17">
        <f>(('Выборка 1'!E9-'Выборка 1'!D9)+('Выборка 1'!F9-'Выборка 1'!E9)+('Выборка 1'!G9-'Выборка 1'!F9)+('Выборка 1'!H9-'Выборка 1'!G9))/4000</f>
        <v>0</v>
      </c>
      <c r="E9" s="44">
        <f>(('Выборка 1'!J9-'Выборка 1'!I9)+('Выборка 1'!K9-'Выборка 1'!J9)+('Выборка 1'!L9-'Выборка 1'!K9)+('Выборка 1'!M9-'Выборка 1'!L9))/4000</f>
        <v>0</v>
      </c>
      <c r="F9" s="17">
        <f>(('Выборка 1'!O9-'Выборка 1'!N9)+('Выборка 1'!P9-'Выборка 1'!O9)+('Выборка 1'!Q9-'Выборка 1'!P9)+('Выборка 1'!R9-'Выборка 1'!Q9))/4000</f>
        <v>-2159</v>
      </c>
      <c r="G9" s="44">
        <f>(('Выборка 1'!T9-'Выборка 1'!S9)+('Выборка 1'!U9-'Выборка 1'!T9)+('Выборка 1'!V9-'Выборка 1'!U9)+('Выборка 1'!W9-'Выборка 1'!V9))/4000</f>
        <v>-5.5</v>
      </c>
      <c r="H9" s="44">
        <f>(('Выборка 1'!Y9-'Выборка 1'!X9)+('Выборка 1'!Z9+'Выборка 1'!Y9)+('Выборка 1'!AA9-'Выборка 1'!Z9)+('Выборка 1'!AB9-'Выборка 1'!AA9))/4000</f>
        <v>0</v>
      </c>
      <c r="I9" s="44">
        <f>(('Выборка 1'!AD9-'Выборка 1'!AC9)+('Выборка 1'!AE9-'Выборка 1'!AD9)+('Выборка 1'!AF9-'Выборка 1'!AE9)+('Выборка 1'!AG9-'Выборка 1'!AF9))/4000</f>
        <v>0</v>
      </c>
      <c r="J9" s="44">
        <f>(('Выборка 1'!AI9-'Выборка 1'!AH9)+('Выборка 1'!AJ9-'Выборка 1'!AI9)+('Выборка 1'!AK9-'Выборка 1'!AJ9)+('Выборка 1'!AL9-'Выборка 1'!AK9))/4000</f>
        <v>-1273.5</v>
      </c>
      <c r="K9" s="17">
        <f>(('Выборка 1'!AN9-'Выборка 1'!AM9)+('Выборка 1'!AO9-'Выборка 1'!AN9)+('Выборка 1'!AP9-'Выборка 1'!AO9)+('Выборка 1'!AQ9-'Выборка 1'!AP9))/4000</f>
        <v>-27.75</v>
      </c>
      <c r="L9" s="44">
        <f>((('Выборка 1'!AS9+'Выборка 1'!AX9)-('Выборка 1'!AR9+'Выборка 1'!AW9))+(('Выборка 1'!AT9+'Выборка 1'!AY9)-('Выборка 1'!AS9+'Выборка 1'!AX9))+(('Выборка 1'!AU9+'Выборка 1'!AZ9)-('Выборка 1'!AT9+'Выборка 1'!AY9))+(('Выборка 1'!AV9+'Выборка 1'!BA9)-('Выборка 1'!AU9+'Выборка 1'!AZ9)))/4000</f>
        <v>-31.75</v>
      </c>
      <c r="M9" s="44">
        <f>(('Выборка 1'!BC9-'Выборка 1'!BB9)+('Выборка 1'!BD9-'Выборка 1'!BC9)+('Выборка 1'!BE9-'Выборка 1'!BD9)+('Выборка 1'!BF9-'Выборка 1'!BE9))/4000</f>
        <v>0</v>
      </c>
      <c r="N9" s="44">
        <f t="shared" si="0"/>
        <v>4</v>
      </c>
      <c r="O9" s="17">
        <f>((('Выборка 1'!BH9-'Выборка 1'!BM9)-('Выборка 1'!BG9-'Выборка 1'!BL9))+(('Выборка 1'!BI9-'Выборка 1'!BN9)-('Выборка 1'!BH9-'Выборка 1'!BM9))+(('Выборка 1'!BJ9-'Выборка 1'!BO9)-('Выборка 1'!BI9-'Выборка 1'!BN9))+(('Выборка 1'!BK9-'Выборка 1'!BP9)-('Выборка 1'!BJ9-'Выборка 1'!BO9)))/4000</f>
        <v>2304</v>
      </c>
      <c r="P9" s="17">
        <f>(('Выборка 1'!BR9-'Выборка 1'!BQ9)+('Выборка 1'!BS9-'Выборка 1'!BR9)+('Выборка 1'!BT9-'Выборка 1'!BS9)+('Выборка 1'!BU9-'Выборка 1'!BT9))/4000</f>
        <v>2325</v>
      </c>
    </row>
    <row r="10" spans="2:16" x14ac:dyDescent="0.25">
      <c r="B10" s="42">
        <f>('Выборка 1'!AL10+'Выборка 1'!AG10)/1000</f>
        <v>14648</v>
      </c>
      <c r="C10" s="17">
        <v>14</v>
      </c>
      <c r="D10" s="17">
        <f>(('Выборка 1'!E10-'Выборка 1'!D10)+('Выборка 1'!F10-'Выборка 1'!E10)+('Выборка 1'!G10-'Выборка 1'!F10)+('Выборка 1'!H10-'Выборка 1'!G10))/4000</f>
        <v>0</v>
      </c>
      <c r="E10" s="44">
        <f>(('Выборка 1'!J10-'Выборка 1'!I10)+('Выборка 1'!K10-'Выборка 1'!J10)+('Выборка 1'!L10-'Выборка 1'!K10)+('Выборка 1'!M10-'Выборка 1'!L10))/4000</f>
        <v>5</v>
      </c>
      <c r="F10" s="17">
        <f>(('Выборка 1'!O10-'Выборка 1'!N10)+('Выборка 1'!P10-'Выборка 1'!O10)+('Выборка 1'!Q10-'Выборка 1'!P10)+('Выборка 1'!R10-'Выборка 1'!Q10))/4000</f>
        <v>-3780.25</v>
      </c>
      <c r="G10" s="44">
        <f>(('Выборка 1'!T10-'Выборка 1'!S10)+('Выборка 1'!U10-'Выборка 1'!T10)+('Выборка 1'!V10-'Выборка 1'!U10)+('Выборка 1'!W10-'Выборка 1'!V10))/4000</f>
        <v>-6</v>
      </c>
      <c r="H10" s="44">
        <f>(('Выборка 1'!Y10-'Выборка 1'!X10)+('Выборка 1'!Z10+'Выборка 1'!Y10)+('Выборка 1'!AA10-'Выборка 1'!Z10)+('Выборка 1'!AB10-'Выборка 1'!AA10))/4000</f>
        <v>0</v>
      </c>
      <c r="I10" s="44">
        <f>(('Выборка 1'!AD10-'Выборка 1'!AC10)+('Выборка 1'!AE10-'Выборка 1'!AD10)+('Выборка 1'!AF10-'Выборка 1'!AE10)+('Выборка 1'!AG10-'Выборка 1'!AF10))/4000</f>
        <v>0</v>
      </c>
      <c r="J10" s="44">
        <f>(('Выборка 1'!AI10-'Выборка 1'!AH10)+('Выборка 1'!AJ10-'Выборка 1'!AI10)+('Выборка 1'!AK10-'Выборка 1'!AJ10)+('Выборка 1'!AL10-'Выборка 1'!AK10))/4000</f>
        <v>-1742.5</v>
      </c>
      <c r="K10" s="17">
        <f>(('Выборка 1'!AN10-'Выборка 1'!AM10)+('Выборка 1'!AO10-'Выборка 1'!AN10)+('Выборка 1'!AP10-'Выборка 1'!AO10)+('Выборка 1'!AQ10-'Выборка 1'!AP10))/4000</f>
        <v>-3213.75</v>
      </c>
      <c r="L10" s="44">
        <f>((('Выборка 1'!AS10+'Выборка 1'!AX10)-('Выборка 1'!AR10+'Выборка 1'!AW10))+(('Выборка 1'!AT10+'Выборка 1'!AY10)-('Выборка 1'!AS10+'Выборка 1'!AX10))+(('Выборка 1'!AU10+'Выборка 1'!AZ10)-('Выборка 1'!AT10+'Выборка 1'!AY10))+(('Выборка 1'!AV10+'Выборка 1'!BA10)-('Выборка 1'!AU10+'Выборка 1'!AZ10)))/4000</f>
        <v>-2625</v>
      </c>
      <c r="M10" s="44">
        <f>(('Выборка 1'!BC10-'Выборка 1'!BB10)+('Выборка 1'!BD10-'Выборка 1'!BC10)+('Выборка 1'!BE10-'Выборка 1'!BD10)+('Выборка 1'!BF10-'Выборка 1'!BE10))/4000</f>
        <v>0</v>
      </c>
      <c r="N10" s="44">
        <f t="shared" si="0"/>
        <v>-588.75</v>
      </c>
      <c r="O10" s="17">
        <f>((('Выборка 1'!BH10-'Выборка 1'!BM10)-('Выборка 1'!BG10-'Выборка 1'!BL10))+(('Выборка 1'!BI10-'Выборка 1'!BN10)-('Выборка 1'!BH10-'Выборка 1'!BM10))+(('Выборка 1'!BJ10-'Выборка 1'!BO10)-('Выборка 1'!BI10-'Выборка 1'!BN10))+(('Выборка 1'!BK10-'Выборка 1'!BP10)-('Выборка 1'!BJ10-'Выборка 1'!BO10)))/4000</f>
        <v>-1219.5</v>
      </c>
      <c r="P10" s="17">
        <f>(('Выборка 1'!BR10-'Выборка 1'!BQ10)+('Выборка 1'!BS10-'Выборка 1'!BR10)+('Выборка 1'!BT10-'Выборка 1'!BS10)+('Выборка 1'!BU10-'Выборка 1'!BT10))/4000</f>
        <v>-1785.75</v>
      </c>
    </row>
    <row r="11" spans="2:16" x14ac:dyDescent="0.25">
      <c r="B11" s="42">
        <f>('Выборка 1'!AL11+'Выборка 1'!AG11)/1000</f>
        <v>13128</v>
      </c>
      <c r="C11" s="17">
        <v>14</v>
      </c>
      <c r="D11" s="17">
        <f>(('Выборка 1'!E11-'Выборка 1'!D11)+('Выборка 1'!F11-'Выборка 1'!E11)+('Выборка 1'!G11-'Выборка 1'!F11)+('Выборка 1'!H11-'Выборка 1'!G11))/4000</f>
        <v>0</v>
      </c>
      <c r="E11" s="44">
        <f>(('Выборка 1'!J11-'Выборка 1'!I11)+('Выборка 1'!K11-'Выборка 1'!J11)+('Выборка 1'!L11-'Выборка 1'!K11)+('Выборка 1'!M11-'Выборка 1'!L11))/4000</f>
        <v>-10.25</v>
      </c>
      <c r="F11" s="17">
        <f>(('Выборка 1'!O11-'Выборка 1'!N11)+('Выборка 1'!P11-'Выборка 1'!O11)+('Выборка 1'!Q11-'Выборка 1'!P11)+('Выборка 1'!R11-'Выборка 1'!Q11))/4000</f>
        <v>-5465</v>
      </c>
      <c r="G11" s="44">
        <f>(('Выборка 1'!T11-'Выборка 1'!S11)+('Выборка 1'!U11-'Выборка 1'!T11)+('Выборка 1'!V11-'Выборка 1'!U11)+('Выборка 1'!W11-'Выборка 1'!V11))/4000</f>
        <v>-2833.75</v>
      </c>
      <c r="H11" s="44">
        <f>(('Выборка 1'!Y11-'Выборка 1'!X11)+('Выборка 1'!Z11+'Выборка 1'!Y11)+('Выборка 1'!AA11-'Выборка 1'!Z11)+('Выборка 1'!AB11-'Выборка 1'!AA11))/4000</f>
        <v>-5899.75</v>
      </c>
      <c r="I11" s="44">
        <f>(('Выборка 1'!AD11-'Выборка 1'!AC11)+('Выборка 1'!AE11-'Выборка 1'!AD11)+('Выборка 1'!AF11-'Выборка 1'!AE11)+('Выборка 1'!AG11-'Выборка 1'!AF11))/4000</f>
        <v>0</v>
      </c>
      <c r="J11" s="44">
        <f>(('Выборка 1'!AI11-'Выборка 1'!AH11)+('Выборка 1'!AJ11-'Выборка 1'!AI11)+('Выборка 1'!AK11-'Выборка 1'!AJ11)+('Выборка 1'!AL11-'Выборка 1'!AK11))/4000</f>
        <v>-2698</v>
      </c>
      <c r="K11" s="17">
        <f>(('Выборка 1'!AN11-'Выборка 1'!AM11)+('Выборка 1'!AO11-'Выборка 1'!AN11)+('Выборка 1'!AP11-'Выборка 1'!AO11)+('Выборка 1'!AQ11-'Выборка 1'!AP11))/4000</f>
        <v>-1202</v>
      </c>
      <c r="L11" s="44">
        <f>((('Выборка 1'!AS11+'Выборка 1'!AX11)-('Выборка 1'!AR11+'Выборка 1'!AW11))+(('Выборка 1'!AT11+'Выборка 1'!AY11)-('Выборка 1'!AS11+'Выборка 1'!AX11))+(('Выборка 1'!AU11+'Выборка 1'!AZ11)-('Выборка 1'!AT11+'Выборка 1'!AY11))+(('Выборка 1'!AV11+'Выборка 1'!BA11)-('Выборка 1'!AU11+'Выборка 1'!AZ11)))/4000</f>
        <v>-520.25</v>
      </c>
      <c r="M11" s="44">
        <f>(('Выборка 1'!BC11-'Выборка 1'!BB11)+('Выборка 1'!BD11-'Выборка 1'!BC11)+('Выборка 1'!BE11-'Выборка 1'!BD11)+('Выборка 1'!BF11-'Выборка 1'!BE11))/4000</f>
        <v>-759.5</v>
      </c>
      <c r="N11" s="44">
        <f t="shared" si="0"/>
        <v>77.75</v>
      </c>
      <c r="O11" s="17">
        <f>((('Выборка 1'!BH11-'Выборка 1'!BM11)-('Выборка 1'!BG11-'Выборка 1'!BL11))+(('Выборка 1'!BI11-'Выборка 1'!BN11)-('Выборка 1'!BH11-'Выборка 1'!BM11))+(('Выборка 1'!BJ11-'Выборка 1'!BO11)-('Выборка 1'!BI11-'Выборка 1'!BN11))+(('Выборка 1'!BK11-'Выборка 1'!BP11)-('Выборка 1'!BJ11-'Выборка 1'!BO11)))/4000</f>
        <v>58.75</v>
      </c>
      <c r="P11" s="17">
        <f>(('Выборка 1'!BR11-'Выборка 1'!BQ11)+('Выборка 1'!BS11-'Выборка 1'!BR11)+('Выборка 1'!BT11-'Выборка 1'!BS11)+('Выборка 1'!BU11-'Выборка 1'!BT11))/4000</f>
        <v>136.5</v>
      </c>
    </row>
    <row r="12" spans="2:16" x14ac:dyDescent="0.25">
      <c r="B12" s="42">
        <f>('Выборка 1'!AL12+'Выборка 1'!AG12)/1000</f>
        <v>19281</v>
      </c>
      <c r="C12" s="17">
        <v>10</v>
      </c>
      <c r="D12" s="17">
        <f>(('Выборка 1'!E12-'Выборка 1'!D12)+('Выборка 1'!F12-'Выборка 1'!E12)+('Выборка 1'!G12-'Выборка 1'!F12)+('Выборка 1'!H12-'Выборка 1'!G12))/4000</f>
        <v>0</v>
      </c>
      <c r="E12" s="44">
        <f>(('Выборка 1'!J12-'Выборка 1'!I12)+('Выборка 1'!K12-'Выборка 1'!J12)+('Выборка 1'!L12-'Выборка 1'!K12)+('Выборка 1'!M12-'Выборка 1'!L12))/4000</f>
        <v>-53.25</v>
      </c>
      <c r="F12" s="17">
        <f>(('Выборка 1'!O12-'Выборка 1'!N12)+('Выборка 1'!P12-'Выборка 1'!O12)+('Выборка 1'!Q12-'Выборка 1'!P12)+('Выборка 1'!R12-'Выборка 1'!Q12))/4000</f>
        <v>-648.5</v>
      </c>
      <c r="G12" s="44">
        <f>(('Выборка 1'!T12-'Выборка 1'!S12)+('Выборка 1'!U12-'Выборка 1'!T12)+('Выборка 1'!V12-'Выборка 1'!U12)+('Выборка 1'!W12-'Выборка 1'!V12))/4000</f>
        <v>6.5</v>
      </c>
      <c r="H12" s="44">
        <f>(('Выборка 1'!Y12-'Выборка 1'!X12)+('Выборка 1'!Z12+'Выборка 1'!Y12)+('Выборка 1'!AA12-'Выборка 1'!Z12)+('Выборка 1'!AB12-'Выборка 1'!AA12))/4000</f>
        <v>1438.5</v>
      </c>
      <c r="I12" s="44">
        <f>(('Выборка 1'!AD12-'Выборка 1'!AC12)+('Выборка 1'!AE12-'Выборка 1'!AD12)+('Выборка 1'!AF12-'Выборка 1'!AE12)+('Выборка 1'!AG12-'Выборка 1'!AF12))/4000</f>
        <v>59.25</v>
      </c>
      <c r="J12" s="44">
        <f>(('Выборка 1'!AI12-'Выборка 1'!AH12)+('Выборка 1'!AJ12-'Выборка 1'!AI12)+('Выборка 1'!AK12-'Выборка 1'!AJ12)+('Выборка 1'!AL12-'Выборка 1'!AK12))/4000</f>
        <v>175.75</v>
      </c>
      <c r="K12" s="17">
        <f>(('Выборка 1'!AN12-'Выборка 1'!AM12)+('Выборка 1'!AO12-'Выборка 1'!AN12)+('Выборка 1'!AP12-'Выборка 1'!AO12)+('Выборка 1'!AQ12-'Выборка 1'!AP12))/4000</f>
        <v>-5854</v>
      </c>
      <c r="L12" s="44">
        <f>((('Выборка 1'!AS12+'Выборка 1'!AX12)-('Выборка 1'!AR12+'Выборка 1'!AW12))+(('Выборка 1'!AT12+'Выборка 1'!AY12)-('Выборка 1'!AS12+'Выборка 1'!AX12))+(('Выборка 1'!AU12+'Выборка 1'!AZ12)-('Выборка 1'!AT12+'Выборка 1'!AY12))+(('Выборка 1'!AV12+'Выборка 1'!BA12)-('Выборка 1'!AU12+'Выборка 1'!AZ12)))/4000</f>
        <v>-5131.5</v>
      </c>
      <c r="M12" s="44">
        <f>(('Выборка 1'!BC12-'Выборка 1'!BB12)+('Выборка 1'!BD12-'Выборка 1'!BC12)+('Выборка 1'!BE12-'Выборка 1'!BD12)+('Выборка 1'!BF12-'Выборка 1'!BE12))/4000</f>
        <v>-1402.25</v>
      </c>
      <c r="N12" s="44">
        <f t="shared" si="0"/>
        <v>679.75</v>
      </c>
      <c r="O12" s="17">
        <f>((('Выборка 1'!BH12-'Выборка 1'!BM12)-('Выборка 1'!BG12-'Выборка 1'!BL12))+(('Выборка 1'!BI12-'Выборка 1'!BN12)-('Выборка 1'!BH12-'Выборка 1'!BM12))+(('Выборка 1'!BJ12-'Выборка 1'!BO12)-('Выборка 1'!BI12-'Выборка 1'!BN12))+(('Выборка 1'!BK12-'Выборка 1'!BP12)-('Выборка 1'!BJ12-'Выборка 1'!BO12)))/4000</f>
        <v>509.5</v>
      </c>
      <c r="P12" s="17">
        <f>(('Выборка 1'!BR12-'Выборка 1'!BQ12)+('Выборка 1'!BS12-'Выборка 1'!BR12)+('Выборка 1'!BT12-'Выборка 1'!BS12)+('Выборка 1'!BU12-'Выборка 1'!BT12))/4000</f>
        <v>1188.25</v>
      </c>
    </row>
    <row r="13" spans="2:16" x14ac:dyDescent="0.25">
      <c r="B13" s="42">
        <f>('Выборка 1'!AL13+'Выборка 1'!AG13)/1000</f>
        <v>0</v>
      </c>
      <c r="C13" s="17">
        <v>13</v>
      </c>
      <c r="D13" s="17">
        <f>(('Выборка 1'!E13-'Выборка 1'!D13)+('Выборка 1'!F13-'Выборка 1'!E13)+('Выборка 1'!G13-'Выборка 1'!F13)+('Выборка 1'!H13-'Выборка 1'!G13))/4000</f>
        <v>0</v>
      </c>
      <c r="E13" s="44">
        <f>(('Выборка 1'!J13-'Выборка 1'!I13)+('Выборка 1'!K13-'Выборка 1'!J13)+('Выборка 1'!L13-'Выборка 1'!K13)+('Выборка 1'!M13-'Выборка 1'!L13))/4000</f>
        <v>0</v>
      </c>
      <c r="F13" s="17">
        <f>(('Выборка 1'!O13-'Выборка 1'!N13)+('Выборка 1'!P13-'Выборка 1'!O13)+('Выборка 1'!Q13-'Выборка 1'!P13)+('Выборка 1'!R13-'Выборка 1'!Q13))/4000</f>
        <v>0</v>
      </c>
      <c r="G13" s="44">
        <f>(('Выборка 1'!T13-'Выборка 1'!S13)+('Выборка 1'!U13-'Выборка 1'!T13)+('Выборка 1'!V13-'Выборка 1'!U13)+('Выборка 1'!W13-'Выборка 1'!V13))/4000</f>
        <v>0</v>
      </c>
      <c r="H13" s="44">
        <f>(('Выборка 1'!Y13-'Выборка 1'!X13)+('Выборка 1'!Z13+'Выборка 1'!Y13)+('Выборка 1'!AA13-'Выборка 1'!Z13)+('Выборка 1'!AB13-'Выборка 1'!AA13))/4000</f>
        <v>0</v>
      </c>
      <c r="I13" s="44">
        <f>(('Выборка 1'!AD13-'Выборка 1'!AC13)+('Выборка 1'!AE13-'Выборка 1'!AD13)+('Выборка 1'!AF13-'Выборка 1'!AE13)+('Выборка 1'!AG13-'Выборка 1'!AF13))/4000</f>
        <v>0</v>
      </c>
      <c r="J13" s="44">
        <f>(('Выборка 1'!AI13-'Выборка 1'!AH13)+('Выборка 1'!AJ13-'Выборка 1'!AI13)+('Выборка 1'!AK13-'Выборка 1'!AJ13)+('Выборка 1'!AL13-'Выборка 1'!AK13))/4000</f>
        <v>0</v>
      </c>
      <c r="K13" s="17">
        <f>(('Выборка 1'!AN13-'Выборка 1'!AM13)+('Выборка 1'!AO13-'Выборка 1'!AN13)+('Выборка 1'!AP13-'Выборка 1'!AO13)+('Выборка 1'!AQ13-'Выборка 1'!AP13))/4000</f>
        <v>0</v>
      </c>
      <c r="L13" s="44">
        <f>((('Выборка 1'!AS13+'Выборка 1'!AX13)-('Выборка 1'!AR13+'Выборка 1'!AW13))+(('Выборка 1'!AT13+'Выборка 1'!AY13)-('Выборка 1'!AS13+'Выборка 1'!AX13))+(('Выборка 1'!AU13+'Выборка 1'!AZ13)-('Выборка 1'!AT13+'Выборка 1'!AY13))+(('Выборка 1'!AV13+'Выборка 1'!BA13)-('Выборка 1'!AU13+'Выборка 1'!AZ13)))/4000</f>
        <v>0</v>
      </c>
      <c r="M13" s="44">
        <f>(('Выборка 1'!BC13-'Выборка 1'!BB13)+('Выборка 1'!BD13-'Выборка 1'!BC13)+('Выборка 1'!BE13-'Выборка 1'!BD13)+('Выборка 1'!BF13-'Выборка 1'!BE13))/4000</f>
        <v>0</v>
      </c>
      <c r="N13" s="44">
        <f t="shared" si="0"/>
        <v>0</v>
      </c>
      <c r="O13" s="17">
        <f>((('Выборка 1'!BH13-'Выборка 1'!BM13)-('Выборка 1'!BG13-'Выборка 1'!BL13))+(('Выборка 1'!BI13-'Выборка 1'!BN13)-('Выборка 1'!BH13-'Выборка 1'!BM13))+(('Выборка 1'!BJ13-'Выборка 1'!BO13)-('Выборка 1'!BI13-'Выборка 1'!BN13))+(('Выборка 1'!BK13-'Выборка 1'!BP13)-('Выборка 1'!BJ13-'Выборка 1'!BO13)))/4000</f>
        <v>0</v>
      </c>
      <c r="P13" s="17">
        <f>(('Выборка 1'!BR13-'Выборка 1'!BQ13)+('Выборка 1'!BS13-'Выборка 1'!BR13)+('Выборка 1'!BT13-'Выборка 1'!BS13)+('Выборка 1'!BU13-'Выборка 1'!BT13))/4000</f>
        <v>0</v>
      </c>
    </row>
    <row r="14" spans="2:16" x14ac:dyDescent="0.25">
      <c r="B14" s="42">
        <f>('Выборка 1'!AL14+'Выборка 1'!AG14)/1000</f>
        <v>25389</v>
      </c>
      <c r="C14" s="17">
        <v>13</v>
      </c>
      <c r="D14" s="17">
        <f>(('Выборка 1'!E14-'Выборка 1'!D14)+('Выборка 1'!F14-'Выборка 1'!E14)+('Выборка 1'!G14-'Выборка 1'!F14)+('Выборка 1'!H14-'Выборка 1'!G14))/4000</f>
        <v>0</v>
      </c>
      <c r="E14" s="44">
        <f>(('Выборка 1'!J14-'Выборка 1'!I14)+('Выборка 1'!K14-'Выборка 1'!J14)+('Выборка 1'!L14-'Выборка 1'!K14)+('Выборка 1'!M14-'Выборка 1'!L14))/4000</f>
        <v>0</v>
      </c>
      <c r="F14" s="17">
        <f>(('Выборка 1'!O14-'Выборка 1'!N14)+('Выборка 1'!P14-'Выборка 1'!O14)+('Выборка 1'!Q14-'Выборка 1'!P14)+('Выборка 1'!R14-'Выборка 1'!Q14))/4000</f>
        <v>-1434.25</v>
      </c>
      <c r="G14" s="44">
        <f>(('Выборка 1'!T14-'Выборка 1'!S14)+('Выборка 1'!U14-'Выборка 1'!T14)+('Выборка 1'!V14-'Выборка 1'!U14)+('Выборка 1'!W14-'Выборка 1'!V14))/4000</f>
        <v>-17.25</v>
      </c>
      <c r="H14" s="44">
        <f>(('Выборка 1'!Y14-'Выборка 1'!X14)+('Выборка 1'!Z14+'Выборка 1'!Y14)+('Выборка 1'!AA14-'Выборка 1'!Z14)+('Выборка 1'!AB14-'Выборка 1'!AA14))/4000</f>
        <v>0</v>
      </c>
      <c r="I14" s="44">
        <f>(('Выборка 1'!AD14-'Выборка 1'!AC14)+('Выборка 1'!AE14-'Выборка 1'!AD14)+('Выборка 1'!AF14-'Выборка 1'!AE14)+('Выборка 1'!AG14-'Выборка 1'!AF14))/4000</f>
        <v>0</v>
      </c>
      <c r="J14" s="44">
        <f>(('Выборка 1'!AI14-'Выборка 1'!AH14)+('Выборка 1'!AJ14-'Выборка 1'!AI14)+('Выборка 1'!AK14-'Выборка 1'!AJ14)+('Выборка 1'!AL14-'Выборка 1'!AK14))/4000</f>
        <v>-1089.75</v>
      </c>
      <c r="K14" s="17">
        <f>(('Выборка 1'!AN14-'Выборка 1'!AM14)+('Выборка 1'!AO14-'Выборка 1'!AN14)+('Выборка 1'!AP14-'Выборка 1'!AO14)+('Выборка 1'!AQ14-'Выборка 1'!AP14))/4000</f>
        <v>-1950</v>
      </c>
      <c r="L14" s="44">
        <f>((('Выборка 1'!AS14+'Выборка 1'!AX14)-('Выборка 1'!AR14+'Выборка 1'!AW14))+(('Выборка 1'!AT14+'Выборка 1'!AY14)-('Выборка 1'!AS14+'Выборка 1'!AX14))+(('Выборка 1'!AU14+'Выборка 1'!AZ14)-('Выборка 1'!AT14+'Выборка 1'!AY14))+(('Выборка 1'!AV14+'Выборка 1'!BA14)-('Выборка 1'!AU14+'Выборка 1'!AZ14)))/4000</f>
        <v>-2217.5</v>
      </c>
      <c r="M14" s="44">
        <f>(('Выборка 1'!BC14-'Выборка 1'!BB14)+('Выборка 1'!BD14-'Выборка 1'!BC14)+('Выборка 1'!BE14-'Выборка 1'!BD14)+('Выборка 1'!BF14-'Выборка 1'!BE14))/4000</f>
        <v>0</v>
      </c>
      <c r="N14" s="44">
        <f t="shared" si="0"/>
        <v>267.5</v>
      </c>
      <c r="O14" s="17">
        <f>((('Выборка 1'!BH14-'Выборка 1'!BM14)-('Выборка 1'!BG14-'Выборка 1'!BL14))+(('Выборка 1'!BI14-'Выборка 1'!BN14)-('Выборка 1'!BH14-'Выборка 1'!BM14))+(('Выборка 1'!BJ14-'Выборка 1'!BO14)-('Выборка 1'!BI14-'Выборка 1'!BN14))+(('Выборка 1'!BK14-'Выборка 1'!BP14)-('Выборка 1'!BJ14-'Выборка 1'!BO14)))/4000</f>
        <v>820.5</v>
      </c>
      <c r="P14" s="17">
        <f>(('Выборка 1'!BR14-'Выборка 1'!BQ14)+('Выборка 1'!BS14-'Выборка 1'!BR14)+('Выборка 1'!BT14-'Выборка 1'!BS14)+('Выборка 1'!BU14-'Выборка 1'!BT14))/4000</f>
        <v>1088</v>
      </c>
    </row>
    <row r="15" spans="2:16" x14ac:dyDescent="0.25">
      <c r="B15" s="42">
        <f>('Выборка 1'!AL15+'Выборка 1'!AG15)/1000</f>
        <v>0</v>
      </c>
      <c r="C15" s="17">
        <v>9</v>
      </c>
      <c r="D15" s="17">
        <f>(('Выборка 1'!E15-'Выборка 1'!D15)+('Выборка 1'!F15-'Выборка 1'!E15)+('Выборка 1'!G15-'Выборка 1'!F15)+('Выборка 1'!H15-'Выборка 1'!G15))/4000</f>
        <v>0</v>
      </c>
      <c r="E15" s="44">
        <f>(('Выборка 1'!J15-'Выборка 1'!I15)+('Выборка 1'!K15-'Выборка 1'!J15)+('Выборка 1'!L15-'Выборка 1'!K15)+('Выборка 1'!M15-'Выборка 1'!L15))/4000</f>
        <v>0</v>
      </c>
      <c r="F15" s="17">
        <f>(('Выборка 1'!O15-'Выборка 1'!N15)+('Выборка 1'!P15-'Выборка 1'!O15)+('Выборка 1'!Q15-'Выборка 1'!P15)+('Выборка 1'!R15-'Выборка 1'!Q15))/4000</f>
        <v>-12044.75</v>
      </c>
      <c r="G15" s="44">
        <f>(('Выборка 1'!T15-'Выборка 1'!S15)+('Выборка 1'!U15-'Выборка 1'!T15)+('Выборка 1'!V15-'Выборка 1'!U15)+('Выборка 1'!W15-'Выборка 1'!V15))/4000</f>
        <v>-1551.25</v>
      </c>
      <c r="H15" s="44">
        <f>(('Выборка 1'!Y15-'Выборка 1'!X15)+('Выборка 1'!Z15+'Выборка 1'!Y15)+('Выборка 1'!AA15-'Выборка 1'!Z15)+('Выборка 1'!AB15-'Выборка 1'!AA15))/4000</f>
        <v>-278.75</v>
      </c>
      <c r="I15" s="44">
        <f>(('Выборка 1'!AD15-'Выборка 1'!AC15)+('Выборка 1'!AE15-'Выборка 1'!AD15)+('Выборка 1'!AF15-'Выборка 1'!AE15)+('Выборка 1'!AG15-'Выборка 1'!AF15))/4000</f>
        <v>0</v>
      </c>
      <c r="J15" s="44">
        <f>(('Выборка 1'!AI15-'Выборка 1'!AH15)+('Выборка 1'!AJ15-'Выборка 1'!AI15)+('Выборка 1'!AK15-'Выборка 1'!AJ15)+('Выборка 1'!AL15-'Выборка 1'!AK15))/4000</f>
        <v>-10067</v>
      </c>
      <c r="K15" s="17">
        <f>(('Выборка 1'!AN15-'Выборка 1'!AM15)+('Выборка 1'!AO15-'Выборка 1'!AN15)+('Выборка 1'!AP15-'Выборка 1'!AO15)+('Выборка 1'!AQ15-'Выборка 1'!AP15))/4000</f>
        <v>-12299</v>
      </c>
      <c r="L15" s="44">
        <f>((('Выборка 1'!AS15+'Выборка 1'!AX15)-('Выборка 1'!AR15+'Выборка 1'!AW15))+(('Выборка 1'!AT15+'Выборка 1'!AY15)-('Выборка 1'!AS15+'Выборка 1'!AX15))+(('Выборка 1'!AU15+'Выборка 1'!AZ15)-('Выборка 1'!AT15+'Выборка 1'!AY15))+(('Выборка 1'!AV15+'Выборка 1'!BA15)-('Выборка 1'!AU15+'Выборка 1'!AZ15)))/4000</f>
        <v>-7400.25</v>
      </c>
      <c r="M15" s="44">
        <f>(('Выборка 1'!BC15-'Выборка 1'!BB15)+('Выборка 1'!BD15-'Выборка 1'!BC15)+('Выборка 1'!BE15-'Выборка 1'!BD15)+('Выборка 1'!BF15-'Выборка 1'!BE15))/4000</f>
        <v>-2329.5</v>
      </c>
      <c r="N15" s="44">
        <f t="shared" si="0"/>
        <v>-2569.25</v>
      </c>
      <c r="O15" s="17">
        <f>((('Выборка 1'!BH15-'Выборка 1'!BM15)-('Выборка 1'!BG15-'Выборка 1'!BL15))+(('Выборка 1'!BI15-'Выборка 1'!BN15)-('Выборка 1'!BH15-'Выборка 1'!BM15))+(('Выборка 1'!BJ15-'Выборка 1'!BO15)-('Выборка 1'!BI15-'Выборка 1'!BN15))+(('Выборка 1'!BK15-'Выборка 1'!BP15)-('Выборка 1'!BJ15-'Выборка 1'!BO15)))/4000</f>
        <v>1247.25</v>
      </c>
      <c r="P15" s="17">
        <f>(('Выборка 1'!BR15-'Выборка 1'!BQ15)+('Выборка 1'!BS15-'Выборка 1'!BR15)+('Выборка 1'!BT15-'Выборка 1'!BS15)+('Выборка 1'!BU15-'Выборка 1'!BT15))/4000</f>
        <v>-1120</v>
      </c>
    </row>
    <row r="16" spans="2:16" x14ac:dyDescent="0.25">
      <c r="B16" s="42">
        <f>('Выборка 1'!AL16+'Выборка 1'!AG16)/1000</f>
        <v>112471</v>
      </c>
      <c r="C16" s="17">
        <v>14</v>
      </c>
      <c r="D16" s="17">
        <f>(('Выборка 1'!E16-'Выборка 1'!D16)+('Выборка 1'!F16-'Выборка 1'!E16)+('Выборка 1'!G16-'Выборка 1'!F16)+('Выборка 1'!H16-'Выборка 1'!G16))/4000</f>
        <v>0</v>
      </c>
      <c r="E16" s="44">
        <f>(('Выборка 1'!J16-'Выборка 1'!I16)+('Выборка 1'!K16-'Выборка 1'!J16)+('Выборка 1'!L16-'Выборка 1'!K16)+('Выборка 1'!M16-'Выборка 1'!L16))/4000</f>
        <v>-0.75</v>
      </c>
      <c r="F16" s="17">
        <f>(('Выборка 1'!O16-'Выборка 1'!N16)+('Выборка 1'!P16-'Выборка 1'!O16)+('Выборка 1'!Q16-'Выборка 1'!P16)+('Выборка 1'!R16-'Выборка 1'!Q16))/4000</f>
        <v>-10792</v>
      </c>
      <c r="G16" s="44">
        <f>(('Выборка 1'!T16-'Выборка 1'!S16)+('Выборка 1'!U16-'Выборка 1'!T16)+('Выборка 1'!V16-'Выборка 1'!U16)+('Выборка 1'!W16-'Выборка 1'!V16))/4000</f>
        <v>-930.25</v>
      </c>
      <c r="H16" s="44">
        <f>(('Выборка 1'!Y16-'Выборка 1'!X16)+('Выборка 1'!Z16+'Выборка 1'!Y16)+('Выборка 1'!AA16-'Выборка 1'!Z16)+('Выборка 1'!AB16-'Выборка 1'!AA16))/4000</f>
        <v>-14583.25</v>
      </c>
      <c r="I16" s="44">
        <f>(('Выборка 1'!AD16-'Выборка 1'!AC16)+('Выборка 1'!AE16-'Выборка 1'!AD16)+('Выборка 1'!AF16-'Выборка 1'!AE16)+('Выборка 1'!AG16-'Выборка 1'!AF16))/4000</f>
        <v>0</v>
      </c>
      <c r="J16" s="44">
        <f>(('Выборка 1'!AI16-'Выборка 1'!AH16)+('Выборка 1'!AJ16-'Выборка 1'!AI16)+('Выборка 1'!AK16-'Выборка 1'!AJ16)+('Выборка 1'!AL16-'Выборка 1'!AK16))/4000</f>
        <v>-4539.75</v>
      </c>
      <c r="K16" s="17">
        <f>(('Выборка 1'!AN16-'Выборка 1'!AM16)+('Выборка 1'!AO16-'Выборка 1'!AN16)+('Выборка 1'!AP16-'Выборка 1'!AO16)+('Выборка 1'!AQ16-'Выборка 1'!AP16))/4000</f>
        <v>-5383.25</v>
      </c>
      <c r="L16" s="44">
        <f>((('Выборка 1'!AS16+'Выборка 1'!AX16)-('Выборка 1'!AR16+'Выборка 1'!AW16))+(('Выборка 1'!AT16+'Выборка 1'!AY16)-('Выборка 1'!AS16+'Выборка 1'!AX16))+(('Выборка 1'!AU16+'Выборка 1'!AZ16)-('Выборка 1'!AT16+'Выборка 1'!AY16))+(('Выборка 1'!AV16+'Выборка 1'!BA16)-('Выборка 1'!AU16+'Выборка 1'!AZ16)))/4000</f>
        <v>-4278</v>
      </c>
      <c r="M16" s="44">
        <f>(('Выборка 1'!BC16-'Выборка 1'!BB16)+('Выборка 1'!BD16-'Выборка 1'!BC16)+('Выборка 1'!BE16-'Выборка 1'!BD16)+('Выборка 1'!BF16-'Выборка 1'!BE16))/4000</f>
        <v>-2393.5</v>
      </c>
      <c r="N16" s="44">
        <f t="shared" si="0"/>
        <v>1288.25</v>
      </c>
      <c r="O16" s="17">
        <f>((('Выборка 1'!BH16-'Выборка 1'!BM16)-('Выборка 1'!BG16-'Выборка 1'!BL16))+(('Выборка 1'!BI16-'Выборка 1'!BN16)-('Выборка 1'!BH16-'Выборка 1'!BM16))+(('Выборка 1'!BJ16-'Выборка 1'!BO16)-('Выборка 1'!BI16-'Выборка 1'!BN16))+(('Выборка 1'!BK16-'Выборка 1'!BP16)-('Выборка 1'!BJ16-'Выборка 1'!BO16)))/4000</f>
        <v>-418.75</v>
      </c>
      <c r="P16" s="17">
        <f>(('Выборка 1'!BR16-'Выборка 1'!BQ16)+('Выборка 1'!BS16-'Выборка 1'!BR16)+('Выборка 1'!BT16-'Выборка 1'!BS16)+('Выборка 1'!BU16-'Выборка 1'!BT16))/4000</f>
        <v>869.5</v>
      </c>
    </row>
    <row r="17" spans="2:16" x14ac:dyDescent="0.25">
      <c r="B17" s="42">
        <f>('Выборка 1'!AL17+'Выборка 1'!AG17)/1000</f>
        <v>192795</v>
      </c>
      <c r="C17" s="17">
        <v>17</v>
      </c>
      <c r="D17" s="17">
        <f>(('Выборка 1'!E17-'Выборка 1'!D17)+('Выборка 1'!F17-'Выборка 1'!E17)+('Выборка 1'!G17-'Выборка 1'!F17)+('Выборка 1'!H17-'Выборка 1'!G17))/4000</f>
        <v>0</v>
      </c>
      <c r="E17" s="44">
        <f>(('Выборка 1'!J17-'Выборка 1'!I17)+('Выборка 1'!K17-'Выборка 1'!J17)+('Выборка 1'!L17-'Выборка 1'!K17)+('Выборка 1'!M17-'Выборка 1'!L17))/4000</f>
        <v>0</v>
      </c>
      <c r="F17" s="17">
        <f>(('Выборка 1'!O17-'Выборка 1'!N17)+('Выборка 1'!P17-'Выборка 1'!O17)+('Выборка 1'!Q17-'Выборка 1'!P17)+('Выборка 1'!R17-'Выборка 1'!Q17))/4000</f>
        <v>-7377.25</v>
      </c>
      <c r="G17" s="44">
        <f>(('Выборка 1'!T17-'Выборка 1'!S17)+('Выборка 1'!U17-'Выборка 1'!T17)+('Выборка 1'!V17-'Выборка 1'!U17)+('Выборка 1'!W17-'Выборка 1'!V17))/4000</f>
        <v>-599.75</v>
      </c>
      <c r="H17" s="44">
        <f>(('Выборка 1'!Y17-'Выборка 1'!X17)+('Выборка 1'!Z17+'Выборка 1'!Y17)+('Выборка 1'!AA17-'Выборка 1'!Z17)+('Выборка 1'!AB17-'Выборка 1'!AA17))/4000</f>
        <v>-32043.25</v>
      </c>
      <c r="I17" s="44">
        <f>(('Выборка 1'!AD17-'Выборка 1'!AC17)+('Выборка 1'!AE17-'Выборка 1'!AD17)+('Выборка 1'!AF17-'Выборка 1'!AE17)+('Выборка 1'!AG17-'Выборка 1'!AF17))/4000</f>
        <v>0</v>
      </c>
      <c r="J17" s="44">
        <f>(('Выборка 1'!AI17-'Выборка 1'!AH17)+('Выборка 1'!AJ17-'Выборка 1'!AI17)+('Выборка 1'!AK17-'Выборка 1'!AJ17)+('Выборка 1'!AL17-'Выборка 1'!AK17))/4000</f>
        <v>-7205.25</v>
      </c>
      <c r="K17" s="17">
        <f>(('Выборка 1'!AN17-'Выборка 1'!AM17)+('Выборка 1'!AO17-'Выборка 1'!AN17)+('Выборка 1'!AP17-'Выборка 1'!AO17)+('Выборка 1'!AQ17-'Выборка 1'!AP17))/4000</f>
        <v>0</v>
      </c>
      <c r="L17" s="44">
        <f>((('Выборка 1'!AS17+'Выборка 1'!AX17)-('Выборка 1'!AR17+'Выборка 1'!AW17))+(('Выборка 1'!AT17+'Выборка 1'!AY17)-('Выборка 1'!AS17+'Выборка 1'!AX17))+(('Выборка 1'!AU17+'Выборка 1'!AZ17)-('Выборка 1'!AT17+'Выборка 1'!AY17))+(('Выборка 1'!AV17+'Выборка 1'!BA17)-('Выборка 1'!AU17+'Выборка 1'!AZ17)))/4000</f>
        <v>0</v>
      </c>
      <c r="M17" s="44">
        <f>(('Выборка 1'!BC17-'Выборка 1'!BB17)+('Выборка 1'!BD17-'Выборка 1'!BC17)+('Выборка 1'!BE17-'Выборка 1'!BD17)+('Выборка 1'!BF17-'Выборка 1'!BE17))/4000</f>
        <v>0</v>
      </c>
      <c r="N17" s="44">
        <f t="shared" si="0"/>
        <v>0</v>
      </c>
      <c r="O17" s="17">
        <f>((('Выборка 1'!BH17-'Выборка 1'!BM17)-('Выборка 1'!BG17-'Выборка 1'!BL17))+(('Выборка 1'!BI17-'Выборка 1'!BN17)-('Выборка 1'!BH17-'Выборка 1'!BM17))+(('Выборка 1'!BJ17-'Выборка 1'!BO17)-('Выборка 1'!BI17-'Выборка 1'!BN17))+(('Выборка 1'!BK17-'Выборка 1'!BP17)-('Выборка 1'!BJ17-'Выборка 1'!BO17)))/4000</f>
        <v>396</v>
      </c>
      <c r="P17" s="17">
        <f>(('Выборка 1'!BR17-'Выборка 1'!BQ17)+('Выборка 1'!BS17-'Выборка 1'!BR17)+('Выборка 1'!BT17-'Выборка 1'!BS17)+('Выборка 1'!BU17-'Выборка 1'!BT17))/4000</f>
        <v>396</v>
      </c>
    </row>
    <row r="18" spans="2:16" x14ac:dyDescent="0.25">
      <c r="B18" s="42">
        <f>('Выборка 1'!AL18+'Выборка 1'!AG18)/1000</f>
        <v>34499</v>
      </c>
      <c r="C18" s="17">
        <v>12</v>
      </c>
      <c r="D18" s="17">
        <f>(('Выборка 1'!E18-'Выборка 1'!D18)+('Выборка 1'!F18-'Выборка 1'!E18)+('Выборка 1'!G18-'Выборка 1'!F18)+('Выборка 1'!H18-'Выборка 1'!G18))/4000</f>
        <v>0</v>
      </c>
      <c r="E18" s="44">
        <f>(('Выборка 1'!J18-'Выборка 1'!I18)+('Выборка 1'!K18-'Выборка 1'!J18)+('Выборка 1'!L18-'Выборка 1'!K18)+('Выборка 1'!M18-'Выборка 1'!L18))/4000</f>
        <v>0</v>
      </c>
      <c r="F18" s="17">
        <f>(('Выборка 1'!O18-'Выборка 1'!N18)+('Выборка 1'!P18-'Выборка 1'!O18)+('Выборка 1'!Q18-'Выборка 1'!P18)+('Выборка 1'!R18-'Выборка 1'!Q18))/4000</f>
        <v>-2447</v>
      </c>
      <c r="G18" s="44">
        <f>(('Выборка 1'!T18-'Выборка 1'!S18)+('Выборка 1'!U18-'Выборка 1'!T18)+('Выборка 1'!V18-'Выборка 1'!U18)+('Выборка 1'!W18-'Выборка 1'!V18))/4000</f>
        <v>131.25</v>
      </c>
      <c r="H18" s="44">
        <f>(('Выборка 1'!Y18-'Выборка 1'!X18)+('Выборка 1'!Z18+'Выборка 1'!Y18)+('Выборка 1'!AA18-'Выборка 1'!Z18)+('Выборка 1'!AB18-'Выборка 1'!AA18))/4000</f>
        <v>0</v>
      </c>
      <c r="I18" s="44">
        <f>(('Выборка 1'!AD18-'Выборка 1'!AC18)+('Выборка 1'!AE18-'Выборка 1'!AD18)+('Выборка 1'!AF18-'Выборка 1'!AE18)+('Выборка 1'!AG18-'Выборка 1'!AF18))/4000</f>
        <v>0</v>
      </c>
      <c r="J18" s="44">
        <f>(('Выборка 1'!AI18-'Выборка 1'!AH18)+('Выборка 1'!AJ18-'Выборка 1'!AI18)+('Выборка 1'!AK18-'Выборка 1'!AJ18)+('Выборка 1'!AL18-'Выборка 1'!AK18))/4000</f>
        <v>-1285.75</v>
      </c>
      <c r="K18" s="17">
        <f>(('Выборка 1'!AN18-'Выборка 1'!AM18)+('Выборка 1'!AO18-'Выборка 1'!AN18)+('Выборка 1'!AP18-'Выборка 1'!AO18)+('Выборка 1'!AQ18-'Выборка 1'!AP18))/4000</f>
        <v>0</v>
      </c>
      <c r="L18" s="44">
        <f>((('Выборка 1'!AS18+'Выборка 1'!AX18)-('Выборка 1'!AR18+'Выборка 1'!AW18))+(('Выборка 1'!AT18+'Выборка 1'!AY18)-('Выборка 1'!AS18+'Выборка 1'!AX18))+(('Выборка 1'!AU18+'Выборка 1'!AZ18)-('Выборка 1'!AT18+'Выборка 1'!AY18))+(('Выборка 1'!AV18+'Выборка 1'!BA18)-('Выборка 1'!AU18+'Выборка 1'!AZ18)))/4000</f>
        <v>0</v>
      </c>
      <c r="M18" s="44">
        <f>(('Выборка 1'!BC18-'Выборка 1'!BB18)+('Выборка 1'!BD18-'Выборка 1'!BC18)+('Выборка 1'!BE18-'Выборка 1'!BD18)+('Выборка 1'!BF18-'Выборка 1'!BE18))/4000</f>
        <v>0</v>
      </c>
      <c r="N18" s="44">
        <f t="shared" si="0"/>
        <v>0</v>
      </c>
      <c r="O18" s="17">
        <f>((('Выборка 1'!BH18-'Выборка 1'!BM18)-('Выборка 1'!BG18-'Выборка 1'!BL18))+(('Выборка 1'!BI18-'Выборка 1'!BN18)-('Выборка 1'!BH18-'Выборка 1'!BM18))+(('Выборка 1'!BJ18-'Выборка 1'!BO18)-('Выборка 1'!BI18-'Выборка 1'!BN18))+(('Выборка 1'!BK18-'Выборка 1'!BP18)-('Выборка 1'!BJ18-'Выборка 1'!BO18)))/4000</f>
        <v>275.75</v>
      </c>
      <c r="P18" s="17">
        <f>(('Выборка 1'!BR18-'Выборка 1'!BQ18)+('Выборка 1'!BS18-'Выборка 1'!BR18)+('Выборка 1'!BT18-'Выборка 1'!BS18)+('Выборка 1'!BU18-'Выборка 1'!BT18))/4000</f>
        <v>288.75</v>
      </c>
    </row>
    <row r="19" spans="2:16" x14ac:dyDescent="0.25">
      <c r="B19" s="42">
        <f>('Выборка 1'!AL19+'Выборка 1'!AG19)/1000</f>
        <v>0</v>
      </c>
      <c r="C19" s="17">
        <v>19</v>
      </c>
      <c r="D19" s="17">
        <f>(('Выборка 1'!E19-'Выборка 1'!D19)+('Выборка 1'!F19-'Выборка 1'!E19)+('Выборка 1'!G19-'Выборка 1'!F19)+('Выборка 1'!H19-'Выборка 1'!G19))/4000</f>
        <v>0</v>
      </c>
      <c r="E19" s="44">
        <f>(('Выборка 1'!J19-'Выборка 1'!I19)+('Выборка 1'!K19-'Выборка 1'!J19)+('Выборка 1'!L19-'Выборка 1'!K19)+('Выборка 1'!M19-'Выборка 1'!L19))/4000</f>
        <v>0</v>
      </c>
      <c r="F19" s="17">
        <f>(('Выборка 1'!O19-'Выборка 1'!N19)+('Выборка 1'!P19-'Выборка 1'!O19)+('Выборка 1'!Q19-'Выборка 1'!P19)+('Выборка 1'!R19-'Выборка 1'!Q19))/4000</f>
        <v>0</v>
      </c>
      <c r="G19" s="44">
        <f>(('Выборка 1'!T19-'Выборка 1'!S19)+('Выборка 1'!U19-'Выборка 1'!T19)+('Выборка 1'!V19-'Выборка 1'!U19)+('Выборка 1'!W19-'Выборка 1'!V19))/4000</f>
        <v>0</v>
      </c>
      <c r="H19" s="44">
        <f>(('Выборка 1'!Y19-'Выборка 1'!X19)+('Выборка 1'!Z19+'Выборка 1'!Y19)+('Выборка 1'!AA19-'Выборка 1'!Z19)+('Выборка 1'!AB19-'Выборка 1'!AA19))/4000</f>
        <v>0</v>
      </c>
      <c r="I19" s="44">
        <f>(('Выборка 1'!AD19-'Выборка 1'!AC19)+('Выборка 1'!AE19-'Выборка 1'!AD19)+('Выборка 1'!AF19-'Выборка 1'!AE19)+('Выборка 1'!AG19-'Выборка 1'!AF19))/4000</f>
        <v>0</v>
      </c>
      <c r="J19" s="44">
        <f>(('Выборка 1'!AI19-'Выборка 1'!AH19)+('Выборка 1'!AJ19-'Выборка 1'!AI19)+('Выборка 1'!AK19-'Выборка 1'!AJ19)+('Выборка 1'!AL19-'Выборка 1'!AK19))/4000</f>
        <v>0</v>
      </c>
      <c r="K19" s="17">
        <f>(('Выборка 1'!AN19-'Выборка 1'!AM19)+('Выборка 1'!AO19-'Выборка 1'!AN19)+('Выборка 1'!AP19-'Выборка 1'!AO19)+('Выборка 1'!AQ19-'Выборка 1'!AP19))/4000</f>
        <v>0</v>
      </c>
      <c r="L19" s="44">
        <f>((('Выборка 1'!AS19+'Выборка 1'!AX19)-('Выборка 1'!AR19+'Выборка 1'!AW19))+(('Выборка 1'!AT19+'Выборка 1'!AY19)-('Выборка 1'!AS19+'Выборка 1'!AX19))+(('Выборка 1'!AU19+'Выборка 1'!AZ19)-('Выборка 1'!AT19+'Выборка 1'!AY19))+(('Выборка 1'!AV19+'Выборка 1'!BA19)-('Выборка 1'!AU19+'Выборка 1'!AZ19)))/4000</f>
        <v>0</v>
      </c>
      <c r="M19" s="44">
        <f>(('Выборка 1'!BC19-'Выборка 1'!BB19)+('Выборка 1'!BD19-'Выборка 1'!BC19)+('Выборка 1'!BE19-'Выборка 1'!BD19)+('Выборка 1'!BF19-'Выборка 1'!BE19))/4000</f>
        <v>0</v>
      </c>
      <c r="N19" s="44">
        <f t="shared" si="0"/>
        <v>0</v>
      </c>
      <c r="O19" s="17">
        <f>((('Выборка 1'!BH19-'Выборка 1'!BM19)-('Выборка 1'!BG19-'Выборка 1'!BL19))+(('Выборка 1'!BI19-'Выборка 1'!BN19)-('Выборка 1'!BH19-'Выборка 1'!BM19))+(('Выборка 1'!BJ19-'Выборка 1'!BO19)-('Выборка 1'!BI19-'Выборка 1'!BN19))+(('Выборка 1'!BK19-'Выборка 1'!BP19)-('Выборка 1'!BJ19-'Выборка 1'!BO19)))/4000</f>
        <v>0</v>
      </c>
      <c r="P19" s="17">
        <f>(('Выборка 1'!BR19-'Выборка 1'!BQ19)+('Выборка 1'!BS19-'Выборка 1'!BR19)+('Выборка 1'!BT19-'Выборка 1'!BS19)+('Выборка 1'!BU19-'Выборка 1'!BT19))/4000</f>
        <v>0</v>
      </c>
    </row>
    <row r="20" spans="2:16" x14ac:dyDescent="0.25">
      <c r="B20" s="42">
        <f>('Выборка 1'!AL20+'Выборка 1'!AG20)/1000</f>
        <v>18101</v>
      </c>
      <c r="C20" s="17">
        <v>16</v>
      </c>
      <c r="D20" s="17">
        <f>(('Выборка 1'!E20-'Выборка 1'!D20)+('Выборка 1'!F20-'Выборка 1'!E20)+('Выборка 1'!G20-'Выборка 1'!F20)+('Выборка 1'!H20-'Выборка 1'!G20))/4000</f>
        <v>0</v>
      </c>
      <c r="E20" s="44">
        <f>(('Выборка 1'!J20-'Выборка 1'!I20)+('Выборка 1'!K20-'Выборка 1'!J20)+('Выборка 1'!L20-'Выборка 1'!K20)+('Выборка 1'!M20-'Выборка 1'!L20))/4000</f>
        <v>-203.25</v>
      </c>
      <c r="F20" s="17">
        <f>(('Выборка 1'!O20-'Выборка 1'!N20)+('Выборка 1'!P20-'Выборка 1'!O20)+('Выборка 1'!Q20-'Выборка 1'!P20)+('Выборка 1'!R20-'Выборка 1'!Q20))/4000</f>
        <v>-576</v>
      </c>
      <c r="G20" s="44">
        <f>(('Выборка 1'!T20-'Выборка 1'!S20)+('Выборка 1'!U20-'Выборка 1'!T20)+('Выборка 1'!V20-'Выборка 1'!U20)+('Выборка 1'!W20-'Выборка 1'!V20))/4000</f>
        <v>9.75</v>
      </c>
      <c r="H20" s="44">
        <f>(('Выборка 1'!Y20-'Выборка 1'!X20)+('Выборка 1'!Z20+'Выборка 1'!Y20)+('Выборка 1'!AA20-'Выборка 1'!Z20)+('Выборка 1'!AB20-'Выборка 1'!AA20))/4000</f>
        <v>-41.25</v>
      </c>
      <c r="I20" s="44">
        <f>(('Выборка 1'!AD20-'Выборка 1'!AC20)+('Выборка 1'!AE20-'Выборка 1'!AD20)+('Выборка 1'!AF20-'Выборка 1'!AE20)+('Выборка 1'!AG20-'Выборка 1'!AF20))/4000</f>
        <v>0</v>
      </c>
      <c r="J20" s="44">
        <f>(('Выборка 1'!AI20-'Выборка 1'!AH20)+('Выборка 1'!AJ20-'Выборка 1'!AI20)+('Выборка 1'!AK20-'Выборка 1'!AJ20)+('Выборка 1'!AL20-'Выборка 1'!AK20))/4000</f>
        <v>2025.25</v>
      </c>
      <c r="K20" s="17">
        <f>(('Выборка 1'!AN20-'Выборка 1'!AM20)+('Выборка 1'!AO20-'Выборка 1'!AN20)+('Выборка 1'!AP20-'Выборка 1'!AO20)+('Выборка 1'!AQ20-'Выборка 1'!AP20))/4000</f>
        <v>-8658.75</v>
      </c>
      <c r="L20" s="44">
        <f>((('Выборка 1'!AS20+'Выборка 1'!AX20)-('Выборка 1'!AR20+'Выборка 1'!AW20))+(('Выборка 1'!AT20+'Выборка 1'!AY20)-('Выборка 1'!AS20+'Выборка 1'!AX20))+(('Выборка 1'!AU20+'Выборка 1'!AZ20)-('Выборка 1'!AT20+'Выборка 1'!AY20))+(('Выборка 1'!AV20+'Выборка 1'!BA20)-('Выборка 1'!AU20+'Выборка 1'!AZ20)))/4000</f>
        <v>-6771.25</v>
      </c>
      <c r="M20" s="44">
        <f>(('Выборка 1'!BC20-'Выборка 1'!BB20)+('Выборка 1'!BD20-'Выборка 1'!BC20)+('Выборка 1'!BE20-'Выборка 1'!BD20)+('Выборка 1'!BF20-'Выборка 1'!BE20))/4000</f>
        <v>0</v>
      </c>
      <c r="N20" s="44">
        <f t="shared" si="0"/>
        <v>-1887.5</v>
      </c>
      <c r="O20" s="17">
        <f>((('Выборка 1'!BH20-'Выборка 1'!BM20)-('Выборка 1'!BG20-'Выборка 1'!BL20))+(('Выборка 1'!BI20-'Выборка 1'!BN20)-('Выборка 1'!BH20-'Выборка 1'!BM20))+(('Выборка 1'!BJ20-'Выборка 1'!BO20)-('Выборка 1'!BI20-'Выборка 1'!BN20))+(('Выборка 1'!BK20-'Выборка 1'!BP20)-('Выборка 1'!BJ20-'Выборка 1'!BO20)))/4000</f>
        <v>-501.75</v>
      </c>
      <c r="P20" s="17">
        <f>(('Выборка 1'!BR20-'Выборка 1'!BQ20)+('Выборка 1'!BS20-'Выборка 1'!BR20)+('Выборка 1'!BT20-'Выборка 1'!BS20)+('Выборка 1'!BU20-'Выборка 1'!BT20))/4000</f>
        <v>-2291</v>
      </c>
    </row>
    <row r="21" spans="2:16" x14ac:dyDescent="0.25">
      <c r="B21" s="42">
        <f>('Выборка 1'!AL21+'Выборка 1'!AG21)/1000</f>
        <v>213870</v>
      </c>
      <c r="C21" s="17">
        <v>21</v>
      </c>
      <c r="D21" s="17">
        <f>(('Выборка 1'!E21-'Выборка 1'!D21)+('Выборка 1'!F21-'Выборка 1'!E21)+('Выборка 1'!G21-'Выборка 1'!F21)+('Выборка 1'!H21-'Выборка 1'!G21))/4000</f>
        <v>0</v>
      </c>
      <c r="E21" s="44">
        <f>(('Выборка 1'!J21-'Выборка 1'!I21)+('Выборка 1'!K21-'Выборка 1'!J21)+('Выборка 1'!L21-'Выборка 1'!K21)+('Выборка 1'!M21-'Выборка 1'!L21))/4000</f>
        <v>0</v>
      </c>
      <c r="F21" s="17">
        <f>(('Выборка 1'!O21-'Выборка 1'!N21)+('Выборка 1'!P21-'Выборка 1'!O21)+('Выборка 1'!Q21-'Выборка 1'!P21)+('Выборка 1'!R21-'Выборка 1'!Q21))/4000</f>
        <v>0</v>
      </c>
      <c r="G21" s="44">
        <f>(('Выборка 1'!T21-'Выборка 1'!S21)+('Выборка 1'!U21-'Выборка 1'!T21)+('Выборка 1'!V21-'Выборка 1'!U21)+('Выборка 1'!W21-'Выборка 1'!V21))/4000</f>
        <v>0</v>
      </c>
      <c r="H21" s="44">
        <f>(('Выборка 1'!Y21-'Выборка 1'!X21)+('Выборка 1'!Z21+'Выборка 1'!Y21)+('Выборка 1'!AA21-'Выборка 1'!Z21)+('Выборка 1'!AB21-'Выборка 1'!AA21))/4000</f>
        <v>0</v>
      </c>
      <c r="I21" s="44">
        <f>(('Выборка 1'!AD21-'Выборка 1'!AC21)+('Выборка 1'!AE21-'Выборка 1'!AD21)+('Выборка 1'!AF21-'Выборка 1'!AE21)+('Выборка 1'!AG21-'Выборка 1'!AF21))/4000</f>
        <v>0</v>
      </c>
      <c r="J21" s="44">
        <f>(('Выборка 1'!AI21-'Выборка 1'!AH21)+('Выборка 1'!AJ21-'Выборка 1'!AI21)+('Выборка 1'!AK21-'Выборка 1'!AJ21)+('Выборка 1'!AL21-'Выборка 1'!AK21))/4000</f>
        <v>1562.75</v>
      </c>
      <c r="K21" s="17">
        <f>(('Выборка 1'!AN21-'Выборка 1'!AM21)+('Выборка 1'!AO21-'Выборка 1'!AN21)+('Выборка 1'!AP21-'Выборка 1'!AO21)+('Выборка 1'!AQ21-'Выборка 1'!AP21))/4000</f>
        <v>0</v>
      </c>
      <c r="L21" s="44">
        <f>((('Выборка 1'!AS21+'Выборка 1'!AX21)-('Выборка 1'!AR21+'Выборка 1'!AW21))+(('Выборка 1'!AT21+'Выборка 1'!AY21)-('Выборка 1'!AS21+'Выборка 1'!AX21))+(('Выборка 1'!AU21+'Выборка 1'!AZ21)-('Выборка 1'!AT21+'Выборка 1'!AY21))+(('Выборка 1'!AV21+'Выборка 1'!BA21)-('Выборка 1'!AU21+'Выборка 1'!AZ21)))/4000</f>
        <v>-361.25</v>
      </c>
      <c r="M21" s="44">
        <f>(('Выборка 1'!BC21-'Выборка 1'!BB21)+('Выборка 1'!BD21-'Выборка 1'!BC21)+('Выборка 1'!BE21-'Выборка 1'!BD21)+('Выборка 1'!BF21-'Выборка 1'!BE21))/4000</f>
        <v>0</v>
      </c>
      <c r="N21" s="44">
        <f t="shared" si="0"/>
        <v>361.25</v>
      </c>
      <c r="O21" s="17">
        <f>((('Выборка 1'!BH21-'Выборка 1'!BM21)-('Выборка 1'!BG21-'Выборка 1'!BL21))+(('Выборка 1'!BI21-'Выборка 1'!BN21)-('Выборка 1'!BH21-'Выборка 1'!BM21))+(('Выборка 1'!BJ21-'Выборка 1'!BO21)-('Выборка 1'!BI21-'Выборка 1'!BN21))+(('Выборка 1'!BK21-'Выборка 1'!BP21)-('Выборка 1'!BJ21-'Выборка 1'!BO21)))/4000</f>
        <v>431.25</v>
      </c>
      <c r="P21" s="17">
        <f>(('Выборка 1'!BR21-'Выборка 1'!BQ21)+('Выборка 1'!BS21-'Выборка 1'!BR21)+('Выборка 1'!BT21-'Выборка 1'!BS21)+('Выборка 1'!BU21-'Выборка 1'!BT21))/4000</f>
        <v>792.5</v>
      </c>
    </row>
    <row r="22" spans="2:16" x14ac:dyDescent="0.25">
      <c r="B22" s="42">
        <f>('Выборка 1'!AL22+'Выборка 1'!AG22)/1000</f>
        <v>0</v>
      </c>
      <c r="C22" s="17">
        <v>11</v>
      </c>
      <c r="D22" s="17">
        <f>(('Выборка 1'!E22-'Выборка 1'!D22)+('Выборка 1'!F22-'Выборка 1'!E22)+('Выборка 1'!G22-'Выборка 1'!F22)+('Выборка 1'!H22-'Выборка 1'!G22))/4000</f>
        <v>0</v>
      </c>
      <c r="E22" s="44">
        <f>(('Выборка 1'!J22-'Выборка 1'!I22)+('Выборка 1'!K22-'Выборка 1'!J22)+('Выборка 1'!L22-'Выборка 1'!K22)+('Выборка 1'!M22-'Выборка 1'!L22))/4000</f>
        <v>0</v>
      </c>
      <c r="F22" s="17">
        <f>(('Выборка 1'!O22-'Выборка 1'!N22)+('Выборка 1'!P22-'Выборка 1'!O22)+('Выборка 1'!Q22-'Выборка 1'!P22)+('Выборка 1'!R22-'Выборка 1'!Q22))/4000</f>
        <v>0</v>
      </c>
      <c r="G22" s="44">
        <f>(('Выборка 1'!T22-'Выборка 1'!S22)+('Выборка 1'!U22-'Выборка 1'!T22)+('Выборка 1'!V22-'Выборка 1'!U22)+('Выборка 1'!W22-'Выборка 1'!V22))/4000</f>
        <v>0</v>
      </c>
      <c r="H22" s="44">
        <f>(('Выборка 1'!Y22-'Выборка 1'!X22)+('Выборка 1'!Z22+'Выборка 1'!Y22)+('Выборка 1'!AA22-'Выборка 1'!Z22)+('Выборка 1'!AB22-'Выборка 1'!AA22))/4000</f>
        <v>0</v>
      </c>
      <c r="I22" s="44">
        <f>(('Выборка 1'!AD22-'Выборка 1'!AC22)+('Выборка 1'!AE22-'Выборка 1'!AD22)+('Выборка 1'!AF22-'Выборка 1'!AE22)+('Выборка 1'!AG22-'Выборка 1'!AF22))/4000</f>
        <v>0</v>
      </c>
      <c r="J22" s="44">
        <f>(('Выборка 1'!AI22-'Выборка 1'!AH22)+('Выборка 1'!AJ22-'Выборка 1'!AI22)+('Выборка 1'!AK22-'Выборка 1'!AJ22)+('Выборка 1'!AL22-'Выборка 1'!AK22))/4000</f>
        <v>0</v>
      </c>
      <c r="K22" s="17">
        <f>(('Выборка 1'!AN22-'Выборка 1'!AM22)+('Выборка 1'!AO22-'Выборка 1'!AN22)+('Выборка 1'!AP22-'Выборка 1'!AO22)+('Выборка 1'!AQ22-'Выборка 1'!AP22))/4000</f>
        <v>0</v>
      </c>
      <c r="L22" s="44">
        <f>((('Выборка 1'!AS22+'Выборка 1'!AX22)-('Выборка 1'!AR22+'Выборка 1'!AW22))+(('Выборка 1'!AT22+'Выборка 1'!AY22)-('Выборка 1'!AS22+'Выборка 1'!AX22))+(('Выборка 1'!AU22+'Выборка 1'!AZ22)-('Выборка 1'!AT22+'Выборка 1'!AY22))+(('Выборка 1'!AV22+'Выборка 1'!BA22)-('Выборка 1'!AU22+'Выборка 1'!AZ22)))/4000</f>
        <v>0</v>
      </c>
      <c r="M22" s="44">
        <f>(('Выборка 1'!BC22-'Выборка 1'!BB22)+('Выборка 1'!BD22-'Выборка 1'!BC22)+('Выборка 1'!BE22-'Выборка 1'!BD22)+('Выборка 1'!BF22-'Выборка 1'!BE22))/4000</f>
        <v>0</v>
      </c>
      <c r="N22" s="44">
        <f t="shared" si="0"/>
        <v>0</v>
      </c>
      <c r="O22" s="17">
        <f>((('Выборка 1'!BH22-'Выборка 1'!BM22)-('Выборка 1'!BG22-'Выборка 1'!BL22))+(('Выборка 1'!BI22-'Выборка 1'!BN22)-('Выборка 1'!BH22-'Выборка 1'!BM22))+(('Выборка 1'!BJ22-'Выборка 1'!BO22)-('Выборка 1'!BI22-'Выборка 1'!BN22))+(('Выборка 1'!BK22-'Выборка 1'!BP22)-('Выборка 1'!BJ22-'Выборка 1'!BO22)))/4000</f>
        <v>0</v>
      </c>
      <c r="P22" s="17">
        <f>(('Выборка 1'!BR22-'Выборка 1'!BQ22)+('Выборка 1'!BS22-'Выборка 1'!BR22)+('Выборка 1'!BT22-'Выборка 1'!BS22)+('Выборка 1'!BU22-'Выборка 1'!BT22))/4000</f>
        <v>0</v>
      </c>
    </row>
    <row r="23" spans="2:16" x14ac:dyDescent="0.25">
      <c r="B23" s="42">
        <f>('Выборка 1'!AL23+'Выборка 1'!AG23)/1000</f>
        <v>0</v>
      </c>
      <c r="C23" s="17">
        <v>11</v>
      </c>
      <c r="D23" s="17">
        <f>(('Выборка 1'!E23-'Выборка 1'!D23)+('Выборка 1'!F23-'Выборка 1'!E23)+('Выборка 1'!G23-'Выборка 1'!F23)+('Выборка 1'!H23-'Выборка 1'!G23))/4000</f>
        <v>0</v>
      </c>
      <c r="E23" s="44">
        <f>(('Выборка 1'!J23-'Выборка 1'!I23)+('Выборка 1'!K23-'Выборка 1'!J23)+('Выборка 1'!L23-'Выборка 1'!K23)+('Выборка 1'!M23-'Выборка 1'!L23))/4000</f>
        <v>0</v>
      </c>
      <c r="F23" s="17">
        <f>(('Выборка 1'!O23-'Выборка 1'!N23)+('Выборка 1'!P23-'Выборка 1'!O23)+('Выборка 1'!Q23-'Выборка 1'!P23)+('Выборка 1'!R23-'Выборка 1'!Q23))/4000</f>
        <v>0</v>
      </c>
      <c r="G23" s="44">
        <f>(('Выборка 1'!T23-'Выборка 1'!S23)+('Выборка 1'!U23-'Выборка 1'!T23)+('Выборка 1'!V23-'Выборка 1'!U23)+('Выборка 1'!W23-'Выборка 1'!V23))/4000</f>
        <v>-273.5</v>
      </c>
      <c r="H23" s="44">
        <f>(('Выборка 1'!Y23-'Выборка 1'!X23)+('Выборка 1'!Z23+'Выборка 1'!Y23)+('Выборка 1'!AA23-'Выборка 1'!Z23)+('Выборка 1'!AB23-'Выборка 1'!AA23))/4000</f>
        <v>0</v>
      </c>
      <c r="I23" s="44">
        <f>(('Выборка 1'!AD23-'Выборка 1'!AC23)+('Выборка 1'!AE23-'Выборка 1'!AD23)+('Выборка 1'!AF23-'Выборка 1'!AE23)+('Выборка 1'!AG23-'Выборка 1'!AF23))/4000</f>
        <v>0</v>
      </c>
      <c r="J23" s="44">
        <f>(('Выборка 1'!AI23-'Выборка 1'!AH23)+('Выборка 1'!AJ23-'Выборка 1'!AI23)+('Выборка 1'!AK23-'Выборка 1'!AJ23)+('Выборка 1'!AL23-'Выборка 1'!AK23))/4000</f>
        <v>-12721.25</v>
      </c>
      <c r="K23" s="17">
        <f>(('Выборка 1'!AN23-'Выборка 1'!AM23)+('Выборка 1'!AO23-'Выборка 1'!AN23)+('Выборка 1'!AP23-'Выборка 1'!AO23)+('Выборка 1'!AQ23-'Выборка 1'!AP23))/4000</f>
        <v>0</v>
      </c>
      <c r="L23" s="44">
        <f>((('Выборка 1'!AS23+'Выборка 1'!AX23)-('Выборка 1'!AR23+'Выборка 1'!AW23))+(('Выборка 1'!AT23+'Выборка 1'!AY23)-('Выборка 1'!AS23+'Выборка 1'!AX23))+(('Выборка 1'!AU23+'Выборка 1'!AZ23)-('Выборка 1'!AT23+'Выборка 1'!AY23))+(('Выборка 1'!AV23+'Выборка 1'!BA23)-('Выборка 1'!AU23+'Выборка 1'!AZ23)))/4000</f>
        <v>-30</v>
      </c>
      <c r="M23" s="44">
        <f>(('Выборка 1'!BC23-'Выборка 1'!BB23)+('Выборка 1'!BD23-'Выборка 1'!BC23)+('Выборка 1'!BE23-'Выборка 1'!BD23)+('Выборка 1'!BF23-'Выборка 1'!BE23))/4000</f>
        <v>0</v>
      </c>
      <c r="N23" s="44">
        <f t="shared" si="0"/>
        <v>30</v>
      </c>
      <c r="O23" s="17">
        <f>((('Выборка 1'!BH23-'Выборка 1'!BM23)-('Выборка 1'!BG23-'Выборка 1'!BL23))+(('Выборка 1'!BI23-'Выборка 1'!BN23)-('Выборка 1'!BH23-'Выборка 1'!BM23))+(('Выборка 1'!BJ23-'Выборка 1'!BO23)-('Выборка 1'!BI23-'Выборка 1'!BN23))+(('Выборка 1'!BK23-'Выборка 1'!BP23)-('Выборка 1'!BJ23-'Выборка 1'!BO23)))/4000</f>
        <v>147.75</v>
      </c>
      <c r="P23" s="17">
        <f>(('Выборка 1'!BR23-'Выборка 1'!BQ23)+('Выборка 1'!BS23-'Выборка 1'!BR23)+('Выборка 1'!BT23-'Выборка 1'!BS23)+('Выборка 1'!BU23-'Выборка 1'!BT23))/4000</f>
        <v>177.75</v>
      </c>
    </row>
    <row r="24" spans="2:16" x14ac:dyDescent="0.25">
      <c r="B24" s="42">
        <f>('Выборка 1'!AL24+'Выборка 1'!AG24)/1000</f>
        <v>63782</v>
      </c>
      <c r="C24" s="17">
        <v>4</v>
      </c>
      <c r="D24" s="17">
        <f>(('Выборка 1'!E24-'Выборка 1'!D24)+('Выборка 1'!F24-'Выборка 1'!E24)+('Выборка 1'!G24-'Выборка 1'!F24)+('Выборка 1'!H24-'Выборка 1'!G24))/4000</f>
        <v>0</v>
      </c>
      <c r="E24" s="44">
        <f>(('Выборка 1'!J24-'Выборка 1'!I24)+('Выборка 1'!K24-'Выборка 1'!J24)+('Выборка 1'!L24-'Выборка 1'!K24)+('Выборка 1'!M24-'Выборка 1'!L24))/4000</f>
        <v>2.5</v>
      </c>
      <c r="F24" s="17">
        <f>(('Выборка 1'!O24-'Выборка 1'!N24)+('Выборка 1'!P24-'Выборка 1'!O24)+('Выборка 1'!Q24-'Выборка 1'!P24)+('Выборка 1'!R24-'Выборка 1'!Q24))/4000</f>
        <v>17869.75</v>
      </c>
      <c r="G24" s="44">
        <f>(('Выборка 1'!T24-'Выборка 1'!S24)+('Выборка 1'!U24-'Выборка 1'!T24)+('Выборка 1'!V24-'Выборка 1'!U24)+('Выборка 1'!W24-'Выборка 1'!V24))/4000</f>
        <v>1.25</v>
      </c>
      <c r="H24" s="44">
        <f>(('Выборка 1'!Y24-'Выборка 1'!X24)+('Выборка 1'!Z24+'Выборка 1'!Y24)+('Выборка 1'!AA24-'Выборка 1'!Z24)+('Выборка 1'!AB24-'Выборка 1'!AA24))/4000</f>
        <v>0</v>
      </c>
      <c r="I24" s="44">
        <f>(('Выборка 1'!AD24-'Выборка 1'!AC24)+('Выборка 1'!AE24-'Выборка 1'!AD24)+('Выборка 1'!AF24-'Выборка 1'!AE24)+('Выборка 1'!AG24-'Выборка 1'!AF24))/4000</f>
        <v>58.5</v>
      </c>
      <c r="J24" s="44">
        <f>(('Выборка 1'!AI24-'Выборка 1'!AH24)+('Выборка 1'!AJ24-'Выборка 1'!AI24)+('Выборка 1'!AK24-'Выборка 1'!AJ24)+('Выборка 1'!AL24-'Выборка 1'!AK24))/4000</f>
        <v>15887</v>
      </c>
      <c r="K24" s="17">
        <f>(('Выборка 1'!AN24-'Выборка 1'!AM24)+('Выборка 1'!AO24-'Выборка 1'!AN24)+('Выборка 1'!AP24-'Выборка 1'!AO24)+('Выборка 1'!AQ24-'Выборка 1'!AP24))/4000</f>
        <v>0</v>
      </c>
      <c r="L24" s="44">
        <f>((('Выборка 1'!AS24+'Выборка 1'!AX24)-('Выборка 1'!AR24+'Выборка 1'!AW24))+(('Выборка 1'!AT24+'Выборка 1'!AY24)-('Выборка 1'!AS24+'Выборка 1'!AX24))+(('Выборка 1'!AU24+'Выборка 1'!AZ24)-('Выборка 1'!AT24+'Выборка 1'!AY24))+(('Выборка 1'!AV24+'Выборка 1'!BA24)-('Выборка 1'!AU24+'Выборка 1'!AZ24)))/4000</f>
        <v>0</v>
      </c>
      <c r="M24" s="44">
        <f>(('Выборка 1'!BC24-'Выборка 1'!BB24)+('Выборка 1'!BD24-'Выборка 1'!BC24)+('Выборка 1'!BE24-'Выборка 1'!BD24)+('Выборка 1'!BF24-'Выборка 1'!BE24))/4000</f>
        <v>0</v>
      </c>
      <c r="N24" s="44">
        <f t="shared" si="0"/>
        <v>0</v>
      </c>
      <c r="O24" s="17">
        <f>((('Выборка 1'!BH24-'Выборка 1'!BM24)-('Выборка 1'!BG24-'Выборка 1'!BL24))+(('Выборка 1'!BI24-'Выборка 1'!BN24)-('Выборка 1'!BH24-'Выборка 1'!BM24))+(('Выборка 1'!BJ24-'Выборка 1'!BO24)-('Выборка 1'!BI24-'Выборка 1'!BN24))+(('Выборка 1'!BK24-'Выборка 1'!BP24)-('Выборка 1'!BJ24-'Выборка 1'!BO24)))/4000</f>
        <v>0</v>
      </c>
      <c r="P24" s="17">
        <f>(('Выборка 1'!BR24-'Выборка 1'!BQ24)+('Выборка 1'!BS24-'Выборка 1'!BR24)+('Выборка 1'!BT24-'Выборка 1'!BS24)+('Выборка 1'!BU24-'Выборка 1'!BT24))/4000</f>
        <v>0</v>
      </c>
    </row>
    <row r="25" spans="2:16" x14ac:dyDescent="0.25">
      <c r="B25" s="42">
        <f>('Выборка 1'!AL25+'Выборка 1'!AG25)/1000</f>
        <v>103527</v>
      </c>
      <c r="C25" s="17">
        <v>14</v>
      </c>
      <c r="D25" s="17">
        <f>(('Выборка 1'!E25-'Выборка 1'!D25)+('Выборка 1'!F25-'Выборка 1'!E25)+('Выборка 1'!G25-'Выборка 1'!F25)+('Выборка 1'!H25-'Выборка 1'!G25))/4000</f>
        <v>0</v>
      </c>
      <c r="E25" s="44">
        <f>(('Выборка 1'!J25-'Выборка 1'!I25)+('Выборка 1'!K25-'Выборка 1'!J25)+('Выборка 1'!L25-'Выборка 1'!K25)+('Выборка 1'!M25-'Выборка 1'!L25))/4000</f>
        <v>-248.25</v>
      </c>
      <c r="F25" s="17">
        <f>(('Выборка 1'!O25-'Выборка 1'!N25)+('Выборка 1'!P25-'Выборка 1'!O25)+('Выборка 1'!Q25-'Выборка 1'!P25)+('Выборка 1'!R25-'Выборка 1'!Q25))/4000</f>
        <v>-8874.75</v>
      </c>
      <c r="G25" s="44">
        <f>(('Выборка 1'!T25-'Выборка 1'!S25)+('Выборка 1'!U25-'Выборка 1'!T25)+('Выборка 1'!V25-'Выборка 1'!U25)+('Выборка 1'!W25-'Выборка 1'!V25))/4000</f>
        <v>-982.25</v>
      </c>
      <c r="H25" s="44">
        <f>(('Выборка 1'!Y25-'Выборка 1'!X25)+('Выборка 1'!Z25+'Выборка 1'!Y25)+('Выборка 1'!AA25-'Выборка 1'!Z25)+('Выборка 1'!AB25-'Выборка 1'!AA25))/4000</f>
        <v>-44364.5</v>
      </c>
      <c r="I25" s="44">
        <f>(('Выборка 1'!AD25-'Выборка 1'!AC25)+('Выборка 1'!AE25-'Выборка 1'!AD25)+('Выборка 1'!AF25-'Выборка 1'!AE25)+('Выборка 1'!AG25-'Выборка 1'!AF25))/4000</f>
        <v>0</v>
      </c>
      <c r="J25" s="44">
        <f>(('Выборка 1'!AI25-'Выборка 1'!AH25)+('Выборка 1'!AJ25-'Выборка 1'!AI25)+('Выборка 1'!AK25-'Выборка 1'!AJ25)+('Выборка 1'!AL25-'Выборка 1'!AK25))/4000</f>
        <v>6530</v>
      </c>
      <c r="K25" s="17">
        <f>(('Выборка 1'!AN25-'Выборка 1'!AM25)+('Выборка 1'!AO25-'Выборка 1'!AN25)+('Выборка 1'!AP25-'Выборка 1'!AO25)+('Выборка 1'!AQ25-'Выборка 1'!AP25))/4000</f>
        <v>-25.25</v>
      </c>
      <c r="L25" s="44">
        <f>((('Выборка 1'!AS25+'Выборка 1'!AX25)-('Выборка 1'!AR25+'Выборка 1'!AW25))+(('Выборка 1'!AT25+'Выборка 1'!AY25)-('Выборка 1'!AS25+'Выборка 1'!AX25))+(('Выборка 1'!AU25+'Выборка 1'!AZ25)-('Выборка 1'!AT25+'Выборка 1'!AY25))+(('Выборка 1'!AV25+'Выборка 1'!BA25)-('Выборка 1'!AU25+'Выборка 1'!AZ25)))/4000</f>
        <v>-0.5</v>
      </c>
      <c r="M25" s="44">
        <f>(('Выборка 1'!BC25-'Выборка 1'!BB25)+('Выборка 1'!BD25-'Выборка 1'!BC25)+('Выборка 1'!BE25-'Выборка 1'!BD25)+('Выборка 1'!BF25-'Выборка 1'!BE25))/4000</f>
        <v>-923</v>
      </c>
      <c r="N25" s="44">
        <f t="shared" si="0"/>
        <v>898.25</v>
      </c>
      <c r="O25" s="17">
        <f>((('Выборка 1'!BH25-'Выборка 1'!BM25)-('Выборка 1'!BG25-'Выборка 1'!BL25))+(('Выборка 1'!BI25-'Выборка 1'!BN25)-('Выборка 1'!BH25-'Выборка 1'!BM25))+(('Выборка 1'!BJ25-'Выборка 1'!BO25)-('Выборка 1'!BI25-'Выборка 1'!BN25))+(('Выборка 1'!BK25-'Выборка 1'!BP25)-('Выборка 1'!BJ25-'Выборка 1'!BO25)))/4000</f>
        <v>1.5</v>
      </c>
      <c r="P25" s="17">
        <f>(('Выборка 1'!BR25-'Выборка 1'!BQ25)+('Выборка 1'!BS25-'Выборка 1'!BR25)+('Выборка 1'!BT25-'Выборка 1'!BS25)+('Выборка 1'!BU25-'Выборка 1'!BT25))/4000</f>
        <v>899.75</v>
      </c>
    </row>
    <row r="26" spans="2:16" x14ac:dyDescent="0.25">
      <c r="B26" s="42">
        <f>('Выборка 1'!AL26+'Выборка 1'!AG26)/1000</f>
        <v>0</v>
      </c>
      <c r="C26" s="17">
        <v>17</v>
      </c>
      <c r="D26" s="17">
        <f>(('Выборка 1'!E26-'Выборка 1'!D26)+('Выборка 1'!F26-'Выборка 1'!E26)+('Выборка 1'!G26-'Выборка 1'!F26)+('Выборка 1'!H26-'Выборка 1'!G26))/4000</f>
        <v>0</v>
      </c>
      <c r="E26" s="44">
        <f>(('Выборка 1'!J26-'Выборка 1'!I26)+('Выборка 1'!K26-'Выборка 1'!J26)+('Выборка 1'!L26-'Выборка 1'!K26)+('Выборка 1'!M26-'Выборка 1'!L26))/4000</f>
        <v>-3.25</v>
      </c>
      <c r="F26" s="17">
        <f>(('Выборка 1'!O26-'Выборка 1'!N26)+('Выборка 1'!P26-'Выборка 1'!O26)+('Выборка 1'!Q26-'Выборка 1'!P26)+('Выборка 1'!R26-'Выборка 1'!Q26))/4000</f>
        <v>-50202.5</v>
      </c>
      <c r="G26" s="44">
        <f>(('Выборка 1'!T26-'Выборка 1'!S26)+('Выборка 1'!U26-'Выборка 1'!T26)+('Выборка 1'!V26-'Выборка 1'!U26)+('Выборка 1'!W26-'Выборка 1'!V26))/4000</f>
        <v>-1812.25</v>
      </c>
      <c r="H26" s="44">
        <f>(('Выборка 1'!Y26-'Выборка 1'!X26)+('Выборка 1'!Z26+'Выборка 1'!Y26)+('Выборка 1'!AA26-'Выборка 1'!Z26)+('Выборка 1'!AB26-'Выборка 1'!AA26))/4000</f>
        <v>-109210.5</v>
      </c>
      <c r="I26" s="44">
        <f>(('Выборка 1'!AD26-'Выборка 1'!AC26)+('Выборка 1'!AE26-'Выборка 1'!AD26)+('Выборка 1'!AF26-'Выборка 1'!AE26)+('Выборка 1'!AG26-'Выборка 1'!AF26))/4000</f>
        <v>0</v>
      </c>
      <c r="J26" s="44">
        <f>(('Выборка 1'!AI26-'Выборка 1'!AH26)+('Выборка 1'!AJ26-'Выборка 1'!AI26)+('Выборка 1'!AK26-'Выборка 1'!AJ26)+('Выборка 1'!AL26-'Выборка 1'!AK26))/4000</f>
        <v>-56705</v>
      </c>
      <c r="K26" s="17">
        <f>(('Выборка 1'!AN26-'Выборка 1'!AM26)+('Выборка 1'!AO26-'Выборка 1'!AN26)+('Выборка 1'!AP26-'Выборка 1'!AO26)+('Выборка 1'!AQ26-'Выборка 1'!AP26))/4000</f>
        <v>-27047.5</v>
      </c>
      <c r="L26" s="44">
        <f>((('Выборка 1'!AS26+'Выборка 1'!AX26)-('Выборка 1'!AR26+'Выборка 1'!AW26))+(('Выборка 1'!AT26+'Выборка 1'!AY26)-('Выборка 1'!AS26+'Выборка 1'!AX26))+(('Выборка 1'!AU26+'Выборка 1'!AZ26)-('Выборка 1'!AT26+'Выборка 1'!AY26))+(('Выборка 1'!AV26+'Выборка 1'!BA26)-('Выборка 1'!AU26+'Выборка 1'!AZ26)))/4000</f>
        <v>-27955.25</v>
      </c>
      <c r="M26" s="44">
        <f>(('Выборка 1'!BC26-'Выборка 1'!BB26)+('Выборка 1'!BD26-'Выборка 1'!BC26)+('Выборка 1'!BE26-'Выборка 1'!BD26)+('Выборка 1'!BF26-'Выборка 1'!BE26))/4000</f>
        <v>0</v>
      </c>
      <c r="N26" s="44">
        <f t="shared" si="0"/>
        <v>907.75</v>
      </c>
      <c r="O26" s="17">
        <f>((('Выборка 1'!BH26-'Выборка 1'!BM26)-('Выборка 1'!BG26-'Выборка 1'!BL26))+(('Выборка 1'!BI26-'Выборка 1'!BN26)-('Выборка 1'!BH26-'Выборка 1'!BM26))+(('Выборка 1'!BJ26-'Выборка 1'!BO26)-('Выборка 1'!BI26-'Выборка 1'!BN26))+(('Выборка 1'!BK26-'Выборка 1'!BP26)-('Выборка 1'!BJ26-'Выборка 1'!BO26)))/4000</f>
        <v>338.25</v>
      </c>
      <c r="P26" s="17">
        <f>(('Выборка 1'!BR26-'Выборка 1'!BQ26)+('Выборка 1'!BS26-'Выборка 1'!BR26)+('Выборка 1'!BT26-'Выборка 1'!BS26)+('Выборка 1'!BU26-'Выборка 1'!BT26))/4000</f>
        <v>989.5</v>
      </c>
    </row>
    <row r="27" spans="2:16" x14ac:dyDescent="0.25">
      <c r="B27" s="42">
        <f>('Выборка 1'!AL27+'Выборка 1'!AG27)/1000</f>
        <v>209184</v>
      </c>
      <c r="C27" s="17">
        <v>12</v>
      </c>
      <c r="D27" s="17">
        <f>(('Выборка 1'!E27-'Выборка 1'!D27)+('Выборка 1'!F27-'Выборка 1'!E27)+('Выборка 1'!G27-'Выборка 1'!F27)+('Выборка 1'!H27-'Выборка 1'!G27))/4000</f>
        <v>-13</v>
      </c>
      <c r="E27" s="44">
        <f>(('Выборка 1'!J27-'Выборка 1'!I27)+('Выборка 1'!K27-'Выборка 1'!J27)+('Выборка 1'!L27-'Выборка 1'!K27)+('Выборка 1'!M27-'Выборка 1'!L27))/4000</f>
        <v>-25.25</v>
      </c>
      <c r="F27" s="17">
        <f>(('Выборка 1'!O27-'Выборка 1'!N27)+('Выборка 1'!P27-'Выборка 1'!O27)+('Выборка 1'!Q27-'Выборка 1'!P27)+('Выборка 1'!R27-'Выборка 1'!Q27))/4000</f>
        <v>-26609.75</v>
      </c>
      <c r="G27" s="44">
        <f>(('Выборка 1'!T27-'Выборка 1'!S27)+('Выборка 1'!U27-'Выборка 1'!T27)+('Выборка 1'!V27-'Выборка 1'!U27)+('Выборка 1'!W27-'Выборка 1'!V27))/4000</f>
        <v>2158.25</v>
      </c>
      <c r="H27" s="44">
        <f>(('Выборка 1'!Y27-'Выборка 1'!X27)+('Выборка 1'!Z27+'Выборка 1'!Y27)+('Выборка 1'!AA27-'Выборка 1'!Z27)+('Выборка 1'!AB27-'Выборка 1'!AA27))/4000</f>
        <v>-38302.5</v>
      </c>
      <c r="I27" s="44">
        <f>(('Выборка 1'!AD27-'Выборка 1'!AC27)+('Выборка 1'!AE27-'Выборка 1'!AD27)+('Выборка 1'!AF27-'Выборка 1'!AE27)+('Выборка 1'!AG27-'Выборка 1'!AF27))/4000</f>
        <v>2951.75</v>
      </c>
      <c r="J27" s="44">
        <f>(('Выборка 1'!AI27-'Выборка 1'!AH27)+('Выборка 1'!AJ27-'Выборка 1'!AI27)+('Выборка 1'!AK27-'Выборка 1'!AJ27)+('Выборка 1'!AL27-'Выборка 1'!AK27))/4000</f>
        <v>-8934.75</v>
      </c>
      <c r="K27" s="17">
        <f>(('Выборка 1'!AN27-'Выборка 1'!AM27)+('Выборка 1'!AO27-'Выборка 1'!AN27)+('Выборка 1'!AP27-'Выборка 1'!AO27)+('Выборка 1'!AQ27-'Выборка 1'!AP27))/4000</f>
        <v>-135014.5</v>
      </c>
      <c r="L27" s="44">
        <f>((('Выборка 1'!AS27+'Выборка 1'!AX27)-('Выборка 1'!AR27+'Выборка 1'!AW27))+(('Выборка 1'!AT27+'Выборка 1'!AY27)-('Выборка 1'!AS27+'Выборка 1'!AX27))+(('Выборка 1'!AU27+'Выборка 1'!AZ27)-('Выборка 1'!AT27+'Выборка 1'!AY27))+(('Выборка 1'!AV27+'Выборка 1'!BA27)-('Выборка 1'!AU27+'Выборка 1'!AZ27)))/4000</f>
        <v>-128218.25</v>
      </c>
      <c r="M27" s="44">
        <f>(('Выборка 1'!BC27-'Выборка 1'!BB27)+('Выборка 1'!BD27-'Выборка 1'!BC27)+('Выборка 1'!BE27-'Выборка 1'!BD27)+('Выборка 1'!BF27-'Выборка 1'!BE27))/4000</f>
        <v>-6312</v>
      </c>
      <c r="N27" s="44">
        <f t="shared" si="0"/>
        <v>-484.25</v>
      </c>
      <c r="O27" s="17">
        <f>((('Выборка 1'!BH27-'Выборка 1'!BM27)-('Выборка 1'!BG27-'Выборка 1'!BL27))+(('Выборка 1'!BI27-'Выборка 1'!BN27)-('Выборка 1'!BH27-'Выборка 1'!BM27))+(('Выборка 1'!BJ27-'Выборка 1'!BO27)-('Выборка 1'!BI27-'Выборка 1'!BN27))+(('Выборка 1'!BK27-'Выборка 1'!BP27)-('Выборка 1'!BJ27-'Выборка 1'!BO27)))/4000</f>
        <v>-4162.25</v>
      </c>
      <c r="P27" s="17">
        <f>(('Выборка 1'!BR27-'Выборка 1'!BQ27)+('Выборка 1'!BS27-'Выборка 1'!BR27)+('Выборка 1'!BT27-'Выборка 1'!BS27)+('Выборка 1'!BU27-'Выборка 1'!BT27))/4000</f>
        <v>-3601.25</v>
      </c>
    </row>
    <row r="28" spans="2:16" x14ac:dyDescent="0.25">
      <c r="B28" s="42">
        <f>('Выборка 1'!AL28+'Выборка 1'!AG28)/1000</f>
        <v>317564</v>
      </c>
      <c r="C28" s="17">
        <v>19</v>
      </c>
      <c r="D28" s="17">
        <f>(('Выборка 1'!E28-'Выборка 1'!D28)+('Выборка 1'!F28-'Выборка 1'!E28)+('Выборка 1'!G28-'Выборка 1'!F28)+('Выборка 1'!H28-'Выборка 1'!G28))/4000</f>
        <v>0</v>
      </c>
      <c r="E28" s="44">
        <f>(('Выборка 1'!J28-'Выборка 1'!I28)+('Выборка 1'!K28-'Выборка 1'!J28)+('Выборка 1'!L28-'Выборка 1'!K28)+('Выборка 1'!M28-'Выборка 1'!L28))/4000</f>
        <v>0</v>
      </c>
      <c r="F28" s="17">
        <f>(('Выборка 1'!O28-'Выборка 1'!N28)+('Выборка 1'!P28-'Выборка 1'!O28)+('Выборка 1'!Q28-'Выборка 1'!P28)+('Выборка 1'!R28-'Выборка 1'!Q28))/4000</f>
        <v>0</v>
      </c>
      <c r="G28" s="44">
        <f>(('Выборка 1'!T28-'Выборка 1'!S28)+('Выборка 1'!U28-'Выборка 1'!T28)+('Выборка 1'!V28-'Выборка 1'!U28)+('Выборка 1'!W28-'Выборка 1'!V28))/4000</f>
        <v>0</v>
      </c>
      <c r="H28" s="44">
        <f>(('Выборка 1'!Y28-'Выборка 1'!X28)+('Выборка 1'!Z28+'Выборка 1'!Y28)+('Выборка 1'!AA28-'Выборка 1'!Z28)+('Выборка 1'!AB28-'Выборка 1'!AA28))/4000</f>
        <v>0</v>
      </c>
      <c r="I28" s="44">
        <f>(('Выборка 1'!AD28-'Выборка 1'!AC28)+('Выборка 1'!AE28-'Выборка 1'!AD28)+('Выборка 1'!AF28-'Выборка 1'!AE28)+('Выборка 1'!AG28-'Выборка 1'!AF28))/4000</f>
        <v>0</v>
      </c>
      <c r="J28" s="44">
        <f>(('Выборка 1'!AI28-'Выборка 1'!AH28)+('Выборка 1'!AJ28-'Выборка 1'!AI28)+('Выборка 1'!AK28-'Выборка 1'!AJ28)+('Выборка 1'!AL28-'Выборка 1'!AK28))/4000</f>
        <v>2273.75</v>
      </c>
      <c r="K28" s="17">
        <f>(('Выборка 1'!AN28-'Выборка 1'!AM28)+('Выборка 1'!AO28-'Выборка 1'!AN28)+('Выборка 1'!AP28-'Выборка 1'!AO28)+('Выборка 1'!AQ28-'Выборка 1'!AP28))/4000</f>
        <v>0</v>
      </c>
      <c r="L28" s="44">
        <f>((('Выборка 1'!AS28+'Выборка 1'!AX28)-('Выборка 1'!AR28+'Выборка 1'!AW28))+(('Выборка 1'!AT28+'Выборка 1'!AY28)-('Выборка 1'!AS28+'Выборка 1'!AX28))+(('Выборка 1'!AU28+'Выборка 1'!AZ28)-('Выборка 1'!AT28+'Выборка 1'!AY28))+(('Выборка 1'!AV28+'Выборка 1'!BA28)-('Выборка 1'!AU28+'Выборка 1'!AZ28)))/4000</f>
        <v>-462.75</v>
      </c>
      <c r="M28" s="44">
        <f>(('Выборка 1'!BC28-'Выборка 1'!BB28)+('Выборка 1'!BD28-'Выборка 1'!BC28)+('Выборка 1'!BE28-'Выборка 1'!BD28)+('Выборка 1'!BF28-'Выборка 1'!BE28))/4000</f>
        <v>0</v>
      </c>
      <c r="N28" s="44">
        <f t="shared" si="0"/>
        <v>462.75</v>
      </c>
      <c r="O28" s="17">
        <f>((('Выборка 1'!BH28-'Выборка 1'!BM28)-('Выборка 1'!BG28-'Выборка 1'!BL28))+(('Выборка 1'!BI28-'Выборка 1'!BN28)-('Выборка 1'!BH28-'Выборка 1'!BM28))+(('Выборка 1'!BJ28-'Выборка 1'!BO28)-('Выборка 1'!BI28-'Выборка 1'!BN28))+(('Выборка 1'!BK28-'Выборка 1'!BP28)-('Выборка 1'!BJ28-'Выборка 1'!BO28)))/4000</f>
        <v>-1.25</v>
      </c>
      <c r="P28" s="17">
        <f>(('Выборка 1'!BR28-'Выборка 1'!BQ28)+('Выборка 1'!BS28-'Выборка 1'!BR28)+('Выборка 1'!BT28-'Выборка 1'!BS28)+('Выборка 1'!BU28-'Выборка 1'!BT28))/4000</f>
        <v>461.5</v>
      </c>
    </row>
    <row r="29" spans="2:16" x14ac:dyDescent="0.25">
      <c r="B29" s="42">
        <f>('Выборка 1'!AL29+'Выборка 1'!AG29)/1000</f>
        <v>0</v>
      </c>
      <c r="C29" s="17">
        <v>13</v>
      </c>
      <c r="D29" s="17">
        <f>(('Выборка 1'!E29-'Выборка 1'!D29)+('Выборка 1'!F29-'Выборка 1'!E29)+('Выборка 1'!G29-'Выборка 1'!F29)+('Выборка 1'!H29-'Выборка 1'!G29))/4000</f>
        <v>0</v>
      </c>
      <c r="E29" s="44">
        <f>(('Выборка 1'!J29-'Выборка 1'!I29)+('Выборка 1'!K29-'Выборка 1'!J29)+('Выборка 1'!L29-'Выборка 1'!K29)+('Выборка 1'!M29-'Выборка 1'!L29))/4000</f>
        <v>0</v>
      </c>
      <c r="F29" s="17">
        <f>(('Выборка 1'!O29-'Выборка 1'!N29)+('Выборка 1'!P29-'Выборка 1'!O29)+('Выборка 1'!Q29-'Выборка 1'!P29)+('Выборка 1'!R29-'Выборка 1'!Q29))/4000</f>
        <v>0</v>
      </c>
      <c r="G29" s="44">
        <f>(('Выборка 1'!T29-'Выборка 1'!S29)+('Выборка 1'!U29-'Выборка 1'!T29)+('Выборка 1'!V29-'Выборка 1'!U29)+('Выборка 1'!W29-'Выборка 1'!V29))/4000</f>
        <v>0</v>
      </c>
      <c r="H29" s="44">
        <f>(('Выборка 1'!Y29-'Выборка 1'!X29)+('Выборка 1'!Z29+'Выборка 1'!Y29)+('Выборка 1'!AA29-'Выборка 1'!Z29)+('Выборка 1'!AB29-'Выборка 1'!AA29))/4000</f>
        <v>0</v>
      </c>
      <c r="I29" s="44">
        <f>(('Выборка 1'!AD29-'Выборка 1'!AC29)+('Выборка 1'!AE29-'Выборка 1'!AD29)+('Выборка 1'!AF29-'Выборка 1'!AE29)+('Выборка 1'!AG29-'Выборка 1'!AF29))/4000</f>
        <v>0</v>
      </c>
      <c r="J29" s="44">
        <f>(('Выборка 1'!AI29-'Выборка 1'!AH29)+('Выборка 1'!AJ29-'Выборка 1'!AI29)+('Выборка 1'!AK29-'Выборка 1'!AJ29)+('Выборка 1'!AL29-'Выборка 1'!AK29))/4000</f>
        <v>0</v>
      </c>
      <c r="K29" s="17">
        <f>(('Выборка 1'!AN29-'Выборка 1'!AM29)+('Выборка 1'!AO29-'Выборка 1'!AN29)+('Выборка 1'!AP29-'Выборка 1'!AO29)+('Выборка 1'!AQ29-'Выборка 1'!AP29))/4000</f>
        <v>0</v>
      </c>
      <c r="L29" s="44">
        <f>((('Выборка 1'!AS29+'Выборка 1'!AX29)-('Выборка 1'!AR29+'Выборка 1'!AW29))+(('Выборка 1'!AT29+'Выборка 1'!AY29)-('Выборка 1'!AS29+'Выборка 1'!AX29))+(('Выборка 1'!AU29+'Выборка 1'!AZ29)-('Выборка 1'!AT29+'Выборка 1'!AY29))+(('Выборка 1'!AV29+'Выборка 1'!BA29)-('Выборка 1'!AU29+'Выборка 1'!AZ29)))/4000</f>
        <v>0</v>
      </c>
      <c r="M29" s="44">
        <f>(('Выборка 1'!BC29-'Выборка 1'!BB29)+('Выборка 1'!BD29-'Выборка 1'!BC29)+('Выборка 1'!BE29-'Выборка 1'!BD29)+('Выборка 1'!BF29-'Выборка 1'!BE29))/4000</f>
        <v>0</v>
      </c>
      <c r="N29" s="44">
        <f t="shared" si="0"/>
        <v>0</v>
      </c>
      <c r="O29" s="17">
        <f>((('Выборка 1'!BH29-'Выборка 1'!BM29)-('Выборка 1'!BG29-'Выборка 1'!BL29))+(('Выборка 1'!BI29-'Выборка 1'!BN29)-('Выборка 1'!BH29-'Выборка 1'!BM29))+(('Выборка 1'!BJ29-'Выборка 1'!BO29)-('Выборка 1'!BI29-'Выборка 1'!BN29))+(('Выборка 1'!BK29-'Выборка 1'!BP29)-('Выборка 1'!BJ29-'Выборка 1'!BO29)))/4000</f>
        <v>0</v>
      </c>
      <c r="P29" s="17">
        <f>(('Выборка 1'!BR29-'Выборка 1'!BQ29)+('Выборка 1'!BS29-'Выборка 1'!BR29)+('Выборка 1'!BT29-'Выборка 1'!BS29)+('Выборка 1'!BU29-'Выборка 1'!BT29))/4000</f>
        <v>0</v>
      </c>
    </row>
    <row r="30" spans="2:16" x14ac:dyDescent="0.25">
      <c r="B30" s="42">
        <f>('Выборка 1'!AL30+'Выборка 1'!AG30)/1000</f>
        <v>11594</v>
      </c>
      <c r="C30" s="17">
        <v>6</v>
      </c>
      <c r="D30" s="17">
        <f>(('Выборка 1'!E30-'Выборка 1'!D30)+('Выборка 1'!F30-'Выборка 1'!E30)+('Выборка 1'!G30-'Выборка 1'!F30)+('Выборка 1'!H30-'Выборка 1'!G30))/4000</f>
        <v>25908.5</v>
      </c>
      <c r="E30" s="44">
        <f>(('Выборка 1'!J30-'Выборка 1'!I30)+('Выборка 1'!K30-'Выборка 1'!J30)+('Выборка 1'!L30-'Выборка 1'!K30)+('Выборка 1'!M30-'Выборка 1'!L30))/4000</f>
        <v>-73.75</v>
      </c>
      <c r="F30" s="17">
        <f>(('Выборка 1'!O30-'Выборка 1'!N30)+('Выборка 1'!P30-'Выборка 1'!O30)+('Выборка 1'!Q30-'Выборка 1'!P30)+('Выборка 1'!R30-'Выборка 1'!Q30))/4000</f>
        <v>3131.5</v>
      </c>
      <c r="G30" s="44">
        <f>(('Выборка 1'!T30-'Выборка 1'!S30)+('Выборка 1'!U30-'Выборка 1'!T30)+('Выборка 1'!V30-'Выборка 1'!U30)+('Выборка 1'!W30-'Выборка 1'!V30))/4000</f>
        <v>154</v>
      </c>
      <c r="H30" s="44">
        <f>(('Выборка 1'!Y30-'Выборка 1'!X30)+('Выборка 1'!Z30+'Выборка 1'!Y30)+('Выборка 1'!AA30-'Выборка 1'!Z30)+('Выборка 1'!AB30-'Выборка 1'!AA30))/4000</f>
        <v>1081.5</v>
      </c>
      <c r="I30" s="44">
        <f>(('Выборка 1'!AD30-'Выборка 1'!AC30)+('Выборка 1'!AE30-'Выборка 1'!AD30)+('Выборка 1'!AF30-'Выборка 1'!AE30)+('Выборка 1'!AG30-'Выборка 1'!AF30))/4000</f>
        <v>-2276</v>
      </c>
      <c r="J30" s="44">
        <f>(('Выборка 1'!AI30-'Выборка 1'!AH30)+('Выборка 1'!AJ30-'Выборка 1'!AI30)+('Выборка 1'!AK30-'Выборка 1'!AJ30)+('Выборка 1'!AL30-'Выборка 1'!AK30))/4000</f>
        <v>-837.25</v>
      </c>
      <c r="K30" s="17">
        <f>(('Выборка 1'!AN30-'Выборка 1'!AM30)+('Выборка 1'!AO30-'Выборка 1'!AN30)+('Выборка 1'!AP30-'Выборка 1'!AO30)+('Выборка 1'!AQ30-'Выборка 1'!AP30))/4000</f>
        <v>3712.75</v>
      </c>
      <c r="L30" s="44">
        <f>((('Выборка 1'!AS30+'Выборка 1'!AX30)-('Выборка 1'!AR30+'Выборка 1'!AW30))+(('Выборка 1'!AT30+'Выборка 1'!AY30)-('Выборка 1'!AS30+'Выборка 1'!AX30))+(('Выборка 1'!AU30+'Выборка 1'!AZ30)-('Выборка 1'!AT30+'Выборка 1'!AY30))+(('Выборка 1'!AV30+'Выборка 1'!BA30)-('Выборка 1'!AU30+'Выборка 1'!AZ30)))/4000</f>
        <v>7179</v>
      </c>
      <c r="M30" s="44">
        <f>(('Выборка 1'!BC30-'Выборка 1'!BB30)+('Выборка 1'!BD30-'Выборка 1'!BC30)+('Выборка 1'!BE30-'Выборка 1'!BD30)+('Выборка 1'!BF30-'Выборка 1'!BE30))/4000</f>
        <v>-1092.5</v>
      </c>
      <c r="N30" s="44">
        <f t="shared" si="0"/>
        <v>-2373.75</v>
      </c>
      <c r="O30" s="17">
        <f>((('Выборка 1'!BH30-'Выборка 1'!BM30)-('Выборка 1'!BG30-'Выборка 1'!BL30))+(('Выборка 1'!BI30-'Выборка 1'!BN30)-('Выборка 1'!BH30-'Выборка 1'!BM30))+(('Выборка 1'!BJ30-'Выборка 1'!BO30)-('Выборка 1'!BI30-'Выборка 1'!BN30))+(('Выборка 1'!BK30-'Выборка 1'!BP30)-('Выборка 1'!BJ30-'Выборка 1'!BO30)))/4000</f>
        <v>3893.75</v>
      </c>
      <c r="P30" s="17">
        <f>(('Выборка 1'!BR30-'Выборка 1'!BQ30)+('Выборка 1'!BS30-'Выборка 1'!BR30)+('Выборка 1'!BT30-'Выборка 1'!BS30)+('Выборка 1'!BU30-'Выборка 1'!BT30))/4000</f>
        <v>1291.75</v>
      </c>
    </row>
    <row r="31" spans="2:16" x14ac:dyDescent="0.25">
      <c r="B31" s="42">
        <f>('Выборка 1'!AL31+'Выборка 1'!AG31)/1000</f>
        <v>14883</v>
      </c>
      <c r="C31" s="17">
        <v>9</v>
      </c>
      <c r="D31" s="17">
        <f>(('Выборка 1'!E31-'Выборка 1'!D31)+('Выборка 1'!F31-'Выборка 1'!E31)+('Выборка 1'!G31-'Выборка 1'!F31)+('Выборка 1'!H31-'Выборка 1'!G31))/4000</f>
        <v>0</v>
      </c>
      <c r="E31" s="44">
        <f>(('Выборка 1'!J31-'Выборка 1'!I31)+('Выборка 1'!K31-'Выборка 1'!J31)+('Выборка 1'!L31-'Выборка 1'!K31)+('Выборка 1'!M31-'Выборка 1'!L31))/4000</f>
        <v>0</v>
      </c>
      <c r="F31" s="17">
        <f>(('Выборка 1'!O31-'Выборка 1'!N31)+('Выборка 1'!P31-'Выборка 1'!O31)+('Выборка 1'!Q31-'Выборка 1'!P31)+('Выборка 1'!R31-'Выборка 1'!Q31))/4000</f>
        <v>2683.25</v>
      </c>
      <c r="G31" s="44">
        <f>(('Выборка 1'!T31-'Выборка 1'!S31)+('Выборка 1'!U31-'Выборка 1'!T31)+('Выборка 1'!V31-'Выборка 1'!U31)+('Выборка 1'!W31-'Выборка 1'!V31))/4000</f>
        <v>56.25</v>
      </c>
      <c r="H31" s="44">
        <f>(('Выборка 1'!Y31-'Выборка 1'!X31)+('Выборка 1'!Z31+'Выборка 1'!Y31)+('Выборка 1'!AA31-'Выборка 1'!Z31)+('Выборка 1'!AB31-'Выборка 1'!AA31))/4000</f>
        <v>0</v>
      </c>
      <c r="I31" s="44">
        <f>(('Выборка 1'!AD31-'Выборка 1'!AC31)+('Выборка 1'!AE31-'Выборка 1'!AD31)+('Выборка 1'!AF31-'Выборка 1'!AE31)+('Выборка 1'!AG31-'Выборка 1'!AF31))/4000</f>
        <v>0</v>
      </c>
      <c r="J31" s="44">
        <f>(('Выборка 1'!AI31-'Выборка 1'!AH31)+('Выборка 1'!AJ31-'Выборка 1'!AI31)+('Выборка 1'!AK31-'Выборка 1'!AJ31)+('Выборка 1'!AL31-'Выборка 1'!AK31))/4000</f>
        <v>3720.75</v>
      </c>
      <c r="K31" s="17">
        <f>(('Выборка 1'!AN31-'Выборка 1'!AM31)+('Выборка 1'!AO31-'Выборка 1'!AN31)+('Выборка 1'!AP31-'Выборка 1'!AO31)+('Выборка 1'!AQ31-'Выборка 1'!AP31))/4000</f>
        <v>0</v>
      </c>
      <c r="L31" s="44">
        <f>((('Выборка 1'!AS31+'Выборка 1'!AX31)-('Выборка 1'!AR31+'Выборка 1'!AW31))+(('Выборка 1'!AT31+'Выборка 1'!AY31)-('Выборка 1'!AS31+'Выборка 1'!AX31))+(('Выборка 1'!AU31+'Выборка 1'!AZ31)-('Выборка 1'!AT31+'Выборка 1'!AY31))+(('Выборка 1'!AV31+'Выборка 1'!BA31)-('Выборка 1'!AU31+'Выборка 1'!AZ31)))/4000</f>
        <v>0</v>
      </c>
      <c r="M31" s="44">
        <f>(('Выборка 1'!BC31-'Выборка 1'!BB31)+('Выборка 1'!BD31-'Выборка 1'!BC31)+('Выборка 1'!BE31-'Выборка 1'!BD31)+('Выборка 1'!BF31-'Выборка 1'!BE31))/4000</f>
        <v>0</v>
      </c>
      <c r="N31" s="44">
        <f t="shared" si="0"/>
        <v>0</v>
      </c>
      <c r="O31" s="17">
        <f>((('Выборка 1'!BH31-'Выборка 1'!BM31)-('Выборка 1'!BG31-'Выборка 1'!BL31))+(('Выборка 1'!BI31-'Выборка 1'!BN31)-('Выборка 1'!BH31-'Выборка 1'!BM31))+(('Выборка 1'!BJ31-'Выборка 1'!BO31)-('Выборка 1'!BI31-'Выборка 1'!BN31))+(('Выборка 1'!BK31-'Выборка 1'!BP31)-('Выборка 1'!BJ31-'Выборка 1'!BO31)))/4000</f>
        <v>-1784.75</v>
      </c>
      <c r="P31" s="17">
        <f>(('Выборка 1'!BR31-'Выборка 1'!BQ31)+('Выборка 1'!BS31-'Выборка 1'!BR31)+('Выборка 1'!BT31-'Выборка 1'!BS31)+('Выборка 1'!BU31-'Выборка 1'!BT31))/4000</f>
        <v>-1784.75</v>
      </c>
    </row>
    <row r="32" spans="2:16" x14ac:dyDescent="0.25">
      <c r="B32" s="42">
        <f>('Выборка 1'!AL32+'Выборка 1'!AG32)/1000</f>
        <v>55544341</v>
      </c>
      <c r="C32" s="17">
        <v>20</v>
      </c>
      <c r="D32" s="17">
        <f>(('Выборка 1'!E32-'Выборка 1'!D32)+('Выборка 1'!F32-'Выборка 1'!E32)+('Выборка 1'!G32-'Выборка 1'!F32)+('Выборка 1'!H32-'Выборка 1'!G32))/4000</f>
        <v>-158288.5</v>
      </c>
      <c r="E32" s="44">
        <f>(('Выборка 1'!J32-'Выборка 1'!I32)+('Выборка 1'!K32-'Выборка 1'!J32)+('Выборка 1'!L32-'Выборка 1'!K32)+('Выборка 1'!M32-'Выборка 1'!L32))/4000</f>
        <v>-2717783.25</v>
      </c>
      <c r="F32" s="17">
        <f>(('Выборка 1'!O32-'Выборка 1'!N32)+('Выборка 1'!P32-'Выборка 1'!O32)+('Выборка 1'!Q32-'Выборка 1'!P32)+('Выборка 1'!R32-'Выборка 1'!Q32))/4000</f>
        <v>-6371149</v>
      </c>
      <c r="G32" s="44">
        <f>(('Выборка 1'!T32-'Выборка 1'!S32)+('Выборка 1'!U32-'Выборка 1'!T32)+('Выборка 1'!V32-'Выборка 1'!U32)+('Выборка 1'!W32-'Выборка 1'!V32))/4000</f>
        <v>-810517.75</v>
      </c>
      <c r="H32" s="44">
        <f>(('Выборка 1'!Y32-'Выборка 1'!X32)+('Выборка 1'!Z32+'Выборка 1'!Y32)+('Выборка 1'!AA32-'Выборка 1'!Z32)+('Выборка 1'!AB32-'Выборка 1'!AA32))/4000</f>
        <v>-11252285</v>
      </c>
      <c r="I32" s="44">
        <f>(('Выборка 1'!AD32-'Выборка 1'!AC32)+('Выборка 1'!AE32-'Выборка 1'!AD32)+('Выборка 1'!AF32-'Выборка 1'!AE32)+('Выборка 1'!AG32-'Выборка 1'!AF32))/4000</f>
        <v>-2394480.75</v>
      </c>
      <c r="J32" s="44">
        <f>(('Выборка 1'!AI32-'Выборка 1'!AH32)+('Выборка 1'!AJ32-'Выборка 1'!AI32)+('Выборка 1'!AK32-'Выборка 1'!AJ32)+('Выборка 1'!AL32-'Выборка 1'!AK32))/4000</f>
        <v>-362521.75</v>
      </c>
      <c r="K32" s="17">
        <f>(('Выборка 1'!AN32-'Выборка 1'!AM32)+('Выборка 1'!AO32-'Выборка 1'!AN32)+('Выборка 1'!AP32-'Выборка 1'!AO32)+('Выборка 1'!AQ32-'Выборка 1'!AP32))/4000</f>
        <v>-25535453.25</v>
      </c>
      <c r="L32" s="44">
        <f>((('Выборка 1'!AS32+'Выборка 1'!AX32)-('Выборка 1'!AR32+'Выборка 1'!AW32))+(('Выборка 1'!AT32+'Выборка 1'!AY32)-('Выборка 1'!AS32+'Выборка 1'!AX32))+(('Выборка 1'!AU32+'Выборка 1'!AZ32)-('Выборка 1'!AT32+'Выборка 1'!AY32))+(('Выборка 1'!AV32+'Выборка 1'!BA32)-('Выборка 1'!AU32+'Выборка 1'!AZ32)))/4000</f>
        <v>-25301486.75</v>
      </c>
      <c r="M32" s="44">
        <f>(('Выборка 1'!BC32-'Выборка 1'!BB32)+('Выборка 1'!BD32-'Выборка 1'!BC32)+('Выборка 1'!BE32-'Выборка 1'!BD32)+('Выборка 1'!BF32-'Выборка 1'!BE32))/4000</f>
        <v>0</v>
      </c>
      <c r="N32" s="44">
        <f t="shared" si="0"/>
        <v>-233966.5</v>
      </c>
      <c r="O32" s="17">
        <f>((('Выборка 1'!BH32-'Выборка 1'!BM32)-('Выборка 1'!BG32-'Выборка 1'!BL32))+(('Выборка 1'!BI32-'Выборка 1'!BN32)-('Выборка 1'!BH32-'Выборка 1'!BM32))+(('Выборка 1'!BJ32-'Выборка 1'!BO32)-('Выборка 1'!BI32-'Выборка 1'!BN32))+(('Выборка 1'!BK32-'Выборка 1'!BP32)-('Выборка 1'!BJ32-'Выборка 1'!BO32)))/4000</f>
        <v>514162</v>
      </c>
      <c r="P32" s="17">
        <f>(('Выборка 1'!BR32-'Выборка 1'!BQ32)+('Выборка 1'!BS32-'Выборка 1'!BR32)+('Выборка 1'!BT32-'Выборка 1'!BS32)+('Выборка 1'!BU32-'Выборка 1'!BT32))/4000</f>
        <v>450278.75</v>
      </c>
    </row>
    <row r="33" spans="2:16" x14ac:dyDescent="0.25">
      <c r="B33" s="42">
        <f>('Выборка 1'!AL33+'Выборка 1'!AG33)/1000</f>
        <v>439717</v>
      </c>
      <c r="C33" s="17">
        <v>24</v>
      </c>
      <c r="D33" s="17">
        <f>(('Выборка 1'!E33-'Выборка 1'!D33)+('Выборка 1'!F33-'Выборка 1'!E33)+('Выборка 1'!G33-'Выборка 1'!F33)+('Выборка 1'!H33-'Выборка 1'!G33))/4000</f>
        <v>89161.25</v>
      </c>
      <c r="E33" s="44">
        <f>(('Выборка 1'!J33-'Выборка 1'!I33)+('Выборка 1'!K33-'Выборка 1'!J33)+('Выборка 1'!L33-'Выборка 1'!K33)+('Выборка 1'!M33-'Выборка 1'!L33))/4000</f>
        <v>-63317.75</v>
      </c>
      <c r="F33" s="17">
        <f>(('Выборка 1'!O33-'Выборка 1'!N33)+('Выборка 1'!P33-'Выборка 1'!O33)+('Выборка 1'!Q33-'Выборка 1'!P33)+('Выборка 1'!R33-'Выборка 1'!Q33))/4000</f>
        <v>-7652.25</v>
      </c>
      <c r="G33" s="44">
        <f>(('Выборка 1'!T33-'Выборка 1'!S33)+('Выборка 1'!U33-'Выборка 1'!T33)+('Выборка 1'!V33-'Выборка 1'!U33)+('Выборка 1'!W33-'Выборка 1'!V33))/4000</f>
        <v>3883.75</v>
      </c>
      <c r="H33" s="44">
        <f>(('Выборка 1'!Y33-'Выборка 1'!X33)+('Выборка 1'!Z33+'Выборка 1'!Y33)+('Выборка 1'!AA33-'Выборка 1'!Z33)+('Выборка 1'!AB33-'Выборка 1'!AA33))/4000</f>
        <v>20374.25</v>
      </c>
      <c r="I33" s="44">
        <f>(('Выборка 1'!AD33-'Выборка 1'!AC33)+('Выборка 1'!AE33-'Выборка 1'!AD33)+('Выборка 1'!AF33-'Выборка 1'!AE33)+('Выборка 1'!AG33-'Выборка 1'!AF33))/4000</f>
        <v>-81.75</v>
      </c>
      <c r="J33" s="44">
        <f>(('Выборка 1'!AI33-'Выборка 1'!AH33)+('Выборка 1'!AJ33-'Выборка 1'!AI33)+('Выборка 1'!AK33-'Выборка 1'!AJ33)+('Выборка 1'!AL33-'Выборка 1'!AK33))/4000</f>
        <v>-2834.5</v>
      </c>
      <c r="K33" s="17">
        <f>(('Выборка 1'!AN33-'Выборка 1'!AM33)+('Выборка 1'!AO33-'Выборка 1'!AN33)+('Выборка 1'!AP33-'Выборка 1'!AO33)+('Выборка 1'!AQ33-'Выборка 1'!AP33))/4000</f>
        <v>-113909.5</v>
      </c>
      <c r="L33" s="44">
        <f>((('Выборка 1'!AS33+'Выборка 1'!AX33)-('Выборка 1'!AR33+'Выборка 1'!AW33))+(('Выборка 1'!AT33+'Выборка 1'!AY33)-('Выборка 1'!AS33+'Выборка 1'!AX33))+(('Выборка 1'!AU33+'Выборка 1'!AZ33)-('Выборка 1'!AT33+'Выборка 1'!AY33))+(('Выборка 1'!AV33+'Выборка 1'!BA33)-('Выборка 1'!AU33+'Выборка 1'!AZ33)))/4000</f>
        <v>-65956</v>
      </c>
      <c r="M33" s="44">
        <f>(('Выборка 1'!BC33-'Выборка 1'!BB33)+('Выборка 1'!BD33-'Выборка 1'!BC33)+('Выборка 1'!BE33-'Выборка 1'!BD33)+('Выборка 1'!BF33-'Выборка 1'!BE33))/4000</f>
        <v>0</v>
      </c>
      <c r="N33" s="44">
        <f t="shared" si="0"/>
        <v>-47953.5</v>
      </c>
      <c r="O33" s="17">
        <f>((('Выборка 1'!BH33-'Выборка 1'!BM33)-('Выборка 1'!BG33-'Выборка 1'!BL33))+(('Выборка 1'!BI33-'Выборка 1'!BN33)-('Выборка 1'!BH33-'Выборка 1'!BM33))+(('Выборка 1'!BJ33-'Выборка 1'!BO33)-('Выборка 1'!BI33-'Выборка 1'!BN33))+(('Выборка 1'!BK33-'Выборка 1'!BP33)-('Выборка 1'!BJ33-'Выборка 1'!BO33)))/4000</f>
        <v>-23034</v>
      </c>
      <c r="P33" s="17">
        <f>(('Выборка 1'!BR33-'Выборка 1'!BQ33)+('Выборка 1'!BS33-'Выборка 1'!BR33)+('Выборка 1'!BT33-'Выборка 1'!BS33)+('Выборка 1'!BU33-'Выборка 1'!BT33))/4000</f>
        <v>-74586</v>
      </c>
    </row>
    <row r="34" spans="2:16" x14ac:dyDescent="0.25">
      <c r="B34" s="42">
        <f>('Выборка 1'!AL34+'Выборка 1'!AG34)/1000</f>
        <v>16739</v>
      </c>
      <c r="C34" s="17">
        <v>5</v>
      </c>
      <c r="D34" s="17">
        <f>(('Выборка 1'!E34-'Выборка 1'!D34)+('Выборка 1'!F34-'Выборка 1'!E34)+('Выборка 1'!G34-'Выборка 1'!F34)+('Выборка 1'!H34-'Выборка 1'!G34))/4000</f>
        <v>836.5</v>
      </c>
      <c r="E34" s="44">
        <f>(('Выборка 1'!J34-'Выборка 1'!I34)+('Выборка 1'!K34-'Выборка 1'!J34)+('Выборка 1'!L34-'Выборка 1'!K34)+('Выборка 1'!M34-'Выборка 1'!L34))/4000</f>
        <v>707</v>
      </c>
      <c r="F34" s="17">
        <f>(('Выборка 1'!O34-'Выборка 1'!N34)+('Выборка 1'!P34-'Выборка 1'!O34)+('Выборка 1'!Q34-'Выборка 1'!P34)+('Выборка 1'!R34-'Выборка 1'!Q34))/4000</f>
        <v>-216</v>
      </c>
      <c r="G34" s="44">
        <f>(('Выборка 1'!T34-'Выборка 1'!S34)+('Выборка 1'!U34-'Выборка 1'!T34)+('Выборка 1'!V34-'Выборка 1'!U34)+('Выборка 1'!W34-'Выборка 1'!V34))/4000</f>
        <v>-7.25</v>
      </c>
      <c r="H34" s="44">
        <f>(('Выборка 1'!Y34-'Выборка 1'!X34)+('Выборка 1'!Z34+'Выборка 1'!Y34)+('Выборка 1'!AA34-'Выборка 1'!Z34)+('Выборка 1'!AB34-'Выборка 1'!AA34))/4000</f>
        <v>0</v>
      </c>
      <c r="I34" s="44">
        <f>(('Выборка 1'!AD34-'Выборка 1'!AC34)+('Выборка 1'!AE34-'Выборка 1'!AD34)+('Выборка 1'!AF34-'Выборка 1'!AE34)+('Выборка 1'!AG34-'Выборка 1'!AF34))/4000</f>
        <v>1484.5</v>
      </c>
      <c r="J34" s="44">
        <f>(('Выборка 1'!AI34-'Выборка 1'!AH34)+('Выборка 1'!AJ34-'Выборка 1'!AI34)+('Выборка 1'!AK34-'Выборка 1'!AJ34)+('Выборка 1'!AL34-'Выборка 1'!AK34))/4000</f>
        <v>646</v>
      </c>
      <c r="K34" s="17">
        <f>(('Выборка 1'!AN34-'Выборка 1'!AM34)+('Выборка 1'!AO34-'Выборка 1'!AN34)+('Выборка 1'!AP34-'Выборка 1'!AO34)+('Выборка 1'!AQ34-'Выборка 1'!AP34))/4000</f>
        <v>4406.75</v>
      </c>
      <c r="L34" s="44">
        <f>((('Выборка 1'!AS34+'Выборка 1'!AX34)-('Выборка 1'!AR34+'Выборка 1'!AW34))+(('Выборка 1'!AT34+'Выборка 1'!AY34)-('Выборка 1'!AS34+'Выборка 1'!AX34))+(('Выборка 1'!AU34+'Выборка 1'!AZ34)-('Выборка 1'!AT34+'Выборка 1'!AY34))+(('Выборка 1'!AV34+'Выборка 1'!BA34)-('Выборка 1'!AU34+'Выборка 1'!AZ34)))/4000</f>
        <v>4532.25</v>
      </c>
      <c r="M34" s="44">
        <f>(('Выборка 1'!BC34-'Выборка 1'!BB34)+('Выборка 1'!BD34-'Выборка 1'!BC34)+('Выборка 1'!BE34-'Выборка 1'!BD34)+('Выборка 1'!BF34-'Выборка 1'!BE34))/4000</f>
        <v>0</v>
      </c>
      <c r="N34" s="44">
        <f t="shared" si="0"/>
        <v>-125.5</v>
      </c>
      <c r="O34" s="17">
        <f>((('Выборка 1'!BH34-'Выборка 1'!BM34)-('Выборка 1'!BG34-'Выборка 1'!BL34))+(('Выборка 1'!BI34-'Выборка 1'!BN34)-('Выборка 1'!BH34-'Выборка 1'!BM34))+(('Выборка 1'!BJ34-'Выборка 1'!BO34)-('Выборка 1'!BI34-'Выборка 1'!BN34))+(('Выборка 1'!BK34-'Выборка 1'!BP34)-('Выборка 1'!BJ34-'Выборка 1'!BO34)))/4000</f>
        <v>-1731</v>
      </c>
      <c r="P34" s="17">
        <f>(('Выборка 1'!BR34-'Выборка 1'!BQ34)+('Выборка 1'!BS34-'Выборка 1'!BR34)+('Выборка 1'!BT34-'Выборка 1'!BS34)+('Выборка 1'!BU34-'Выборка 1'!BT34))/4000</f>
        <v>-2002.5</v>
      </c>
    </row>
    <row r="35" spans="2:16" x14ac:dyDescent="0.25">
      <c r="B35" s="42">
        <f>('Выборка 1'!AL35+'Выборка 1'!AG35)/1000</f>
        <v>14259</v>
      </c>
      <c r="C35" s="17">
        <v>11</v>
      </c>
      <c r="D35" s="17">
        <f>(('Выборка 1'!E35-'Выборка 1'!D35)+('Выборка 1'!F35-'Выборка 1'!E35)+('Выборка 1'!G35-'Выборка 1'!F35)+('Выборка 1'!H35-'Выборка 1'!G35))/4000</f>
        <v>0</v>
      </c>
      <c r="E35" s="44">
        <f>(('Выборка 1'!J35-'Выборка 1'!I35)+('Выборка 1'!K35-'Выборка 1'!J35)+('Выборка 1'!L35-'Выборка 1'!K35)+('Выборка 1'!M35-'Выборка 1'!L35))/4000</f>
        <v>0</v>
      </c>
      <c r="F35" s="17">
        <f>(('Выборка 1'!O35-'Выборка 1'!N35)+('Выборка 1'!P35-'Выборка 1'!O35)+('Выборка 1'!Q35-'Выборка 1'!P35)+('Выборка 1'!R35-'Выборка 1'!Q35))/4000</f>
        <v>0</v>
      </c>
      <c r="G35" s="44">
        <f>(('Выборка 1'!T35-'Выборка 1'!S35)+('Выборка 1'!U35-'Выборка 1'!T35)+('Выборка 1'!V35-'Выборка 1'!U35)+('Выборка 1'!W35-'Выборка 1'!V35))/4000</f>
        <v>0</v>
      </c>
      <c r="H35" s="44">
        <f>(('Выборка 1'!Y35-'Выборка 1'!X35)+('Выборка 1'!Z35+'Выборка 1'!Y35)+('Выборка 1'!AA35-'Выборка 1'!Z35)+('Выборка 1'!AB35-'Выборка 1'!AA35))/4000</f>
        <v>0</v>
      </c>
      <c r="I35" s="44">
        <f>(('Выборка 1'!AD35-'Выборка 1'!AC35)+('Выборка 1'!AE35-'Выборка 1'!AD35)+('Выборка 1'!AF35-'Выборка 1'!AE35)+('Выборка 1'!AG35-'Выборка 1'!AF35))/4000</f>
        <v>0</v>
      </c>
      <c r="J35" s="44">
        <f>(('Выборка 1'!AI35-'Выборка 1'!AH35)+('Выборка 1'!AJ35-'Выборка 1'!AI35)+('Выборка 1'!AK35-'Выборка 1'!AJ35)+('Выборка 1'!AL35-'Выборка 1'!AK35))/4000</f>
        <v>279.75</v>
      </c>
      <c r="K35" s="17">
        <f>(('Выборка 1'!AN35-'Выборка 1'!AM35)+('Выборка 1'!AO35-'Выборка 1'!AN35)+('Выборка 1'!AP35-'Выборка 1'!AO35)+('Выборка 1'!AQ35-'Выборка 1'!AP35))/4000</f>
        <v>0</v>
      </c>
      <c r="L35" s="44">
        <f>((('Выборка 1'!AS35+'Выборка 1'!AX35)-('Выборка 1'!AR35+'Выборка 1'!AW35))+(('Выборка 1'!AT35+'Выборка 1'!AY35)-('Выборка 1'!AS35+'Выборка 1'!AX35))+(('Выборка 1'!AU35+'Выборка 1'!AZ35)-('Выборка 1'!AT35+'Выборка 1'!AY35))+(('Выборка 1'!AV35+'Выборка 1'!BA35)-('Выборка 1'!AU35+'Выборка 1'!AZ35)))/4000</f>
        <v>0</v>
      </c>
      <c r="M35" s="44">
        <f>(('Выборка 1'!BC35-'Выборка 1'!BB35)+('Выборка 1'!BD35-'Выборка 1'!BC35)+('Выборка 1'!BE35-'Выборка 1'!BD35)+('Выборка 1'!BF35-'Выборка 1'!BE35))/4000</f>
        <v>0</v>
      </c>
      <c r="N35" s="44">
        <f t="shared" si="0"/>
        <v>0</v>
      </c>
      <c r="O35" s="17">
        <f>((('Выборка 1'!BH35-'Выборка 1'!BM35)-('Выборка 1'!BG35-'Выборка 1'!BL35))+(('Выборка 1'!BI35-'Выборка 1'!BN35)-('Выборка 1'!BH35-'Выборка 1'!BM35))+(('Выборка 1'!BJ35-'Выборка 1'!BO35)-('Выборка 1'!BI35-'Выборка 1'!BN35))+(('Выборка 1'!BK35-'Выборка 1'!BP35)-('Выборка 1'!BJ35-'Выборка 1'!BO35)))/4000</f>
        <v>0</v>
      </c>
      <c r="P35" s="17">
        <f>(('Выборка 1'!BR35-'Выборка 1'!BQ35)+('Выборка 1'!BS35-'Выборка 1'!BR35)+('Выборка 1'!BT35-'Выборка 1'!BS35)+('Выборка 1'!BU35-'Выборка 1'!BT35))/4000</f>
        <v>0</v>
      </c>
    </row>
    <row r="36" spans="2:16" x14ac:dyDescent="0.25">
      <c r="B36" s="42">
        <f>('Выборка 1'!AL36+'Выборка 1'!AG36)/1000</f>
        <v>150756</v>
      </c>
      <c r="C36" s="17">
        <v>19</v>
      </c>
      <c r="D36" s="17">
        <f>(('Выборка 1'!E36-'Выборка 1'!D36)+('Выборка 1'!F36-'Выборка 1'!E36)+('Выборка 1'!G36-'Выборка 1'!F36)+('Выборка 1'!H36-'Выборка 1'!G36))/4000</f>
        <v>2959.5</v>
      </c>
      <c r="E36" s="44">
        <f>(('Выборка 1'!J36-'Выборка 1'!I36)+('Выборка 1'!K36-'Выборка 1'!J36)+('Выборка 1'!L36-'Выборка 1'!K36)+('Выборка 1'!M36-'Выборка 1'!L36))/4000</f>
        <v>0</v>
      </c>
      <c r="F36" s="17">
        <f>(('Выборка 1'!O36-'Выборка 1'!N36)+('Выборка 1'!P36-'Выборка 1'!O36)+('Выборка 1'!Q36-'Выборка 1'!P36)+('Выборка 1'!R36-'Выборка 1'!Q36))/4000</f>
        <v>0</v>
      </c>
      <c r="G36" s="44">
        <f>(('Выборка 1'!T36-'Выборка 1'!S36)+('Выборка 1'!U36-'Выборка 1'!T36)+('Выборка 1'!V36-'Выборка 1'!U36)+('Выборка 1'!W36-'Выборка 1'!V36))/4000</f>
        <v>0</v>
      </c>
      <c r="H36" s="44">
        <f>(('Выборка 1'!Y36-'Выборка 1'!X36)+('Выборка 1'!Z36+'Выборка 1'!Y36)+('Выборка 1'!AA36-'Выборка 1'!Z36)+('Выборка 1'!AB36-'Выборка 1'!AA36))/4000</f>
        <v>-131437.75</v>
      </c>
      <c r="I36" s="44">
        <f>(('Выборка 1'!AD36-'Выборка 1'!AC36)+('Выборка 1'!AE36-'Выборка 1'!AD36)+('Выборка 1'!AF36-'Выборка 1'!AE36)+('Выборка 1'!AG36-'Выборка 1'!AF36))/4000</f>
        <v>0</v>
      </c>
      <c r="J36" s="44">
        <f>(('Выборка 1'!AI36-'Выборка 1'!AH36)+('Выборка 1'!AJ36-'Выборка 1'!AI36)+('Выборка 1'!AK36-'Выборка 1'!AJ36)+('Выборка 1'!AL36-'Выборка 1'!AK36))/4000</f>
        <v>805.75</v>
      </c>
      <c r="K36" s="17">
        <f>(('Выборка 1'!AN36-'Выборка 1'!AM36)+('Выборка 1'!AO36-'Выборка 1'!AN36)+('Выборка 1'!AP36-'Выборка 1'!AO36)+('Выборка 1'!AQ36-'Выборка 1'!AP36))/4000</f>
        <v>-4748.25</v>
      </c>
      <c r="L36" s="44">
        <f>((('Выборка 1'!AS36+'Выборка 1'!AX36)-('Выборка 1'!AR36+'Выборка 1'!AW36))+(('Выборка 1'!AT36+'Выборка 1'!AY36)-('Выборка 1'!AS36+'Выборка 1'!AX36))+(('Выборка 1'!AU36+'Выборка 1'!AZ36)-('Выборка 1'!AT36+'Выборка 1'!AY36))+(('Выборка 1'!AV36+'Выборка 1'!BA36)-('Выборка 1'!AU36+'Выборка 1'!AZ36)))/4000</f>
        <v>0</v>
      </c>
      <c r="M36" s="44">
        <f>(('Выборка 1'!BC36-'Выборка 1'!BB36)+('Выборка 1'!BD36-'Выборка 1'!BC36)+('Выборка 1'!BE36-'Выборка 1'!BD36)+('Выборка 1'!BF36-'Выборка 1'!BE36))/4000</f>
        <v>0</v>
      </c>
      <c r="N36" s="44">
        <f t="shared" si="0"/>
        <v>-4748.25</v>
      </c>
      <c r="O36" s="17">
        <f>((('Выборка 1'!BH36-'Выборка 1'!BM36)-('Выборка 1'!BG36-'Выборка 1'!BL36))+(('Выборка 1'!BI36-'Выборка 1'!BN36)-('Выборка 1'!BH36-'Выборка 1'!BM36))+(('Выборка 1'!BJ36-'Выборка 1'!BO36)-('Выборка 1'!BI36-'Выборка 1'!BN36))+(('Выборка 1'!BK36-'Выборка 1'!BP36)-('Выборка 1'!BJ36-'Выборка 1'!BO36)))/4000</f>
        <v>4419</v>
      </c>
      <c r="P36" s="17">
        <f>(('Выборка 1'!BR36-'Выборка 1'!BQ36)+('Выборка 1'!BS36-'Выборка 1'!BR36)+('Выборка 1'!BT36-'Выборка 1'!BS36)+('Выборка 1'!BU36-'Выборка 1'!BT36))/4000</f>
        <v>-329.25</v>
      </c>
    </row>
    <row r="37" spans="2:16" x14ac:dyDescent="0.25">
      <c r="B37" s="42">
        <f>('Выборка 1'!AL37+'Выборка 1'!AG37)/1000</f>
        <v>24896</v>
      </c>
      <c r="C37" s="17">
        <v>6</v>
      </c>
      <c r="D37" s="17">
        <f>(('Выборка 1'!E37-'Выборка 1'!D37)+('Выборка 1'!F37-'Выборка 1'!E37)+('Выборка 1'!G37-'Выборка 1'!F37)+('Выборка 1'!H37-'Выборка 1'!G37))/4000</f>
        <v>0</v>
      </c>
      <c r="E37" s="44">
        <f>(('Выборка 1'!J37-'Выборка 1'!I37)+('Выборка 1'!K37-'Выборка 1'!J37)+('Выборка 1'!L37-'Выборка 1'!K37)+('Выборка 1'!M37-'Выборка 1'!L37))/4000</f>
        <v>-1553.75</v>
      </c>
      <c r="F37" s="17">
        <f>(('Выборка 1'!O37-'Выборка 1'!N37)+('Выборка 1'!P37-'Выборка 1'!O37)+('Выборка 1'!Q37-'Выборка 1'!P37)+('Выборка 1'!R37-'Выборка 1'!Q37))/4000</f>
        <v>3514.5</v>
      </c>
      <c r="G37" s="44">
        <f>(('Выборка 1'!T37-'Выборка 1'!S37)+('Выборка 1'!U37-'Выборка 1'!T37)+('Выборка 1'!V37-'Выборка 1'!U37)+('Выборка 1'!W37-'Выборка 1'!V37))/4000</f>
        <v>-3370.25</v>
      </c>
      <c r="H37" s="44">
        <f>(('Выборка 1'!Y37-'Выборка 1'!X37)+('Выборка 1'!Z37+'Выборка 1'!Y37)+('Выборка 1'!AA37-'Выборка 1'!Z37)+('Выборка 1'!AB37-'Выборка 1'!AA37))/4000</f>
        <v>-730</v>
      </c>
      <c r="I37" s="44">
        <f>(('Выборка 1'!AD37-'Выборка 1'!AC37)+('Выборка 1'!AE37-'Выборка 1'!AD37)+('Выборка 1'!AF37-'Выборка 1'!AE37)+('Выборка 1'!AG37-'Выборка 1'!AF37))/4000</f>
        <v>-618.25</v>
      </c>
      <c r="J37" s="44">
        <f>(('Выборка 1'!AI37-'Выборка 1'!AH37)+('Выборка 1'!AJ37-'Выборка 1'!AI37)+('Выборка 1'!AK37-'Выборка 1'!AJ37)+('Выборка 1'!AL37-'Выборка 1'!AK37))/4000</f>
        <v>4724.5</v>
      </c>
      <c r="K37" s="17">
        <f>(('Выборка 1'!AN37-'Выборка 1'!AM37)+('Выборка 1'!AO37-'Выборка 1'!AN37)+('Выборка 1'!AP37-'Выборка 1'!AO37)+('Выборка 1'!AQ37-'Выборка 1'!AP37))/4000</f>
        <v>-37263.75</v>
      </c>
      <c r="L37" s="44">
        <f>((('Выборка 1'!AS37+'Выборка 1'!AX37)-('Выборка 1'!AR37+'Выборка 1'!AW37))+(('Выборка 1'!AT37+'Выборка 1'!AY37)-('Выборка 1'!AS37+'Выборка 1'!AX37))+(('Выборка 1'!AU37+'Выборка 1'!AZ37)-('Выборка 1'!AT37+'Выборка 1'!AY37))+(('Выборка 1'!AV37+'Выборка 1'!BA37)-('Выборка 1'!AU37+'Выборка 1'!AZ37)))/4000</f>
        <v>-32836.75</v>
      </c>
      <c r="M37" s="44">
        <f>(('Выборка 1'!BC37-'Выборка 1'!BB37)+('Выборка 1'!BD37-'Выборка 1'!BC37)+('Выборка 1'!BE37-'Выборка 1'!BD37)+('Выборка 1'!BF37-'Выборка 1'!BE37))/4000</f>
        <v>0</v>
      </c>
      <c r="N37" s="44">
        <f t="shared" si="0"/>
        <v>-4427</v>
      </c>
      <c r="O37" s="17">
        <f>((('Выборка 1'!BH37-'Выборка 1'!BM37)-('Выборка 1'!BG37-'Выборка 1'!BL37))+(('Выборка 1'!BI37-'Выборка 1'!BN37)-('Выборка 1'!BH37-'Выборка 1'!BM37))+(('Выборка 1'!BJ37-'Выборка 1'!BO37)-('Выборка 1'!BI37-'Выборка 1'!BN37))+(('Выборка 1'!BK37-'Выборка 1'!BP37)-('Выборка 1'!BJ37-'Выборка 1'!BO37)))/4000</f>
        <v>154.75</v>
      </c>
      <c r="P37" s="17">
        <f>(('Выборка 1'!BR37-'Выборка 1'!BQ37)+('Выборка 1'!BS37-'Выборка 1'!BR37)+('Выборка 1'!BT37-'Выборка 1'!BS37)+('Выборка 1'!BU37-'Выборка 1'!BT37))/4000</f>
        <v>-3772.75</v>
      </c>
    </row>
    <row r="38" spans="2:16" x14ac:dyDescent="0.25">
      <c r="B38" s="42">
        <f>('Выборка 1'!AL38+'Выборка 1'!AG38)/1000</f>
        <v>233055</v>
      </c>
      <c r="C38" s="17">
        <v>10</v>
      </c>
      <c r="D38" s="17">
        <f>(('Выборка 1'!E38-'Выборка 1'!D38)+('Выборка 1'!F38-'Выборка 1'!E38)+('Выборка 1'!G38-'Выборка 1'!F38)+('Выборка 1'!H38-'Выборка 1'!G38))/4000</f>
        <v>-124</v>
      </c>
      <c r="E38" s="44">
        <f>(('Выборка 1'!J38-'Выборка 1'!I38)+('Выборка 1'!K38-'Выборка 1'!J38)+('Выборка 1'!L38-'Выборка 1'!K38)+('Выборка 1'!M38-'Выборка 1'!L38))/4000</f>
        <v>-151184.25</v>
      </c>
      <c r="F38" s="17">
        <f>(('Выборка 1'!O38-'Выборка 1'!N38)+('Выборка 1'!P38-'Выборка 1'!O38)+('Выборка 1'!Q38-'Выборка 1'!P38)+('Выборка 1'!R38-'Выборка 1'!Q38))/4000</f>
        <v>32046.5</v>
      </c>
      <c r="G38" s="44">
        <f>(('Выборка 1'!T38-'Выборка 1'!S38)+('Выборка 1'!U38-'Выборка 1'!T38)+('Выборка 1'!V38-'Выборка 1'!U38)+('Выборка 1'!W38-'Выборка 1'!V38))/4000</f>
        <v>-2178</v>
      </c>
      <c r="H38" s="44">
        <f>(('Выборка 1'!Y38-'Выборка 1'!X38)+('Выборка 1'!Z38+'Выборка 1'!Y38)+('Выборка 1'!AA38-'Выборка 1'!Z38)+('Выборка 1'!AB38-'Выборка 1'!AA38))/4000</f>
        <v>8428.75</v>
      </c>
      <c r="I38" s="44">
        <f>(('Выборка 1'!AD38-'Выборка 1'!AC38)+('Выборка 1'!AE38-'Выборка 1'!AD38)+('Выборка 1'!AF38-'Выборка 1'!AE38)+('Выборка 1'!AG38-'Выборка 1'!AF38))/4000</f>
        <v>197.5</v>
      </c>
      <c r="J38" s="44">
        <f>(('Выборка 1'!AI38-'Выборка 1'!AH38)+('Выборка 1'!AJ38-'Выборка 1'!AI38)+('Выборка 1'!AK38-'Выборка 1'!AJ38)+('Выборка 1'!AL38-'Выборка 1'!AK38))/4000</f>
        <v>-110007</v>
      </c>
      <c r="K38" s="17">
        <f>(('Выборка 1'!AN38-'Выборка 1'!AM38)+('Выборка 1'!AO38-'Выборка 1'!AN38)+('Выборка 1'!AP38-'Выборка 1'!AO38)+('Выборка 1'!AQ38-'Выборка 1'!AP38))/4000</f>
        <v>-72088.25</v>
      </c>
      <c r="L38" s="44">
        <f>((('Выборка 1'!AS38+'Выборка 1'!AX38)-('Выборка 1'!AR38+'Выборка 1'!AW38))+(('Выборка 1'!AT38+'Выборка 1'!AY38)-('Выборка 1'!AS38+'Выборка 1'!AX38))+(('Выборка 1'!AU38+'Выборка 1'!AZ38)-('Выборка 1'!AT38+'Выборка 1'!AY38))+(('Выборка 1'!AV38+'Выборка 1'!BA38)-('Выборка 1'!AU38+'Выборка 1'!AZ38)))/4000</f>
        <v>-76744.75</v>
      </c>
      <c r="M38" s="44">
        <f>(('Выборка 1'!BC38-'Выборка 1'!BB38)+('Выборка 1'!BD38-'Выборка 1'!BC38)+('Выборка 1'!BE38-'Выборка 1'!BD38)+('Выборка 1'!BF38-'Выборка 1'!BE38))/4000</f>
        <v>0</v>
      </c>
      <c r="N38" s="44">
        <f t="shared" si="0"/>
        <v>4656.5</v>
      </c>
      <c r="O38" s="17">
        <f>((('Выборка 1'!BH38-'Выборка 1'!BM38)-('Выборка 1'!BG38-'Выборка 1'!BL38))+(('Выборка 1'!BI38-'Выборка 1'!BN38)-('Выборка 1'!BH38-'Выборка 1'!BM38))+(('Выборка 1'!BJ38-'Выборка 1'!BO38)-('Выборка 1'!BI38-'Выборка 1'!BN38))+(('Выборка 1'!BK38-'Выборка 1'!BP38)-('Выборка 1'!BJ38-'Выборка 1'!BO38)))/4000</f>
        <v>-4543.25</v>
      </c>
      <c r="P38" s="17">
        <f>(('Выборка 1'!BR38-'Выборка 1'!BQ38)+('Выборка 1'!BS38-'Выборка 1'!BR38)+('Выборка 1'!BT38-'Выборка 1'!BS38)+('Выборка 1'!BU38-'Выборка 1'!BT38))/4000</f>
        <v>245.25</v>
      </c>
    </row>
    <row r="39" spans="2:16" x14ac:dyDescent="0.25">
      <c r="B39" s="42">
        <f>('Выборка 1'!AL39+'Выборка 1'!AG39)/1000</f>
        <v>0</v>
      </c>
      <c r="C39" s="17">
        <v>8</v>
      </c>
      <c r="D39" s="17">
        <f>(('Выборка 1'!E39-'Выборка 1'!D39)+('Выборка 1'!F39-'Выборка 1'!E39)+('Выборка 1'!G39-'Выборка 1'!F39)+('Выборка 1'!H39-'Выборка 1'!G39))/4000</f>
        <v>-20917.75</v>
      </c>
      <c r="E39" s="44">
        <f>(('Выборка 1'!J39-'Выборка 1'!I39)+('Выборка 1'!K39-'Выборка 1'!J39)+('Выборка 1'!L39-'Выборка 1'!K39)+('Выборка 1'!M39-'Выборка 1'!L39))/4000</f>
        <v>-182029</v>
      </c>
      <c r="F39" s="17">
        <f>(('Выборка 1'!O39-'Выборка 1'!N39)+('Выборка 1'!P39-'Выборка 1'!O39)+('Выборка 1'!Q39-'Выборка 1'!P39)+('Выборка 1'!R39-'Выборка 1'!Q39))/4000</f>
        <v>-338723.5</v>
      </c>
      <c r="G39" s="44">
        <f>(('Выборка 1'!T39-'Выборка 1'!S39)+('Выборка 1'!U39-'Выборка 1'!T39)+('Выборка 1'!V39-'Выборка 1'!U39)+('Выборка 1'!W39-'Выборка 1'!V39))/4000</f>
        <v>-2330.25</v>
      </c>
      <c r="H39" s="44">
        <f>(('Выборка 1'!Y39-'Выборка 1'!X39)+('Выборка 1'!Z39+'Выборка 1'!Y39)+('Выборка 1'!AA39-'Выборка 1'!Z39)+('Выборка 1'!AB39-'Выборка 1'!AA39))/4000</f>
        <v>-11388</v>
      </c>
      <c r="I39" s="44">
        <f>(('Выборка 1'!AD39-'Выборка 1'!AC39)+('Выборка 1'!AE39-'Выборка 1'!AD39)+('Выборка 1'!AF39-'Выборка 1'!AE39)+('Выборка 1'!AG39-'Выборка 1'!AF39))/4000</f>
        <v>-314287.5</v>
      </c>
      <c r="J39" s="44">
        <f>(('Выборка 1'!AI39-'Выборка 1'!AH39)+('Выборка 1'!AJ39-'Выборка 1'!AI39)+('Выборка 1'!AK39-'Выборка 1'!AJ39)+('Выборка 1'!AL39-'Выборка 1'!AK39))/4000</f>
        <v>-233075.75</v>
      </c>
      <c r="K39" s="17">
        <f>(('Выборка 1'!AN39-'Выборка 1'!AM39)+('Выборка 1'!AO39-'Выборка 1'!AN39)+('Выборка 1'!AP39-'Выборка 1'!AO39)+('Выборка 1'!AQ39-'Выборка 1'!AP39))/4000</f>
        <v>-460681.5</v>
      </c>
      <c r="L39" s="44">
        <f>((('Выборка 1'!AS39+'Выборка 1'!AX39)-('Выборка 1'!AR39+'Выборка 1'!AW39))+(('Выборка 1'!AT39+'Выборка 1'!AY39)-('Выборка 1'!AS39+'Выборка 1'!AX39))+(('Выборка 1'!AU39+'Выборка 1'!AZ39)-('Выборка 1'!AT39+'Выборка 1'!AY39))+(('Выборка 1'!AV39+'Выборка 1'!BA39)-('Выборка 1'!AU39+'Выборка 1'!AZ39)))/4000</f>
        <v>-394250.75</v>
      </c>
      <c r="M39" s="44">
        <f>(('Выборка 1'!BC39-'Выборка 1'!BB39)+('Выборка 1'!BD39-'Выборка 1'!BC39)+('Выборка 1'!BE39-'Выборка 1'!BD39)+('Выборка 1'!BF39-'Выборка 1'!BE39))/4000</f>
        <v>0</v>
      </c>
      <c r="N39" s="44">
        <f t="shared" si="0"/>
        <v>-66430.75</v>
      </c>
      <c r="O39" s="17">
        <f>((('Выборка 1'!BH39-'Выборка 1'!BM39)-('Выборка 1'!BG39-'Выборка 1'!BL39))+(('Выборка 1'!BI39-'Выборка 1'!BN39)-('Выборка 1'!BH39-'Выборка 1'!BM39))+(('Выборка 1'!BJ39-'Выборка 1'!BO39)-('Выборка 1'!BI39-'Выборка 1'!BN39))+(('Выборка 1'!BK39-'Выборка 1'!BP39)-('Выборка 1'!BJ39-'Выборка 1'!BO39)))/4000</f>
        <v>51543</v>
      </c>
      <c r="P39" s="17">
        <f>(('Выборка 1'!BR39-'Выборка 1'!BQ39)+('Выборка 1'!BS39-'Выборка 1'!BR39)+('Выборка 1'!BT39-'Выборка 1'!BS39)+('Выборка 1'!BU39-'Выборка 1'!BT39))/4000</f>
        <v>-2272</v>
      </c>
    </row>
    <row r="40" spans="2:16" x14ac:dyDescent="0.25">
      <c r="B40" s="42">
        <f>('Выборка 1'!AL40+'Выборка 1'!AG40)/1000</f>
        <v>18079219</v>
      </c>
      <c r="C40" s="17">
        <v>22</v>
      </c>
      <c r="D40" s="17">
        <f>(('Выборка 1'!E40-'Выборка 1'!D40)+('Выборка 1'!F40-'Выборка 1'!E40)+('Выборка 1'!G40-'Выборка 1'!F40)+('Выборка 1'!H40-'Выборка 1'!G40))/4000</f>
        <v>-65190.25</v>
      </c>
      <c r="E40" s="44">
        <f>(('Выборка 1'!J40-'Выборка 1'!I40)+('Выборка 1'!K40-'Выборка 1'!J40)+('Выборка 1'!L40-'Выборка 1'!K40)+('Выборка 1'!M40-'Выборка 1'!L40))/4000</f>
        <v>-4530739</v>
      </c>
      <c r="F40" s="17">
        <f>(('Выборка 1'!O40-'Выборка 1'!N40)+('Выборка 1'!P40-'Выборка 1'!O40)+('Выборка 1'!Q40-'Выборка 1'!P40)+('Выборка 1'!R40-'Выборка 1'!Q40))/4000</f>
        <v>-678990.25</v>
      </c>
      <c r="G40" s="44">
        <f>(('Выборка 1'!T40-'Выборка 1'!S40)+('Выборка 1'!U40-'Выборка 1'!T40)+('Выборка 1'!V40-'Выборка 1'!U40)+('Выборка 1'!W40-'Выборка 1'!V40))/4000</f>
        <v>-33714.25</v>
      </c>
      <c r="H40" s="44">
        <f>(('Выборка 1'!Y40-'Выборка 1'!X40)+('Выборка 1'!Z40+'Выборка 1'!Y40)+('Выборка 1'!AA40-'Выборка 1'!Z40)+('Выборка 1'!AB40-'Выборка 1'!AA40))/4000</f>
        <v>-4314795</v>
      </c>
      <c r="I40" s="44">
        <f>(('Выборка 1'!AD40-'Выборка 1'!AC40)+('Выборка 1'!AE40-'Выборка 1'!AD40)+('Выборка 1'!AF40-'Выборка 1'!AE40)+('Выборка 1'!AG40-'Выборка 1'!AF40))/4000</f>
        <v>345647.75</v>
      </c>
      <c r="J40" s="44">
        <f>(('Выборка 1'!AI40-'Выборка 1'!AH40)+('Выборка 1'!AJ40-'Выборка 1'!AI40)+('Выборка 1'!AK40-'Выборка 1'!AJ40)+('Выборка 1'!AL40-'Выборка 1'!AK40))/4000</f>
        <v>2036726</v>
      </c>
      <c r="K40" s="17">
        <f>(('Выборка 1'!AN40-'Выборка 1'!AM40)+('Выборка 1'!AO40-'Выборка 1'!AN40)+('Выборка 1'!AP40-'Выборка 1'!AO40)+('Выборка 1'!AQ40-'Выборка 1'!AP40))/4000</f>
        <v>-1810291.25</v>
      </c>
      <c r="L40" s="44">
        <f>((('Выборка 1'!AS40+'Выборка 1'!AX40)-('Выборка 1'!AR40+'Выборка 1'!AW40))+(('Выборка 1'!AT40+'Выборка 1'!AY40)-('Выборка 1'!AS40+'Выборка 1'!AX40))+(('Выборка 1'!AU40+'Выборка 1'!AZ40)-('Выборка 1'!AT40+'Выборка 1'!AY40))+(('Выборка 1'!AV40+'Выборка 1'!BA40)-('Выборка 1'!AU40+'Выборка 1'!AZ40)))/4000</f>
        <v>-1529557</v>
      </c>
      <c r="M40" s="44">
        <f>(('Выборка 1'!BC40-'Выборка 1'!BB40)+('Выборка 1'!BD40-'Выборка 1'!BC40)+('Выборка 1'!BE40-'Выборка 1'!BD40)+('Выборка 1'!BF40-'Выборка 1'!BE40))/4000</f>
        <v>-63440.25</v>
      </c>
      <c r="N40" s="44">
        <f t="shared" si="0"/>
        <v>-217294</v>
      </c>
      <c r="O40" s="17">
        <f>((('Выборка 1'!BH40-'Выборка 1'!BM40)-('Выборка 1'!BG40-'Выборка 1'!BL40))+(('Выборка 1'!BI40-'Выборка 1'!BN40)-('Выборка 1'!BH40-'Выборка 1'!BM40))+(('Выборка 1'!BJ40-'Выборка 1'!BO40)-('Выборка 1'!BI40-'Выборка 1'!BN40))+(('Выборка 1'!BK40-'Выборка 1'!BP40)-('Выборка 1'!BJ40-'Выборка 1'!BO40)))/4000</f>
        <v>10170</v>
      </c>
      <c r="P40" s="17">
        <f>(('Выборка 1'!BR40-'Выборка 1'!BQ40)+('Выборка 1'!BS40-'Выборка 1'!BR40)+('Выборка 1'!BT40-'Выборка 1'!BS40)+('Выборка 1'!BU40-'Выборка 1'!BT40))/4000</f>
        <v>-6294.25</v>
      </c>
    </row>
    <row r="41" spans="2:16" x14ac:dyDescent="0.25">
      <c r="B41" s="42">
        <f>('Выборка 1'!AL41+'Выборка 1'!AG41)/1000</f>
        <v>0</v>
      </c>
      <c r="C41" s="17">
        <v>23</v>
      </c>
      <c r="D41" s="17">
        <f>(('Выборка 1'!E41-'Выборка 1'!D41)+('Выборка 1'!F41-'Выборка 1'!E41)+('Выборка 1'!G41-'Выборка 1'!F41)+('Выборка 1'!H41-'Выборка 1'!G41))/4000</f>
        <v>-1006.75</v>
      </c>
      <c r="E41" s="44">
        <f>(('Выборка 1'!J41-'Выборка 1'!I41)+('Выборка 1'!K41-'Выборка 1'!J41)+('Выборка 1'!L41-'Выборка 1'!K41)+('Выборка 1'!M41-'Выборка 1'!L41))/4000</f>
        <v>-1327.5</v>
      </c>
      <c r="F41" s="17">
        <f>(('Выборка 1'!O41-'Выборка 1'!N41)+('Выборка 1'!P41-'Выборка 1'!O41)+('Выборка 1'!Q41-'Выборка 1'!P41)+('Выборка 1'!R41-'Выборка 1'!Q41))/4000</f>
        <v>-2159.75</v>
      </c>
      <c r="G41" s="44">
        <f>(('Выборка 1'!T41-'Выборка 1'!S41)+('Выборка 1'!U41-'Выборка 1'!T41)+('Выборка 1'!V41-'Выборка 1'!U41)+('Выборка 1'!W41-'Выборка 1'!V41))/4000</f>
        <v>-65.75</v>
      </c>
      <c r="H41" s="44">
        <f>(('Выборка 1'!Y41-'Выборка 1'!X41)+('Выборка 1'!Z41+'Выборка 1'!Y41)+('Выборка 1'!AA41-'Выборка 1'!Z41)+('Выборка 1'!AB41-'Выборка 1'!AA41))/4000</f>
        <v>5503.5</v>
      </c>
      <c r="I41" s="44">
        <f>(('Выборка 1'!AD41-'Выборка 1'!AC41)+('Выборка 1'!AE41-'Выборка 1'!AD41)+('Выборка 1'!AF41-'Выборка 1'!AE41)+('Выборка 1'!AG41-'Выборка 1'!AF41))/4000</f>
        <v>-380.75</v>
      </c>
      <c r="J41" s="44">
        <f>(('Выборка 1'!AI41-'Выборка 1'!AH41)+('Выборка 1'!AJ41-'Выборка 1'!AI41)+('Выборка 1'!AK41-'Выборка 1'!AJ41)+('Выборка 1'!AL41-'Выборка 1'!AK41))/4000</f>
        <v>0</v>
      </c>
      <c r="K41" s="17">
        <f>(('Выборка 1'!AN41-'Выборка 1'!AM41)+('Выборка 1'!AO41-'Выборка 1'!AN41)+('Выборка 1'!AP41-'Выборка 1'!AO41)+('Выборка 1'!AQ41-'Выборка 1'!AP41))/4000</f>
        <v>-15046.75</v>
      </c>
      <c r="L41" s="44">
        <f>((('Выборка 1'!AS41+'Выборка 1'!AX41)-('Выборка 1'!AR41+'Выборка 1'!AW41))+(('Выборка 1'!AT41+'Выборка 1'!AY41)-('Выборка 1'!AS41+'Выборка 1'!AX41))+(('Выборка 1'!AU41+'Выборка 1'!AZ41)-('Выборка 1'!AT41+'Выборка 1'!AY41))+(('Выборка 1'!AV41+'Выборка 1'!BA41)-('Выборка 1'!AU41+'Выборка 1'!AZ41)))/4000</f>
        <v>-14205.75</v>
      </c>
      <c r="M41" s="44">
        <f>(('Выборка 1'!BC41-'Выборка 1'!BB41)+('Выборка 1'!BD41-'Выборка 1'!BC41)+('Выборка 1'!BE41-'Выборка 1'!BD41)+('Выборка 1'!BF41-'Выборка 1'!BE41))/4000</f>
        <v>0</v>
      </c>
      <c r="N41" s="44">
        <f t="shared" si="0"/>
        <v>-841</v>
      </c>
      <c r="O41" s="17">
        <f>((('Выборка 1'!BH41-'Выборка 1'!BM41)-('Выборка 1'!BG41-'Выборка 1'!BL41))+(('Выборка 1'!BI41-'Выборка 1'!BN41)-('Выборка 1'!BH41-'Выборка 1'!BM41))+(('Выборка 1'!BJ41-'Выборка 1'!BO41)-('Выборка 1'!BI41-'Выборка 1'!BN41))+(('Выборка 1'!BK41-'Выборка 1'!BP41)-('Выборка 1'!BJ41-'Выборка 1'!BO41)))/4000</f>
        <v>-1075.25</v>
      </c>
      <c r="P41" s="17">
        <f>(('Выборка 1'!BR41-'Выборка 1'!BQ41)+('Выборка 1'!BS41-'Выборка 1'!BR41)+('Выборка 1'!BT41-'Выборка 1'!BS41)+('Выборка 1'!BU41-'Выборка 1'!BT41))/4000</f>
        <v>-1809.75</v>
      </c>
    </row>
    <row r="42" spans="2:16" x14ac:dyDescent="0.25">
      <c r="B42" s="42">
        <f>('Выборка 1'!AL42+'Выборка 1'!AG42)/1000</f>
        <v>2836330</v>
      </c>
      <c r="C42" s="17">
        <v>8</v>
      </c>
      <c r="D42" s="17">
        <f>(('Выборка 1'!E42-'Выборка 1'!D42)+('Выборка 1'!F42-'Выборка 1'!E42)+('Выборка 1'!G42-'Выборка 1'!F42)+('Выборка 1'!H42-'Выборка 1'!G42))/4000</f>
        <v>-322.75</v>
      </c>
      <c r="E42" s="44">
        <f>(('Выборка 1'!J42-'Выборка 1'!I42)+('Выборка 1'!K42-'Выборка 1'!J42)+('Выборка 1'!L42-'Выборка 1'!K42)+('Выборка 1'!M42-'Выборка 1'!L42))/4000</f>
        <v>-166105</v>
      </c>
      <c r="F42" s="17">
        <f>(('Выборка 1'!O42-'Выборка 1'!N42)+('Выборка 1'!P42-'Выборка 1'!O42)+('Выборка 1'!Q42-'Выборка 1'!P42)+('Выборка 1'!R42-'Выборка 1'!Q42))/4000</f>
        <v>-480522.75</v>
      </c>
      <c r="G42" s="44">
        <f>(('Выборка 1'!T42-'Выборка 1'!S42)+('Выборка 1'!U42-'Выборка 1'!T42)+('Выборка 1'!V42-'Выборка 1'!U42)+('Выборка 1'!W42-'Выборка 1'!V42))/4000</f>
        <v>-64.75</v>
      </c>
      <c r="H42" s="44">
        <f>(('Выборка 1'!Y42-'Выборка 1'!X42)+('Выборка 1'!Z42+'Выборка 1'!Y42)+('Выборка 1'!AA42-'Выборка 1'!Z42)+('Выборка 1'!AB42-'Выборка 1'!AA42))/4000</f>
        <v>-832007.5</v>
      </c>
      <c r="I42" s="44">
        <f>(('Выборка 1'!AD42-'Выборка 1'!AC42)+('Выборка 1'!AE42-'Выборка 1'!AD42)+('Выборка 1'!AF42-'Выборка 1'!AE42)+('Выборка 1'!AG42-'Выборка 1'!AF42))/4000</f>
        <v>-109957.25</v>
      </c>
      <c r="J42" s="44">
        <f>(('Выборка 1'!AI42-'Выборка 1'!AH42)+('Выборка 1'!AJ42-'Выборка 1'!AI42)+('Выборка 1'!AK42-'Выборка 1'!AJ42)+('Выборка 1'!AL42-'Выборка 1'!AK42))/4000</f>
        <v>172294.75</v>
      </c>
      <c r="K42" s="17">
        <f>(('Выборка 1'!AN42-'Выборка 1'!AM42)+('Выборка 1'!AO42-'Выборка 1'!AN42)+('Выборка 1'!AP42-'Выборка 1'!AO42)+('Выборка 1'!AQ42-'Выборка 1'!AP42))/4000</f>
        <v>-451459.25</v>
      </c>
      <c r="L42" s="44">
        <f>((('Выборка 1'!AS42+'Выборка 1'!AX42)-('Выборка 1'!AR42+'Выборка 1'!AW42))+(('Выборка 1'!AT42+'Выборка 1'!AY42)-('Выборка 1'!AS42+'Выборка 1'!AX42))+(('Выборка 1'!AU42+'Выборка 1'!AZ42)-('Выборка 1'!AT42+'Выборка 1'!AY42))+(('Выборка 1'!AV42+'Выборка 1'!BA42)-('Выборка 1'!AU42+'Выборка 1'!AZ42)))/4000</f>
        <v>-439013</v>
      </c>
      <c r="M42" s="44">
        <f>(('Выборка 1'!BC42-'Выборка 1'!BB42)+('Выборка 1'!BD42-'Выборка 1'!BC42)+('Выборка 1'!BE42-'Выборка 1'!BD42)+('Выборка 1'!BF42-'Выборка 1'!BE42))/4000</f>
        <v>0</v>
      </c>
      <c r="N42" s="44">
        <f t="shared" si="0"/>
        <v>-12446.25</v>
      </c>
      <c r="O42" s="17">
        <f>((('Выборка 1'!BH42-'Выборка 1'!BM42)-('Выборка 1'!BG42-'Выборка 1'!BL42))+(('Выборка 1'!BI42-'Выборка 1'!BN42)-('Выборка 1'!BH42-'Выборка 1'!BM42))+(('Выборка 1'!BJ42-'Выборка 1'!BO42)-('Выборка 1'!BI42-'Выборка 1'!BN42))+(('Выборка 1'!BK42-'Выборка 1'!BP42)-('Выборка 1'!BJ42-'Выборка 1'!BO42)))/4000</f>
        <v>-7465.75</v>
      </c>
      <c r="P42" s="17">
        <f>(('Выборка 1'!BR42-'Выборка 1'!BQ42)+('Выборка 1'!BS42-'Выборка 1'!BR42)+('Выборка 1'!BT42-'Выборка 1'!BS42)+('Выборка 1'!BU42-'Выборка 1'!BT42))/4000</f>
        <v>-11393</v>
      </c>
    </row>
    <row r="43" spans="2:16" x14ac:dyDescent="0.25">
      <c r="B43" s="42">
        <f>('Выборка 1'!AL43+'Выборка 1'!AG43)/1000</f>
        <v>4768889</v>
      </c>
      <c r="C43" s="17">
        <v>8</v>
      </c>
      <c r="D43" s="17">
        <f>(('Выборка 1'!E43-'Выборка 1'!D43)+('Выборка 1'!F43-'Выборка 1'!E43)+('Выборка 1'!G43-'Выборка 1'!F43)+('Выборка 1'!H43-'Выборка 1'!G43))/4000</f>
        <v>-50525</v>
      </c>
      <c r="E43" s="44">
        <f>(('Выборка 1'!J43-'Выборка 1'!I43)+('Выборка 1'!K43-'Выборка 1'!J43)+('Выборка 1'!L43-'Выборка 1'!K43)+('Выборка 1'!M43-'Выборка 1'!L43))/4000</f>
        <v>-560274</v>
      </c>
      <c r="F43" s="17">
        <f>(('Выборка 1'!O43-'Выборка 1'!N43)+('Выборка 1'!P43-'Выборка 1'!O43)+('Выборка 1'!Q43-'Выборка 1'!P43)+('Выборка 1'!R43-'Выборка 1'!Q43))/4000</f>
        <v>-375519</v>
      </c>
      <c r="G43" s="44">
        <f>(('Выборка 1'!T43-'Выборка 1'!S43)+('Выборка 1'!U43-'Выборка 1'!T43)+('Выборка 1'!V43-'Выборка 1'!U43)+('Выборка 1'!W43-'Выборка 1'!V43))/4000</f>
        <v>-120377</v>
      </c>
      <c r="H43" s="44">
        <f>(('Выборка 1'!Y43-'Выборка 1'!X43)+('Выборка 1'!Z43+'Выборка 1'!Y43)+('Выборка 1'!AA43-'Выборка 1'!Z43)+('Выборка 1'!AB43-'Выборка 1'!AA43))/4000</f>
        <v>-1289877.25</v>
      </c>
      <c r="I43" s="44">
        <f>(('Выборка 1'!AD43-'Выборка 1'!AC43)+('Выборка 1'!AE43-'Выборка 1'!AD43)+('Выборка 1'!AF43-'Выборка 1'!AE43)+('Выборка 1'!AG43-'Выборка 1'!AF43))/4000</f>
        <v>571785.25</v>
      </c>
      <c r="J43" s="44">
        <f>(('Выборка 1'!AI43-'Выборка 1'!AH43)+('Выборка 1'!AJ43-'Выборка 1'!AI43)+('Выборка 1'!AK43-'Выборка 1'!AJ43)+('Выборка 1'!AL43-'Выборка 1'!AK43))/4000</f>
        <v>-760210.75</v>
      </c>
      <c r="K43" s="17">
        <f>(('Выборка 1'!AN43-'Выборка 1'!AM43)+('Выборка 1'!AO43-'Выборка 1'!AN43)+('Выборка 1'!AP43-'Выборка 1'!AO43)+('Выборка 1'!AQ43-'Выборка 1'!AP43))/4000</f>
        <v>-2905041.5</v>
      </c>
      <c r="L43" s="44">
        <f>((('Выборка 1'!AS43+'Выборка 1'!AX43)-('Выборка 1'!AR43+'Выборка 1'!AW43))+(('Выборка 1'!AT43+'Выборка 1'!AY43)-('Выборка 1'!AS43+'Выборка 1'!AX43))+(('Выборка 1'!AU43+'Выборка 1'!AZ43)-('Выборка 1'!AT43+'Выборка 1'!AY43))+(('Выборка 1'!AV43+'Выборка 1'!BA43)-('Выборка 1'!AU43+'Выборка 1'!AZ43)))/4000</f>
        <v>-2863128.25</v>
      </c>
      <c r="M43" s="44">
        <f>(('Выборка 1'!BC43-'Выборка 1'!BB43)+('Выборка 1'!BD43-'Выборка 1'!BC43)+('Выборка 1'!BE43-'Выборка 1'!BD43)+('Выборка 1'!BF43-'Выборка 1'!BE43))/4000</f>
        <v>0</v>
      </c>
      <c r="N43" s="44">
        <f t="shared" si="0"/>
        <v>-41913.25</v>
      </c>
      <c r="O43" s="17">
        <f>((('Выборка 1'!BH43-'Выборка 1'!BM43)-('Выборка 1'!BG43-'Выборка 1'!BL43))+(('Выборка 1'!BI43-'Выборка 1'!BN43)-('Выборка 1'!BH43-'Выборка 1'!BM43))+(('Выборка 1'!BJ43-'Выборка 1'!BO43)-('Выборка 1'!BI43-'Выборка 1'!BN43))+(('Выборка 1'!BK43-'Выборка 1'!BP43)-('Выборка 1'!BJ43-'Выборка 1'!BO43)))/4000</f>
        <v>7814.25</v>
      </c>
      <c r="P43" s="17">
        <f>(('Выборка 1'!BR43-'Выборка 1'!BQ43)+('Выборка 1'!BS43-'Выборка 1'!BR43)+('Выборка 1'!BT43-'Выборка 1'!BS43)+('Выборка 1'!BU43-'Выборка 1'!BT43))/4000</f>
        <v>-14831.5</v>
      </c>
    </row>
    <row r="44" spans="2:16" x14ac:dyDescent="0.25">
      <c r="B44" s="42">
        <f>('Выборка 1'!AL44+'Выборка 1'!AG44)/1000</f>
        <v>0</v>
      </c>
      <c r="C44" s="17">
        <v>15</v>
      </c>
      <c r="D44" s="17">
        <f>(('Выборка 1'!E44-'Выборка 1'!D44)+('Выборка 1'!F44-'Выборка 1'!E44)+('Выборка 1'!G44-'Выборка 1'!F44)+('Выборка 1'!H44-'Выборка 1'!G44))/4000</f>
        <v>-6.25</v>
      </c>
      <c r="E44" s="44">
        <f>(('Выборка 1'!J44-'Выборка 1'!I44)+('Выборка 1'!K44-'Выборка 1'!J44)+('Выборка 1'!L44-'Выборка 1'!K44)+('Выборка 1'!M44-'Выборка 1'!L44))/4000</f>
        <v>-1449.75</v>
      </c>
      <c r="F44" s="17">
        <f>(('Выборка 1'!O44-'Выборка 1'!N44)+('Выборка 1'!P44-'Выборка 1'!O44)+('Выборка 1'!Q44-'Выборка 1'!P44)+('Выборка 1'!R44-'Выборка 1'!Q44))/4000</f>
        <v>-16331.25</v>
      </c>
      <c r="G44" s="44">
        <f>(('Выборка 1'!T44-'Выборка 1'!S44)+('Выборка 1'!U44-'Выборка 1'!T44)+('Выборка 1'!V44-'Выборка 1'!U44)+('Выборка 1'!W44-'Выборка 1'!V44))/4000</f>
        <v>-136.75</v>
      </c>
      <c r="H44" s="44">
        <f>(('Выборка 1'!Y44-'Выборка 1'!X44)+('Выборка 1'!Z44+'Выборка 1'!Y44)+('Выборка 1'!AA44-'Выборка 1'!Z44)+('Выборка 1'!AB44-'Выборка 1'!AA44))/4000</f>
        <v>2087.25</v>
      </c>
      <c r="I44" s="44">
        <f>(('Выборка 1'!AD44-'Выборка 1'!AC44)+('Выборка 1'!AE44-'Выборка 1'!AD44)+('Выборка 1'!AF44-'Выборка 1'!AE44)+('Выборка 1'!AG44-'Выборка 1'!AF44))/4000</f>
        <v>-437.5</v>
      </c>
      <c r="J44" s="44">
        <f>(('Выборка 1'!AI44-'Выборка 1'!AH44)+('Выборка 1'!AJ44-'Выборка 1'!AI44)+('Выборка 1'!AK44-'Выборка 1'!AJ44)+('Выборка 1'!AL44-'Выборка 1'!AK44))/4000</f>
        <v>-9930.5</v>
      </c>
      <c r="K44" s="17">
        <f>(('Выборка 1'!AN44-'Выборка 1'!AM44)+('Выборка 1'!AO44-'Выборка 1'!AN44)+('Выборка 1'!AP44-'Выборка 1'!AO44)+('Выборка 1'!AQ44-'Выборка 1'!AP44))/4000</f>
        <v>-19857</v>
      </c>
      <c r="L44" s="44">
        <f>((('Выборка 1'!AS44+'Выборка 1'!AX44)-('Выборка 1'!AR44+'Выборка 1'!AW44))+(('Выборка 1'!AT44+'Выборка 1'!AY44)-('Выборка 1'!AS44+'Выборка 1'!AX44))+(('Выборка 1'!AU44+'Выборка 1'!AZ44)-('Выборка 1'!AT44+'Выборка 1'!AY44))+(('Выборка 1'!AV44+'Выборка 1'!BA44)-('Выборка 1'!AU44+'Выборка 1'!AZ44)))/4000</f>
        <v>-19094.25</v>
      </c>
      <c r="M44" s="44">
        <f>(('Выборка 1'!BC44-'Выборка 1'!BB44)+('Выборка 1'!BD44-'Выборка 1'!BC44)+('Выборка 1'!BE44-'Выборка 1'!BD44)+('Выборка 1'!BF44-'Выборка 1'!BE44))/4000</f>
        <v>0</v>
      </c>
      <c r="N44" s="44">
        <f t="shared" si="0"/>
        <v>-762.75</v>
      </c>
      <c r="O44" s="17">
        <f>((('Выборка 1'!BH44-'Выборка 1'!BM44)-('Выборка 1'!BG44-'Выборка 1'!BL44))+(('Выборка 1'!BI44-'Выборка 1'!BN44)-('Выборка 1'!BH44-'Выборка 1'!BM44))+(('Выборка 1'!BJ44-'Выборка 1'!BO44)-('Выборка 1'!BI44-'Выборка 1'!BN44))+(('Выборка 1'!BK44-'Выборка 1'!BP44)-('Выборка 1'!BJ44-'Выборка 1'!BO44)))/4000</f>
        <v>107</v>
      </c>
      <c r="P44" s="17">
        <f>(('Выборка 1'!BR44-'Выборка 1'!BQ44)+('Выборка 1'!BS44-'Выборка 1'!BR44)+('Выборка 1'!BT44-'Выборка 1'!BS44)+('Выборка 1'!BU44-'Выборка 1'!BT44))/4000</f>
        <v>-518.75</v>
      </c>
    </row>
    <row r="45" spans="2:16" x14ac:dyDescent="0.25">
      <c r="B45" s="42">
        <f>('Выборка 1'!AL45+'Выборка 1'!AG45)/1000</f>
        <v>4578356</v>
      </c>
      <c r="C45" s="17">
        <v>18</v>
      </c>
      <c r="D45" s="17">
        <f>(('Выборка 1'!E45-'Выборка 1'!D45)+('Выборка 1'!F45-'Выборка 1'!E45)+('Выборка 1'!G45-'Выборка 1'!F45)+('Выборка 1'!H45-'Выборка 1'!G45))/4000</f>
        <v>-14792.75</v>
      </c>
      <c r="E45" s="44">
        <f>(('Выборка 1'!J45-'Выборка 1'!I45)+('Выборка 1'!K45-'Выборка 1'!J45)+('Выборка 1'!L45-'Выборка 1'!K45)+('Выборка 1'!M45-'Выборка 1'!L45))/4000</f>
        <v>-1533102.75</v>
      </c>
      <c r="F45" s="17">
        <f>(('Выборка 1'!O45-'Выборка 1'!N45)+('Выборка 1'!P45-'Выборка 1'!O45)+('Выборка 1'!Q45-'Выборка 1'!P45)+('Выборка 1'!R45-'Выборка 1'!Q45))/4000</f>
        <v>591190.25</v>
      </c>
      <c r="G45" s="44">
        <f>(('Выборка 1'!T45-'Выборка 1'!S45)+('Выборка 1'!U45-'Выборка 1'!T45)+('Выборка 1'!V45-'Выборка 1'!U45)+('Выборка 1'!W45-'Выборка 1'!V45))/4000</f>
        <v>-698</v>
      </c>
      <c r="H45" s="44">
        <f>(('Выборка 1'!Y45-'Выборка 1'!X45)+('Выборка 1'!Z45+'Выборка 1'!Y45)+('Выборка 1'!AA45-'Выборка 1'!Z45)+('Выборка 1'!AB45-'Выборка 1'!AA45))/4000</f>
        <v>-473083.75</v>
      </c>
      <c r="I45" s="44">
        <f>(('Выборка 1'!AD45-'Выборка 1'!AC45)+('Выборка 1'!AE45-'Выборка 1'!AD45)+('Выборка 1'!AF45-'Выборка 1'!AE45)+('Выборка 1'!AG45-'Выборка 1'!AF45))/4000</f>
        <v>-693500</v>
      </c>
      <c r="J45" s="44">
        <f>(('Выборка 1'!AI45-'Выборка 1'!AH45)+('Выборка 1'!AJ45-'Выборка 1'!AI45)+('Выборка 1'!AK45-'Выборка 1'!AJ45)+('Выборка 1'!AL45-'Выборка 1'!AK45))/4000</f>
        <v>-299673</v>
      </c>
      <c r="K45" s="17">
        <f>(('Выборка 1'!AN45-'Выборка 1'!AM45)+('Выборка 1'!AO45-'Выборка 1'!AN45)+('Выборка 1'!AP45-'Выборка 1'!AO45)+('Выборка 1'!AQ45-'Выборка 1'!AP45))/4000</f>
        <v>-5080645.75</v>
      </c>
      <c r="L45" s="44">
        <f>((('Выборка 1'!AS45+'Выборка 1'!AX45)-('Выборка 1'!AR45+'Выборка 1'!AW45))+(('Выборка 1'!AT45+'Выборка 1'!AY45)-('Выборка 1'!AS45+'Выборка 1'!AX45))+(('Выборка 1'!AU45+'Выборка 1'!AZ45)-('Выборка 1'!AT45+'Выборка 1'!AY45))+(('Выборка 1'!AV45+'Выборка 1'!BA45)-('Выборка 1'!AU45+'Выборка 1'!AZ45)))/4000</f>
        <v>-5189918</v>
      </c>
      <c r="M45" s="44">
        <f>(('Выборка 1'!BC45-'Выборка 1'!BB45)+('Выборка 1'!BD45-'Выборка 1'!BC45)+('Выборка 1'!BE45-'Выборка 1'!BD45)+('Выборка 1'!BF45-'Выборка 1'!BE45))/4000</f>
        <v>0</v>
      </c>
      <c r="N45" s="44">
        <f t="shared" si="0"/>
        <v>109272.25</v>
      </c>
      <c r="O45" s="17">
        <f>((('Выборка 1'!BH45-'Выборка 1'!BM45)-('Выборка 1'!BG45-'Выборка 1'!BL45))+(('Выборка 1'!BI45-'Выборка 1'!BN45)-('Выборка 1'!BH45-'Выборка 1'!BM45))+(('Выборка 1'!BJ45-'Выборка 1'!BO45)-('Выборка 1'!BI45-'Выборка 1'!BN45))+(('Выборка 1'!BK45-'Выборка 1'!BP45)-('Выборка 1'!BJ45-'Выборка 1'!BO45)))/4000</f>
        <v>-231112.5</v>
      </c>
      <c r="P45" s="17">
        <f>(('Выборка 1'!BR45-'Выборка 1'!BQ45)+('Выборка 1'!BS45-'Выборка 1'!BR45)+('Выборка 1'!BT45-'Выборка 1'!BS45)+('Выборка 1'!BU45-'Выборка 1'!BT45))/4000</f>
        <v>-50535.75</v>
      </c>
    </row>
    <row r="46" spans="2:16" x14ac:dyDescent="0.25">
      <c r="B46" s="42">
        <f>('Выборка 1'!AL46+'Выборка 1'!AG46)/1000</f>
        <v>0</v>
      </c>
      <c r="C46" s="17">
        <v>22</v>
      </c>
      <c r="D46" s="17">
        <f>(('Выборка 1'!E46-'Выборка 1'!D46)+('Выборка 1'!F46-'Выборка 1'!E46)+('Выборка 1'!G46-'Выборка 1'!F46)+('Выборка 1'!H46-'Выборка 1'!G46))/4000</f>
        <v>-26514.75</v>
      </c>
      <c r="E46" s="44">
        <f>(('Выборка 1'!J46-'Выборка 1'!I46)+('Выборка 1'!K46-'Выборка 1'!J46)+('Выборка 1'!L46-'Выборка 1'!K46)+('Выборка 1'!M46-'Выборка 1'!L46))/4000</f>
        <v>0</v>
      </c>
      <c r="F46" s="17">
        <f>(('Выборка 1'!O46-'Выборка 1'!N46)+('Выборка 1'!P46-'Выборка 1'!O46)+('Выборка 1'!Q46-'Выборка 1'!P46)+('Выборка 1'!R46-'Выборка 1'!Q46))/4000</f>
        <v>-106693.75</v>
      </c>
      <c r="G46" s="44">
        <f>(('Выборка 1'!T46-'Выборка 1'!S46)+('Выборка 1'!U46-'Выборка 1'!T46)+('Выборка 1'!V46-'Выборка 1'!U46)+('Выборка 1'!W46-'Выборка 1'!V46))/4000</f>
        <v>-7374</v>
      </c>
      <c r="H46" s="44">
        <f>(('Выборка 1'!Y46-'Выборка 1'!X46)+('Выборка 1'!Z46+'Выборка 1'!Y46)+('Выборка 1'!AA46-'Выборка 1'!Z46)+('Выборка 1'!AB46-'Выборка 1'!AA46))/4000</f>
        <v>6236976.5</v>
      </c>
      <c r="I46" s="44">
        <f>(('Выборка 1'!AD46-'Выборка 1'!AC46)+('Выборка 1'!AE46-'Выборка 1'!AD46)+('Выборка 1'!AF46-'Выборка 1'!AE46)+('Выборка 1'!AG46-'Выборка 1'!AF46))/4000</f>
        <v>0</v>
      </c>
      <c r="J46" s="44">
        <f>(('Выборка 1'!AI46-'Выборка 1'!AH46)+('Выборка 1'!AJ46-'Выборка 1'!AI46)+('Выборка 1'!AK46-'Выборка 1'!AJ46)+('Выборка 1'!AL46-'Выборка 1'!AK46))/4000</f>
        <v>-6377809</v>
      </c>
      <c r="K46" s="17">
        <f>(('Выборка 1'!AN46-'Выборка 1'!AM46)+('Выборка 1'!AO46-'Выборка 1'!AN46)+('Выборка 1'!AP46-'Выборка 1'!AO46)+('Выборка 1'!AQ46-'Выборка 1'!AP46))/4000</f>
        <v>0</v>
      </c>
      <c r="L46" s="44">
        <f>((('Выборка 1'!AS46+'Выборка 1'!AX46)-('Выборка 1'!AR46+'Выборка 1'!AW46))+(('Выборка 1'!AT46+'Выборка 1'!AY46)-('Выборка 1'!AS46+'Выборка 1'!AX46))+(('Выборка 1'!AU46+'Выборка 1'!AZ46)-('Выборка 1'!AT46+'Выборка 1'!AY46))+(('Выборка 1'!AV46+'Выборка 1'!BA46)-('Выборка 1'!AU46+'Выборка 1'!AZ46)))/4000</f>
        <v>0</v>
      </c>
      <c r="M46" s="44">
        <f>(('Выборка 1'!BC46-'Выборка 1'!BB46)+('Выборка 1'!BD46-'Выборка 1'!BC46)+('Выборка 1'!BE46-'Выборка 1'!BD46)+('Выборка 1'!BF46-'Выборка 1'!BE46))/4000</f>
        <v>0</v>
      </c>
      <c r="N46" s="44">
        <f t="shared" si="0"/>
        <v>0</v>
      </c>
      <c r="O46" s="17">
        <f>((('Выборка 1'!BH46-'Выборка 1'!BM46)-('Выборка 1'!BG46-'Выборка 1'!BL46))+(('Выборка 1'!BI46-'Выборка 1'!BN46)-('Выборка 1'!BH46-'Выборка 1'!BM46))+(('Выборка 1'!BJ46-'Выборка 1'!BO46)-('Выборка 1'!BI46-'Выборка 1'!BN46))+(('Выборка 1'!BK46-'Выборка 1'!BP46)-('Выборка 1'!BJ46-'Выборка 1'!BO46)))/4000</f>
        <v>2857249.25</v>
      </c>
      <c r="P46" s="17">
        <f>(('Выборка 1'!BR46-'Выборка 1'!BQ46)+('Выборка 1'!BS46-'Выборка 1'!BR46)+('Выборка 1'!BT46-'Выборка 1'!BS46)+('Выборка 1'!BU46-'Выборка 1'!BT46))/4000</f>
        <v>2857249.25</v>
      </c>
    </row>
    <row r="47" spans="2:16" x14ac:dyDescent="0.25">
      <c r="B47" s="42">
        <f>('Выборка 1'!AL47+'Выборка 1'!AG47)/1000</f>
        <v>2334086</v>
      </c>
      <c r="C47" s="17">
        <v>25</v>
      </c>
      <c r="D47" s="17">
        <f>(('Выборка 1'!E47-'Выборка 1'!D47)+('Выборка 1'!F47-'Выборка 1'!E47)+('Выборка 1'!G47-'Выборка 1'!F47)+('Выборка 1'!H47-'Выборка 1'!G47))/4000</f>
        <v>-10441</v>
      </c>
      <c r="E47" s="44">
        <f>(('Выборка 1'!J47-'Выборка 1'!I47)+('Выборка 1'!K47-'Выборка 1'!J47)+('Выборка 1'!L47-'Выборка 1'!K47)+('Выборка 1'!M47-'Выборка 1'!L47))/4000</f>
        <v>-24256</v>
      </c>
      <c r="F47" s="17">
        <f>(('Выборка 1'!O47-'Выборка 1'!N47)+('Выборка 1'!P47-'Выборка 1'!O47)+('Выборка 1'!Q47-'Выборка 1'!P47)+('Выборка 1'!R47-'Выборка 1'!Q47))/4000</f>
        <v>-24001.25</v>
      </c>
      <c r="G47" s="44">
        <f>(('Выборка 1'!T47-'Выборка 1'!S47)+('Выборка 1'!U47-'Выборка 1'!T47)+('Выборка 1'!V47-'Выборка 1'!U47)+('Выборка 1'!W47-'Выборка 1'!V47))/4000</f>
        <v>-1540.25</v>
      </c>
      <c r="H47" s="44">
        <f>(('Выборка 1'!Y47-'Выборка 1'!X47)+('Выборка 1'!Z47+'Выборка 1'!Y47)+('Выборка 1'!AA47-'Выборка 1'!Z47)+('Выборка 1'!AB47-'Выборка 1'!AA47))/4000</f>
        <v>-282748.75</v>
      </c>
      <c r="I47" s="44">
        <f>(('Выборка 1'!AD47-'Выборка 1'!AC47)+('Выборка 1'!AE47-'Выборка 1'!AD47)+('Выборка 1'!AF47-'Выборка 1'!AE47)+('Выборка 1'!AG47-'Выборка 1'!AF47))/4000</f>
        <v>-4711.75</v>
      </c>
      <c r="J47" s="44">
        <f>(('Выборка 1'!AI47-'Выборка 1'!AH47)+('Выборка 1'!AJ47-'Выборка 1'!AI47)+('Выборка 1'!AK47-'Выборка 1'!AJ47)+('Выборка 1'!AL47-'Выборка 1'!AK47))/4000</f>
        <v>-5789</v>
      </c>
      <c r="K47" s="17">
        <f>(('Выборка 1'!AN47-'Выборка 1'!AM47)+('Выборка 1'!AO47-'Выборка 1'!AN47)+('Выборка 1'!AP47-'Выборка 1'!AO47)+('Выборка 1'!AQ47-'Выборка 1'!AP47))/4000</f>
        <v>-5343.25</v>
      </c>
      <c r="L47" s="44">
        <f>((('Выборка 1'!AS47+'Выборка 1'!AX47)-('Выборка 1'!AR47+'Выборка 1'!AW47))+(('Выборка 1'!AT47+'Выборка 1'!AY47)-('Выборка 1'!AS47+'Выборка 1'!AX47))+(('Выборка 1'!AU47+'Выборка 1'!AZ47)-('Выборка 1'!AT47+'Выборка 1'!AY47))+(('Выборка 1'!AV47+'Выборка 1'!BA47)-('Выборка 1'!AU47+'Выборка 1'!AZ47)))/4000</f>
        <v>-7407.5</v>
      </c>
      <c r="M47" s="44">
        <f>(('Выборка 1'!BC47-'Выборка 1'!BB47)+('Выборка 1'!BD47-'Выборка 1'!BC47)+('Выборка 1'!BE47-'Выборка 1'!BD47)+('Выборка 1'!BF47-'Выборка 1'!BE47))/4000</f>
        <v>0</v>
      </c>
      <c r="N47" s="44">
        <f t="shared" si="0"/>
        <v>2064.25</v>
      </c>
      <c r="O47" s="17">
        <f>((('Выборка 1'!BH47-'Выборка 1'!BM47)-('Выборка 1'!BG47-'Выборка 1'!BL47))+(('Выборка 1'!BI47-'Выборка 1'!BN47)-('Выборка 1'!BH47-'Выборка 1'!BM47))+(('Выборка 1'!BJ47-'Выборка 1'!BO47)-('Выборка 1'!BI47-'Выборка 1'!BN47))+(('Выборка 1'!BK47-'Выборка 1'!BP47)-('Выборка 1'!BJ47-'Выборка 1'!BO47)))/4000</f>
        <v>5250</v>
      </c>
      <c r="P47" s="17">
        <f>(('Выборка 1'!BR47-'Выборка 1'!BQ47)+('Выборка 1'!BS47-'Выборка 1'!BR47)+('Выборка 1'!BT47-'Выборка 1'!BS47)+('Выборка 1'!BU47-'Выборка 1'!BT47))/4000</f>
        <v>7314.25</v>
      </c>
    </row>
    <row r="48" spans="2:16" x14ac:dyDescent="0.25">
      <c r="B48" s="42">
        <f>('Выборка 1'!AL48+'Выборка 1'!AG48)/1000</f>
        <v>0</v>
      </c>
      <c r="C48" s="17">
        <v>10</v>
      </c>
      <c r="D48" s="17">
        <f>(('Выборка 1'!E48-'Выборка 1'!D48)+('Выборка 1'!F48-'Выборка 1'!E48)+('Выборка 1'!G48-'Выборка 1'!F48)+('Выборка 1'!H48-'Выборка 1'!G48))/4000</f>
        <v>-13603.25</v>
      </c>
      <c r="E48" s="44">
        <f>(('Выборка 1'!J48-'Выборка 1'!I48)+('Выборка 1'!K48-'Выборка 1'!J48)+('Выборка 1'!L48-'Выборка 1'!K48)+('Выборка 1'!M48-'Выборка 1'!L48))/4000</f>
        <v>0</v>
      </c>
      <c r="F48" s="17">
        <f>(('Выборка 1'!O48-'Выборка 1'!N48)+('Выборка 1'!P48-'Выборка 1'!O48)+('Выборка 1'!Q48-'Выборка 1'!P48)+('Выборка 1'!R48-'Выборка 1'!Q48))/4000</f>
        <v>0</v>
      </c>
      <c r="G48" s="44">
        <f>(('Выборка 1'!T48-'Выборка 1'!S48)+('Выборка 1'!U48-'Выборка 1'!T48)+('Выборка 1'!V48-'Выборка 1'!U48)+('Выборка 1'!W48-'Выборка 1'!V48))/4000</f>
        <v>0</v>
      </c>
      <c r="H48" s="44">
        <f>(('Выборка 1'!Y48-'Выборка 1'!X48)+('Выборка 1'!Z48+'Выборка 1'!Y48)+('Выборка 1'!AA48-'Выборка 1'!Z48)+('Выборка 1'!AB48-'Выборка 1'!AA48))/4000</f>
        <v>39160.25</v>
      </c>
      <c r="I48" s="44">
        <f>(('Выборка 1'!AD48-'Выборка 1'!AC48)+('Выборка 1'!AE48-'Выборка 1'!AD48)+('Выборка 1'!AF48-'Выборка 1'!AE48)+('Выборка 1'!AG48-'Выборка 1'!AF48))/4000</f>
        <v>0</v>
      </c>
      <c r="J48" s="44">
        <f>(('Выборка 1'!AI48-'Выборка 1'!AH48)+('Выборка 1'!AJ48-'Выборка 1'!AI48)+('Выборка 1'!AK48-'Выборка 1'!AJ48)+('Выборка 1'!AL48-'Выборка 1'!AK48))/4000</f>
        <v>-16511</v>
      </c>
      <c r="K48" s="17">
        <f>(('Выборка 1'!AN48-'Выборка 1'!AM48)+('Выборка 1'!AO48-'Выборка 1'!AN48)+('Выборка 1'!AP48-'Выборка 1'!AO48)+('Выборка 1'!AQ48-'Выборка 1'!AP48))/4000</f>
        <v>0</v>
      </c>
      <c r="L48" s="44">
        <f>((('Выборка 1'!AS48+'Выборка 1'!AX48)-('Выборка 1'!AR48+'Выборка 1'!AW48))+(('Выборка 1'!AT48+'Выборка 1'!AY48)-('Выборка 1'!AS48+'Выборка 1'!AX48))+(('Выборка 1'!AU48+'Выборка 1'!AZ48)-('Выборка 1'!AT48+'Выборка 1'!AY48))+(('Выборка 1'!AV48+'Выборка 1'!BA48)-('Выборка 1'!AU48+'Выборка 1'!AZ48)))/4000</f>
        <v>0</v>
      </c>
      <c r="M48" s="44">
        <f>(('Выборка 1'!BC48-'Выборка 1'!BB48)+('Выборка 1'!BD48-'Выборка 1'!BC48)+('Выборка 1'!BE48-'Выборка 1'!BD48)+('Выборка 1'!BF48-'Выборка 1'!BE48))/4000</f>
        <v>0</v>
      </c>
      <c r="N48" s="44">
        <f t="shared" si="0"/>
        <v>0</v>
      </c>
      <c r="O48" s="17">
        <f>((('Выборка 1'!BH48-'Выборка 1'!BM48)-('Выборка 1'!BG48-'Выборка 1'!BL48))+(('Выборка 1'!BI48-'Выборка 1'!BN48)-('Выборка 1'!BH48-'Выборка 1'!BM48))+(('Выборка 1'!BJ48-'Выборка 1'!BO48)-('Выборка 1'!BI48-'Выборка 1'!BN48))+(('Выборка 1'!BK48-'Выборка 1'!BP48)-('Выборка 1'!BJ48-'Выборка 1'!BO48)))/4000</f>
        <v>0</v>
      </c>
      <c r="P48" s="17">
        <f>(('Выборка 1'!BR48-'Выборка 1'!BQ48)+('Выборка 1'!BS48-'Выборка 1'!BR48)+('Выборка 1'!BT48-'Выборка 1'!BS48)+('Выборка 1'!BU48-'Выборка 1'!BT48))/4000</f>
        <v>0</v>
      </c>
    </row>
    <row r="49" spans="2:16" x14ac:dyDescent="0.25">
      <c r="B49" s="42">
        <f>('Выборка 1'!AL49+'Выборка 1'!AG49)/1000</f>
        <v>0</v>
      </c>
      <c r="C49" s="17">
        <v>16</v>
      </c>
      <c r="D49" s="17">
        <f>(('Выборка 1'!E49-'Выборка 1'!D49)+('Выборка 1'!F49-'Выборка 1'!E49)+('Выборка 1'!G49-'Выборка 1'!F49)+('Выборка 1'!H49-'Выборка 1'!G49))/4000</f>
        <v>0</v>
      </c>
      <c r="E49" s="44">
        <f>(('Выборка 1'!J49-'Выборка 1'!I49)+('Выборка 1'!K49-'Выборка 1'!J49)+('Выборка 1'!L49-'Выборка 1'!K49)+('Выборка 1'!M49-'Выборка 1'!L49))/4000</f>
        <v>0</v>
      </c>
      <c r="F49" s="17">
        <f>(('Выборка 1'!O49-'Выборка 1'!N49)+('Выборка 1'!P49-'Выборка 1'!O49)+('Выборка 1'!Q49-'Выборка 1'!P49)+('Выборка 1'!R49-'Выборка 1'!Q49))/4000</f>
        <v>0</v>
      </c>
      <c r="G49" s="44">
        <f>(('Выборка 1'!T49-'Выборка 1'!S49)+('Выборка 1'!U49-'Выборка 1'!T49)+('Выборка 1'!V49-'Выборка 1'!U49)+('Выборка 1'!W49-'Выборка 1'!V49))/4000</f>
        <v>0</v>
      </c>
      <c r="H49" s="44">
        <f>(('Выборка 1'!Y49-'Выборка 1'!X49)+('Выборка 1'!Z49+'Выборка 1'!Y49)+('Выборка 1'!AA49-'Выборка 1'!Z49)+('Выборка 1'!AB49-'Выборка 1'!AA49))/4000</f>
        <v>0</v>
      </c>
      <c r="I49" s="44">
        <f>(('Выборка 1'!AD49-'Выборка 1'!AC49)+('Выборка 1'!AE49-'Выборка 1'!AD49)+('Выборка 1'!AF49-'Выборка 1'!AE49)+('Выборка 1'!AG49-'Выборка 1'!AF49))/4000</f>
        <v>0</v>
      </c>
      <c r="J49" s="44">
        <f>(('Выборка 1'!AI49-'Выборка 1'!AH49)+('Выборка 1'!AJ49-'Выборка 1'!AI49)+('Выборка 1'!AK49-'Выборка 1'!AJ49)+('Выборка 1'!AL49-'Выборка 1'!AK49))/4000</f>
        <v>0</v>
      </c>
      <c r="K49" s="17">
        <f>(('Выборка 1'!AN49-'Выборка 1'!AM49)+('Выборка 1'!AO49-'Выборка 1'!AN49)+('Выборка 1'!AP49-'Выборка 1'!AO49)+('Выборка 1'!AQ49-'Выборка 1'!AP49))/4000</f>
        <v>0</v>
      </c>
      <c r="L49" s="44">
        <f>((('Выборка 1'!AS49+'Выборка 1'!AX49)-('Выборка 1'!AR49+'Выборка 1'!AW49))+(('Выборка 1'!AT49+'Выборка 1'!AY49)-('Выборка 1'!AS49+'Выборка 1'!AX49))+(('Выборка 1'!AU49+'Выборка 1'!AZ49)-('Выборка 1'!AT49+'Выборка 1'!AY49))+(('Выборка 1'!AV49+'Выборка 1'!BA49)-('Выборка 1'!AU49+'Выборка 1'!AZ49)))/4000</f>
        <v>0</v>
      </c>
      <c r="M49" s="44">
        <f>(('Выборка 1'!BC49-'Выборка 1'!BB49)+('Выборка 1'!BD49-'Выборка 1'!BC49)+('Выборка 1'!BE49-'Выборка 1'!BD49)+('Выборка 1'!BF49-'Выборка 1'!BE49))/4000</f>
        <v>0</v>
      </c>
      <c r="N49" s="44">
        <f t="shared" si="0"/>
        <v>0</v>
      </c>
      <c r="O49" s="17">
        <f>((('Выборка 1'!BH49-'Выборка 1'!BM49)-('Выборка 1'!BG49-'Выборка 1'!BL49))+(('Выборка 1'!BI49-'Выборка 1'!BN49)-('Выборка 1'!BH49-'Выборка 1'!BM49))+(('Выборка 1'!BJ49-'Выборка 1'!BO49)-('Выборка 1'!BI49-'Выборка 1'!BN49))+(('Выборка 1'!BK49-'Выборка 1'!BP49)-('Выборка 1'!BJ49-'Выборка 1'!BO49)))/4000</f>
        <v>0</v>
      </c>
      <c r="P49" s="17">
        <f>(('Выборка 1'!BR49-'Выборка 1'!BQ49)+('Выборка 1'!BS49-'Выборка 1'!BR49)+('Выборка 1'!BT49-'Выборка 1'!BS49)+('Выборка 1'!BU49-'Выборка 1'!BT49))/4000</f>
        <v>0</v>
      </c>
    </row>
    <row r="50" spans="2:16" x14ac:dyDescent="0.25">
      <c r="B50" s="42">
        <f>('Выборка 1'!AL50+'Выборка 1'!AG50)/1000</f>
        <v>12184</v>
      </c>
      <c r="C50" s="17">
        <v>14</v>
      </c>
      <c r="D50" s="17">
        <f>(('Выборка 1'!E50-'Выборка 1'!D50)+('Выборка 1'!F50-'Выборка 1'!E50)+('Выборка 1'!G50-'Выборка 1'!F50)+('Выборка 1'!H50-'Выборка 1'!G50))/4000</f>
        <v>-1670.5</v>
      </c>
      <c r="E50" s="44">
        <f>(('Выборка 1'!J50-'Выборка 1'!I50)+('Выборка 1'!K50-'Выборка 1'!J50)+('Выборка 1'!L50-'Выборка 1'!K50)+('Выборка 1'!M50-'Выборка 1'!L50))/4000</f>
        <v>-9802.5</v>
      </c>
      <c r="F50" s="17">
        <f>(('Выборка 1'!O50-'Выборка 1'!N50)+('Выборка 1'!P50-'Выборка 1'!O50)+('Выборка 1'!Q50-'Выборка 1'!P50)+('Выборка 1'!R50-'Выборка 1'!Q50))/4000</f>
        <v>-1111.5</v>
      </c>
      <c r="G50" s="44">
        <f>(('Выборка 1'!T50-'Выборка 1'!S50)+('Выборка 1'!U50-'Выборка 1'!T50)+('Выборка 1'!V50-'Выборка 1'!U50)+('Выборка 1'!W50-'Выборка 1'!V50))/4000</f>
        <v>-255.75</v>
      </c>
      <c r="H50" s="44">
        <f>(('Выборка 1'!Y50-'Выборка 1'!X50)+('Выборка 1'!Z50+'Выборка 1'!Y50)+('Выборка 1'!AA50-'Выборка 1'!Z50)+('Выборка 1'!AB50-'Выборка 1'!AA50))/4000</f>
        <v>64</v>
      </c>
      <c r="I50" s="44">
        <f>(('Выборка 1'!AD50-'Выборка 1'!AC50)+('Выборка 1'!AE50-'Выборка 1'!AD50)+('Выборка 1'!AF50-'Выборка 1'!AE50)+('Выборка 1'!AG50-'Выборка 1'!AF50))/4000</f>
        <v>-152.5</v>
      </c>
      <c r="J50" s="44">
        <f>(('Выборка 1'!AI50-'Выборка 1'!AH50)+('Выборка 1'!AJ50-'Выборка 1'!AI50)+('Выборка 1'!AK50-'Выборка 1'!AJ50)+('Выборка 1'!AL50-'Выборка 1'!AK50))/4000</f>
        <v>-11860</v>
      </c>
      <c r="K50" s="17">
        <f>(('Выборка 1'!AN50-'Выборка 1'!AM50)+('Выборка 1'!AO50-'Выборка 1'!AN50)+('Выборка 1'!AP50-'Выборка 1'!AO50)+('Выборка 1'!AQ50-'Выборка 1'!AP50))/4000</f>
        <v>-21778.5</v>
      </c>
      <c r="L50" s="44">
        <f>((('Выборка 1'!AS50+'Выборка 1'!AX50)-('Выборка 1'!AR50+'Выборка 1'!AW50))+(('Выборка 1'!AT50+'Выборка 1'!AY50)-('Выборка 1'!AS50+'Выборка 1'!AX50))+(('Выборка 1'!AU50+'Выборка 1'!AZ50)-('Выборка 1'!AT50+'Выборка 1'!AY50))+(('Выборка 1'!AV50+'Выборка 1'!BA50)-('Выборка 1'!AU50+'Выборка 1'!AZ50)))/4000</f>
        <v>-20288.5</v>
      </c>
      <c r="M50" s="44">
        <f>(('Выборка 1'!BC50-'Выборка 1'!BB50)+('Выборка 1'!BD50-'Выборка 1'!BC50)+('Выборка 1'!BE50-'Выборка 1'!BD50)+('Выборка 1'!BF50-'Выборка 1'!BE50))/4000</f>
        <v>-872.25</v>
      </c>
      <c r="N50" s="44">
        <f t="shared" si="0"/>
        <v>-617.75</v>
      </c>
      <c r="O50" s="17">
        <f>((('Выборка 1'!BH50-'Выборка 1'!BM50)-('Выборка 1'!BG50-'Выборка 1'!BL50))+(('Выборка 1'!BI50-'Выборка 1'!BN50)-('Выборка 1'!BH50-'Выборка 1'!BM50))+(('Выборка 1'!BJ50-'Выборка 1'!BO50)-('Выборка 1'!BI50-'Выборка 1'!BN50))+(('Выборка 1'!BK50-'Выборка 1'!BP50)-('Выборка 1'!BJ50-'Выборка 1'!BO50)))/4000</f>
        <v>476.75</v>
      </c>
      <c r="P50" s="17">
        <f>(('Выборка 1'!BR50-'Выборка 1'!BQ50)+('Выборка 1'!BS50-'Выборка 1'!BR50)+('Выборка 1'!BT50-'Выборка 1'!BS50)+('Выборка 1'!BU50-'Выборка 1'!BT50))/4000</f>
        <v>-108.75</v>
      </c>
    </row>
    <row r="51" spans="2:16" x14ac:dyDescent="0.25">
      <c r="B51" s="42">
        <f>('Выборка 1'!AL51+'Выборка 1'!AG51)/1000</f>
        <v>5655050</v>
      </c>
      <c r="C51" s="17">
        <v>20</v>
      </c>
      <c r="D51" s="17">
        <f>(('Выборка 1'!E51-'Выборка 1'!D51)+('Выборка 1'!F51-'Выборка 1'!E51)+('Выборка 1'!G51-'Выборка 1'!F51)+('Выборка 1'!H51-'Выборка 1'!G51))/4000</f>
        <v>-1502.75</v>
      </c>
      <c r="E51" s="44">
        <f>(('Выборка 1'!J51-'Выборка 1'!I51)+('Выборка 1'!K51-'Выборка 1'!J51)+('Выборка 1'!L51-'Выборка 1'!K51)+('Выборка 1'!M51-'Выборка 1'!L51))/4000</f>
        <v>-71403</v>
      </c>
      <c r="F51" s="17">
        <f>(('Выборка 1'!O51-'Выборка 1'!N51)+('Выборка 1'!P51-'Выборка 1'!O51)+('Выборка 1'!Q51-'Выборка 1'!P51)+('Выборка 1'!R51-'Выборка 1'!Q51))/4000</f>
        <v>-17642.25</v>
      </c>
      <c r="G51" s="44">
        <f>(('Выборка 1'!T51-'Выборка 1'!S51)+('Выборка 1'!U51-'Выборка 1'!T51)+('Выборка 1'!V51-'Выборка 1'!U51)+('Выборка 1'!W51-'Выборка 1'!V51))/4000</f>
        <v>9050.25</v>
      </c>
      <c r="H51" s="44">
        <f>(('Выборка 1'!Y51-'Выборка 1'!X51)+('Выборка 1'!Z51+'Выборка 1'!Y51)+('Выборка 1'!AA51-'Выборка 1'!Z51)+('Выборка 1'!AB51-'Выборка 1'!AA51))/4000</f>
        <v>-2176433.5</v>
      </c>
      <c r="I51" s="44">
        <f>(('Выборка 1'!AD51-'Выборка 1'!AC51)+('Выборка 1'!AE51-'Выборка 1'!AD51)+('Выборка 1'!AF51-'Выборка 1'!AE51)+('Выборка 1'!AG51-'Выборка 1'!AF51))/4000</f>
        <v>0</v>
      </c>
      <c r="J51" s="44">
        <f>(('Выборка 1'!AI51-'Выборка 1'!AH51)+('Выборка 1'!AJ51-'Выборка 1'!AI51)+('Выборка 1'!AK51-'Выборка 1'!AJ51)+('Выборка 1'!AL51-'Выборка 1'!AK51))/4000</f>
        <v>540083.75</v>
      </c>
      <c r="K51" s="17">
        <f>(('Выборка 1'!AN51-'Выборка 1'!AM51)+('Выборка 1'!AO51-'Выборка 1'!AN51)+('Выборка 1'!AP51-'Выборка 1'!AO51)+('Выборка 1'!AQ51-'Выборка 1'!AP51))/4000</f>
        <v>-116763</v>
      </c>
      <c r="L51" s="44">
        <f>((('Выборка 1'!AS51+'Выборка 1'!AX51)-('Выборка 1'!AR51+'Выборка 1'!AW51))+(('Выборка 1'!AT51+'Выборка 1'!AY51)-('Выборка 1'!AS51+'Выборка 1'!AX51))+(('Выборка 1'!AU51+'Выборка 1'!AZ51)-('Выборка 1'!AT51+'Выборка 1'!AY51))+(('Выборка 1'!AV51+'Выборка 1'!BA51)-('Выборка 1'!AU51+'Выборка 1'!AZ51)))/4000</f>
        <v>-138009.75</v>
      </c>
      <c r="M51" s="44">
        <f>(('Выборка 1'!BC51-'Выборка 1'!BB51)+('Выборка 1'!BD51-'Выборка 1'!BC51)+('Выборка 1'!BE51-'Выборка 1'!BD51)+('Выборка 1'!BF51-'Выборка 1'!BE51))/4000</f>
        <v>-31273.75</v>
      </c>
      <c r="N51" s="44">
        <f t="shared" si="0"/>
        <v>52520.5</v>
      </c>
      <c r="O51" s="17">
        <f>((('Выборка 1'!BH51-'Выборка 1'!BM51)-('Выборка 1'!BG51-'Выборка 1'!BL51))+(('Выборка 1'!BI51-'Выборка 1'!BN51)-('Выборка 1'!BH51-'Выборка 1'!BM51))+(('Выборка 1'!BJ51-'Выборка 1'!BO51)-('Выборка 1'!BI51-'Выборка 1'!BN51))+(('Выборка 1'!BK51-'Выборка 1'!BP51)-('Выборка 1'!BJ51-'Выборка 1'!BO51)))/4000</f>
        <v>45069</v>
      </c>
      <c r="P51" s="17">
        <f>(('Выборка 1'!BR51-'Выборка 1'!BQ51)+('Выборка 1'!BS51-'Выборка 1'!BR51)+('Выборка 1'!BT51-'Выборка 1'!BS51)+('Выборка 1'!BU51-'Выборка 1'!BT51))/4000</f>
        <v>70448.75</v>
      </c>
    </row>
    <row r="52" spans="2:16" x14ac:dyDescent="0.25">
      <c r="B52" s="42">
        <f>('Выборка 1'!AL52+'Выборка 1'!AG52)/1000</f>
        <v>0</v>
      </c>
      <c r="C52" s="17">
        <v>5</v>
      </c>
      <c r="D52" s="17">
        <f>(('Выборка 1'!E52-'Выборка 1'!D52)+('Выборка 1'!F52-'Выборка 1'!E52)+('Выборка 1'!G52-'Выборка 1'!F52)+('Выборка 1'!H52-'Выборка 1'!G52))/4000</f>
        <v>-12192.5</v>
      </c>
      <c r="E52" s="44">
        <f>(('Выборка 1'!J52-'Выборка 1'!I52)+('Выборка 1'!K52-'Выборка 1'!J52)+('Выборка 1'!L52-'Выборка 1'!K52)+('Выборка 1'!M52-'Выборка 1'!L52))/4000</f>
        <v>-329183.25</v>
      </c>
      <c r="F52" s="17">
        <f>(('Выборка 1'!O52-'Выборка 1'!N52)+('Выборка 1'!P52-'Выборка 1'!O52)+('Выборка 1'!Q52-'Выборка 1'!P52)+('Выборка 1'!R52-'Выборка 1'!Q52))/4000</f>
        <v>-1831271</v>
      </c>
      <c r="G52" s="44">
        <f>(('Выборка 1'!T52-'Выборка 1'!S52)+('Выборка 1'!U52-'Выборка 1'!T52)+('Выборка 1'!V52-'Выборка 1'!U52)+('Выборка 1'!W52-'Выборка 1'!V52))/4000</f>
        <v>-128860.5</v>
      </c>
      <c r="H52" s="44">
        <f>(('Выборка 1'!Y52-'Выборка 1'!X52)+('Выборка 1'!Z52+'Выборка 1'!Y52)+('Выборка 1'!AA52-'Выборка 1'!Z52)+('Выборка 1'!AB52-'Выборка 1'!AA52))/4000</f>
        <v>811762.25</v>
      </c>
      <c r="I52" s="44">
        <f>(('Выборка 1'!AD52-'Выборка 1'!AC52)+('Выборка 1'!AE52-'Выборка 1'!AD52)+('Выборка 1'!AF52-'Выборка 1'!AE52)+('Выборка 1'!AG52-'Выборка 1'!AF52))/4000</f>
        <v>-275389</v>
      </c>
      <c r="J52" s="44">
        <f>(('Выборка 1'!AI52-'Выборка 1'!AH52)+('Выборка 1'!AJ52-'Выборка 1'!AI52)+('Выборка 1'!AK52-'Выборка 1'!AJ52)+('Выборка 1'!AL52-'Выборка 1'!AK52))/4000</f>
        <v>-2072136</v>
      </c>
      <c r="K52" s="17">
        <f>(('Выборка 1'!AN52-'Выборка 1'!AM52)+('Выборка 1'!AO52-'Выборка 1'!AN52)+('Выборка 1'!AP52-'Выборка 1'!AO52)+('Выборка 1'!AQ52-'Выборка 1'!AP52))/4000</f>
        <v>-5937381</v>
      </c>
      <c r="L52" s="44">
        <f>((('Выборка 1'!AS52+'Выборка 1'!AX52)-('Выборка 1'!AR52+'Выборка 1'!AW52))+(('Выборка 1'!AT52+'Выборка 1'!AY52)-('Выборка 1'!AS52+'Выборка 1'!AX52))+(('Выборка 1'!AU52+'Выборка 1'!AZ52)-('Выборка 1'!AT52+'Выборка 1'!AY52))+(('Выборка 1'!AV52+'Выборка 1'!BA52)-('Выборка 1'!AU52+'Выборка 1'!AZ52)))/4000</f>
        <v>-5550772</v>
      </c>
      <c r="M52" s="44">
        <f>(('Выборка 1'!BC52-'Выборка 1'!BB52)+('Выборка 1'!BD52-'Выборка 1'!BC52)+('Выборка 1'!BE52-'Выборка 1'!BD52)+('Выборка 1'!BF52-'Выборка 1'!BE52))/4000</f>
        <v>-157545</v>
      </c>
      <c r="N52" s="44">
        <f t="shared" si="0"/>
        <v>-229064</v>
      </c>
      <c r="O52" s="17">
        <f>((('Выборка 1'!BH52-'Выборка 1'!BM52)-('Выборка 1'!BG52-'Выборка 1'!BL52))+(('Выборка 1'!BI52-'Выборка 1'!BN52)-('Выборка 1'!BH52-'Выборка 1'!BM52))+(('Выборка 1'!BJ52-'Выборка 1'!BO52)-('Выборка 1'!BI52-'Выборка 1'!BN52))+(('Выборка 1'!BK52-'Выборка 1'!BP52)-('Выборка 1'!BJ52-'Выборка 1'!BO52)))/4000</f>
        <v>258094</v>
      </c>
      <c r="P52" s="17">
        <f>(('Выборка 1'!BR52-'Выборка 1'!BQ52)+('Выборка 1'!BS52-'Выборка 1'!BR52)+('Выборка 1'!BT52-'Выборка 1'!BS52)+('Выборка 1'!BU52-'Выборка 1'!BT52))/4000</f>
        <v>28381.5</v>
      </c>
    </row>
    <row r="53" spans="2:16" x14ac:dyDescent="0.25">
      <c r="B53" s="42">
        <f>('Выборка 1'!AL53+'Выборка 1'!AG53)/1000</f>
        <v>187257</v>
      </c>
      <c r="C53" s="17">
        <v>14</v>
      </c>
      <c r="D53" s="17">
        <f>(('Выборка 1'!E53-'Выборка 1'!D53)+('Выборка 1'!F53-'Выборка 1'!E53)+('Выборка 1'!G53-'Выборка 1'!F53)+('Выборка 1'!H53-'Выборка 1'!G53))/4000</f>
        <v>-966.75</v>
      </c>
      <c r="E53" s="44">
        <f>(('Выборка 1'!J53-'Выборка 1'!I53)+('Выборка 1'!K53-'Выборка 1'!J53)+('Выборка 1'!L53-'Выборка 1'!K53)+('Выборка 1'!M53-'Выборка 1'!L53))/4000</f>
        <v>-11487</v>
      </c>
      <c r="F53" s="17">
        <f>(('Выборка 1'!O53-'Выборка 1'!N53)+('Выборка 1'!P53-'Выборка 1'!O53)+('Выборка 1'!Q53-'Выборка 1'!P53)+('Выборка 1'!R53-'Выборка 1'!Q53))/4000</f>
        <v>4663.75</v>
      </c>
      <c r="G53" s="44">
        <f>(('Выборка 1'!T53-'Выборка 1'!S53)+('Выборка 1'!U53-'Выборка 1'!T53)+('Выборка 1'!V53-'Выборка 1'!U53)+('Выборка 1'!W53-'Выборка 1'!V53))/4000</f>
        <v>1</v>
      </c>
      <c r="H53" s="44">
        <f>(('Выборка 1'!Y53-'Выборка 1'!X53)+('Выборка 1'!Z53+'Выборка 1'!Y53)+('Выборка 1'!AA53-'Выборка 1'!Z53)+('Выборка 1'!AB53-'Выборка 1'!AA53))/4000</f>
        <v>1096.5</v>
      </c>
      <c r="I53" s="44">
        <f>(('Выборка 1'!AD53-'Выборка 1'!AC53)+('Выборка 1'!AE53-'Выборка 1'!AD53)+('Выборка 1'!AF53-'Выборка 1'!AE53)+('Выборка 1'!AG53-'Выборка 1'!AF53))/4000</f>
        <v>-3372.75</v>
      </c>
      <c r="J53" s="44">
        <f>(('Выборка 1'!AI53-'Выборка 1'!AH53)+('Выборка 1'!AJ53-'Выборка 1'!AI53)+('Выборка 1'!AK53-'Выборка 1'!AJ53)+('Выборка 1'!AL53-'Выборка 1'!AK53))/4000</f>
        <v>1761.5</v>
      </c>
      <c r="K53" s="17">
        <f>(('Выборка 1'!AN53-'Выборка 1'!AM53)+('Выборка 1'!AO53-'Выборка 1'!AN53)+('Выборка 1'!AP53-'Выборка 1'!AO53)+('Выборка 1'!AQ53-'Выборка 1'!AP53))/4000</f>
        <v>-21599.75</v>
      </c>
      <c r="L53" s="44">
        <f>((('Выборка 1'!AS53+'Выборка 1'!AX53)-('Выборка 1'!AR53+'Выборка 1'!AW53))+(('Выборка 1'!AT53+'Выборка 1'!AY53)-('Выборка 1'!AS53+'Выборка 1'!AX53))+(('Выборка 1'!AU53+'Выборка 1'!AZ53)-('Выборка 1'!AT53+'Выборка 1'!AY53))+(('Выборка 1'!AV53+'Выборка 1'!BA53)-('Выборка 1'!AU53+'Выборка 1'!AZ53)))/4000</f>
        <v>-9898</v>
      </c>
      <c r="M53" s="44">
        <f>(('Выборка 1'!BC53-'Выборка 1'!BB53)+('Выборка 1'!BD53-'Выборка 1'!BC53)+('Выборка 1'!BE53-'Выборка 1'!BD53)+('Выборка 1'!BF53-'Выборка 1'!BE53))/4000</f>
        <v>-9633.25</v>
      </c>
      <c r="N53" s="44">
        <f t="shared" si="0"/>
        <v>-2068.5</v>
      </c>
      <c r="O53" s="17">
        <f>((('Выборка 1'!BH53-'Выборка 1'!BM53)-('Выборка 1'!BG53-'Выборка 1'!BL53))+(('Выборка 1'!BI53-'Выборка 1'!BN53)-('Выборка 1'!BH53-'Выборка 1'!BM53))+(('Выборка 1'!BJ53-'Выборка 1'!BO53)-('Выборка 1'!BI53-'Выборка 1'!BN53))+(('Выборка 1'!BK53-'Выборка 1'!BP53)-('Выборка 1'!BJ53-'Выборка 1'!BO53)))/4000</f>
        <v>782.25</v>
      </c>
      <c r="P53" s="17">
        <f>(('Выборка 1'!BR53-'Выборка 1'!BQ53)+('Выборка 1'!BS53-'Выборка 1'!BR53)+('Выборка 1'!BT53-'Выборка 1'!BS53)+('Выборка 1'!BU53-'Выборка 1'!BT53))/4000</f>
        <v>1251.25</v>
      </c>
    </row>
    <row r="54" spans="2:16" x14ac:dyDescent="0.25">
      <c r="B54" s="42">
        <f>('Выборка 1'!AL54+'Выборка 1'!AG54)/1000</f>
        <v>0</v>
      </c>
      <c r="C54" s="17">
        <v>20</v>
      </c>
      <c r="D54" s="17">
        <f>(('Выборка 1'!E54-'Выборка 1'!D54)+('Выборка 1'!F54-'Выборка 1'!E54)+('Выборка 1'!G54-'Выборка 1'!F54)+('Выборка 1'!H54-'Выборка 1'!G54))/4000</f>
        <v>0</v>
      </c>
      <c r="E54" s="44">
        <f>(('Выборка 1'!J54-'Выборка 1'!I54)+('Выборка 1'!K54-'Выборка 1'!J54)+('Выборка 1'!L54-'Выборка 1'!K54)+('Выборка 1'!M54-'Выборка 1'!L54))/4000</f>
        <v>-578.5</v>
      </c>
      <c r="F54" s="17">
        <f>(('Выборка 1'!O54-'Выборка 1'!N54)+('Выборка 1'!P54-'Выборка 1'!O54)+('Выборка 1'!Q54-'Выборка 1'!P54)+('Выборка 1'!R54-'Выборка 1'!Q54))/4000</f>
        <v>-85.5</v>
      </c>
      <c r="G54" s="44">
        <f>(('Выборка 1'!T54-'Выборка 1'!S54)+('Выборка 1'!U54-'Выборка 1'!T54)+('Выборка 1'!V54-'Выборка 1'!U54)+('Выборка 1'!W54-'Выборка 1'!V54))/4000</f>
        <v>-41.25</v>
      </c>
      <c r="H54" s="44">
        <f>(('Выборка 1'!Y54-'Выборка 1'!X54)+('Выборка 1'!Z54+'Выборка 1'!Y54)+('Выборка 1'!AA54-'Выборка 1'!Z54)+('Выборка 1'!AB54-'Выборка 1'!AA54))/4000</f>
        <v>222.75</v>
      </c>
      <c r="I54" s="44">
        <f>(('Выборка 1'!AD54-'Выборка 1'!AC54)+('Выборка 1'!AE54-'Выборка 1'!AD54)+('Выборка 1'!AF54-'Выборка 1'!AE54)+('Выборка 1'!AG54-'Выборка 1'!AF54))/4000</f>
        <v>0</v>
      </c>
      <c r="J54" s="44">
        <f>(('Выборка 1'!AI54-'Выборка 1'!AH54)+('Выборка 1'!AJ54-'Выборка 1'!AI54)+('Выборка 1'!AK54-'Выборка 1'!AJ54)+('Выборка 1'!AL54-'Выборка 1'!AK54))/4000</f>
        <v>-644.25</v>
      </c>
      <c r="K54" s="17">
        <f>(('Выборка 1'!AN54-'Выборка 1'!AM54)+('Выборка 1'!AO54-'Выборка 1'!AN54)+('Выборка 1'!AP54-'Выборка 1'!AO54)+('Выборка 1'!AQ54-'Выборка 1'!AP54))/4000</f>
        <v>-1258.5</v>
      </c>
      <c r="L54" s="44">
        <f>((('Выборка 1'!AS54+'Выборка 1'!AX54)-('Выборка 1'!AR54+'Выборка 1'!AW54))+(('Выборка 1'!AT54+'Выборка 1'!AY54)-('Выборка 1'!AS54+'Выборка 1'!AX54))+(('Выборка 1'!AU54+'Выборка 1'!AZ54)-('Выборка 1'!AT54+'Выборка 1'!AY54))+(('Выборка 1'!AV54+'Выборка 1'!BA54)-('Выборка 1'!AU54+'Выборка 1'!AZ54)))/4000</f>
        <v>-1108.25</v>
      </c>
      <c r="M54" s="44">
        <f>(('Выборка 1'!BC54-'Выборка 1'!BB54)+('Выборка 1'!BD54-'Выборка 1'!BC54)+('Выборка 1'!BE54-'Выборка 1'!BD54)+('Выборка 1'!BF54-'Выборка 1'!BE54))/4000</f>
        <v>-100</v>
      </c>
      <c r="N54" s="44">
        <f t="shared" si="0"/>
        <v>-50.25</v>
      </c>
      <c r="O54" s="17">
        <f>((('Выборка 1'!BH54-'Выборка 1'!BM54)-('Выборка 1'!BG54-'Выборка 1'!BL54))+(('Выборка 1'!BI54-'Выборка 1'!BN54)-('Выборка 1'!BH54-'Выборка 1'!BM54))+(('Выборка 1'!BJ54-'Выборка 1'!BO54)-('Выборка 1'!BI54-'Выборка 1'!BN54))+(('Выборка 1'!BK54-'Выборка 1'!BP54)-('Выборка 1'!BJ54-'Выборка 1'!BO54)))/4000</f>
        <v>8.25</v>
      </c>
      <c r="P54" s="17">
        <f>(('Выборка 1'!BR54-'Выборка 1'!BQ54)+('Выборка 1'!BS54-'Выборка 1'!BR54)+('Выборка 1'!BT54-'Выборка 1'!BS54)+('Выборка 1'!BU54-'Выборка 1'!BT54))/4000</f>
        <v>-33.5</v>
      </c>
    </row>
    <row r="55" spans="2:16" x14ac:dyDescent="0.25">
      <c r="B55" s="42">
        <f>('Выборка 1'!AL55+'Выборка 1'!AG55)/1000</f>
        <v>0</v>
      </c>
      <c r="C55" s="17">
        <v>18</v>
      </c>
      <c r="D55" s="17">
        <f>(('Выборка 1'!E55-'Выборка 1'!D55)+('Выборка 1'!F55-'Выборка 1'!E55)+('Выборка 1'!G55-'Выборка 1'!F55)+('Выборка 1'!H55-'Выборка 1'!G55))/4000</f>
        <v>-814</v>
      </c>
      <c r="E55" s="44">
        <f>(('Выборка 1'!J55-'Выборка 1'!I55)+('Выборка 1'!K55-'Выборка 1'!J55)+('Выборка 1'!L55-'Выборка 1'!K55)+('Выборка 1'!M55-'Выборка 1'!L55))/4000</f>
        <v>-15765.5</v>
      </c>
      <c r="F55" s="17">
        <f>(('Выборка 1'!O55-'Выборка 1'!N55)+('Выборка 1'!P55-'Выборка 1'!O55)+('Выборка 1'!Q55-'Выборка 1'!P55)+('Выборка 1'!R55-'Выборка 1'!Q55))/4000</f>
        <v>-9100.5</v>
      </c>
      <c r="G55" s="44">
        <f>(('Выборка 1'!T55-'Выборка 1'!S55)+('Выборка 1'!U55-'Выборка 1'!T55)+('Выборка 1'!V55-'Выборка 1'!U55)+('Выборка 1'!W55-'Выборка 1'!V55))/4000</f>
        <v>-8.5</v>
      </c>
      <c r="H55" s="44">
        <f>(('Выборка 1'!Y55-'Выборка 1'!X55)+('Выборка 1'!Z55+'Выборка 1'!Y55)+('Выборка 1'!AA55-'Выборка 1'!Z55)+('Выборка 1'!AB55-'Выборка 1'!AA55))/4000</f>
        <v>-1346.5</v>
      </c>
      <c r="I55" s="44">
        <f>(('Выборка 1'!AD55-'Выборка 1'!AC55)+('Выборка 1'!AE55-'Выборка 1'!AD55)+('Выборка 1'!AF55-'Выборка 1'!AE55)+('Выборка 1'!AG55-'Выборка 1'!AF55))/4000</f>
        <v>-2724.75</v>
      </c>
      <c r="J55" s="44">
        <f>(('Выборка 1'!AI55-'Выборка 1'!AH55)+('Выборка 1'!AJ55-'Выборка 1'!AI55)+('Выборка 1'!AK55-'Выборка 1'!AJ55)+('Выборка 1'!AL55-'Выборка 1'!AK55))/4000</f>
        <v>-11182</v>
      </c>
      <c r="K55" s="17">
        <f>(('Выборка 1'!AN55-'Выборка 1'!AM55)+('Выборка 1'!AO55-'Выборка 1'!AN55)+('Выборка 1'!AP55-'Выборка 1'!AO55)+('Выборка 1'!AQ55-'Выборка 1'!AP55))/4000</f>
        <v>-34758.5</v>
      </c>
      <c r="L55" s="44">
        <f>((('Выборка 1'!AS55+'Выборка 1'!AX55)-('Выборка 1'!AR55+'Выборка 1'!AW55))+(('Выборка 1'!AT55+'Выборка 1'!AY55)-('Выборка 1'!AS55+'Выборка 1'!AX55))+(('Выборка 1'!AU55+'Выборка 1'!AZ55)-('Выборка 1'!AT55+'Выборка 1'!AY55))+(('Выборка 1'!AV55+'Выборка 1'!BA55)-('Выборка 1'!AU55+'Выборка 1'!AZ55)))/4000</f>
        <v>-33636</v>
      </c>
      <c r="M55" s="44">
        <f>(('Выборка 1'!BC55-'Выборка 1'!BB55)+('Выборка 1'!BD55-'Выборка 1'!BC55)+('Выборка 1'!BE55-'Выборка 1'!BD55)+('Выборка 1'!BF55-'Выборка 1'!BE55))/4000</f>
        <v>-7370.25</v>
      </c>
      <c r="N55" s="44">
        <f t="shared" si="0"/>
        <v>6247.75</v>
      </c>
      <c r="O55" s="17">
        <f>((('Выборка 1'!BH55-'Выборка 1'!BM55)-('Выборка 1'!BG55-'Выборка 1'!BL55))+(('Выборка 1'!BI55-'Выборка 1'!BN55)-('Выборка 1'!BH55-'Выборка 1'!BM55))+(('Выборка 1'!BJ55-'Выборка 1'!BO55)-('Выборка 1'!BI55-'Выборка 1'!BN55))+(('Выборка 1'!BK55-'Выборка 1'!BP55)-('Выборка 1'!BJ55-'Выборка 1'!BO55)))/4000</f>
        <v>-5959.5</v>
      </c>
      <c r="P55" s="17">
        <f>(('Выборка 1'!BR55-'Выборка 1'!BQ55)+('Выборка 1'!BS55-'Выборка 1'!BR55)+('Выборка 1'!BT55-'Выборка 1'!BS55)+('Выборка 1'!BU55-'Выборка 1'!BT55))/4000</f>
        <v>1144.5</v>
      </c>
    </row>
    <row r="56" spans="2:16" x14ac:dyDescent="0.25">
      <c r="B56" s="42">
        <f>('Выборка 1'!AL56+'Выборка 1'!AG56)/1000</f>
        <v>0</v>
      </c>
      <c r="C56" s="17">
        <v>16</v>
      </c>
      <c r="D56" s="17">
        <f>(('Выборка 1'!E56-'Выборка 1'!D56)+('Выборка 1'!F56-'Выборка 1'!E56)+('Выборка 1'!G56-'Выборка 1'!F56)+('Выборка 1'!H56-'Выборка 1'!G56))/4000</f>
        <v>0</v>
      </c>
      <c r="E56" s="44">
        <f>(('Выборка 1'!J56-'Выборка 1'!I56)+('Выборка 1'!K56-'Выборка 1'!J56)+('Выборка 1'!L56-'Выборка 1'!K56)+('Выборка 1'!M56-'Выборка 1'!L56))/4000</f>
        <v>0</v>
      </c>
      <c r="F56" s="17">
        <f>(('Выборка 1'!O56-'Выборка 1'!N56)+('Выборка 1'!P56-'Выборка 1'!O56)+('Выборка 1'!Q56-'Выборка 1'!P56)+('Выборка 1'!R56-'Выборка 1'!Q56))/4000</f>
        <v>-18225.25</v>
      </c>
      <c r="G56" s="44">
        <f>(('Выборка 1'!T56-'Выборка 1'!S56)+('Выборка 1'!U56-'Выборка 1'!T56)+('Выборка 1'!V56-'Выборка 1'!U56)+('Выборка 1'!W56-'Выборка 1'!V56))/4000</f>
        <v>0</v>
      </c>
      <c r="H56" s="44">
        <f>(('Выборка 1'!Y56-'Выборка 1'!X56)+('Выборка 1'!Z56+'Выборка 1'!Y56)+('Выборка 1'!AA56-'Выборка 1'!Z56)+('Выборка 1'!AB56-'Выборка 1'!AA56))/4000</f>
        <v>40287.5</v>
      </c>
      <c r="I56" s="44">
        <f>(('Выборка 1'!AD56-'Выборка 1'!AC56)+('Выборка 1'!AE56-'Выборка 1'!AD56)+('Выборка 1'!AF56-'Выборка 1'!AE56)+('Выборка 1'!AG56-'Выборка 1'!AF56))/4000</f>
        <v>-35970.25</v>
      </c>
      <c r="J56" s="44">
        <f>(('Выборка 1'!AI56-'Выборка 1'!AH56)+('Выборка 1'!AJ56-'Выборка 1'!AI56)+('Выборка 1'!AK56-'Выборка 1'!AJ56)+('Выборка 1'!AL56-'Выборка 1'!AK56))/4000</f>
        <v>-22540</v>
      </c>
      <c r="K56" s="17">
        <f>(('Выборка 1'!AN56-'Выборка 1'!AM56)+('Выборка 1'!AO56-'Выборка 1'!AN56)+('Выборка 1'!AP56-'Выборка 1'!AO56)+('Выборка 1'!AQ56-'Выборка 1'!AP56))/4000</f>
        <v>-45</v>
      </c>
      <c r="L56" s="44">
        <f>((('Выборка 1'!AS56+'Выборка 1'!AX56)-('Выборка 1'!AR56+'Выборка 1'!AW56))+(('Выборка 1'!AT56+'Выборка 1'!AY56)-('Выборка 1'!AS56+'Выборка 1'!AX56))+(('Выборка 1'!AU56+'Выборка 1'!AZ56)-('Выборка 1'!AT56+'Выборка 1'!AY56))+(('Выборка 1'!AV56+'Выборка 1'!BA56)-('Выборка 1'!AU56+'Выборка 1'!AZ56)))/4000</f>
        <v>0</v>
      </c>
      <c r="M56" s="44">
        <f>(('Выборка 1'!BC56-'Выборка 1'!BB56)+('Выборка 1'!BD56-'Выборка 1'!BC56)+('Выборка 1'!BE56-'Выборка 1'!BD56)+('Выборка 1'!BF56-'Выборка 1'!BE56))/4000</f>
        <v>0</v>
      </c>
      <c r="N56" s="44">
        <f t="shared" si="0"/>
        <v>-45</v>
      </c>
      <c r="O56" s="17">
        <f>((('Выборка 1'!BH56-'Выборка 1'!BM56)-('Выборка 1'!BG56-'Выборка 1'!BL56))+(('Выборка 1'!BI56-'Выборка 1'!BN56)-('Выборка 1'!BH56-'Выборка 1'!BM56))+(('Выборка 1'!BJ56-'Выборка 1'!BO56)-('Выборка 1'!BI56-'Выборка 1'!BN56))+(('Выборка 1'!BK56-'Выборка 1'!BP56)-('Выборка 1'!BJ56-'Выборка 1'!BO56)))/4000</f>
        <v>90.25</v>
      </c>
      <c r="P56" s="17">
        <f>(('Выборка 1'!BR56-'Выборка 1'!BQ56)+('Выборка 1'!BS56-'Выборка 1'!BR56)+('Выборка 1'!BT56-'Выборка 1'!BS56)+('Выборка 1'!BU56-'Выборка 1'!BT56))/4000</f>
        <v>45.25</v>
      </c>
    </row>
    <row r="57" spans="2:16" x14ac:dyDescent="0.25">
      <c r="B57" s="42">
        <f>('Выборка 1'!AL57+'Выборка 1'!AG57)/1000</f>
        <v>0</v>
      </c>
      <c r="C57" s="17">
        <v>17</v>
      </c>
      <c r="D57" s="17">
        <f>(('Выборка 1'!E57-'Выборка 1'!D57)+('Выборка 1'!F57-'Выборка 1'!E57)+('Выборка 1'!G57-'Выборка 1'!F57)+('Выборка 1'!H57-'Выборка 1'!G57))/4000</f>
        <v>-1465.5</v>
      </c>
      <c r="E57" s="44">
        <f>(('Выборка 1'!J57-'Выборка 1'!I57)+('Выборка 1'!K57-'Выборка 1'!J57)+('Выборка 1'!L57-'Выборка 1'!K57)+('Выборка 1'!M57-'Выборка 1'!L57))/4000</f>
        <v>-430.5</v>
      </c>
      <c r="F57" s="17">
        <f>(('Выборка 1'!O57-'Выборка 1'!N57)+('Выборка 1'!P57-'Выборка 1'!O57)+('Выборка 1'!Q57-'Выборка 1'!P57)+('Выборка 1'!R57-'Выборка 1'!Q57))/4000</f>
        <v>-2532.5</v>
      </c>
      <c r="G57" s="44">
        <f>(('Выборка 1'!T57-'Выборка 1'!S57)+('Выборка 1'!U57-'Выборка 1'!T57)+('Выборка 1'!V57-'Выборка 1'!U57)+('Выборка 1'!W57-'Выборка 1'!V57))/4000</f>
        <v>0</v>
      </c>
      <c r="H57" s="44">
        <f>(('Выборка 1'!Y57-'Выборка 1'!X57)+('Выборка 1'!Z57+'Выборка 1'!Y57)+('Выборка 1'!AA57-'Выборка 1'!Z57)+('Выборка 1'!AB57-'Выборка 1'!AA57))/4000</f>
        <v>0</v>
      </c>
      <c r="I57" s="44">
        <f>(('Выборка 1'!AD57-'Выборка 1'!AC57)+('Выборка 1'!AE57-'Выборка 1'!AD57)+('Выборка 1'!AF57-'Выборка 1'!AE57)+('Выборка 1'!AG57-'Выборка 1'!AF57))/4000</f>
        <v>0</v>
      </c>
      <c r="J57" s="44">
        <f>(('Выборка 1'!AI57-'Выборка 1'!AH57)+('Выборка 1'!AJ57-'Выборка 1'!AI57)+('Выборка 1'!AK57-'Выборка 1'!AJ57)+('Выборка 1'!AL57-'Выборка 1'!AK57))/4000</f>
        <v>-1296</v>
      </c>
      <c r="K57" s="17">
        <f>(('Выборка 1'!AN57-'Выборка 1'!AM57)+('Выборка 1'!AO57-'Выборка 1'!AN57)+('Выборка 1'!AP57-'Выборка 1'!AO57)+('Выборка 1'!AQ57-'Выборка 1'!AP57))/4000</f>
        <v>-13807.25</v>
      </c>
      <c r="L57" s="44">
        <f>((('Выборка 1'!AS57+'Выборка 1'!AX57)-('Выборка 1'!AR57+'Выборка 1'!AW57))+(('Выборка 1'!AT57+'Выборка 1'!AY57)-('Выборка 1'!AS57+'Выборка 1'!AX57))+(('Выборка 1'!AU57+'Выборка 1'!AZ57)-('Выборка 1'!AT57+'Выборка 1'!AY57))+(('Выборка 1'!AV57+'Выборка 1'!BA57)-('Выборка 1'!AU57+'Выборка 1'!AZ57)))/4000</f>
        <v>-13610.75</v>
      </c>
      <c r="M57" s="44">
        <f>(('Выборка 1'!BC57-'Выборка 1'!BB57)+('Выборка 1'!BD57-'Выборка 1'!BC57)+('Выборка 1'!BE57-'Выборка 1'!BD57)+('Выборка 1'!BF57-'Выборка 1'!BE57))/4000</f>
        <v>0</v>
      </c>
      <c r="N57" s="44">
        <f t="shared" si="0"/>
        <v>-196.5</v>
      </c>
      <c r="O57" s="17">
        <f>((('Выборка 1'!BH57-'Выборка 1'!BM57)-('Выборка 1'!BG57-'Выборка 1'!BL57))+(('Выборка 1'!BI57-'Выборка 1'!BN57)-('Выборка 1'!BH57-'Выборка 1'!BM57))+(('Выборка 1'!BJ57-'Выборка 1'!BO57)-('Выборка 1'!BI57-'Выборка 1'!BN57))+(('Выборка 1'!BK57-'Выборка 1'!BP57)-('Выборка 1'!BJ57-'Выборка 1'!BO57)))/4000</f>
        <v>0</v>
      </c>
      <c r="P57" s="17">
        <f>(('Выборка 1'!BR57-'Выборка 1'!BQ57)+('Выборка 1'!BS57-'Выборка 1'!BR57)+('Выборка 1'!BT57-'Выборка 1'!BS57)+('Выборка 1'!BU57-'Выборка 1'!BT57))/4000</f>
        <v>-61.75</v>
      </c>
    </row>
    <row r="58" spans="2:16" x14ac:dyDescent="0.25">
      <c r="B58" s="42">
        <f>('Выборка 1'!AL58+'Выборка 1'!AG58)/1000</f>
        <v>90922</v>
      </c>
      <c r="C58" s="17">
        <v>20</v>
      </c>
      <c r="D58" s="17">
        <f>(('Выборка 1'!E58-'Выборка 1'!D58)+('Выборка 1'!F58-'Выборка 1'!E58)+('Выборка 1'!G58-'Выборка 1'!F58)+('Выборка 1'!H58-'Выборка 1'!G58))/4000</f>
        <v>-212.5</v>
      </c>
      <c r="E58" s="44">
        <f>(('Выборка 1'!J58-'Выборка 1'!I58)+('Выборка 1'!K58-'Выборка 1'!J58)+('Выборка 1'!L58-'Выборка 1'!K58)+('Выборка 1'!M58-'Выборка 1'!L58))/4000</f>
        <v>0</v>
      </c>
      <c r="F58" s="17">
        <f>(('Выборка 1'!O58-'Выборка 1'!N58)+('Выборка 1'!P58-'Выборка 1'!O58)+('Выборка 1'!Q58-'Выборка 1'!P58)+('Выборка 1'!R58-'Выборка 1'!Q58))/4000</f>
        <v>-5270.5</v>
      </c>
      <c r="G58" s="44">
        <f>(('Выборка 1'!T58-'Выборка 1'!S58)+('Выборка 1'!U58-'Выборка 1'!T58)+('Выборка 1'!V58-'Выборка 1'!U58)+('Выборка 1'!W58-'Выборка 1'!V58))/4000</f>
        <v>-1.25</v>
      </c>
      <c r="H58" s="44">
        <f>(('Выборка 1'!Y58-'Выборка 1'!X58)+('Выборка 1'!Z58+'Выборка 1'!Y58)+('Выборка 1'!AA58-'Выборка 1'!Z58)+('Выборка 1'!AB58-'Выборка 1'!AA58))/4000</f>
        <v>-62669.75</v>
      </c>
      <c r="I58" s="44">
        <f>(('Выборка 1'!AD58-'Выборка 1'!AC58)+('Выборка 1'!AE58-'Выборка 1'!AD58)+('Выборка 1'!AF58-'Выборка 1'!AE58)+('Выборка 1'!AG58-'Выборка 1'!AF58))/4000</f>
        <v>0</v>
      </c>
      <c r="J58" s="44">
        <f>(('Выборка 1'!AI58-'Выборка 1'!AH58)+('Выборка 1'!AJ58-'Выборка 1'!AI58)+('Выборка 1'!AK58-'Выборка 1'!AJ58)+('Выборка 1'!AL58-'Выборка 1'!AK58))/4000</f>
        <v>-6047.5</v>
      </c>
      <c r="K58" s="17">
        <f>(('Выборка 1'!AN58-'Выборка 1'!AM58)+('Выборка 1'!AO58-'Выборка 1'!AN58)+('Выборка 1'!AP58-'Выборка 1'!AO58)+('Выборка 1'!AQ58-'Выборка 1'!AP58))/4000</f>
        <v>-121504.75</v>
      </c>
      <c r="L58" s="44">
        <f>((('Выборка 1'!AS58+'Выборка 1'!AX58)-('Выборка 1'!AR58+'Выборка 1'!AW58))+(('Выборка 1'!AT58+'Выборка 1'!AY58)-('Выборка 1'!AS58+'Выборка 1'!AX58))+(('Выборка 1'!AU58+'Выборка 1'!AZ58)-('Выборка 1'!AT58+'Выборка 1'!AY58))+(('Выборка 1'!AV58+'Выборка 1'!BA58)-('Выборка 1'!AU58+'Выборка 1'!AZ58)))/4000</f>
        <v>-121762.5</v>
      </c>
      <c r="M58" s="44">
        <f>(('Выборка 1'!BC58-'Выборка 1'!BB58)+('Выборка 1'!BD58-'Выборка 1'!BC58)+('Выборка 1'!BE58-'Выборка 1'!BD58)+('Выборка 1'!BF58-'Выборка 1'!BE58))/4000</f>
        <v>-836.25</v>
      </c>
      <c r="N58" s="44">
        <f t="shared" si="0"/>
        <v>1094</v>
      </c>
      <c r="O58" s="17">
        <f>((('Выборка 1'!BH58-'Выборка 1'!BM58)-('Выборка 1'!BG58-'Выборка 1'!BL58))+(('Выборка 1'!BI58-'Выборка 1'!BN58)-('Выборка 1'!BH58-'Выборка 1'!BM58))+(('Выборка 1'!BJ58-'Выборка 1'!BO58)-('Выборка 1'!BI58-'Выборка 1'!BN58))+(('Выборка 1'!BK58-'Выборка 1'!BP58)-('Выборка 1'!BJ58-'Выборка 1'!BO58)))/4000</f>
        <v>1350.25</v>
      </c>
      <c r="P58" s="17">
        <f>(('Выборка 1'!BR58-'Выборка 1'!BQ58)+('Выборка 1'!BS58-'Выборка 1'!BR58)+('Выборка 1'!BT58-'Выборка 1'!BS58)+('Выборка 1'!BU58-'Выборка 1'!BT58))/4000</f>
        <v>2229.5</v>
      </c>
    </row>
    <row r="59" spans="2:16" x14ac:dyDescent="0.25">
      <c r="B59" s="42">
        <f>('Выборка 1'!AL59+'Выборка 1'!AG59)/1000</f>
        <v>0</v>
      </c>
      <c r="C59" s="17">
        <v>13</v>
      </c>
      <c r="D59" s="17">
        <f>(('Выборка 1'!E59-'Выборка 1'!D59)+('Выборка 1'!F59-'Выборка 1'!E59)+('Выборка 1'!G59-'Выборка 1'!F59)+('Выборка 1'!H59-'Выборка 1'!G59))/4000</f>
        <v>0</v>
      </c>
      <c r="E59" s="44">
        <f>(('Выборка 1'!J59-'Выборка 1'!I59)+('Выборка 1'!K59-'Выборка 1'!J59)+('Выборка 1'!L59-'Выборка 1'!K59)+('Выборка 1'!M59-'Выборка 1'!L59))/4000</f>
        <v>0</v>
      </c>
      <c r="F59" s="17">
        <f>(('Выборка 1'!O59-'Выборка 1'!N59)+('Выборка 1'!P59-'Выборка 1'!O59)+('Выборка 1'!Q59-'Выборка 1'!P59)+('Выборка 1'!R59-'Выборка 1'!Q59))/4000</f>
        <v>0</v>
      </c>
      <c r="G59" s="44">
        <f>(('Выборка 1'!T59-'Выборка 1'!S59)+('Выборка 1'!U59-'Выборка 1'!T59)+('Выборка 1'!V59-'Выборка 1'!U59)+('Выборка 1'!W59-'Выборка 1'!V59))/4000</f>
        <v>0</v>
      </c>
      <c r="H59" s="44">
        <f>(('Выборка 1'!Y59-'Выборка 1'!X59)+('Выборка 1'!Z59+'Выборка 1'!Y59)+('Выборка 1'!AA59-'Выборка 1'!Z59)+('Выборка 1'!AB59-'Выборка 1'!AA59))/4000</f>
        <v>0</v>
      </c>
      <c r="I59" s="44">
        <f>(('Выборка 1'!AD59-'Выборка 1'!AC59)+('Выборка 1'!AE59-'Выборка 1'!AD59)+('Выборка 1'!AF59-'Выборка 1'!AE59)+('Выборка 1'!AG59-'Выборка 1'!AF59))/4000</f>
        <v>0</v>
      </c>
      <c r="J59" s="44">
        <f>(('Выборка 1'!AI59-'Выборка 1'!AH59)+('Выборка 1'!AJ59-'Выборка 1'!AI59)+('Выборка 1'!AK59-'Выборка 1'!AJ59)+('Выборка 1'!AL59-'Выборка 1'!AK59))/4000</f>
        <v>0</v>
      </c>
      <c r="K59" s="17">
        <f>(('Выборка 1'!AN59-'Выборка 1'!AM59)+('Выборка 1'!AO59-'Выборка 1'!AN59)+('Выборка 1'!AP59-'Выборка 1'!AO59)+('Выборка 1'!AQ59-'Выборка 1'!AP59))/4000</f>
        <v>0</v>
      </c>
      <c r="L59" s="44">
        <f>((('Выборка 1'!AS59+'Выборка 1'!AX59)-('Выборка 1'!AR59+'Выборка 1'!AW59))+(('Выборка 1'!AT59+'Выборка 1'!AY59)-('Выборка 1'!AS59+'Выборка 1'!AX59))+(('Выборка 1'!AU59+'Выборка 1'!AZ59)-('Выборка 1'!AT59+'Выборка 1'!AY59))+(('Выборка 1'!AV59+'Выборка 1'!BA59)-('Выборка 1'!AU59+'Выборка 1'!AZ59)))/4000</f>
        <v>0</v>
      </c>
      <c r="M59" s="44">
        <f>(('Выборка 1'!BC59-'Выборка 1'!BB59)+('Выборка 1'!BD59-'Выборка 1'!BC59)+('Выборка 1'!BE59-'Выборка 1'!BD59)+('Выборка 1'!BF59-'Выборка 1'!BE59))/4000</f>
        <v>0</v>
      </c>
      <c r="N59" s="44">
        <f t="shared" si="0"/>
        <v>0</v>
      </c>
      <c r="O59" s="17">
        <f>((('Выборка 1'!BH59-'Выборка 1'!BM59)-('Выборка 1'!BG59-'Выборка 1'!BL59))+(('Выборка 1'!BI59-'Выборка 1'!BN59)-('Выборка 1'!BH59-'Выборка 1'!BM59))+(('Выборка 1'!BJ59-'Выборка 1'!BO59)-('Выборка 1'!BI59-'Выборка 1'!BN59))+(('Выборка 1'!BK59-'Выборка 1'!BP59)-('Выборка 1'!BJ59-'Выборка 1'!BO59)))/4000</f>
        <v>0</v>
      </c>
      <c r="P59" s="17">
        <f>(('Выборка 1'!BR59-'Выборка 1'!BQ59)+('Выборка 1'!BS59-'Выборка 1'!BR59)+('Выборка 1'!BT59-'Выборка 1'!BS59)+('Выборка 1'!BU59-'Выборка 1'!BT59))/4000</f>
        <v>0</v>
      </c>
    </row>
    <row r="60" spans="2:16" x14ac:dyDescent="0.25">
      <c r="B60" s="42">
        <f>('Выборка 1'!AL60+'Выборка 1'!AG60)/1000</f>
        <v>0</v>
      </c>
      <c r="C60" s="17">
        <v>14</v>
      </c>
      <c r="D60" s="17">
        <f>(('Выборка 1'!E60-'Выборка 1'!D60)+('Выборка 1'!F60-'Выборка 1'!E60)+('Выборка 1'!G60-'Выборка 1'!F60)+('Выборка 1'!H60-'Выборка 1'!G60))/4000</f>
        <v>0</v>
      </c>
      <c r="E60" s="44">
        <f>(('Выборка 1'!J60-'Выборка 1'!I60)+('Выборка 1'!K60-'Выборка 1'!J60)+('Выборка 1'!L60-'Выборка 1'!K60)+('Выборка 1'!M60-'Выборка 1'!L60))/4000</f>
        <v>-9907.5</v>
      </c>
      <c r="F60" s="17">
        <f>(('Выборка 1'!O60-'Выборка 1'!N60)+('Выборка 1'!P60-'Выборка 1'!O60)+('Выборка 1'!Q60-'Выборка 1'!P60)+('Выборка 1'!R60-'Выборка 1'!Q60))/4000</f>
        <v>-5134</v>
      </c>
      <c r="G60" s="44">
        <f>(('Выборка 1'!T60-'Выборка 1'!S60)+('Выборка 1'!U60-'Выборка 1'!T60)+('Выборка 1'!V60-'Выборка 1'!U60)+('Выборка 1'!W60-'Выборка 1'!V60))/4000</f>
        <v>-627.75</v>
      </c>
      <c r="H60" s="44">
        <f>(('Выборка 1'!Y60-'Выборка 1'!X60)+('Выборка 1'!Z60+'Выборка 1'!Y60)+('Выборка 1'!AA60-'Выборка 1'!Z60)+('Выборка 1'!AB60-'Выборка 1'!AA60))/4000</f>
        <v>1435.25</v>
      </c>
      <c r="I60" s="44">
        <f>(('Выборка 1'!AD60-'Выборка 1'!AC60)+('Выборка 1'!AE60-'Выборка 1'!AD60)+('Выборка 1'!AF60-'Выборка 1'!AE60)+('Выборка 1'!AG60-'Выборка 1'!AF60))/4000</f>
        <v>-1691</v>
      </c>
      <c r="J60" s="44">
        <f>(('Выборка 1'!AI60-'Выборка 1'!AH60)+('Выборка 1'!AJ60-'Выборка 1'!AI60)+('Выборка 1'!AK60-'Выборка 1'!AJ60)+('Выборка 1'!AL60-'Выборка 1'!AK60))/4000</f>
        <v>-13803</v>
      </c>
      <c r="K60" s="17">
        <f>(('Выборка 1'!AN60-'Выборка 1'!AM60)+('Выборка 1'!AO60-'Выборка 1'!AN60)+('Выборка 1'!AP60-'Выборка 1'!AO60)+('Выборка 1'!AQ60-'Выборка 1'!AP60))/4000</f>
        <v>-27529.25</v>
      </c>
      <c r="L60" s="44">
        <f>((('Выборка 1'!AS60+'Выборка 1'!AX60)-('Выборка 1'!AR60+'Выборка 1'!AW60))+(('Выборка 1'!AT60+'Выборка 1'!AY60)-('Выборка 1'!AS60+'Выборка 1'!AX60))+(('Выборка 1'!AU60+'Выборка 1'!AZ60)-('Выборка 1'!AT60+'Выборка 1'!AY60))+(('Выборка 1'!AV60+'Выборка 1'!BA60)-('Выборка 1'!AU60+'Выборка 1'!AZ60)))/4000</f>
        <v>-27023.25</v>
      </c>
      <c r="M60" s="44">
        <f>(('Выборка 1'!BC60-'Выборка 1'!BB60)+('Выборка 1'!BD60-'Выборка 1'!BC60)+('Выборка 1'!BE60-'Выборка 1'!BD60)+('Выборка 1'!BF60-'Выборка 1'!BE60))/4000</f>
        <v>0</v>
      </c>
      <c r="N60" s="44">
        <f t="shared" si="0"/>
        <v>-506</v>
      </c>
      <c r="O60" s="17">
        <f>((('Выборка 1'!BH60-'Выборка 1'!BM60)-('Выборка 1'!BG60-'Выборка 1'!BL60))+(('Выборка 1'!BI60-'Выборка 1'!BN60)-('Выборка 1'!BH60-'Выборка 1'!BM60))+(('Выборка 1'!BJ60-'Выборка 1'!BO60)-('Выборка 1'!BI60-'Выборка 1'!BN60))+(('Выборка 1'!BK60-'Выборка 1'!BP60)-('Выборка 1'!BJ60-'Выборка 1'!BO60)))/4000</f>
        <v>33</v>
      </c>
      <c r="P60" s="17">
        <f>(('Выборка 1'!BR60-'Выборка 1'!BQ60)+('Выборка 1'!BS60-'Выборка 1'!BR60)+('Выборка 1'!BT60-'Выборка 1'!BS60)+('Выборка 1'!BU60-'Выборка 1'!BT60))/4000</f>
        <v>-378.25</v>
      </c>
    </row>
    <row r="61" spans="2:16" x14ac:dyDescent="0.25">
      <c r="B61" s="42">
        <f>('Выборка 1'!AL61+'Выборка 1'!AG61)/1000</f>
        <v>27551</v>
      </c>
      <c r="C61" s="17">
        <v>7</v>
      </c>
      <c r="D61" s="17">
        <f>(('Выборка 1'!E61-'Выборка 1'!D61)+('Выборка 1'!F61-'Выборка 1'!E61)+('Выборка 1'!G61-'Выборка 1'!F61)+('Выборка 1'!H61-'Выборка 1'!G61))/4000</f>
        <v>0</v>
      </c>
      <c r="E61" s="44">
        <f>(('Выборка 1'!J61-'Выборка 1'!I61)+('Выборка 1'!K61-'Выборка 1'!J61)+('Выборка 1'!L61-'Выборка 1'!K61)+('Выборка 1'!M61-'Выборка 1'!L61))/4000</f>
        <v>0</v>
      </c>
      <c r="F61" s="17">
        <f>(('Выборка 1'!O61-'Выборка 1'!N61)+('Выборка 1'!P61-'Выборка 1'!O61)+('Выборка 1'!Q61-'Выборка 1'!P61)+('Выборка 1'!R61-'Выборка 1'!Q61))/4000</f>
        <v>-15686.5</v>
      </c>
      <c r="G61" s="44">
        <f>(('Выборка 1'!T61-'Выборка 1'!S61)+('Выборка 1'!U61-'Выборка 1'!T61)+('Выборка 1'!V61-'Выборка 1'!U61)+('Выборка 1'!W61-'Выборка 1'!V61))/4000</f>
        <v>-33.75</v>
      </c>
      <c r="H61" s="44">
        <f>(('Выборка 1'!Y61-'Выборка 1'!X61)+('Выборка 1'!Z61+'Выборка 1'!Y61)+('Выборка 1'!AA61-'Выборка 1'!Z61)+('Выборка 1'!AB61-'Выборка 1'!AA61))/4000</f>
        <v>-6603</v>
      </c>
      <c r="I61" s="44">
        <f>(('Выборка 1'!AD61-'Выборка 1'!AC61)+('Выборка 1'!AE61-'Выборка 1'!AD61)+('Выборка 1'!AF61-'Выборка 1'!AE61)+('Выборка 1'!AG61-'Выборка 1'!AF61))/4000</f>
        <v>-1250</v>
      </c>
      <c r="J61" s="44">
        <f>(('Выборка 1'!AI61-'Выборка 1'!AH61)+('Выборка 1'!AJ61-'Выборка 1'!AI61)+('Выборка 1'!AK61-'Выборка 1'!AJ61)+('Выборка 1'!AL61-'Выборка 1'!AK61))/4000</f>
        <v>-7774.25</v>
      </c>
      <c r="K61" s="17">
        <f>(('Выборка 1'!AN61-'Выборка 1'!AM61)+('Выборка 1'!AO61-'Выборка 1'!AN61)+('Выборка 1'!AP61-'Выборка 1'!AO61)+('Выборка 1'!AQ61-'Выборка 1'!AP61))/4000</f>
        <v>-350</v>
      </c>
      <c r="L61" s="44">
        <f>((('Выборка 1'!AS61+'Выборка 1'!AX61)-('Выборка 1'!AR61+'Выборка 1'!AW61))+(('Выборка 1'!AT61+'Выборка 1'!AY61)-('Выборка 1'!AS61+'Выборка 1'!AX61))+(('Выборка 1'!AU61+'Выборка 1'!AZ61)-('Выборка 1'!AT61+'Выборка 1'!AY61))+(('Выборка 1'!AV61+'Выборка 1'!BA61)-('Выборка 1'!AU61+'Выборка 1'!AZ61)))/4000</f>
        <v>-326</v>
      </c>
      <c r="M61" s="44">
        <f>(('Выборка 1'!BC61-'Выборка 1'!BB61)+('Выборка 1'!BD61-'Выборка 1'!BC61)+('Выборка 1'!BE61-'Выборка 1'!BD61)+('Выборка 1'!BF61-'Выборка 1'!BE61))/4000</f>
        <v>0</v>
      </c>
      <c r="N61" s="44">
        <f t="shared" si="0"/>
        <v>-24</v>
      </c>
      <c r="O61" s="17">
        <f>((('Выборка 1'!BH61-'Выборка 1'!BM61)-('Выборка 1'!BG61-'Выборка 1'!BL61))+(('Выборка 1'!BI61-'Выборка 1'!BN61)-('Выборка 1'!BH61-'Выборка 1'!BM61))+(('Выборка 1'!BJ61-'Выборка 1'!BO61)-('Выборка 1'!BI61-'Выборка 1'!BN61))+(('Выборка 1'!BK61-'Выборка 1'!BP61)-('Выборка 1'!BJ61-'Выборка 1'!BO61)))/4000</f>
        <v>-122.5</v>
      </c>
      <c r="P61" s="17">
        <f>(('Выборка 1'!BR61-'Выборка 1'!BQ61)+('Выборка 1'!BS61-'Выборка 1'!BR61)+('Выборка 1'!BT61-'Выборка 1'!BS61)+('Выборка 1'!BU61-'Выборка 1'!BT61))/4000</f>
        <v>-141.75</v>
      </c>
    </row>
    <row r="62" spans="2:16" x14ac:dyDescent="0.25">
      <c r="B62" s="42">
        <f>('Выборка 1'!AL62+'Выборка 1'!AG62)/1000</f>
        <v>0</v>
      </c>
      <c r="C62" s="17">
        <v>19</v>
      </c>
      <c r="D62" s="17">
        <f>(('Выборка 1'!E62-'Выборка 1'!D62)+('Выборка 1'!F62-'Выборка 1'!E62)+('Выборка 1'!G62-'Выборка 1'!F62)+('Выборка 1'!H62-'Выборка 1'!G62))/4000</f>
        <v>0</v>
      </c>
      <c r="E62" s="44">
        <f>(('Выборка 1'!J62-'Выборка 1'!I62)+('Выборка 1'!K62-'Выборка 1'!J62)+('Выборка 1'!L62-'Выборка 1'!K62)+('Выборка 1'!M62-'Выборка 1'!L62))/4000</f>
        <v>0</v>
      </c>
      <c r="F62" s="17">
        <f>(('Выборка 1'!O62-'Выборка 1'!N62)+('Выборка 1'!P62-'Выборка 1'!O62)+('Выборка 1'!Q62-'Выборка 1'!P62)+('Выборка 1'!R62-'Выборка 1'!Q62))/4000</f>
        <v>0</v>
      </c>
      <c r="G62" s="44">
        <f>(('Выборка 1'!T62-'Выборка 1'!S62)+('Выборка 1'!U62-'Выборка 1'!T62)+('Выборка 1'!V62-'Выборка 1'!U62)+('Выборка 1'!W62-'Выборка 1'!V62))/4000</f>
        <v>0</v>
      </c>
      <c r="H62" s="44">
        <f>(('Выборка 1'!Y62-'Выборка 1'!X62)+('Выборка 1'!Z62+'Выборка 1'!Y62)+('Выборка 1'!AA62-'Выборка 1'!Z62)+('Выборка 1'!AB62-'Выборка 1'!AA62))/4000</f>
        <v>0</v>
      </c>
      <c r="I62" s="44">
        <f>(('Выборка 1'!AD62-'Выборка 1'!AC62)+('Выборка 1'!AE62-'Выборка 1'!AD62)+('Выборка 1'!AF62-'Выборка 1'!AE62)+('Выборка 1'!AG62-'Выборка 1'!AF62))/4000</f>
        <v>0</v>
      </c>
      <c r="J62" s="44">
        <f>(('Выборка 1'!AI62-'Выборка 1'!AH62)+('Выборка 1'!AJ62-'Выборка 1'!AI62)+('Выборка 1'!AK62-'Выборка 1'!AJ62)+('Выборка 1'!AL62-'Выборка 1'!AK62))/4000</f>
        <v>0</v>
      </c>
      <c r="K62" s="17">
        <f>(('Выборка 1'!AN62-'Выборка 1'!AM62)+('Выборка 1'!AO62-'Выборка 1'!AN62)+('Выборка 1'!AP62-'Выборка 1'!AO62)+('Выборка 1'!AQ62-'Выборка 1'!AP62))/4000</f>
        <v>0</v>
      </c>
      <c r="L62" s="44">
        <f>((('Выборка 1'!AS62+'Выборка 1'!AX62)-('Выборка 1'!AR62+'Выборка 1'!AW62))+(('Выборка 1'!AT62+'Выборка 1'!AY62)-('Выборка 1'!AS62+'Выборка 1'!AX62))+(('Выборка 1'!AU62+'Выборка 1'!AZ62)-('Выборка 1'!AT62+'Выборка 1'!AY62))+(('Выборка 1'!AV62+'Выборка 1'!BA62)-('Выборка 1'!AU62+'Выборка 1'!AZ62)))/4000</f>
        <v>0</v>
      </c>
      <c r="M62" s="44">
        <f>(('Выборка 1'!BC62-'Выборка 1'!BB62)+('Выборка 1'!BD62-'Выборка 1'!BC62)+('Выборка 1'!BE62-'Выборка 1'!BD62)+('Выборка 1'!BF62-'Выборка 1'!BE62))/4000</f>
        <v>0</v>
      </c>
      <c r="N62" s="44">
        <f t="shared" si="0"/>
        <v>0</v>
      </c>
      <c r="O62" s="17">
        <f>((('Выборка 1'!BH62-'Выборка 1'!BM62)-('Выборка 1'!BG62-'Выборка 1'!BL62))+(('Выборка 1'!BI62-'Выборка 1'!BN62)-('Выборка 1'!BH62-'Выборка 1'!BM62))+(('Выборка 1'!BJ62-'Выборка 1'!BO62)-('Выборка 1'!BI62-'Выборка 1'!BN62))+(('Выборка 1'!BK62-'Выборка 1'!BP62)-('Выборка 1'!BJ62-'Выборка 1'!BO62)))/4000</f>
        <v>0</v>
      </c>
      <c r="P62" s="17">
        <f>(('Выборка 1'!BR62-'Выборка 1'!BQ62)+('Выборка 1'!BS62-'Выборка 1'!BR62)+('Выборка 1'!BT62-'Выборка 1'!BS62)+('Выборка 1'!BU62-'Выборка 1'!BT62))/4000</f>
        <v>0</v>
      </c>
    </row>
    <row r="63" spans="2:16" x14ac:dyDescent="0.25">
      <c r="B63" s="42">
        <f>('Выборка 1'!AL63+'Выборка 1'!AG63)/1000</f>
        <v>0</v>
      </c>
      <c r="C63" s="17">
        <v>9</v>
      </c>
      <c r="D63" s="17">
        <f>(('Выборка 1'!E63-'Выборка 1'!D63)+('Выборка 1'!F63-'Выборка 1'!E63)+('Выборка 1'!G63-'Выборка 1'!F63)+('Выборка 1'!H63-'Выборка 1'!G63))/4000</f>
        <v>-4585.5</v>
      </c>
      <c r="E63" s="44">
        <f>(('Выборка 1'!J63-'Выборка 1'!I63)+('Выборка 1'!K63-'Выборка 1'!J63)+('Выборка 1'!L63-'Выборка 1'!K63)+('Выборка 1'!M63-'Выборка 1'!L63))/4000</f>
        <v>-2056</v>
      </c>
      <c r="F63" s="17">
        <f>(('Выборка 1'!O63-'Выборка 1'!N63)+('Выборка 1'!P63-'Выборка 1'!O63)+('Выборка 1'!Q63-'Выборка 1'!P63)+('Выборка 1'!R63-'Выборка 1'!Q63))/4000</f>
        <v>-15814.25</v>
      </c>
      <c r="G63" s="44">
        <f>(('Выборка 1'!T63-'Выборка 1'!S63)+('Выборка 1'!U63-'Выборка 1'!T63)+('Выборка 1'!V63-'Выборка 1'!U63)+('Выборка 1'!W63-'Выборка 1'!V63))/4000</f>
        <v>-14.25</v>
      </c>
      <c r="H63" s="44">
        <f>(('Выборка 1'!Y63-'Выборка 1'!X63)+('Выборка 1'!Z63+'Выборка 1'!Y63)+('Выборка 1'!AA63-'Выборка 1'!Z63)+('Выборка 1'!AB63-'Выборка 1'!AA63))/4000</f>
        <v>-11086</v>
      </c>
      <c r="I63" s="44">
        <f>(('Выборка 1'!AD63-'Выборка 1'!AC63)+('Выборка 1'!AE63-'Выборка 1'!AD63)+('Выборка 1'!AF63-'Выборка 1'!AE63)+('Выборка 1'!AG63-'Выборка 1'!AF63))/4000</f>
        <v>-1181.75</v>
      </c>
      <c r="J63" s="44">
        <f>(('Выборка 1'!AI63-'Выборка 1'!AH63)+('Выборка 1'!AJ63-'Выборка 1'!AI63)+('Выборка 1'!AK63-'Выборка 1'!AJ63)+('Выборка 1'!AL63-'Выборка 1'!AK63))/4000</f>
        <v>-29669.75</v>
      </c>
      <c r="K63" s="17">
        <f>(('Выборка 1'!AN63-'Выборка 1'!AM63)+('Выборка 1'!AO63-'Выборка 1'!AN63)+('Выборка 1'!AP63-'Выборка 1'!AO63)+('Выборка 1'!AQ63-'Выборка 1'!AP63))/4000</f>
        <v>-25888.75</v>
      </c>
      <c r="L63" s="44">
        <f>((('Выборка 1'!AS63+'Выборка 1'!AX63)-('Выборка 1'!AR63+'Выборка 1'!AW63))+(('Выборка 1'!AT63+'Выборка 1'!AY63)-('Выборка 1'!AS63+'Выборка 1'!AX63))+(('Выборка 1'!AU63+'Выборка 1'!AZ63)-('Выборка 1'!AT63+'Выборка 1'!AY63))+(('Выборка 1'!AV63+'Выборка 1'!BA63)-('Выборка 1'!AU63+'Выборка 1'!AZ63)))/4000</f>
        <v>-25684.75</v>
      </c>
      <c r="M63" s="44">
        <f>(('Выборка 1'!BC63-'Выборка 1'!BB63)+('Выборка 1'!BD63-'Выборка 1'!BC63)+('Выборка 1'!BE63-'Выборка 1'!BD63)+('Выборка 1'!BF63-'Выборка 1'!BE63))/4000</f>
        <v>-5241</v>
      </c>
      <c r="N63" s="44">
        <f t="shared" si="0"/>
        <v>5037</v>
      </c>
      <c r="O63" s="17">
        <f>((('Выборка 1'!BH63-'Выборка 1'!BM63)-('Выборка 1'!BG63-'Выборка 1'!BL63))+(('Выборка 1'!BI63-'Выборка 1'!BN63)-('Выборка 1'!BH63-'Выборка 1'!BM63))+(('Выборка 1'!BJ63-'Выборка 1'!BO63)-('Выборка 1'!BI63-'Выборка 1'!BN63))+(('Выборка 1'!BK63-'Выборка 1'!BP63)-('Выборка 1'!BJ63-'Выборка 1'!BO63)))/4000</f>
        <v>-3067</v>
      </c>
      <c r="P63" s="17">
        <f>(('Выборка 1'!BR63-'Выборка 1'!BQ63)+('Выборка 1'!BS63-'Выборка 1'!BR63)+('Выборка 1'!BT63-'Выборка 1'!BS63)+('Выборка 1'!BU63-'Выборка 1'!BT63))/4000</f>
        <v>1797.25</v>
      </c>
    </row>
    <row r="64" spans="2:16" x14ac:dyDescent="0.25">
      <c r="B64" s="42">
        <f>('Выборка 1'!AL64+'Выборка 1'!AG64)/1000</f>
        <v>0</v>
      </c>
      <c r="C64" s="17">
        <v>15</v>
      </c>
      <c r="D64" s="17">
        <f>(('Выборка 1'!E64-'Выборка 1'!D64)+('Выборка 1'!F64-'Выборка 1'!E64)+('Выборка 1'!G64-'Выборка 1'!F64)+('Выборка 1'!H64-'Выборка 1'!G64))/4000</f>
        <v>0</v>
      </c>
      <c r="E64" s="44">
        <f>(('Выборка 1'!J64-'Выборка 1'!I64)+('Выборка 1'!K64-'Выборка 1'!J64)+('Выборка 1'!L64-'Выборка 1'!K64)+('Выборка 1'!M64-'Выборка 1'!L64))/4000</f>
        <v>0</v>
      </c>
      <c r="F64" s="17">
        <f>(('Выборка 1'!O64-'Выборка 1'!N64)+('Выборка 1'!P64-'Выборка 1'!O64)+('Выборка 1'!Q64-'Выборка 1'!P64)+('Выборка 1'!R64-'Выборка 1'!Q64))/4000</f>
        <v>0</v>
      </c>
      <c r="G64" s="44">
        <f>(('Выборка 1'!T64-'Выборка 1'!S64)+('Выборка 1'!U64-'Выборка 1'!T64)+('Выборка 1'!V64-'Выборка 1'!U64)+('Выборка 1'!W64-'Выборка 1'!V64))/4000</f>
        <v>0</v>
      </c>
      <c r="H64" s="44">
        <f>(('Выборка 1'!Y64-'Выборка 1'!X64)+('Выборка 1'!Z64+'Выборка 1'!Y64)+('Выборка 1'!AA64-'Выборка 1'!Z64)+('Выборка 1'!AB64-'Выборка 1'!AA64))/4000</f>
        <v>0</v>
      </c>
      <c r="I64" s="44">
        <f>(('Выборка 1'!AD64-'Выборка 1'!AC64)+('Выборка 1'!AE64-'Выборка 1'!AD64)+('Выборка 1'!AF64-'Выборка 1'!AE64)+('Выборка 1'!AG64-'Выборка 1'!AF64))/4000</f>
        <v>0</v>
      </c>
      <c r="J64" s="44">
        <f>(('Выборка 1'!AI64-'Выборка 1'!AH64)+('Выборка 1'!AJ64-'Выборка 1'!AI64)+('Выборка 1'!AK64-'Выборка 1'!AJ64)+('Выборка 1'!AL64-'Выборка 1'!AK64))/4000</f>
        <v>0</v>
      </c>
      <c r="K64" s="17">
        <f>(('Выборка 1'!AN64-'Выборка 1'!AM64)+('Выборка 1'!AO64-'Выборка 1'!AN64)+('Выборка 1'!AP64-'Выборка 1'!AO64)+('Выборка 1'!AQ64-'Выборка 1'!AP64))/4000</f>
        <v>0</v>
      </c>
      <c r="L64" s="44">
        <f>((('Выборка 1'!AS64+'Выборка 1'!AX64)-('Выборка 1'!AR64+'Выборка 1'!AW64))+(('Выборка 1'!AT64+'Выборка 1'!AY64)-('Выборка 1'!AS64+'Выборка 1'!AX64))+(('Выборка 1'!AU64+'Выборка 1'!AZ64)-('Выборка 1'!AT64+'Выборка 1'!AY64))+(('Выборка 1'!AV64+'Выборка 1'!BA64)-('Выборка 1'!AU64+'Выборка 1'!AZ64)))/4000</f>
        <v>0</v>
      </c>
      <c r="M64" s="44">
        <f>(('Выборка 1'!BC64-'Выборка 1'!BB64)+('Выборка 1'!BD64-'Выборка 1'!BC64)+('Выборка 1'!BE64-'Выборка 1'!BD64)+('Выборка 1'!BF64-'Выборка 1'!BE64))/4000</f>
        <v>0</v>
      </c>
      <c r="N64" s="44">
        <f t="shared" si="0"/>
        <v>0</v>
      </c>
      <c r="O64" s="17">
        <f>((('Выборка 1'!BH64-'Выборка 1'!BM64)-('Выборка 1'!BG64-'Выборка 1'!BL64))+(('Выборка 1'!BI64-'Выборка 1'!BN64)-('Выборка 1'!BH64-'Выборка 1'!BM64))+(('Выборка 1'!BJ64-'Выборка 1'!BO64)-('Выборка 1'!BI64-'Выборка 1'!BN64))+(('Выборка 1'!BK64-'Выборка 1'!BP64)-('Выборка 1'!BJ64-'Выборка 1'!BO64)))/4000</f>
        <v>0</v>
      </c>
      <c r="P64" s="17">
        <f>(('Выборка 1'!BR64-'Выборка 1'!BQ64)+('Выборка 1'!BS64-'Выборка 1'!BR64)+('Выборка 1'!BT64-'Выборка 1'!BS64)+('Выборка 1'!BU64-'Выборка 1'!BT64))/4000</f>
        <v>0</v>
      </c>
    </row>
    <row r="65" spans="2:16" x14ac:dyDescent="0.25">
      <c r="B65" s="42">
        <f>('Выборка 1'!AL65+'Выборка 1'!AG65)/1000</f>
        <v>346623</v>
      </c>
      <c r="C65" s="17">
        <v>17</v>
      </c>
      <c r="D65" s="17">
        <f>(('Выборка 1'!E65-'Выборка 1'!D65)+('Выборка 1'!F65-'Выборка 1'!E65)+('Выборка 1'!G65-'Выборка 1'!F65)+('Выборка 1'!H65-'Выборка 1'!G65))/4000</f>
        <v>0</v>
      </c>
      <c r="E65" s="44">
        <f>(('Выборка 1'!J65-'Выборка 1'!I65)+('Выборка 1'!K65-'Выборка 1'!J65)+('Выборка 1'!L65-'Выборка 1'!K65)+('Выборка 1'!M65-'Выборка 1'!L65))/4000</f>
        <v>0</v>
      </c>
      <c r="F65" s="17">
        <f>(('Выборка 1'!O65-'Выборка 1'!N65)+('Выборка 1'!P65-'Выборка 1'!O65)+('Выборка 1'!Q65-'Выборка 1'!P65)+('Выборка 1'!R65-'Выборка 1'!Q65))/4000</f>
        <v>-1065.25</v>
      </c>
      <c r="G65" s="44">
        <f>(('Выборка 1'!T65-'Выборка 1'!S65)+('Выборка 1'!U65-'Выборка 1'!T65)+('Выборка 1'!V65-'Выборка 1'!U65)+('Выборка 1'!W65-'Выборка 1'!V65))/4000</f>
        <v>0</v>
      </c>
      <c r="H65" s="44">
        <f>(('Выборка 1'!Y65-'Выборка 1'!X65)+('Выборка 1'!Z65+'Выборка 1'!Y65)+('Выборка 1'!AA65-'Выборка 1'!Z65)+('Выборка 1'!AB65-'Выборка 1'!AA65))/4000</f>
        <v>-264953.25</v>
      </c>
      <c r="I65" s="44">
        <f>(('Выборка 1'!AD65-'Выборка 1'!AC65)+('Выборка 1'!AE65-'Выборка 1'!AD65)+('Выборка 1'!AF65-'Выборка 1'!AE65)+('Выборка 1'!AG65-'Выборка 1'!AF65))/4000</f>
        <v>0</v>
      </c>
      <c r="J65" s="44">
        <f>(('Выборка 1'!AI65-'Выборка 1'!AH65)+('Выборка 1'!AJ65-'Выборка 1'!AI65)+('Выборка 1'!AK65-'Выборка 1'!AJ65)+('Выборка 1'!AL65-'Выборка 1'!AK65))/4000</f>
        <v>0</v>
      </c>
      <c r="K65" s="17">
        <f>(('Выборка 1'!AN65-'Выборка 1'!AM65)+('Выборка 1'!AO65-'Выборка 1'!AN65)+('Выборка 1'!AP65-'Выборка 1'!AO65)+('Выборка 1'!AQ65-'Выборка 1'!AP65))/4000</f>
        <v>-17.25</v>
      </c>
      <c r="L65" s="44">
        <f>((('Выборка 1'!AS65+'Выборка 1'!AX65)-('Выборка 1'!AR65+'Выборка 1'!AW65))+(('Выборка 1'!AT65+'Выборка 1'!AY65)-('Выборка 1'!AS65+'Выборка 1'!AX65))+(('Выборка 1'!AU65+'Выборка 1'!AZ65)-('Выборка 1'!AT65+'Выборка 1'!AY65))+(('Выборка 1'!AV65+'Выборка 1'!BA65)-('Выборка 1'!AU65+'Выборка 1'!AZ65)))/4000</f>
        <v>0</v>
      </c>
      <c r="M65" s="44">
        <f>(('Выборка 1'!BC65-'Выборка 1'!BB65)+('Выборка 1'!BD65-'Выборка 1'!BC65)+('Выборка 1'!BE65-'Выборка 1'!BD65)+('Выборка 1'!BF65-'Выборка 1'!BE65))/4000</f>
        <v>0</v>
      </c>
      <c r="N65" s="44">
        <f t="shared" si="0"/>
        <v>-17.25</v>
      </c>
      <c r="O65" s="17">
        <f>((('Выборка 1'!BH65-'Выборка 1'!BM65)-('Выборка 1'!BG65-'Выборка 1'!BL65))+(('Выборка 1'!BI65-'Выборка 1'!BN65)-('Выборка 1'!BH65-'Выборка 1'!BM65))+(('Выборка 1'!BJ65-'Выборка 1'!BO65)-('Выборка 1'!BI65-'Выборка 1'!BN65))+(('Выборка 1'!BK65-'Выборка 1'!BP65)-('Выборка 1'!BJ65-'Выборка 1'!BO65)))/4000</f>
        <v>17.25</v>
      </c>
      <c r="P65" s="17">
        <f>(('Выборка 1'!BR65-'Выборка 1'!BQ65)+('Выборка 1'!BS65-'Выборка 1'!BR65)+('Выборка 1'!BT65-'Выборка 1'!BS65)+('Выборка 1'!BU65-'Выборка 1'!BT65))/4000</f>
        <v>0</v>
      </c>
    </row>
    <row r="66" spans="2:16" x14ac:dyDescent="0.25">
      <c r="B66" s="42">
        <f>('Выборка 1'!AL66+'Выборка 1'!AG66)/1000</f>
        <v>0</v>
      </c>
      <c r="C66" s="17">
        <v>6</v>
      </c>
      <c r="D66" s="17">
        <f>(('Выборка 1'!E66-'Выборка 1'!D66)+('Выборка 1'!F66-'Выборка 1'!E66)+('Выборка 1'!G66-'Выборка 1'!F66)+('Выборка 1'!H66-'Выборка 1'!G66))/4000</f>
        <v>0</v>
      </c>
      <c r="E66" s="44">
        <f>(('Выборка 1'!J66-'Выборка 1'!I66)+('Выборка 1'!K66-'Выборка 1'!J66)+('Выборка 1'!L66-'Выборка 1'!K66)+('Выборка 1'!M66-'Выборка 1'!L66))/4000</f>
        <v>-38</v>
      </c>
      <c r="F66" s="17">
        <f>(('Выборка 1'!O66-'Выборка 1'!N66)+('Выборка 1'!P66-'Выборка 1'!O66)+('Выборка 1'!Q66-'Выборка 1'!P66)+('Выборка 1'!R66-'Выборка 1'!Q66))/4000</f>
        <v>-796</v>
      </c>
      <c r="G66" s="44">
        <f>(('Выборка 1'!T66-'Выборка 1'!S66)+('Выборка 1'!U66-'Выборка 1'!T66)+('Выборка 1'!V66-'Выборка 1'!U66)+('Выборка 1'!W66-'Выборка 1'!V66))/4000</f>
        <v>-78</v>
      </c>
      <c r="H66" s="44">
        <f>(('Выборка 1'!Y66-'Выборка 1'!X66)+('Выборка 1'!Z66+'Выборка 1'!Y66)+('Выборка 1'!AA66-'Выборка 1'!Z66)+('Выборка 1'!AB66-'Выборка 1'!AA66))/4000</f>
        <v>-7824.5</v>
      </c>
      <c r="I66" s="44">
        <f>(('Выборка 1'!AD66-'Выборка 1'!AC66)+('Выборка 1'!AE66-'Выборка 1'!AD66)+('Выборка 1'!AF66-'Выборка 1'!AE66)+('Выборка 1'!AG66-'Выборка 1'!AF66))/4000</f>
        <v>0</v>
      </c>
      <c r="J66" s="44">
        <f>(('Выборка 1'!AI66-'Выборка 1'!AH66)+('Выборка 1'!AJ66-'Выборка 1'!AI66)+('Выборка 1'!AK66-'Выборка 1'!AJ66)+('Выборка 1'!AL66-'Выборка 1'!AK66))/4000</f>
        <v>-1147.5</v>
      </c>
      <c r="K66" s="17">
        <f>(('Выборка 1'!AN66-'Выборка 1'!AM66)+('Выборка 1'!AO66-'Выборка 1'!AN66)+('Выборка 1'!AP66-'Выборка 1'!AO66)+('Выборка 1'!AQ66-'Выборка 1'!AP66))/4000</f>
        <v>-15128.75</v>
      </c>
      <c r="L66" s="44">
        <f>((('Выборка 1'!AS66+'Выборка 1'!AX66)-('Выборка 1'!AR66+'Выборка 1'!AW66))+(('Выборка 1'!AT66+'Выборка 1'!AY66)-('Выборка 1'!AS66+'Выборка 1'!AX66))+(('Выборка 1'!AU66+'Выборка 1'!AZ66)-('Выборка 1'!AT66+'Выборка 1'!AY66))+(('Выборка 1'!AV66+'Выборка 1'!BA66)-('Выборка 1'!AU66+'Выборка 1'!AZ66)))/4000</f>
        <v>-16201.25</v>
      </c>
      <c r="M66" s="44">
        <f>(('Выборка 1'!BC66-'Выборка 1'!BB66)+('Выборка 1'!BD66-'Выборка 1'!BC66)+('Выборка 1'!BE66-'Выборка 1'!BD66)+('Выборка 1'!BF66-'Выборка 1'!BE66))/4000</f>
        <v>-12.25</v>
      </c>
      <c r="N66" s="44">
        <f t="shared" si="0"/>
        <v>1084.75</v>
      </c>
      <c r="O66" s="17">
        <f>((('Выборка 1'!BH66-'Выборка 1'!BM66)-('Выборка 1'!BG66-'Выборка 1'!BL66))+(('Выборка 1'!BI66-'Выборка 1'!BN66)-('Выборка 1'!BH66-'Выборка 1'!BM66))+(('Выборка 1'!BJ66-'Выборка 1'!BO66)-('Выборка 1'!BI66-'Выборка 1'!BN66))+(('Выборка 1'!BK66-'Выборка 1'!BP66)-('Выборка 1'!BJ66-'Выборка 1'!BO66)))/4000</f>
        <v>31.25</v>
      </c>
      <c r="P66" s="17">
        <f>(('Выборка 1'!BR66-'Выборка 1'!BQ66)+('Выборка 1'!BS66-'Выборка 1'!BR66)+('Выборка 1'!BT66-'Выборка 1'!BS66)+('Выборка 1'!BU66-'Выборка 1'!BT66))/4000</f>
        <v>952.5</v>
      </c>
    </row>
    <row r="67" spans="2:16" x14ac:dyDescent="0.25">
      <c r="B67" s="42">
        <f>('Выборка 1'!AL67+'Выборка 1'!AG67)/1000</f>
        <v>0</v>
      </c>
      <c r="C67" s="17">
        <v>17</v>
      </c>
      <c r="D67" s="17">
        <f>(('Выборка 1'!E67-'Выборка 1'!D67)+('Выборка 1'!F67-'Выборка 1'!E67)+('Выборка 1'!G67-'Выборка 1'!F67)+('Выборка 1'!H67-'Выборка 1'!G67))/4000</f>
        <v>-1004</v>
      </c>
      <c r="E67" s="44">
        <f>(('Выборка 1'!J67-'Выборка 1'!I67)+('Выборка 1'!K67-'Выборка 1'!J67)+('Выборка 1'!L67-'Выборка 1'!K67)+('Выборка 1'!M67-'Выборка 1'!L67))/4000</f>
        <v>-24.25</v>
      </c>
      <c r="F67" s="17">
        <f>(('Выборка 1'!O67-'Выборка 1'!N67)+('Выборка 1'!P67-'Выборка 1'!O67)+('Выборка 1'!Q67-'Выборка 1'!P67)+('Выборка 1'!R67-'Выборка 1'!Q67))/4000</f>
        <v>-4952.75</v>
      </c>
      <c r="G67" s="44">
        <f>(('Выборка 1'!T67-'Выборка 1'!S67)+('Выборка 1'!U67-'Выборка 1'!T67)+('Выборка 1'!V67-'Выборка 1'!U67)+('Выборка 1'!W67-'Выборка 1'!V67))/4000</f>
        <v>-120.75</v>
      </c>
      <c r="H67" s="44">
        <f>(('Выборка 1'!Y67-'Выборка 1'!X67)+('Выборка 1'!Z67+'Выборка 1'!Y67)+('Выборка 1'!AA67-'Выборка 1'!Z67)+('Выборка 1'!AB67-'Выборка 1'!AA67))/4000</f>
        <v>0</v>
      </c>
      <c r="I67" s="44">
        <f>(('Выборка 1'!AD67-'Выборка 1'!AC67)+('Выборка 1'!AE67-'Выборка 1'!AD67)+('Выборка 1'!AF67-'Выборка 1'!AE67)+('Выборка 1'!AG67-'Выборка 1'!AF67))/4000</f>
        <v>-60</v>
      </c>
      <c r="J67" s="44">
        <f>(('Выборка 1'!AI67-'Выборка 1'!AH67)+('Выборка 1'!AJ67-'Выборка 1'!AI67)+('Выборка 1'!AK67-'Выборка 1'!AJ67)+('Выборка 1'!AL67-'Выборка 1'!AK67))/4000</f>
        <v>-5328.75</v>
      </c>
      <c r="K67" s="17">
        <f>(('Выборка 1'!AN67-'Выборка 1'!AM67)+('Выборка 1'!AO67-'Выборка 1'!AN67)+('Выборка 1'!AP67-'Выборка 1'!AO67)+('Выборка 1'!AQ67-'Выборка 1'!AP67))/4000</f>
        <v>-7928.25</v>
      </c>
      <c r="L67" s="44">
        <f>((('Выборка 1'!AS67+'Выборка 1'!AX67)-('Выборка 1'!AR67+'Выборка 1'!AW67))+(('Выборка 1'!AT67+'Выборка 1'!AY67)-('Выборка 1'!AS67+'Выборка 1'!AX67))+(('Выборка 1'!AU67+'Выборка 1'!AZ67)-('Выборка 1'!AT67+'Выборка 1'!AY67))+(('Выборка 1'!AV67+'Выборка 1'!BA67)-('Выборка 1'!AU67+'Выборка 1'!AZ67)))/4000</f>
        <v>-7373</v>
      </c>
      <c r="M67" s="44">
        <f>(('Выборка 1'!BC67-'Выборка 1'!BB67)+('Выборка 1'!BD67-'Выборка 1'!BC67)+('Выборка 1'!BE67-'Выборка 1'!BD67)+('Выборка 1'!BF67-'Выборка 1'!BE67))/4000</f>
        <v>0</v>
      </c>
      <c r="N67" s="44">
        <f t="shared" ref="N67:N130" si="1">K67-L67-M67</f>
        <v>-555.25</v>
      </c>
      <c r="O67" s="17">
        <f>((('Выборка 1'!BH67-'Выборка 1'!BM67)-('Выборка 1'!BG67-'Выборка 1'!BL67))+(('Выборка 1'!BI67-'Выборка 1'!BN67)-('Выборка 1'!BH67-'Выборка 1'!BM67))+(('Выборка 1'!BJ67-'Выборка 1'!BO67)-('Выборка 1'!BI67-'Выборка 1'!BN67))+(('Выборка 1'!BK67-'Выборка 1'!BP67)-('Выборка 1'!BJ67-'Выборка 1'!BO67)))/4000</f>
        <v>271.25</v>
      </c>
      <c r="P67" s="17">
        <f>(('Выборка 1'!BR67-'Выборка 1'!BQ67)+('Выборка 1'!BS67-'Выборка 1'!BR67)+('Выборка 1'!BT67-'Выборка 1'!BS67)+('Выборка 1'!BU67-'Выборка 1'!BT67))/4000</f>
        <v>-209.25</v>
      </c>
    </row>
    <row r="68" spans="2:16" x14ac:dyDescent="0.25">
      <c r="B68" s="42">
        <f>('Выборка 1'!AL68+'Выборка 1'!AG68)/1000</f>
        <v>0</v>
      </c>
      <c r="C68" s="17">
        <v>8</v>
      </c>
      <c r="D68" s="17">
        <f>(('Выборка 1'!E68-'Выборка 1'!D68)+('Выборка 1'!F68-'Выборка 1'!E68)+('Выборка 1'!G68-'Выборка 1'!F68)+('Выборка 1'!H68-'Выборка 1'!G68))/4000</f>
        <v>0</v>
      </c>
      <c r="E68" s="44">
        <f>(('Выборка 1'!J68-'Выборка 1'!I68)+('Выборка 1'!K68-'Выборка 1'!J68)+('Выборка 1'!L68-'Выборка 1'!K68)+('Выборка 1'!M68-'Выборка 1'!L68))/4000</f>
        <v>0</v>
      </c>
      <c r="F68" s="17">
        <f>(('Выборка 1'!O68-'Выборка 1'!N68)+('Выборка 1'!P68-'Выборка 1'!O68)+('Выборка 1'!Q68-'Выборка 1'!P68)+('Выборка 1'!R68-'Выборка 1'!Q68))/4000</f>
        <v>0</v>
      </c>
      <c r="G68" s="44">
        <f>(('Выборка 1'!T68-'Выборка 1'!S68)+('Выборка 1'!U68-'Выборка 1'!T68)+('Выборка 1'!V68-'Выборка 1'!U68)+('Выборка 1'!W68-'Выборка 1'!V68))/4000</f>
        <v>0</v>
      </c>
      <c r="H68" s="44">
        <f>(('Выборка 1'!Y68-'Выборка 1'!X68)+('Выборка 1'!Z68+'Выборка 1'!Y68)+('Выборка 1'!AA68-'Выборка 1'!Z68)+('Выборка 1'!AB68-'Выборка 1'!AA68))/4000</f>
        <v>0</v>
      </c>
      <c r="I68" s="44">
        <f>(('Выборка 1'!AD68-'Выборка 1'!AC68)+('Выборка 1'!AE68-'Выборка 1'!AD68)+('Выборка 1'!AF68-'Выборка 1'!AE68)+('Выборка 1'!AG68-'Выборка 1'!AF68))/4000</f>
        <v>0</v>
      </c>
      <c r="J68" s="44">
        <f>(('Выборка 1'!AI68-'Выборка 1'!AH68)+('Выборка 1'!AJ68-'Выборка 1'!AI68)+('Выборка 1'!AK68-'Выборка 1'!AJ68)+('Выборка 1'!AL68-'Выборка 1'!AK68))/4000</f>
        <v>0</v>
      </c>
      <c r="K68" s="17">
        <f>(('Выборка 1'!AN68-'Выборка 1'!AM68)+('Выборка 1'!AO68-'Выборка 1'!AN68)+('Выборка 1'!AP68-'Выборка 1'!AO68)+('Выборка 1'!AQ68-'Выборка 1'!AP68))/4000</f>
        <v>0</v>
      </c>
      <c r="L68" s="44">
        <f>((('Выборка 1'!AS68+'Выборка 1'!AX68)-('Выборка 1'!AR68+'Выборка 1'!AW68))+(('Выборка 1'!AT68+'Выборка 1'!AY68)-('Выборка 1'!AS68+'Выборка 1'!AX68))+(('Выборка 1'!AU68+'Выборка 1'!AZ68)-('Выборка 1'!AT68+'Выборка 1'!AY68))+(('Выборка 1'!AV68+'Выборка 1'!BA68)-('Выборка 1'!AU68+'Выборка 1'!AZ68)))/4000</f>
        <v>0</v>
      </c>
      <c r="M68" s="44">
        <f>(('Выборка 1'!BC68-'Выборка 1'!BB68)+('Выборка 1'!BD68-'Выборка 1'!BC68)+('Выборка 1'!BE68-'Выборка 1'!BD68)+('Выборка 1'!BF68-'Выборка 1'!BE68))/4000</f>
        <v>0</v>
      </c>
      <c r="N68" s="44">
        <f t="shared" si="1"/>
        <v>0</v>
      </c>
      <c r="O68" s="17">
        <f>((('Выборка 1'!BH68-'Выборка 1'!BM68)-('Выборка 1'!BG68-'Выборка 1'!BL68))+(('Выборка 1'!BI68-'Выборка 1'!BN68)-('Выборка 1'!BH68-'Выборка 1'!BM68))+(('Выборка 1'!BJ68-'Выборка 1'!BO68)-('Выборка 1'!BI68-'Выборка 1'!BN68))+(('Выборка 1'!BK68-'Выборка 1'!BP68)-('Выборка 1'!BJ68-'Выборка 1'!BO68)))/4000</f>
        <v>0</v>
      </c>
      <c r="P68" s="17">
        <f>(('Выборка 1'!BR68-'Выборка 1'!BQ68)+('Выборка 1'!BS68-'Выборка 1'!BR68)+('Выборка 1'!BT68-'Выборка 1'!BS68)+('Выборка 1'!BU68-'Выборка 1'!BT68))/4000</f>
        <v>0</v>
      </c>
    </row>
    <row r="69" spans="2:16" x14ac:dyDescent="0.25">
      <c r="B69" s="42">
        <f>('Выборка 1'!AL69+'Выборка 1'!AG69)/1000</f>
        <v>0</v>
      </c>
      <c r="C69" s="17">
        <v>17</v>
      </c>
      <c r="D69" s="17">
        <f>(('Выборка 1'!E69-'Выборка 1'!D69)+('Выборка 1'!F69-'Выборка 1'!E69)+('Выборка 1'!G69-'Выборка 1'!F69)+('Выборка 1'!H69-'Выборка 1'!G69))/4000</f>
        <v>-274.5</v>
      </c>
      <c r="E69" s="44">
        <f>(('Выборка 1'!J69-'Выборка 1'!I69)+('Выборка 1'!K69-'Выборка 1'!J69)+('Выборка 1'!L69-'Выборка 1'!K69)+('Выборка 1'!M69-'Выборка 1'!L69))/4000</f>
        <v>0</v>
      </c>
      <c r="F69" s="17">
        <f>(('Выборка 1'!O69-'Выборка 1'!N69)+('Выборка 1'!P69-'Выборка 1'!O69)+('Выборка 1'!Q69-'Выборка 1'!P69)+('Выборка 1'!R69-'Выборка 1'!Q69))/4000</f>
        <v>-1727.75</v>
      </c>
      <c r="G69" s="44">
        <f>(('Выборка 1'!T69-'Выборка 1'!S69)+('Выборка 1'!U69-'Выборка 1'!T69)+('Выборка 1'!V69-'Выборка 1'!U69)+('Выборка 1'!W69-'Выборка 1'!V69))/4000</f>
        <v>-34.5</v>
      </c>
      <c r="H69" s="44">
        <f>(('Выборка 1'!Y69-'Выборка 1'!X69)+('Выборка 1'!Z69+'Выборка 1'!Y69)+('Выборка 1'!AA69-'Выборка 1'!Z69)+('Выборка 1'!AB69-'Выборка 1'!AA69))/4000</f>
        <v>0</v>
      </c>
      <c r="I69" s="44">
        <f>(('Выборка 1'!AD69-'Выборка 1'!AC69)+('Выборка 1'!AE69-'Выборка 1'!AD69)+('Выборка 1'!AF69-'Выборка 1'!AE69)+('Выборка 1'!AG69-'Выборка 1'!AF69))/4000</f>
        <v>0</v>
      </c>
      <c r="J69" s="44">
        <f>(('Выборка 1'!AI69-'Выборка 1'!AH69)+('Выборка 1'!AJ69-'Выборка 1'!AI69)+('Выборка 1'!AK69-'Выборка 1'!AJ69)+('Выборка 1'!AL69-'Выборка 1'!AK69))/4000</f>
        <v>-1563.5</v>
      </c>
      <c r="K69" s="17">
        <f>(('Выборка 1'!AN69-'Выборка 1'!AM69)+('Выборка 1'!AO69-'Выборка 1'!AN69)+('Выборка 1'!AP69-'Выборка 1'!AO69)+('Выборка 1'!AQ69-'Выборка 1'!AP69))/4000</f>
        <v>-2116</v>
      </c>
      <c r="L69" s="44">
        <f>((('Выборка 1'!AS69+'Выборка 1'!AX69)-('Выборка 1'!AR69+'Выборка 1'!AW69))+(('Выборка 1'!AT69+'Выборка 1'!AY69)-('Выборка 1'!AS69+'Выборка 1'!AX69))+(('Выборка 1'!AU69+'Выборка 1'!AZ69)-('Выборка 1'!AT69+'Выборка 1'!AY69))+(('Выборка 1'!AV69+'Выборка 1'!BA69)-('Выборка 1'!AU69+'Выборка 1'!AZ69)))/4000</f>
        <v>-1801.25</v>
      </c>
      <c r="M69" s="44">
        <f>(('Выборка 1'!BC69-'Выборка 1'!BB69)+('Выборка 1'!BD69-'Выборка 1'!BC69)+('Выборка 1'!BE69-'Выборка 1'!BD69)+('Выборка 1'!BF69-'Выборка 1'!BE69))/4000</f>
        <v>0</v>
      </c>
      <c r="N69" s="44">
        <f t="shared" si="1"/>
        <v>-314.75</v>
      </c>
      <c r="O69" s="17">
        <f>((('Выборка 1'!BH69-'Выборка 1'!BM69)-('Выборка 1'!BG69-'Выборка 1'!BL69))+(('Выборка 1'!BI69-'Выборка 1'!BN69)-('Выборка 1'!BH69-'Выборка 1'!BM69))+(('Выборка 1'!BJ69-'Выборка 1'!BO69)-('Выборка 1'!BI69-'Выборка 1'!BN69))+(('Выборка 1'!BK69-'Выборка 1'!BP69)-('Выборка 1'!BJ69-'Выборка 1'!BO69)))/4000</f>
        <v>-201.5</v>
      </c>
      <c r="P69" s="17">
        <f>(('Выборка 1'!BR69-'Выборка 1'!BQ69)+('Выборка 1'!BS69-'Выборка 1'!BR69)+('Выборка 1'!BT69-'Выборка 1'!BS69)+('Выборка 1'!BU69-'Выборка 1'!BT69))/4000</f>
        <v>-375</v>
      </c>
    </row>
    <row r="70" spans="2:16" x14ac:dyDescent="0.25">
      <c r="B70" s="42">
        <f>('Выборка 1'!AL70+'Выборка 1'!AG70)/1000</f>
        <v>32615</v>
      </c>
      <c r="C70" s="17">
        <v>17</v>
      </c>
      <c r="D70" s="17">
        <f>(('Выборка 1'!E70-'Выборка 1'!D70)+('Выборка 1'!F70-'Выборка 1'!E70)+('Выборка 1'!G70-'Выборка 1'!F70)+('Выборка 1'!H70-'Выборка 1'!G70))/4000</f>
        <v>418.5</v>
      </c>
      <c r="E70" s="44">
        <f>(('Выборка 1'!J70-'Выборка 1'!I70)+('Выборка 1'!K70-'Выборка 1'!J70)+('Выборка 1'!L70-'Выборка 1'!K70)+('Выборка 1'!M70-'Выборка 1'!L70))/4000</f>
        <v>4470</v>
      </c>
      <c r="F70" s="17">
        <f>(('Выборка 1'!O70-'Выборка 1'!N70)+('Выборка 1'!P70-'Выборка 1'!O70)+('Выборка 1'!Q70-'Выборка 1'!P70)+('Выборка 1'!R70-'Выборка 1'!Q70))/4000</f>
        <v>-474.25</v>
      </c>
      <c r="G70" s="44">
        <f>(('Выборка 1'!T70-'Выборка 1'!S70)+('Выборка 1'!U70-'Выборка 1'!T70)+('Выборка 1'!V70-'Выборка 1'!U70)+('Выборка 1'!W70-'Выборка 1'!V70))/4000</f>
        <v>97.25</v>
      </c>
      <c r="H70" s="44">
        <f>(('Выборка 1'!Y70-'Выборка 1'!X70)+('Выборка 1'!Z70+'Выборка 1'!Y70)+('Выборка 1'!AA70-'Выборка 1'!Z70)+('Выборка 1'!AB70-'Выборка 1'!AA70))/4000</f>
        <v>2776</v>
      </c>
      <c r="I70" s="44">
        <f>(('Выборка 1'!AD70-'Выборка 1'!AC70)+('Выборка 1'!AE70-'Выборка 1'!AD70)+('Выборка 1'!AF70-'Выборка 1'!AE70)+('Выборка 1'!AG70-'Выборка 1'!AF70))/4000</f>
        <v>0</v>
      </c>
      <c r="J70" s="44">
        <f>(('Выборка 1'!AI70-'Выборка 1'!AH70)+('Выборка 1'!AJ70-'Выборка 1'!AI70)+('Выборка 1'!AK70-'Выборка 1'!AJ70)+('Выборка 1'!AL70-'Выборка 1'!AK70))/4000</f>
        <v>5049.75</v>
      </c>
      <c r="K70" s="17">
        <f>(('Выборка 1'!AN70-'Выборка 1'!AM70)+('Выборка 1'!AO70-'Выборка 1'!AN70)+('Выборка 1'!AP70-'Выборка 1'!AO70)+('Выборка 1'!AQ70-'Выборка 1'!AP70))/4000</f>
        <v>-2613</v>
      </c>
      <c r="L70" s="44">
        <f>((('Выборка 1'!AS70+'Выборка 1'!AX70)-('Выборка 1'!AR70+'Выборка 1'!AW70))+(('Выборка 1'!AT70+'Выборка 1'!AY70)-('Выборка 1'!AS70+'Выборка 1'!AX70))+(('Выборка 1'!AU70+'Выборка 1'!AZ70)-('Выборка 1'!AT70+'Выборка 1'!AY70))+(('Выборка 1'!AV70+'Выборка 1'!BA70)-('Выборка 1'!AU70+'Выборка 1'!AZ70)))/4000</f>
        <v>-2349.75</v>
      </c>
      <c r="M70" s="44">
        <f>(('Выборка 1'!BC70-'Выборка 1'!BB70)+('Выборка 1'!BD70-'Выборка 1'!BC70)+('Выборка 1'!BE70-'Выборка 1'!BD70)+('Выборка 1'!BF70-'Выборка 1'!BE70))/4000</f>
        <v>0</v>
      </c>
      <c r="N70" s="44">
        <f t="shared" si="1"/>
        <v>-263.25</v>
      </c>
      <c r="O70" s="17">
        <f>((('Выборка 1'!BH70-'Выборка 1'!BM70)-('Выборка 1'!BG70-'Выборка 1'!BL70))+(('Выборка 1'!BI70-'Выборка 1'!BN70)-('Выборка 1'!BH70-'Выборка 1'!BM70))+(('Выборка 1'!BJ70-'Выборка 1'!BO70)-('Выборка 1'!BI70-'Выборка 1'!BN70))+(('Выборка 1'!BK70-'Выборка 1'!BP70)-('Выборка 1'!BJ70-'Выборка 1'!BO70)))/4000</f>
        <v>15.5</v>
      </c>
      <c r="P70" s="17">
        <f>(('Выборка 1'!BR70-'Выборка 1'!BQ70)+('Выборка 1'!BS70-'Выборка 1'!BR70)+('Выборка 1'!BT70-'Выборка 1'!BS70)+('Выборка 1'!BU70-'Выборка 1'!BT70))/4000</f>
        <v>-152.5</v>
      </c>
    </row>
    <row r="71" spans="2:16" x14ac:dyDescent="0.25">
      <c r="B71" s="42">
        <f>('Выборка 1'!AL71+'Выборка 1'!AG71)/1000</f>
        <v>693280</v>
      </c>
      <c r="C71" s="17">
        <v>28</v>
      </c>
      <c r="D71" s="17">
        <f>(('Выборка 1'!E71-'Выборка 1'!D71)+('Выборка 1'!F71-'Выборка 1'!E71)+('Выборка 1'!G71-'Выборка 1'!F71)+('Выборка 1'!H71-'Выборка 1'!G71))/4000</f>
        <v>-179.5</v>
      </c>
      <c r="E71" s="44">
        <f>(('Выборка 1'!J71-'Выборка 1'!I71)+('Выборка 1'!K71-'Выборка 1'!J71)+('Выборка 1'!L71-'Выборка 1'!K71)+('Выборка 1'!M71-'Выборка 1'!L71))/4000</f>
        <v>-8828.5</v>
      </c>
      <c r="F71" s="17">
        <f>(('Выборка 1'!O71-'Выборка 1'!N71)+('Выборка 1'!P71-'Выборка 1'!O71)+('Выборка 1'!Q71-'Выборка 1'!P71)+('Выборка 1'!R71-'Выборка 1'!Q71))/4000</f>
        <v>-1110.75</v>
      </c>
      <c r="G71" s="44">
        <f>(('Выборка 1'!T71-'Выборка 1'!S71)+('Выборка 1'!U71-'Выборка 1'!T71)+('Выборка 1'!V71-'Выборка 1'!U71)+('Выборка 1'!W71-'Выборка 1'!V71))/4000</f>
        <v>-6052.25</v>
      </c>
      <c r="H71" s="44">
        <f>(('Выборка 1'!Y71-'Выборка 1'!X71)+('Выборка 1'!Z71+'Выборка 1'!Y71)+('Выборка 1'!AA71-'Выборка 1'!Z71)+('Выборка 1'!AB71-'Выборка 1'!AA71))/4000</f>
        <v>-384196.75</v>
      </c>
      <c r="I71" s="44">
        <f>(('Выборка 1'!AD71-'Выборка 1'!AC71)+('Выборка 1'!AE71-'Выборка 1'!AD71)+('Выборка 1'!AF71-'Выборка 1'!AE71)+('Выборка 1'!AG71-'Выборка 1'!AF71))/4000</f>
        <v>0</v>
      </c>
      <c r="J71" s="44">
        <f>(('Выборка 1'!AI71-'Выборка 1'!AH71)+('Выборка 1'!AJ71-'Выборка 1'!AI71)+('Выборка 1'!AK71-'Выборка 1'!AJ71)+('Выборка 1'!AL71-'Выборка 1'!AK71))/4000</f>
        <v>-27985.5</v>
      </c>
      <c r="K71" s="17">
        <f>(('Выборка 1'!AN71-'Выборка 1'!AM71)+('Выборка 1'!AO71-'Выборка 1'!AN71)+('Выборка 1'!AP71-'Выборка 1'!AO71)+('Выборка 1'!AQ71-'Выборка 1'!AP71))/4000</f>
        <v>-711.5</v>
      </c>
      <c r="L71" s="44">
        <f>((('Выборка 1'!AS71+'Выборка 1'!AX71)-('Выборка 1'!AR71+'Выборка 1'!AW71))+(('Выборка 1'!AT71+'Выборка 1'!AY71)-('Выборка 1'!AS71+'Выборка 1'!AX71))+(('Выборка 1'!AU71+'Выборка 1'!AZ71)-('Выборка 1'!AT71+'Выборка 1'!AY71))+(('Выборка 1'!AV71+'Выборка 1'!BA71)-('Выборка 1'!AU71+'Выборка 1'!AZ71)))/4000</f>
        <v>0</v>
      </c>
      <c r="M71" s="44">
        <f>(('Выборка 1'!BC71-'Выборка 1'!BB71)+('Выборка 1'!BD71-'Выборка 1'!BC71)+('Выборка 1'!BE71-'Выборка 1'!BD71)+('Выборка 1'!BF71-'Выборка 1'!BE71))/4000</f>
        <v>-2880.75</v>
      </c>
      <c r="N71" s="44">
        <f t="shared" si="1"/>
        <v>2169.25</v>
      </c>
      <c r="O71" s="17">
        <f>((('Выборка 1'!BH71-'Выборка 1'!BM71)-('Выборка 1'!BG71-'Выборка 1'!BL71))+(('Выборка 1'!BI71-'Выборка 1'!BN71)-('Выборка 1'!BH71-'Выборка 1'!BM71))+(('Выборка 1'!BJ71-'Выборка 1'!BO71)-('Выборка 1'!BI71-'Выборка 1'!BN71))+(('Выборка 1'!BK71-'Выборка 1'!BP71)-('Выборка 1'!BJ71-'Выборка 1'!BO71)))/4000</f>
        <v>-128683</v>
      </c>
      <c r="P71" s="17">
        <f>(('Выборка 1'!BR71-'Выборка 1'!BQ71)+('Выборка 1'!BS71-'Выборка 1'!BR71)+('Выборка 1'!BT71-'Выборка 1'!BS71)+('Выборка 1'!BU71-'Выборка 1'!BT71))/4000</f>
        <v>-127161.5</v>
      </c>
    </row>
    <row r="72" spans="2:16" x14ac:dyDescent="0.25">
      <c r="B72" s="42">
        <f>('Выборка 1'!AL72+'Выборка 1'!AG72)/1000</f>
        <v>111203</v>
      </c>
      <c r="C72" s="17">
        <v>10</v>
      </c>
      <c r="D72" s="17">
        <f>(('Выборка 1'!E72-'Выборка 1'!D72)+('Выборка 1'!F72-'Выборка 1'!E72)+('Выборка 1'!G72-'Выборка 1'!F72)+('Выборка 1'!H72-'Выборка 1'!G72))/4000</f>
        <v>-396.75</v>
      </c>
      <c r="E72" s="44">
        <f>(('Выборка 1'!J72-'Выборка 1'!I72)+('Выборка 1'!K72-'Выборка 1'!J72)+('Выборка 1'!L72-'Выборка 1'!K72)+('Выборка 1'!M72-'Выборка 1'!L72))/4000</f>
        <v>-15949</v>
      </c>
      <c r="F72" s="17">
        <f>(('Выборка 1'!O72-'Выборка 1'!N72)+('Выборка 1'!P72-'Выборка 1'!O72)+('Выборка 1'!Q72-'Выборка 1'!P72)+('Выборка 1'!R72-'Выборка 1'!Q72))/4000</f>
        <v>4968.5</v>
      </c>
      <c r="G72" s="44">
        <f>(('Выборка 1'!T72-'Выборка 1'!S72)+('Выборка 1'!U72-'Выборка 1'!T72)+('Выборка 1'!V72-'Выборка 1'!U72)+('Выборка 1'!W72-'Выборка 1'!V72))/4000</f>
        <v>-5143</v>
      </c>
      <c r="H72" s="44">
        <f>(('Выборка 1'!Y72-'Выборка 1'!X72)+('Выборка 1'!Z72+'Выборка 1'!Y72)+('Выборка 1'!AA72-'Выборка 1'!Z72)+('Выборка 1'!AB72-'Выборка 1'!AA72))/4000</f>
        <v>-7796.75</v>
      </c>
      <c r="I72" s="44">
        <f>(('Выборка 1'!AD72-'Выборка 1'!AC72)+('Выборка 1'!AE72-'Выборка 1'!AD72)+('Выборка 1'!AF72-'Выборка 1'!AE72)+('Выборка 1'!AG72-'Выборка 1'!AF72))/4000</f>
        <v>3095.5</v>
      </c>
      <c r="J72" s="44">
        <f>(('Выборка 1'!AI72-'Выборка 1'!AH72)+('Выборка 1'!AJ72-'Выборка 1'!AI72)+('Выборка 1'!AK72-'Выборка 1'!AJ72)+('Выборка 1'!AL72-'Выборка 1'!AK72))/4000</f>
        <v>-9432.5</v>
      </c>
      <c r="K72" s="17">
        <f>(('Выборка 1'!AN72-'Выборка 1'!AM72)+('Выборка 1'!AO72-'Выборка 1'!AN72)+('Выборка 1'!AP72-'Выборка 1'!AO72)+('Выборка 1'!AQ72-'Выборка 1'!AP72))/4000</f>
        <v>-71707</v>
      </c>
      <c r="L72" s="44">
        <f>((('Выборка 1'!AS72+'Выборка 1'!AX72)-('Выборка 1'!AR72+'Выборка 1'!AW72))+(('Выборка 1'!AT72+'Выборка 1'!AY72)-('Выборка 1'!AS72+'Выборка 1'!AX72))+(('Выборка 1'!AU72+'Выборка 1'!AZ72)-('Выборка 1'!AT72+'Выборка 1'!AY72))+(('Выборка 1'!AV72+'Выборка 1'!BA72)-('Выборка 1'!AU72+'Выборка 1'!AZ72)))/4000</f>
        <v>-68100.75</v>
      </c>
      <c r="M72" s="44">
        <f>(('Выборка 1'!BC72-'Выборка 1'!BB72)+('Выборка 1'!BD72-'Выборка 1'!BC72)+('Выборка 1'!BE72-'Выборка 1'!BD72)+('Выборка 1'!BF72-'Выборка 1'!BE72))/4000</f>
        <v>-2913.25</v>
      </c>
      <c r="N72" s="44">
        <f t="shared" si="1"/>
        <v>-693</v>
      </c>
      <c r="O72" s="17">
        <f>((('Выборка 1'!BH72-'Выборка 1'!BM72)-('Выборка 1'!BG72-'Выборка 1'!BL72))+(('Выборка 1'!BI72-'Выборка 1'!BN72)-('Выборка 1'!BH72-'Выборка 1'!BM72))+(('Выборка 1'!BJ72-'Выборка 1'!BO72)-('Выборка 1'!BI72-'Выборка 1'!BN72))+(('Выборка 1'!BK72-'Выборка 1'!BP72)-('Выборка 1'!BJ72-'Выборка 1'!BO72)))/4000</f>
        <v>-20.75</v>
      </c>
      <c r="P72" s="17">
        <f>(('Выборка 1'!BR72-'Выборка 1'!BQ72)+('Выборка 1'!BS72-'Выборка 1'!BR72)+('Выборка 1'!BT72-'Выборка 1'!BS72)+('Выборка 1'!BU72-'Выборка 1'!BT72))/4000</f>
        <v>-713.75</v>
      </c>
    </row>
    <row r="73" spans="2:16" x14ac:dyDescent="0.25">
      <c r="B73" s="42">
        <f>('Выборка 1'!AL73+'Выборка 1'!AG73)/1000</f>
        <v>406146</v>
      </c>
      <c r="C73" s="17">
        <v>14</v>
      </c>
      <c r="D73" s="17">
        <f>(('Выборка 1'!E73-'Выборка 1'!D73)+('Выборка 1'!F73-'Выборка 1'!E73)+('Выборка 1'!G73-'Выборка 1'!F73)+('Выборка 1'!H73-'Выборка 1'!G73))/4000</f>
        <v>-19319.25</v>
      </c>
      <c r="E73" s="44">
        <f>(('Выборка 1'!J73-'Выборка 1'!I73)+('Выборка 1'!K73-'Выборка 1'!J73)+('Выборка 1'!L73-'Выборка 1'!K73)+('Выборка 1'!M73-'Выборка 1'!L73))/4000</f>
        <v>2935</v>
      </c>
      <c r="F73" s="17">
        <f>(('Выборка 1'!O73-'Выборка 1'!N73)+('Выборка 1'!P73-'Выборка 1'!O73)+('Выборка 1'!Q73-'Выборка 1'!P73)+('Выборка 1'!R73-'Выборка 1'!Q73))/4000</f>
        <v>-19596.25</v>
      </c>
      <c r="G73" s="44">
        <f>(('Выборка 1'!T73-'Выборка 1'!S73)+('Выборка 1'!U73-'Выборка 1'!T73)+('Выборка 1'!V73-'Выборка 1'!U73)+('Выборка 1'!W73-'Выборка 1'!V73))/4000</f>
        <v>6812.75</v>
      </c>
      <c r="H73" s="44">
        <f>(('Выборка 1'!Y73-'Выборка 1'!X73)+('Выборка 1'!Z73+'Выборка 1'!Y73)+('Выборка 1'!AA73-'Выборка 1'!Z73)+('Выборка 1'!AB73-'Выборка 1'!AA73))/4000</f>
        <v>-59350.25</v>
      </c>
      <c r="I73" s="44">
        <f>(('Выборка 1'!AD73-'Выборка 1'!AC73)+('Выборка 1'!AE73-'Выборка 1'!AD73)+('Выборка 1'!AF73-'Выборка 1'!AE73)+('Выборка 1'!AG73-'Выборка 1'!AF73))/4000</f>
        <v>-1.5</v>
      </c>
      <c r="J73" s="44">
        <f>(('Выборка 1'!AI73-'Выборка 1'!AH73)+('Выборка 1'!AJ73-'Выборка 1'!AI73)+('Выборка 1'!AK73-'Выборка 1'!AJ73)+('Выборка 1'!AL73-'Выборка 1'!AK73))/4000</f>
        <v>-12699.5</v>
      </c>
      <c r="K73" s="17">
        <f>(('Выборка 1'!AN73-'Выборка 1'!AM73)+('Выборка 1'!AO73-'Выборка 1'!AN73)+('Выборка 1'!AP73-'Выборка 1'!AO73)+('Выборка 1'!AQ73-'Выборка 1'!AP73))/4000</f>
        <v>-17958.75</v>
      </c>
      <c r="L73" s="44">
        <f>((('Выборка 1'!AS73+'Выборка 1'!AX73)-('Выборка 1'!AR73+'Выборка 1'!AW73))+(('Выборка 1'!AT73+'Выборка 1'!AY73)-('Выборка 1'!AS73+'Выборка 1'!AX73))+(('Выборка 1'!AU73+'Выборка 1'!AZ73)-('Выборка 1'!AT73+'Выборка 1'!AY73))+(('Выборка 1'!AV73+'Выборка 1'!BA73)-('Выборка 1'!AU73+'Выборка 1'!AZ73)))/4000</f>
        <v>-21433.25</v>
      </c>
      <c r="M73" s="44">
        <f>(('Выборка 1'!BC73-'Выборка 1'!BB73)+('Выборка 1'!BD73-'Выборка 1'!BC73)+('Выборка 1'!BE73-'Выборка 1'!BD73)+('Выборка 1'!BF73-'Выборка 1'!BE73))/4000</f>
        <v>-11895.25</v>
      </c>
      <c r="N73" s="44">
        <f t="shared" si="1"/>
        <v>15369.75</v>
      </c>
      <c r="O73" s="17">
        <f>((('Выборка 1'!BH73-'Выборка 1'!BM73)-('Выборка 1'!BG73-'Выборка 1'!BL73))+(('Выборка 1'!BI73-'Выборка 1'!BN73)-('Выборка 1'!BH73-'Выборка 1'!BM73))+(('Выборка 1'!BJ73-'Выборка 1'!BO73)-('Выборка 1'!BI73-'Выборка 1'!BN73))+(('Выборка 1'!BK73-'Выборка 1'!BP73)-('Выборка 1'!BJ73-'Выборка 1'!BO73)))/4000</f>
        <v>-3275.75</v>
      </c>
      <c r="P73" s="17">
        <f>(('Выборка 1'!BR73-'Выборка 1'!BQ73)+('Выборка 1'!BS73-'Выборка 1'!BR73)+('Выборка 1'!BT73-'Выборка 1'!BS73)+('Выборка 1'!BU73-'Выборка 1'!BT73))/4000</f>
        <v>7930.75</v>
      </c>
    </row>
    <row r="74" spans="2:16" x14ac:dyDescent="0.25">
      <c r="B74" s="42">
        <f>('Выборка 1'!AL74+'Выборка 1'!AG74)/1000</f>
        <v>72737</v>
      </c>
      <c r="C74" s="17">
        <v>5</v>
      </c>
      <c r="D74" s="17">
        <f>(('Выборка 1'!E74-'Выборка 1'!D74)+('Выборка 1'!F74-'Выборка 1'!E74)+('Выборка 1'!G74-'Выборка 1'!F74)+('Выборка 1'!H74-'Выборка 1'!G74))/4000</f>
        <v>-4</v>
      </c>
      <c r="E74" s="44">
        <f>(('Выборка 1'!J74-'Выборка 1'!I74)+('Выборка 1'!K74-'Выборка 1'!J74)+('Выборка 1'!L74-'Выборка 1'!K74)+('Выборка 1'!M74-'Выборка 1'!L74))/4000</f>
        <v>25770.75</v>
      </c>
      <c r="F74" s="17">
        <f>(('Выборка 1'!O74-'Выборка 1'!N74)+('Выборка 1'!P74-'Выборка 1'!O74)+('Выборка 1'!Q74-'Выборка 1'!P74)+('Выборка 1'!R74-'Выборка 1'!Q74))/4000</f>
        <v>7825.75</v>
      </c>
      <c r="G74" s="44">
        <f>(('Выборка 1'!T74-'Выборка 1'!S74)+('Выборка 1'!U74-'Выборка 1'!T74)+('Выборка 1'!V74-'Выборка 1'!U74)+('Выборка 1'!W74-'Выборка 1'!V74))/4000</f>
        <v>-367.75</v>
      </c>
      <c r="H74" s="44">
        <f>(('Выборка 1'!Y74-'Выборка 1'!X74)+('Выборка 1'!Z74+'Выборка 1'!Y74)+('Выборка 1'!AA74-'Выборка 1'!Z74)+('Выборка 1'!AB74-'Выборка 1'!AA74))/4000</f>
        <v>0</v>
      </c>
      <c r="I74" s="44">
        <f>(('Выборка 1'!AD74-'Выборка 1'!AC74)+('Выборка 1'!AE74-'Выборка 1'!AD74)+('Выборка 1'!AF74-'Выборка 1'!AE74)+('Выборка 1'!AG74-'Выборка 1'!AF74))/4000</f>
        <v>-162.5</v>
      </c>
      <c r="J74" s="44">
        <f>(('Выборка 1'!AI74-'Выборка 1'!AH74)+('Выборка 1'!AJ74-'Выборка 1'!AI74)+('Выборка 1'!AK74-'Выборка 1'!AJ74)+('Выборка 1'!AL74-'Выборка 1'!AK74))/4000</f>
        <v>16913</v>
      </c>
      <c r="K74" s="17">
        <f>(('Выборка 1'!AN74-'Выборка 1'!AM74)+('Выборка 1'!AO74-'Выборка 1'!AN74)+('Выборка 1'!AP74-'Выборка 1'!AO74)+('Выборка 1'!AQ74-'Выборка 1'!AP74))/4000</f>
        <v>18846</v>
      </c>
      <c r="L74" s="44">
        <f>((('Выборка 1'!AS74+'Выборка 1'!AX74)-('Выборка 1'!AR74+'Выборка 1'!AW74))+(('Выборка 1'!AT74+'Выборка 1'!AY74)-('Выборка 1'!AS74+'Выборка 1'!AX74))+(('Выборка 1'!AU74+'Выборка 1'!AZ74)-('Выборка 1'!AT74+'Выборка 1'!AY74))+(('Выборка 1'!AV74+'Выборка 1'!BA74)-('Выборка 1'!AU74+'Выборка 1'!AZ74)))/4000</f>
        <v>18843.25</v>
      </c>
      <c r="M74" s="44">
        <f>(('Выборка 1'!BC74-'Выборка 1'!BB74)+('Выборка 1'!BD74-'Выборка 1'!BC74)+('Выборка 1'!BE74-'Выборка 1'!BD74)+('Выборка 1'!BF74-'Выборка 1'!BE74))/4000</f>
        <v>0</v>
      </c>
      <c r="N74" s="44">
        <f t="shared" si="1"/>
        <v>2.75</v>
      </c>
      <c r="O74" s="17">
        <f>((('Выборка 1'!BH74-'Выборка 1'!BM74)-('Выборка 1'!BG74-'Выборка 1'!BL74))+(('Выборка 1'!BI74-'Выборка 1'!BN74)-('Выборка 1'!BH74-'Выборка 1'!BM74))+(('Выборка 1'!BJ74-'Выборка 1'!BO74)-('Выборка 1'!BI74-'Выборка 1'!BN74))+(('Выборка 1'!BK74-'Выборка 1'!BP74)-('Выборка 1'!BJ74-'Выборка 1'!BO74)))/4000</f>
        <v>1413.25</v>
      </c>
      <c r="P74" s="17">
        <f>(('Выборка 1'!BR74-'Выборка 1'!BQ74)+('Выборка 1'!BS74-'Выборка 1'!BR74)+('Выборка 1'!BT74-'Выборка 1'!BS74)+('Выборка 1'!BU74-'Выборка 1'!BT74))/4000</f>
        <v>28.5</v>
      </c>
    </row>
    <row r="75" spans="2:16" x14ac:dyDescent="0.25">
      <c r="B75" s="42">
        <f>('Выборка 1'!AL75+'Выборка 1'!AG75)/1000</f>
        <v>3855700</v>
      </c>
      <c r="C75" s="17">
        <v>32</v>
      </c>
      <c r="D75" s="17">
        <f>(('Выборка 1'!E75-'Выборка 1'!D75)+('Выборка 1'!F75-'Выборка 1'!E75)+('Выборка 1'!G75-'Выборка 1'!F75)+('Выборка 1'!H75-'Выборка 1'!G75))/4000</f>
        <v>-63644.5</v>
      </c>
      <c r="E75" s="44">
        <f>(('Выборка 1'!J75-'Выборка 1'!I75)+('Выборка 1'!K75-'Выборка 1'!J75)+('Выборка 1'!L75-'Выборка 1'!K75)+('Выборка 1'!M75-'Выборка 1'!L75))/4000</f>
        <v>-6672.25</v>
      </c>
      <c r="F75" s="17">
        <f>(('Выборка 1'!O75-'Выборка 1'!N75)+('Выборка 1'!P75-'Выборка 1'!O75)+('Выборка 1'!Q75-'Выборка 1'!P75)+('Выборка 1'!R75-'Выборка 1'!Q75))/4000</f>
        <v>107867</v>
      </c>
      <c r="G75" s="44">
        <f>(('Выборка 1'!T75-'Выборка 1'!S75)+('Выборка 1'!U75-'Выборка 1'!T75)+('Выборка 1'!V75-'Выборка 1'!U75)+('Выборка 1'!W75-'Выборка 1'!V75))/4000</f>
        <v>-13134.5</v>
      </c>
      <c r="H75" s="44">
        <f>(('Выборка 1'!Y75-'Выборка 1'!X75)+('Выборка 1'!Z75+'Выборка 1'!Y75)+('Выборка 1'!AA75-'Выборка 1'!Z75)+('Выборка 1'!AB75-'Выборка 1'!AA75))/4000</f>
        <v>-1142935.5</v>
      </c>
      <c r="I75" s="44">
        <f>(('Выборка 1'!AD75-'Выборка 1'!AC75)+('Выборка 1'!AE75-'Выборка 1'!AD75)+('Выборка 1'!AF75-'Выборка 1'!AE75)+('Выборка 1'!AG75-'Выборка 1'!AF75))/4000</f>
        <v>-6661</v>
      </c>
      <c r="J75" s="44">
        <f>(('Выборка 1'!AI75-'Выборка 1'!AH75)+('Выборка 1'!AJ75-'Выборка 1'!AI75)+('Выборка 1'!AK75-'Выборка 1'!AJ75)+('Выборка 1'!AL75-'Выборка 1'!AK75))/4000</f>
        <v>-37274</v>
      </c>
      <c r="K75" s="17">
        <f>(('Выборка 1'!AN75-'Выборка 1'!AM75)+('Выборка 1'!AO75-'Выборка 1'!AN75)+('Выборка 1'!AP75-'Выборка 1'!AO75)+('Выборка 1'!AQ75-'Выборка 1'!AP75))/4000</f>
        <v>-78292.5</v>
      </c>
      <c r="L75" s="44">
        <f>((('Выборка 1'!AS75+'Выборка 1'!AX75)-('Выборка 1'!AR75+'Выборка 1'!AW75))+(('Выборка 1'!AT75+'Выборка 1'!AY75)-('Выборка 1'!AS75+'Выборка 1'!AX75))+(('Выборка 1'!AU75+'Выборка 1'!AZ75)-('Выборка 1'!AT75+'Выборка 1'!AY75))+(('Выборка 1'!AV75+'Выборка 1'!BA75)-('Выборка 1'!AU75+'Выборка 1'!AZ75)))/4000</f>
        <v>-105441</v>
      </c>
      <c r="M75" s="44">
        <f>(('Выборка 1'!BC75-'Выборка 1'!BB75)+('Выборка 1'!BD75-'Выборка 1'!BC75)+('Выборка 1'!BE75-'Выборка 1'!BD75)+('Выборка 1'!BF75-'Выборка 1'!BE75))/4000</f>
        <v>9939</v>
      </c>
      <c r="N75" s="44">
        <f t="shared" si="1"/>
        <v>17209.5</v>
      </c>
      <c r="O75" s="17">
        <f>((('Выборка 1'!BH75-'Выборка 1'!BM75)-('Выборка 1'!BG75-'Выборка 1'!BL75))+(('Выборка 1'!BI75-'Выборка 1'!BN75)-('Выборка 1'!BH75-'Выборка 1'!BM75))+(('Выборка 1'!BJ75-'Выборка 1'!BO75)-('Выборка 1'!BI75-'Выборка 1'!BN75))+(('Выборка 1'!BK75-'Выборка 1'!BP75)-('Выборка 1'!BJ75-'Выборка 1'!BO75)))/4000</f>
        <v>104765.25</v>
      </c>
      <c r="P75" s="17">
        <f>(('Выборка 1'!BR75-'Выборка 1'!BQ75)+('Выборка 1'!BS75-'Выборка 1'!BR75)+('Выборка 1'!BT75-'Выборка 1'!BS75)+('Выборка 1'!BU75-'Выборка 1'!BT75))/4000</f>
        <v>133538.75</v>
      </c>
    </row>
    <row r="76" spans="2:16" x14ac:dyDescent="0.25">
      <c r="B76" s="42">
        <f>('Выборка 1'!AL76+'Выборка 1'!AG76)/1000</f>
        <v>319280</v>
      </c>
      <c r="C76" s="17">
        <v>32</v>
      </c>
      <c r="D76" s="17">
        <f>(('Выборка 1'!E76-'Выборка 1'!D76)+('Выборка 1'!F76-'Выборка 1'!E76)+('Выборка 1'!G76-'Выборка 1'!F76)+('Выборка 1'!H76-'Выборка 1'!G76))/4000</f>
        <v>0</v>
      </c>
      <c r="E76" s="44">
        <f>(('Выборка 1'!J76-'Выборка 1'!I76)+('Выборка 1'!K76-'Выборка 1'!J76)+('Выборка 1'!L76-'Выборка 1'!K76)+('Выборка 1'!M76-'Выборка 1'!L76))/4000</f>
        <v>-2</v>
      </c>
      <c r="F76" s="17">
        <f>(('Выборка 1'!O76-'Выборка 1'!N76)+('Выборка 1'!P76-'Выборка 1'!O76)+('Выборка 1'!Q76-'Выборка 1'!P76)+('Выборка 1'!R76-'Выборка 1'!Q76))/4000</f>
        <v>-539</v>
      </c>
      <c r="G76" s="44">
        <f>(('Выборка 1'!T76-'Выборка 1'!S76)+('Выборка 1'!U76-'Выборка 1'!T76)+('Выборка 1'!V76-'Выборка 1'!U76)+('Выборка 1'!W76-'Выборка 1'!V76))/4000</f>
        <v>-41.75</v>
      </c>
      <c r="H76" s="44">
        <f>(('Выборка 1'!Y76-'Выборка 1'!X76)+('Выборка 1'!Z76+'Выборка 1'!Y76)+('Выборка 1'!AA76-'Выборка 1'!Z76)+('Выборка 1'!AB76-'Выборка 1'!AA76))/4000</f>
        <v>-156770.5</v>
      </c>
      <c r="I76" s="44">
        <f>(('Выборка 1'!AD76-'Выборка 1'!AC76)+('Выборка 1'!AE76-'Выборка 1'!AD76)+('Выборка 1'!AF76-'Выборка 1'!AE76)+('Выборка 1'!AG76-'Выборка 1'!AF76))/4000</f>
        <v>0</v>
      </c>
      <c r="J76" s="44">
        <f>(('Выборка 1'!AI76-'Выборка 1'!AH76)+('Выборка 1'!AJ76-'Выборка 1'!AI76)+('Выборка 1'!AK76-'Выборка 1'!AJ76)+('Выборка 1'!AL76-'Выборка 1'!AK76))/4000</f>
        <v>70071.5</v>
      </c>
      <c r="K76" s="17">
        <f>(('Выборка 1'!AN76-'Выборка 1'!AM76)+('Выборка 1'!AO76-'Выборка 1'!AN76)+('Выборка 1'!AP76-'Выборка 1'!AO76)+('Выборка 1'!AQ76-'Выборка 1'!AP76))/4000</f>
        <v>0</v>
      </c>
      <c r="L76" s="44">
        <f>((('Выборка 1'!AS76+'Выборка 1'!AX76)-('Выборка 1'!AR76+'Выборка 1'!AW76))+(('Выборка 1'!AT76+'Выборка 1'!AY76)-('Выборка 1'!AS76+'Выборка 1'!AX76))+(('Выборка 1'!AU76+'Выборка 1'!AZ76)-('Выборка 1'!AT76+'Выборка 1'!AY76))+(('Выборка 1'!AV76+'Выборка 1'!BA76)-('Выборка 1'!AU76+'Выборка 1'!AZ76)))/4000</f>
        <v>-124.25</v>
      </c>
      <c r="M76" s="44">
        <f>(('Выборка 1'!BC76-'Выборка 1'!BB76)+('Выборка 1'!BD76-'Выборка 1'!BC76)+('Выборка 1'!BE76-'Выборка 1'!BD76)+('Выборка 1'!BF76-'Выборка 1'!BE76))/4000</f>
        <v>112.75</v>
      </c>
      <c r="N76" s="44">
        <f t="shared" si="1"/>
        <v>11.5</v>
      </c>
      <c r="O76" s="17">
        <f>((('Выборка 1'!BH76-'Выборка 1'!BM76)-('Выборка 1'!BG76-'Выборка 1'!BL76))+(('Выборка 1'!BI76-'Выборка 1'!BN76)-('Выборка 1'!BH76-'Выборка 1'!BM76))+(('Выборка 1'!BJ76-'Выборка 1'!BO76)-('Выборка 1'!BI76-'Выборка 1'!BN76))+(('Выборка 1'!BK76-'Выборка 1'!BP76)-('Выборка 1'!BJ76-'Выборка 1'!BO76)))/4000</f>
        <v>-798.75</v>
      </c>
      <c r="P76" s="17">
        <f>(('Выборка 1'!BR76-'Выборка 1'!BQ76)+('Выборка 1'!BS76-'Выборка 1'!BR76)+('Выборка 1'!BT76-'Выборка 1'!BS76)+('Выборка 1'!BU76-'Выборка 1'!BT76))/4000</f>
        <v>-787.25</v>
      </c>
    </row>
    <row r="77" spans="2:16" x14ac:dyDescent="0.25">
      <c r="B77" s="42">
        <f>('Выборка 1'!AL77+'Выборка 1'!AG77)/1000</f>
        <v>31648</v>
      </c>
      <c r="C77" s="17">
        <v>8</v>
      </c>
      <c r="D77" s="17">
        <f>(('Выборка 1'!E77-'Выборка 1'!D77)+('Выборка 1'!F77-'Выборка 1'!E77)+('Выборка 1'!G77-'Выборка 1'!F77)+('Выборка 1'!H77-'Выборка 1'!G77))/4000</f>
        <v>1760.75</v>
      </c>
      <c r="E77" s="44">
        <f>(('Выборка 1'!J77-'Выборка 1'!I77)+('Выборка 1'!K77-'Выборка 1'!J77)+('Выборка 1'!L77-'Выборка 1'!K77)+('Выборка 1'!M77-'Выборка 1'!L77))/4000</f>
        <v>1426</v>
      </c>
      <c r="F77" s="17">
        <f>(('Выборка 1'!O77-'Выборка 1'!N77)+('Выборка 1'!P77-'Выборка 1'!O77)+('Выборка 1'!Q77-'Выборка 1'!P77)+('Выборка 1'!R77-'Выборка 1'!Q77))/4000</f>
        <v>8699.75</v>
      </c>
      <c r="G77" s="44">
        <f>(('Выборка 1'!T77-'Выборка 1'!S77)+('Выборка 1'!U77-'Выборка 1'!T77)+('Выборка 1'!V77-'Выборка 1'!U77)+('Выборка 1'!W77-'Выборка 1'!V77))/4000</f>
        <v>-7.75</v>
      </c>
      <c r="H77" s="44">
        <f>(('Выборка 1'!Y77-'Выборка 1'!X77)+('Выборка 1'!Z77+'Выборка 1'!Y77)+('Выборка 1'!AA77-'Выборка 1'!Z77)+('Выборка 1'!AB77-'Выборка 1'!AA77))/4000</f>
        <v>0</v>
      </c>
      <c r="I77" s="44">
        <f>(('Выборка 1'!AD77-'Выборка 1'!AC77)+('Выборка 1'!AE77-'Выборка 1'!AD77)+('Выборка 1'!AF77-'Выборка 1'!AE77)+('Выборка 1'!AG77-'Выборка 1'!AF77))/4000</f>
        <v>524</v>
      </c>
      <c r="J77" s="44">
        <f>(('Выборка 1'!AI77-'Выборка 1'!AH77)+('Выборка 1'!AJ77-'Выборка 1'!AI77)+('Выборка 1'!AK77-'Выборка 1'!AJ77)+('Выборка 1'!AL77-'Выборка 1'!AK77))/4000</f>
        <v>6336.25</v>
      </c>
      <c r="K77" s="17">
        <f>(('Выборка 1'!AN77-'Выборка 1'!AM77)+('Выборка 1'!AO77-'Выборка 1'!AN77)+('Выборка 1'!AP77-'Выборка 1'!AO77)+('Выборка 1'!AQ77-'Выборка 1'!AP77))/4000</f>
        <v>4577</v>
      </c>
      <c r="L77" s="44">
        <f>((('Выборка 1'!AS77+'Выборка 1'!AX77)-('Выборка 1'!AR77+'Выборка 1'!AW77))+(('Выборка 1'!AT77+'Выборка 1'!AY77)-('Выборка 1'!AS77+'Выборка 1'!AX77))+(('Выборка 1'!AU77+'Выборка 1'!AZ77)-('Выборка 1'!AT77+'Выборка 1'!AY77))+(('Выборка 1'!AV77+'Выборка 1'!BA77)-('Выборка 1'!AU77+'Выборка 1'!AZ77)))/4000</f>
        <v>4823.75</v>
      </c>
      <c r="M77" s="44">
        <f>(('Выборка 1'!BC77-'Выборка 1'!BB77)+('Выборка 1'!BD77-'Выборка 1'!BC77)+('Выборка 1'!BE77-'Выборка 1'!BD77)+('Выборка 1'!BF77-'Выборка 1'!BE77))/4000</f>
        <v>0</v>
      </c>
      <c r="N77" s="44">
        <f t="shared" si="1"/>
        <v>-246.75</v>
      </c>
      <c r="O77" s="17">
        <f>((('Выборка 1'!BH77-'Выборка 1'!BM77)-('Выборка 1'!BG77-'Выборка 1'!BL77))+(('Выборка 1'!BI77-'Выборка 1'!BN77)-('Выборка 1'!BH77-'Выборка 1'!BM77))+(('Выборка 1'!BJ77-'Выборка 1'!BO77)-('Выборка 1'!BI77-'Выборка 1'!BN77))+(('Выборка 1'!BK77-'Выборка 1'!BP77)-('Выборка 1'!BJ77-'Выборка 1'!BO77)))/4000</f>
        <v>-378.25</v>
      </c>
      <c r="P77" s="17">
        <f>(('Выборка 1'!BR77-'Выборка 1'!BQ77)+('Выборка 1'!BS77-'Выборка 1'!BR77)+('Выборка 1'!BT77-'Выборка 1'!BS77)+('Выборка 1'!BU77-'Выборка 1'!BT77))/4000</f>
        <v>-1134.5</v>
      </c>
    </row>
    <row r="78" spans="2:16" x14ac:dyDescent="0.25">
      <c r="B78" s="42">
        <f>('Выборка 1'!AL78+'Выборка 1'!AG78)/1000</f>
        <v>0</v>
      </c>
      <c r="C78" s="17">
        <v>17</v>
      </c>
      <c r="D78" s="17">
        <f>(('Выборка 1'!E78-'Выборка 1'!D78)+('Выборка 1'!F78-'Выборка 1'!E78)+('Выборка 1'!G78-'Выборка 1'!F78)+('Выборка 1'!H78-'Выборка 1'!G78))/4000</f>
        <v>0</v>
      </c>
      <c r="E78" s="44">
        <f>(('Выборка 1'!J78-'Выборка 1'!I78)+('Выборка 1'!K78-'Выборка 1'!J78)+('Выборка 1'!L78-'Выборка 1'!K78)+('Выборка 1'!M78-'Выборка 1'!L78))/4000</f>
        <v>0</v>
      </c>
      <c r="F78" s="17">
        <f>(('Выборка 1'!O78-'Выборка 1'!N78)+('Выборка 1'!P78-'Выборка 1'!O78)+('Выборка 1'!Q78-'Выборка 1'!P78)+('Выборка 1'!R78-'Выборка 1'!Q78))/4000</f>
        <v>0</v>
      </c>
      <c r="G78" s="44">
        <f>(('Выборка 1'!T78-'Выборка 1'!S78)+('Выборка 1'!U78-'Выборка 1'!T78)+('Выборка 1'!V78-'Выборка 1'!U78)+('Выборка 1'!W78-'Выборка 1'!V78))/4000</f>
        <v>0</v>
      </c>
      <c r="H78" s="44">
        <f>(('Выборка 1'!Y78-'Выборка 1'!X78)+('Выборка 1'!Z78+'Выборка 1'!Y78)+('Выборка 1'!AA78-'Выборка 1'!Z78)+('Выборка 1'!AB78-'Выборка 1'!AA78))/4000</f>
        <v>0</v>
      </c>
      <c r="I78" s="44">
        <f>(('Выборка 1'!AD78-'Выборка 1'!AC78)+('Выборка 1'!AE78-'Выборка 1'!AD78)+('Выборка 1'!AF78-'Выборка 1'!AE78)+('Выборка 1'!AG78-'Выборка 1'!AF78))/4000</f>
        <v>0</v>
      </c>
      <c r="J78" s="44">
        <f>(('Выборка 1'!AI78-'Выборка 1'!AH78)+('Выборка 1'!AJ78-'Выборка 1'!AI78)+('Выборка 1'!AK78-'Выборка 1'!AJ78)+('Выборка 1'!AL78-'Выборка 1'!AK78))/4000</f>
        <v>0</v>
      </c>
      <c r="K78" s="17">
        <f>(('Выборка 1'!AN78-'Выборка 1'!AM78)+('Выборка 1'!AO78-'Выборка 1'!AN78)+('Выборка 1'!AP78-'Выборка 1'!AO78)+('Выборка 1'!AQ78-'Выборка 1'!AP78))/4000</f>
        <v>0</v>
      </c>
      <c r="L78" s="44">
        <f>((('Выборка 1'!AS78+'Выборка 1'!AX78)-('Выборка 1'!AR78+'Выборка 1'!AW78))+(('Выборка 1'!AT78+'Выборка 1'!AY78)-('Выборка 1'!AS78+'Выборка 1'!AX78))+(('Выборка 1'!AU78+'Выборка 1'!AZ78)-('Выборка 1'!AT78+'Выборка 1'!AY78))+(('Выборка 1'!AV78+'Выборка 1'!BA78)-('Выборка 1'!AU78+'Выборка 1'!AZ78)))/4000</f>
        <v>0</v>
      </c>
      <c r="M78" s="44">
        <f>(('Выборка 1'!BC78-'Выборка 1'!BB78)+('Выборка 1'!BD78-'Выборка 1'!BC78)+('Выборка 1'!BE78-'Выборка 1'!BD78)+('Выборка 1'!BF78-'Выборка 1'!BE78))/4000</f>
        <v>0</v>
      </c>
      <c r="N78" s="44">
        <f t="shared" si="1"/>
        <v>0</v>
      </c>
      <c r="O78" s="17">
        <f>((('Выборка 1'!BH78-'Выборка 1'!BM78)-('Выборка 1'!BG78-'Выборка 1'!BL78))+(('Выборка 1'!BI78-'Выборка 1'!BN78)-('Выборка 1'!BH78-'Выборка 1'!BM78))+(('Выборка 1'!BJ78-'Выборка 1'!BO78)-('Выборка 1'!BI78-'Выборка 1'!BN78))+(('Выборка 1'!BK78-'Выборка 1'!BP78)-('Выборка 1'!BJ78-'Выборка 1'!BO78)))/4000</f>
        <v>0</v>
      </c>
      <c r="P78" s="17">
        <f>(('Выборка 1'!BR78-'Выборка 1'!BQ78)+('Выборка 1'!BS78-'Выборка 1'!BR78)+('Выборка 1'!BT78-'Выборка 1'!BS78)+('Выборка 1'!BU78-'Выборка 1'!BT78))/4000</f>
        <v>0</v>
      </c>
    </row>
    <row r="79" spans="2:16" x14ac:dyDescent="0.25">
      <c r="B79" s="42">
        <f>('Выборка 1'!AL79+'Выборка 1'!AG79)/1000</f>
        <v>0</v>
      </c>
      <c r="C79" s="17">
        <v>16</v>
      </c>
      <c r="D79" s="17">
        <f>(('Выборка 1'!E79-'Выборка 1'!D79)+('Выборка 1'!F79-'Выборка 1'!E79)+('Выборка 1'!G79-'Выборка 1'!F79)+('Выборка 1'!H79-'Выборка 1'!G79))/4000</f>
        <v>-186.5</v>
      </c>
      <c r="E79" s="44">
        <f>(('Выборка 1'!J79-'Выборка 1'!I79)+('Выборка 1'!K79-'Выборка 1'!J79)+('Выборка 1'!L79-'Выборка 1'!K79)+('Выборка 1'!M79-'Выборка 1'!L79))/4000</f>
        <v>-7434.25</v>
      </c>
      <c r="F79" s="17">
        <f>(('Выборка 1'!O79-'Выборка 1'!N79)+('Выборка 1'!P79-'Выборка 1'!O79)+('Выборка 1'!Q79-'Выборка 1'!P79)+('Выборка 1'!R79-'Выборка 1'!Q79))/4000</f>
        <v>-3469</v>
      </c>
      <c r="G79" s="44">
        <f>(('Выборка 1'!T79-'Выборка 1'!S79)+('Выборка 1'!U79-'Выборка 1'!T79)+('Выборка 1'!V79-'Выборка 1'!U79)+('Выборка 1'!W79-'Выборка 1'!V79))/4000</f>
        <v>-0.25</v>
      </c>
      <c r="H79" s="44">
        <f>(('Выборка 1'!Y79-'Выборка 1'!X79)+('Выборка 1'!Z79+'Выборка 1'!Y79)+('Выборка 1'!AA79-'Выборка 1'!Z79)+('Выборка 1'!AB79-'Выборка 1'!AA79))/4000</f>
        <v>0</v>
      </c>
      <c r="I79" s="44">
        <f>(('Выборка 1'!AD79-'Выборка 1'!AC79)+('Выборка 1'!AE79-'Выборка 1'!AD79)+('Выборка 1'!AF79-'Выборка 1'!AE79)+('Выборка 1'!AG79-'Выборка 1'!AF79))/4000</f>
        <v>-91.75</v>
      </c>
      <c r="J79" s="44">
        <f>(('Выборка 1'!AI79-'Выборка 1'!AH79)+('Выборка 1'!AJ79-'Выборка 1'!AI79)+('Выборка 1'!AK79-'Выборка 1'!AJ79)+('Выборка 1'!AL79-'Выборка 1'!AK79))/4000</f>
        <v>-8151.75</v>
      </c>
      <c r="K79" s="17">
        <f>(('Выборка 1'!AN79-'Выборка 1'!AM79)+('Выборка 1'!AO79-'Выборка 1'!AN79)+('Выборка 1'!AP79-'Выборка 1'!AO79)+('Выборка 1'!AQ79-'Выборка 1'!AP79))/4000</f>
        <v>-10144</v>
      </c>
      <c r="L79" s="44">
        <f>((('Выборка 1'!AS79+'Выборка 1'!AX79)-('Выборка 1'!AR79+'Выборка 1'!AW79))+(('Выборка 1'!AT79+'Выборка 1'!AY79)-('Выборка 1'!AS79+'Выборка 1'!AX79))+(('Выборка 1'!AU79+'Выборка 1'!AZ79)-('Выборка 1'!AT79+'Выборка 1'!AY79))+(('Выборка 1'!AV79+'Выборка 1'!BA79)-('Выборка 1'!AU79+'Выборка 1'!AZ79)))/4000</f>
        <v>-9868.75</v>
      </c>
      <c r="M79" s="44">
        <f>(('Выборка 1'!BC79-'Выборка 1'!BB79)+('Выборка 1'!BD79-'Выборка 1'!BC79)+('Выборка 1'!BE79-'Выборка 1'!BD79)+('Выборка 1'!BF79-'Выборка 1'!BE79))/4000</f>
        <v>0</v>
      </c>
      <c r="N79" s="44">
        <f t="shared" si="1"/>
        <v>-275.25</v>
      </c>
      <c r="O79" s="17">
        <f>((('Выборка 1'!BH79-'Выборка 1'!BM79)-('Выборка 1'!BG79-'Выборка 1'!BL79))+(('Выборка 1'!BI79-'Выборка 1'!BN79)-('Выборка 1'!BH79-'Выборка 1'!BM79))+(('Выборка 1'!BJ79-'Выборка 1'!BO79)-('Выборка 1'!BI79-'Выборка 1'!BN79))+(('Выборка 1'!BK79-'Выборка 1'!BP79)-('Выборка 1'!BJ79-'Выборка 1'!BO79)))/4000</f>
        <v>-28</v>
      </c>
      <c r="P79" s="17">
        <f>(('Выборка 1'!BR79-'Выборка 1'!BQ79)+('Выборка 1'!BS79-'Выборка 1'!BR79)+('Выборка 1'!BT79-'Выборка 1'!BS79)+('Выборка 1'!BU79-'Выборка 1'!BT79))/4000</f>
        <v>-25.75</v>
      </c>
    </row>
    <row r="80" spans="2:16" x14ac:dyDescent="0.25">
      <c r="B80" s="42">
        <f>('Выборка 1'!AL80+'Выборка 1'!AG80)/1000</f>
        <v>0</v>
      </c>
      <c r="C80" s="17">
        <v>31</v>
      </c>
      <c r="D80" s="17">
        <f>(('Выборка 1'!E80-'Выборка 1'!D80)+('Выборка 1'!F80-'Выборка 1'!E80)+('Выборка 1'!G80-'Выборка 1'!F80)+('Выборка 1'!H80-'Выборка 1'!G80))/4000</f>
        <v>0</v>
      </c>
      <c r="E80" s="44">
        <f>(('Выборка 1'!J80-'Выборка 1'!I80)+('Выборка 1'!K80-'Выборка 1'!J80)+('Выборка 1'!L80-'Выборка 1'!K80)+('Выборка 1'!M80-'Выборка 1'!L80))/4000</f>
        <v>0</v>
      </c>
      <c r="F80" s="17">
        <f>(('Выборка 1'!O80-'Выборка 1'!N80)+('Выборка 1'!P80-'Выборка 1'!O80)+('Выборка 1'!Q80-'Выборка 1'!P80)+('Выборка 1'!R80-'Выборка 1'!Q80))/4000</f>
        <v>0</v>
      </c>
      <c r="G80" s="44">
        <f>(('Выборка 1'!T80-'Выборка 1'!S80)+('Выборка 1'!U80-'Выборка 1'!T80)+('Выборка 1'!V80-'Выборка 1'!U80)+('Выборка 1'!W80-'Выборка 1'!V80))/4000</f>
        <v>0</v>
      </c>
      <c r="H80" s="44">
        <f>(('Выборка 1'!Y80-'Выборка 1'!X80)+('Выборка 1'!Z80+'Выборка 1'!Y80)+('Выборка 1'!AA80-'Выборка 1'!Z80)+('Выборка 1'!AB80-'Выборка 1'!AA80))/4000</f>
        <v>0</v>
      </c>
      <c r="I80" s="44">
        <f>(('Выборка 1'!AD80-'Выборка 1'!AC80)+('Выборка 1'!AE80-'Выборка 1'!AD80)+('Выборка 1'!AF80-'Выборка 1'!AE80)+('Выборка 1'!AG80-'Выборка 1'!AF80))/4000</f>
        <v>0</v>
      </c>
      <c r="J80" s="44">
        <f>(('Выборка 1'!AI80-'Выборка 1'!AH80)+('Выборка 1'!AJ80-'Выборка 1'!AI80)+('Выборка 1'!AK80-'Выборка 1'!AJ80)+('Выборка 1'!AL80-'Выборка 1'!AK80))/4000</f>
        <v>0</v>
      </c>
      <c r="K80" s="17">
        <f>(('Выборка 1'!AN80-'Выборка 1'!AM80)+('Выборка 1'!AO80-'Выборка 1'!AN80)+('Выборка 1'!AP80-'Выборка 1'!AO80)+('Выборка 1'!AQ80-'Выборка 1'!AP80))/4000</f>
        <v>0</v>
      </c>
      <c r="L80" s="44">
        <f>((('Выборка 1'!AS80+'Выборка 1'!AX80)-('Выборка 1'!AR80+'Выборка 1'!AW80))+(('Выборка 1'!AT80+'Выборка 1'!AY80)-('Выборка 1'!AS80+'Выборка 1'!AX80))+(('Выборка 1'!AU80+'Выборка 1'!AZ80)-('Выборка 1'!AT80+'Выборка 1'!AY80))+(('Выборка 1'!AV80+'Выборка 1'!BA80)-('Выборка 1'!AU80+'Выборка 1'!AZ80)))/4000</f>
        <v>0</v>
      </c>
      <c r="M80" s="44">
        <f>(('Выборка 1'!BC80-'Выборка 1'!BB80)+('Выборка 1'!BD80-'Выборка 1'!BC80)+('Выборка 1'!BE80-'Выборка 1'!BD80)+('Выборка 1'!BF80-'Выборка 1'!BE80))/4000</f>
        <v>0</v>
      </c>
      <c r="N80" s="44">
        <f t="shared" si="1"/>
        <v>0</v>
      </c>
      <c r="O80" s="17">
        <f>((('Выборка 1'!BH80-'Выборка 1'!BM80)-('Выборка 1'!BG80-'Выборка 1'!BL80))+(('Выборка 1'!BI80-'Выборка 1'!BN80)-('Выборка 1'!BH80-'Выборка 1'!BM80))+(('Выборка 1'!BJ80-'Выборка 1'!BO80)-('Выборка 1'!BI80-'Выборка 1'!BN80))+(('Выборка 1'!BK80-'Выборка 1'!BP80)-('Выборка 1'!BJ80-'Выборка 1'!BO80)))/4000</f>
        <v>0</v>
      </c>
      <c r="P80" s="17">
        <f>(('Выборка 1'!BR80-'Выборка 1'!BQ80)+('Выборка 1'!BS80-'Выборка 1'!BR80)+('Выборка 1'!BT80-'Выборка 1'!BS80)+('Выборка 1'!BU80-'Выборка 1'!BT80))/4000</f>
        <v>0</v>
      </c>
    </row>
    <row r="81" spans="2:16" x14ac:dyDescent="0.25">
      <c r="B81" s="42">
        <f>('Выборка 1'!AL81+'Выборка 1'!AG81)/1000</f>
        <v>0</v>
      </c>
      <c r="C81" s="17">
        <v>14</v>
      </c>
      <c r="D81" s="17">
        <f>(('Выборка 1'!E81-'Выборка 1'!D81)+('Выборка 1'!F81-'Выборка 1'!E81)+('Выборка 1'!G81-'Выборка 1'!F81)+('Выборка 1'!H81-'Выборка 1'!G81))/4000</f>
        <v>0</v>
      </c>
      <c r="E81" s="44">
        <f>(('Выборка 1'!J81-'Выборка 1'!I81)+('Выборка 1'!K81-'Выборка 1'!J81)+('Выборка 1'!L81-'Выборка 1'!K81)+('Выборка 1'!M81-'Выборка 1'!L81))/4000</f>
        <v>0</v>
      </c>
      <c r="F81" s="17">
        <f>(('Выборка 1'!O81-'Выборка 1'!N81)+('Выборка 1'!P81-'Выборка 1'!O81)+('Выборка 1'!Q81-'Выборка 1'!P81)+('Выборка 1'!R81-'Выборка 1'!Q81))/4000</f>
        <v>-3282.25</v>
      </c>
      <c r="G81" s="44">
        <f>(('Выборка 1'!T81-'Выборка 1'!S81)+('Выборка 1'!U81-'Выборка 1'!T81)+('Выборка 1'!V81-'Выборка 1'!U81)+('Выборка 1'!W81-'Выборка 1'!V81))/4000</f>
        <v>-53.5</v>
      </c>
      <c r="H81" s="44">
        <f>(('Выборка 1'!Y81-'Выборка 1'!X81)+('Выборка 1'!Z81+'Выборка 1'!Y81)+('Выборка 1'!AA81-'Выборка 1'!Z81)+('Выборка 1'!AB81-'Выборка 1'!AA81))/4000</f>
        <v>-2663.5</v>
      </c>
      <c r="I81" s="44">
        <f>(('Выборка 1'!AD81-'Выборка 1'!AC81)+('Выборка 1'!AE81-'Выборка 1'!AD81)+('Выборка 1'!AF81-'Выборка 1'!AE81)+('Выборка 1'!AG81-'Выборка 1'!AF81))/4000</f>
        <v>0</v>
      </c>
      <c r="J81" s="44">
        <f>(('Выборка 1'!AI81-'Выборка 1'!AH81)+('Выборка 1'!AJ81-'Выборка 1'!AI81)+('Выборка 1'!AK81-'Выборка 1'!AJ81)+('Выборка 1'!AL81-'Выборка 1'!AK81))/4000</f>
        <v>-669.75</v>
      </c>
      <c r="K81" s="17">
        <f>(('Выборка 1'!AN81-'Выборка 1'!AM81)+('Выборка 1'!AO81-'Выборка 1'!AN81)+('Выборка 1'!AP81-'Выборка 1'!AO81)+('Выборка 1'!AQ81-'Выборка 1'!AP81))/4000</f>
        <v>-3234.75</v>
      </c>
      <c r="L81" s="44">
        <f>((('Выборка 1'!AS81+'Выборка 1'!AX81)-('Выборка 1'!AR81+'Выборка 1'!AW81))+(('Выборка 1'!AT81+'Выборка 1'!AY81)-('Выборка 1'!AS81+'Выборка 1'!AX81))+(('Выборка 1'!AU81+'Выборка 1'!AZ81)-('Выборка 1'!AT81+'Выборка 1'!AY81))+(('Выборка 1'!AV81+'Выборка 1'!BA81)-('Выборка 1'!AU81+'Выборка 1'!AZ81)))/4000</f>
        <v>-1849.75</v>
      </c>
      <c r="M81" s="44">
        <f>(('Выборка 1'!BC81-'Выборка 1'!BB81)+('Выборка 1'!BD81-'Выборка 1'!BC81)+('Выборка 1'!BE81-'Выборка 1'!BD81)+('Выборка 1'!BF81-'Выборка 1'!BE81))/4000</f>
        <v>0</v>
      </c>
      <c r="N81" s="44">
        <f t="shared" si="1"/>
        <v>-1385</v>
      </c>
      <c r="O81" s="17">
        <f>((('Выборка 1'!BH81-'Выборка 1'!BM81)-('Выборка 1'!BG81-'Выборка 1'!BL81))+(('Выборка 1'!BI81-'Выборка 1'!BN81)-('Выборка 1'!BH81-'Выборка 1'!BM81))+(('Выборка 1'!BJ81-'Выборка 1'!BO81)-('Выборка 1'!BI81-'Выборка 1'!BN81))+(('Выборка 1'!BK81-'Выборка 1'!BP81)-('Выборка 1'!BJ81-'Выборка 1'!BO81)))/4000</f>
        <v>0</v>
      </c>
      <c r="P81" s="17">
        <f>(('Выборка 1'!BR81-'Выборка 1'!BQ81)+('Выборка 1'!BS81-'Выборка 1'!BR81)+('Выборка 1'!BT81-'Выборка 1'!BS81)+('Выборка 1'!BU81-'Выборка 1'!BT81))/4000</f>
        <v>-1108</v>
      </c>
    </row>
    <row r="82" spans="2:16" x14ac:dyDescent="0.25">
      <c r="B82" s="42">
        <f>('Выборка 1'!AL82+'Выборка 1'!AG82)/1000</f>
        <v>0</v>
      </c>
      <c r="C82" s="17">
        <v>22</v>
      </c>
      <c r="D82" s="17">
        <f>(('Выборка 1'!E82-'Выборка 1'!D82)+('Выборка 1'!F82-'Выборка 1'!E82)+('Выборка 1'!G82-'Выборка 1'!F82)+('Выборка 1'!H82-'Выборка 1'!G82))/4000</f>
        <v>-38</v>
      </c>
      <c r="E82" s="44">
        <f>(('Выборка 1'!J82-'Выборка 1'!I82)+('Выборка 1'!K82-'Выборка 1'!J82)+('Выборка 1'!L82-'Выборка 1'!K82)+('Выборка 1'!M82-'Выборка 1'!L82))/4000</f>
        <v>-4442</v>
      </c>
      <c r="F82" s="17">
        <f>(('Выборка 1'!O82-'Выборка 1'!N82)+('Выборка 1'!P82-'Выборка 1'!O82)+('Выборка 1'!Q82-'Выборка 1'!P82)+('Выборка 1'!R82-'Выборка 1'!Q82))/4000</f>
        <v>-4135.5</v>
      </c>
      <c r="G82" s="44">
        <f>(('Выборка 1'!T82-'Выборка 1'!S82)+('Выборка 1'!U82-'Выборка 1'!T82)+('Выборка 1'!V82-'Выборка 1'!U82)+('Выборка 1'!W82-'Выборка 1'!V82))/4000</f>
        <v>-3219.75</v>
      </c>
      <c r="H82" s="44">
        <f>(('Выборка 1'!Y82-'Выборка 1'!X82)+('Выборка 1'!Z82+'Выборка 1'!Y82)+('Выборка 1'!AA82-'Выборка 1'!Z82)+('Выборка 1'!AB82-'Выборка 1'!AA82))/4000</f>
        <v>794.75</v>
      </c>
      <c r="I82" s="44">
        <f>(('Выборка 1'!AD82-'Выборка 1'!AC82)+('Выборка 1'!AE82-'Выборка 1'!AD82)+('Выборка 1'!AF82-'Выборка 1'!AE82)+('Выборка 1'!AG82-'Выборка 1'!AF82))/4000</f>
        <v>-675</v>
      </c>
      <c r="J82" s="44">
        <f>(('Выборка 1'!AI82-'Выборка 1'!AH82)+('Выборка 1'!AJ82-'Выборка 1'!AI82)+('Выборка 1'!AK82-'Выборка 1'!AJ82)+('Выборка 1'!AL82-'Выборка 1'!AK82))/4000</f>
        <v>-11285.25</v>
      </c>
      <c r="K82" s="17">
        <f>(('Выборка 1'!AN82-'Выборка 1'!AM82)+('Выборка 1'!AO82-'Выборка 1'!AN82)+('Выборка 1'!AP82-'Выборка 1'!AO82)+('Выборка 1'!AQ82-'Выборка 1'!AP82))/4000</f>
        <v>-1349.25</v>
      </c>
      <c r="L82" s="44">
        <f>((('Выборка 1'!AS82+'Выборка 1'!AX82)-('Выборка 1'!AR82+'Выборка 1'!AW82))+(('Выборка 1'!AT82+'Выборка 1'!AY82)-('Выборка 1'!AS82+'Выборка 1'!AX82))+(('Выборка 1'!AU82+'Выборка 1'!AZ82)-('Выборка 1'!AT82+'Выборка 1'!AY82))+(('Выборка 1'!AV82+'Выборка 1'!BA82)-('Выборка 1'!AU82+'Выборка 1'!AZ82)))/4000</f>
        <v>-1384</v>
      </c>
      <c r="M82" s="44">
        <f>(('Выборка 1'!BC82-'Выборка 1'!BB82)+('Выборка 1'!BD82-'Выборка 1'!BC82)+('Выборка 1'!BE82-'Выборка 1'!BD82)+('Выборка 1'!BF82-'Выборка 1'!BE82))/4000</f>
        <v>-754.5</v>
      </c>
      <c r="N82" s="44">
        <f t="shared" si="1"/>
        <v>789.25</v>
      </c>
      <c r="O82" s="17">
        <f>((('Выборка 1'!BH82-'Выборка 1'!BM82)-('Выборка 1'!BG82-'Выборка 1'!BL82))+(('Выборка 1'!BI82-'Выборка 1'!BN82)-('Выборка 1'!BH82-'Выборка 1'!BM82))+(('Выборка 1'!BJ82-'Выборка 1'!BO82)-('Выборка 1'!BI82-'Выборка 1'!BN82))+(('Выборка 1'!BK82-'Выборка 1'!BP82)-('Выборка 1'!BJ82-'Выборка 1'!BO82)))/4000</f>
        <v>-898</v>
      </c>
      <c r="P82" s="17">
        <f>(('Выборка 1'!BR82-'Выборка 1'!BQ82)+('Выборка 1'!BS82-'Выборка 1'!BR82)+('Выборка 1'!BT82-'Выборка 1'!BS82)+('Выборка 1'!BU82-'Выборка 1'!BT82))/4000</f>
        <v>-86.25</v>
      </c>
    </row>
    <row r="83" spans="2:16" x14ac:dyDescent="0.25">
      <c r="B83" s="42">
        <f>('Выборка 1'!AL83+'Выборка 1'!AG83)/1000</f>
        <v>0</v>
      </c>
      <c r="C83" s="17">
        <v>9</v>
      </c>
      <c r="D83" s="17">
        <f>(('Выборка 1'!E83-'Выборка 1'!D83)+('Выборка 1'!F83-'Выборка 1'!E83)+('Выборка 1'!G83-'Выборка 1'!F83)+('Выборка 1'!H83-'Выборка 1'!G83))/4000</f>
        <v>-907</v>
      </c>
      <c r="E83" s="44">
        <f>(('Выборка 1'!J83-'Выборка 1'!I83)+('Выборка 1'!K83-'Выборка 1'!J83)+('Выборка 1'!L83-'Выборка 1'!K83)+('Выборка 1'!M83-'Выборка 1'!L83))/4000</f>
        <v>-585.5</v>
      </c>
      <c r="F83" s="17">
        <f>(('Выборка 1'!O83-'Выборка 1'!N83)+('Выборка 1'!P83-'Выборка 1'!O83)+('Выборка 1'!Q83-'Выборка 1'!P83)+('Выборка 1'!R83-'Выборка 1'!Q83))/4000</f>
        <v>-633.75</v>
      </c>
      <c r="G83" s="44">
        <f>(('Выборка 1'!T83-'Выборка 1'!S83)+('Выборка 1'!U83-'Выборка 1'!T83)+('Выборка 1'!V83-'Выборка 1'!U83)+('Выборка 1'!W83-'Выборка 1'!V83))/4000</f>
        <v>0</v>
      </c>
      <c r="H83" s="44">
        <f>(('Выборка 1'!Y83-'Выборка 1'!X83)+('Выборка 1'!Z83+'Выборка 1'!Y83)+('Выборка 1'!AA83-'Выборка 1'!Z83)+('Выборка 1'!AB83-'Выборка 1'!AA83))/4000</f>
        <v>-1701.25</v>
      </c>
      <c r="I83" s="44">
        <f>(('Выборка 1'!AD83-'Выборка 1'!AC83)+('Выборка 1'!AE83-'Выборка 1'!AD83)+('Выборка 1'!AF83-'Выборка 1'!AE83)+('Выборка 1'!AG83-'Выборка 1'!AF83))/4000</f>
        <v>0</v>
      </c>
      <c r="J83" s="44">
        <f>(('Выборка 1'!AI83-'Выборка 1'!AH83)+('Выборка 1'!AJ83-'Выборка 1'!AI83)+('Выборка 1'!AK83-'Выборка 1'!AJ83)+('Выборка 1'!AL83-'Выборка 1'!AK83))/4000</f>
        <v>-2763.25</v>
      </c>
      <c r="K83" s="17">
        <f>(('Выборка 1'!AN83-'Выборка 1'!AM83)+('Выборка 1'!AO83-'Выборка 1'!AN83)+('Выборка 1'!AP83-'Выборка 1'!AO83)+('Выборка 1'!AQ83-'Выборка 1'!AP83))/4000</f>
        <v>-365.25</v>
      </c>
      <c r="L83" s="44">
        <f>((('Выборка 1'!AS83+'Выборка 1'!AX83)-('Выборка 1'!AR83+'Выборка 1'!AW83))+(('Выборка 1'!AT83+'Выборка 1'!AY83)-('Выборка 1'!AS83+'Выборка 1'!AX83))+(('Выборка 1'!AU83+'Выборка 1'!AZ83)-('Выборка 1'!AT83+'Выборка 1'!AY83))+(('Выборка 1'!AV83+'Выборка 1'!BA83)-('Выборка 1'!AU83+'Выборка 1'!AZ83)))/4000</f>
        <v>-280.25</v>
      </c>
      <c r="M83" s="44">
        <f>(('Выборка 1'!BC83-'Выборка 1'!BB83)+('Выборка 1'!BD83-'Выборка 1'!BC83)+('Выборка 1'!BE83-'Выборка 1'!BD83)+('Выборка 1'!BF83-'Выборка 1'!BE83))/4000</f>
        <v>-593</v>
      </c>
      <c r="N83" s="44">
        <f t="shared" si="1"/>
        <v>508</v>
      </c>
      <c r="O83" s="17">
        <f>((('Выборка 1'!BH83-'Выборка 1'!BM83)-('Выборка 1'!BG83-'Выборка 1'!BL83))+(('Выборка 1'!BI83-'Выборка 1'!BN83)-('Выборка 1'!BH83-'Выборка 1'!BM83))+(('Выборка 1'!BJ83-'Выборка 1'!BO83)-('Выборка 1'!BI83-'Выборка 1'!BN83))+(('Выборка 1'!BK83-'Выборка 1'!BP83)-('Выборка 1'!BJ83-'Выборка 1'!BO83)))/4000</f>
        <v>-406.75</v>
      </c>
      <c r="P83" s="17">
        <f>(('Выборка 1'!BR83-'Выборка 1'!BQ83)+('Выборка 1'!BS83-'Выборка 1'!BR83)+('Выборка 1'!BT83-'Выборка 1'!BS83)+('Выборка 1'!BU83-'Выборка 1'!BT83))/4000</f>
        <v>105.75</v>
      </c>
    </row>
    <row r="84" spans="2:16" x14ac:dyDescent="0.25">
      <c r="B84" s="42">
        <f>('Выборка 1'!AL84+'Выборка 1'!AG84)/1000</f>
        <v>25088</v>
      </c>
      <c r="C84" s="17">
        <v>29</v>
      </c>
      <c r="D84" s="17">
        <f>(('Выборка 1'!E84-'Выборка 1'!D84)+('Выборка 1'!F84-'Выборка 1'!E84)+('Выборка 1'!G84-'Выборка 1'!F84)+('Выборка 1'!H84-'Выборка 1'!G84))/4000</f>
        <v>0</v>
      </c>
      <c r="E84" s="44">
        <f>(('Выборка 1'!J84-'Выборка 1'!I84)+('Выборка 1'!K84-'Выборка 1'!J84)+('Выборка 1'!L84-'Выборка 1'!K84)+('Выборка 1'!M84-'Выборка 1'!L84))/4000</f>
        <v>0</v>
      </c>
      <c r="F84" s="17">
        <f>(('Выборка 1'!O84-'Выборка 1'!N84)+('Выборка 1'!P84-'Выборка 1'!O84)+('Выборка 1'!Q84-'Выборка 1'!P84)+('Выборка 1'!R84-'Выборка 1'!Q84))/4000</f>
        <v>-92.75</v>
      </c>
      <c r="G84" s="44">
        <f>(('Выборка 1'!T84-'Выборка 1'!S84)+('Выборка 1'!U84-'Выборка 1'!T84)+('Выборка 1'!V84-'Выборка 1'!U84)+('Выборка 1'!W84-'Выборка 1'!V84))/4000</f>
        <v>-2.5</v>
      </c>
      <c r="H84" s="44">
        <f>(('Выборка 1'!Y84-'Выборка 1'!X84)+('Выборка 1'!Z84+'Выборка 1'!Y84)+('Выборка 1'!AA84-'Выборка 1'!Z84)+('Выборка 1'!AB84-'Выборка 1'!AA84))/4000</f>
        <v>-4765</v>
      </c>
      <c r="I84" s="44">
        <f>(('Выборка 1'!AD84-'Выборка 1'!AC84)+('Выборка 1'!AE84-'Выборка 1'!AD84)+('Выборка 1'!AF84-'Выборка 1'!AE84)+('Выборка 1'!AG84-'Выборка 1'!AF84))/4000</f>
        <v>0</v>
      </c>
      <c r="J84" s="44">
        <f>(('Выборка 1'!AI84-'Выборка 1'!AH84)+('Выборка 1'!AJ84-'Выборка 1'!AI84)+('Выборка 1'!AK84-'Выборка 1'!AJ84)+('Выборка 1'!AL84-'Выборка 1'!AK84))/4000</f>
        <v>6253.5</v>
      </c>
      <c r="K84" s="17">
        <f>(('Выборка 1'!AN84-'Выборка 1'!AM84)+('Выборка 1'!AO84-'Выборка 1'!AN84)+('Выборка 1'!AP84-'Выборка 1'!AO84)+('Выборка 1'!AQ84-'Выборка 1'!AP84))/4000</f>
        <v>0</v>
      </c>
      <c r="L84" s="44">
        <f>((('Выборка 1'!AS84+'Выборка 1'!AX84)-('Выборка 1'!AR84+'Выборка 1'!AW84))+(('Выборка 1'!AT84+'Выборка 1'!AY84)-('Выборка 1'!AS84+'Выборка 1'!AX84))+(('Выборка 1'!AU84+'Выборка 1'!AZ84)-('Выборка 1'!AT84+'Выборка 1'!AY84))+(('Выборка 1'!AV84+'Выборка 1'!BA84)-('Выборка 1'!AU84+'Выборка 1'!AZ84)))/4000</f>
        <v>-170.25</v>
      </c>
      <c r="M84" s="44">
        <f>(('Выборка 1'!BC84-'Выборка 1'!BB84)+('Выборка 1'!BD84-'Выборка 1'!BC84)+('Выборка 1'!BE84-'Выборка 1'!BD84)+('Выборка 1'!BF84-'Выборка 1'!BE84))/4000</f>
        <v>246.75</v>
      </c>
      <c r="N84" s="44">
        <f t="shared" si="1"/>
        <v>-76.5</v>
      </c>
      <c r="O84" s="17">
        <f>((('Выборка 1'!BH84-'Выборка 1'!BM84)-('Выборка 1'!BG84-'Выборка 1'!BL84))+(('Выборка 1'!BI84-'Выборка 1'!BN84)-('Выборка 1'!BH84-'Выборка 1'!BM84))+(('Выборка 1'!BJ84-'Выборка 1'!BO84)-('Выборка 1'!BI84-'Выборка 1'!BN84))+(('Выборка 1'!BK84-'Выборка 1'!BP84)-('Выборка 1'!BJ84-'Выборка 1'!BO84)))/4000</f>
        <v>280.5</v>
      </c>
      <c r="P84" s="17">
        <f>(('Выборка 1'!BR84-'Выборка 1'!BQ84)+('Выборка 1'!BS84-'Выборка 1'!BR84)+('Выборка 1'!BT84-'Выборка 1'!BS84)+('Выборка 1'!BU84-'Выборка 1'!BT84))/4000</f>
        <v>205</v>
      </c>
    </row>
    <row r="85" spans="2:16" x14ac:dyDescent="0.25">
      <c r="B85" s="42">
        <f>('Выборка 1'!AL85+'Выборка 1'!AG85)/1000</f>
        <v>0</v>
      </c>
      <c r="C85" s="17">
        <v>12</v>
      </c>
      <c r="D85" s="17">
        <f>(('Выборка 1'!E85-'Выборка 1'!D85)+('Выборка 1'!F85-'Выборка 1'!E85)+('Выборка 1'!G85-'Выборка 1'!F85)+('Выборка 1'!H85-'Выборка 1'!G85))/4000</f>
        <v>0</v>
      </c>
      <c r="E85" s="44">
        <f>(('Выборка 1'!J85-'Выборка 1'!I85)+('Выборка 1'!K85-'Выборка 1'!J85)+('Выборка 1'!L85-'Выборка 1'!K85)+('Выборка 1'!M85-'Выборка 1'!L85))/4000</f>
        <v>0</v>
      </c>
      <c r="F85" s="17">
        <f>(('Выборка 1'!O85-'Выборка 1'!N85)+('Выборка 1'!P85-'Выборка 1'!O85)+('Выборка 1'!Q85-'Выборка 1'!P85)+('Выборка 1'!R85-'Выборка 1'!Q85))/4000</f>
        <v>0</v>
      </c>
      <c r="G85" s="44">
        <f>(('Выборка 1'!T85-'Выборка 1'!S85)+('Выборка 1'!U85-'Выборка 1'!T85)+('Выборка 1'!V85-'Выборка 1'!U85)+('Выборка 1'!W85-'Выборка 1'!V85))/4000</f>
        <v>0</v>
      </c>
      <c r="H85" s="44">
        <f>(('Выборка 1'!Y85-'Выборка 1'!X85)+('Выборка 1'!Z85+'Выборка 1'!Y85)+('Выборка 1'!AA85-'Выборка 1'!Z85)+('Выборка 1'!AB85-'Выборка 1'!AA85))/4000</f>
        <v>0</v>
      </c>
      <c r="I85" s="44">
        <f>(('Выборка 1'!AD85-'Выборка 1'!AC85)+('Выборка 1'!AE85-'Выборка 1'!AD85)+('Выборка 1'!AF85-'Выборка 1'!AE85)+('Выборка 1'!AG85-'Выборка 1'!AF85))/4000</f>
        <v>0</v>
      </c>
      <c r="J85" s="44">
        <f>(('Выборка 1'!AI85-'Выборка 1'!AH85)+('Выборка 1'!AJ85-'Выборка 1'!AI85)+('Выборка 1'!AK85-'Выборка 1'!AJ85)+('Выборка 1'!AL85-'Выборка 1'!AK85))/4000</f>
        <v>0</v>
      </c>
      <c r="K85" s="17">
        <f>(('Выборка 1'!AN85-'Выборка 1'!AM85)+('Выборка 1'!AO85-'Выборка 1'!AN85)+('Выборка 1'!AP85-'Выборка 1'!AO85)+('Выборка 1'!AQ85-'Выборка 1'!AP85))/4000</f>
        <v>0</v>
      </c>
      <c r="L85" s="44">
        <f>((('Выборка 1'!AS85+'Выборка 1'!AX85)-('Выборка 1'!AR85+'Выборка 1'!AW85))+(('Выборка 1'!AT85+'Выборка 1'!AY85)-('Выборка 1'!AS85+'Выборка 1'!AX85))+(('Выборка 1'!AU85+'Выборка 1'!AZ85)-('Выборка 1'!AT85+'Выборка 1'!AY85))+(('Выборка 1'!AV85+'Выборка 1'!BA85)-('Выборка 1'!AU85+'Выборка 1'!AZ85)))/4000</f>
        <v>0</v>
      </c>
      <c r="M85" s="44">
        <f>(('Выборка 1'!BC85-'Выборка 1'!BB85)+('Выборка 1'!BD85-'Выборка 1'!BC85)+('Выборка 1'!BE85-'Выборка 1'!BD85)+('Выборка 1'!BF85-'Выборка 1'!BE85))/4000</f>
        <v>0</v>
      </c>
      <c r="N85" s="44">
        <f t="shared" si="1"/>
        <v>0</v>
      </c>
      <c r="O85" s="17">
        <f>((('Выборка 1'!BH85-'Выборка 1'!BM85)-('Выборка 1'!BG85-'Выборка 1'!BL85))+(('Выборка 1'!BI85-'Выборка 1'!BN85)-('Выборка 1'!BH85-'Выборка 1'!BM85))+(('Выборка 1'!BJ85-'Выборка 1'!BO85)-('Выборка 1'!BI85-'Выборка 1'!BN85))+(('Выборка 1'!BK85-'Выборка 1'!BP85)-('Выборка 1'!BJ85-'Выборка 1'!BO85)))/4000</f>
        <v>0</v>
      </c>
      <c r="P85" s="17">
        <f>(('Выборка 1'!BR85-'Выборка 1'!BQ85)+('Выборка 1'!BS85-'Выборка 1'!BR85)+('Выборка 1'!BT85-'Выборка 1'!BS85)+('Выборка 1'!BU85-'Выборка 1'!BT85))/4000</f>
        <v>0</v>
      </c>
    </row>
    <row r="86" spans="2:16" x14ac:dyDescent="0.25">
      <c r="B86" s="42">
        <f>('Выборка 1'!AL86+'Выборка 1'!AG86)/1000</f>
        <v>15629</v>
      </c>
      <c r="C86" s="17">
        <v>8</v>
      </c>
      <c r="D86" s="17">
        <f>(('Выборка 1'!E86-'Выборка 1'!D86)+('Выборка 1'!F86-'Выборка 1'!E86)+('Выборка 1'!G86-'Выборка 1'!F86)+('Выборка 1'!H86-'Выборка 1'!G86))/4000</f>
        <v>110.25</v>
      </c>
      <c r="E86" s="44">
        <f>(('Выборка 1'!J86-'Выборка 1'!I86)+('Выборка 1'!K86-'Выборка 1'!J86)+('Выборка 1'!L86-'Выборка 1'!K86)+('Выборка 1'!M86-'Выборка 1'!L86))/4000</f>
        <v>-9</v>
      </c>
      <c r="F86" s="17">
        <f>(('Выборка 1'!O86-'Выборка 1'!N86)+('Выборка 1'!P86-'Выборка 1'!O86)+('Выборка 1'!Q86-'Выборка 1'!P86)+('Выборка 1'!R86-'Выборка 1'!Q86))/4000</f>
        <v>-75</v>
      </c>
      <c r="G86" s="44">
        <f>(('Выборка 1'!T86-'Выборка 1'!S86)+('Выборка 1'!U86-'Выборка 1'!T86)+('Выборка 1'!V86-'Выборка 1'!U86)+('Выборка 1'!W86-'Выборка 1'!V86))/4000</f>
        <v>-30.5</v>
      </c>
      <c r="H86" s="44">
        <f>(('Выборка 1'!Y86-'Выборка 1'!X86)+('Выборка 1'!Z86+'Выборка 1'!Y86)+('Выборка 1'!AA86-'Выборка 1'!Z86)+('Выборка 1'!AB86-'Выборка 1'!AA86))/4000</f>
        <v>-30.75</v>
      </c>
      <c r="I86" s="44">
        <f>(('Выборка 1'!AD86-'Выборка 1'!AC86)+('Выборка 1'!AE86-'Выборка 1'!AD86)+('Выборка 1'!AF86-'Выборка 1'!AE86)+('Выборка 1'!AG86-'Выборка 1'!AF86))/4000</f>
        <v>0</v>
      </c>
      <c r="J86" s="44">
        <f>(('Выборка 1'!AI86-'Выборка 1'!AH86)+('Выборка 1'!AJ86-'Выборка 1'!AI86)+('Выборка 1'!AK86-'Выборка 1'!AJ86)+('Выборка 1'!AL86-'Выборка 1'!AK86))/4000</f>
        <v>3824</v>
      </c>
      <c r="K86" s="17">
        <f>(('Выборка 1'!AN86-'Выборка 1'!AM86)+('Выборка 1'!AO86-'Выборка 1'!AN86)+('Выборка 1'!AP86-'Выборка 1'!AO86)+('Выборка 1'!AQ86-'Выборка 1'!AP86))/4000</f>
        <v>6231.25</v>
      </c>
      <c r="L86" s="44">
        <f>((('Выборка 1'!AS86+'Выборка 1'!AX86)-('Выборка 1'!AR86+'Выборка 1'!AW86))+(('Выборка 1'!AT86+'Выборка 1'!AY86)-('Выборка 1'!AS86+'Выборка 1'!AX86))+(('Выборка 1'!AU86+'Выборка 1'!AZ86)-('Выборка 1'!AT86+'Выборка 1'!AY86))+(('Выборка 1'!AV86+'Выборка 1'!BA86)-('Выборка 1'!AU86+'Выборка 1'!AZ86)))/4000</f>
        <v>14162.75</v>
      </c>
      <c r="M86" s="44">
        <f>(('Выборка 1'!BC86-'Выборка 1'!BB86)+('Выборка 1'!BD86-'Выборка 1'!BC86)+('Выборка 1'!BE86-'Выборка 1'!BD86)+('Выборка 1'!BF86-'Выборка 1'!BE86))/4000</f>
        <v>-40.75</v>
      </c>
      <c r="N86" s="44">
        <f t="shared" si="1"/>
        <v>-7890.75</v>
      </c>
      <c r="O86" s="17">
        <f>((('Выборка 1'!BH86-'Выборка 1'!BM86)-('Выборка 1'!BG86-'Выборка 1'!BL86))+(('Выборка 1'!BI86-'Выборка 1'!BN86)-('Выборка 1'!BH86-'Выборка 1'!BM86))+(('Выборка 1'!BJ86-'Выборка 1'!BO86)-('Выборка 1'!BI86-'Выборка 1'!BN86))+(('Выборка 1'!BK86-'Выборка 1'!BP86)-('Выборка 1'!BJ86-'Выборка 1'!BO86)))/4000</f>
        <v>-263.75</v>
      </c>
      <c r="P86" s="17">
        <f>(('Выборка 1'!BR86-'Выборка 1'!BQ86)+('Выборка 1'!BS86-'Выборка 1'!BR86)+('Выборка 1'!BT86-'Выборка 1'!BS86)+('Выборка 1'!BU86-'Выборка 1'!BT86))/4000</f>
        <v>-8379.75</v>
      </c>
    </row>
    <row r="87" spans="2:16" x14ac:dyDescent="0.25">
      <c r="B87" s="42">
        <f>('Выборка 1'!AL87+'Выборка 1'!AG87)/1000</f>
        <v>100071</v>
      </c>
      <c r="C87" s="17">
        <v>17</v>
      </c>
      <c r="D87" s="17">
        <f>(('Выборка 1'!E87-'Выборка 1'!D87)+('Выборка 1'!F87-'Выборка 1'!E87)+('Выборка 1'!G87-'Выборка 1'!F87)+('Выборка 1'!H87-'Выборка 1'!G87))/4000</f>
        <v>-246.25</v>
      </c>
      <c r="E87" s="44">
        <f>(('Выборка 1'!J87-'Выборка 1'!I87)+('Выборка 1'!K87-'Выборка 1'!J87)+('Выборка 1'!L87-'Выборка 1'!K87)+('Выборка 1'!M87-'Выборка 1'!L87))/4000</f>
        <v>-756.5</v>
      </c>
      <c r="F87" s="17">
        <f>(('Выборка 1'!O87-'Выборка 1'!N87)+('Выборка 1'!P87-'Выборка 1'!O87)+('Выборка 1'!Q87-'Выборка 1'!P87)+('Выборка 1'!R87-'Выборка 1'!Q87))/4000</f>
        <v>-27042.75</v>
      </c>
      <c r="G87" s="44">
        <f>(('Выборка 1'!T87-'Выборка 1'!S87)+('Выборка 1'!U87-'Выборка 1'!T87)+('Выборка 1'!V87-'Выборка 1'!U87)+('Выборка 1'!W87-'Выборка 1'!V87))/4000</f>
        <v>0</v>
      </c>
      <c r="H87" s="44">
        <f>(('Выборка 1'!Y87-'Выборка 1'!X87)+('Выборка 1'!Z87+'Выборка 1'!Y87)+('Выборка 1'!AA87-'Выборка 1'!Z87)+('Выборка 1'!AB87-'Выборка 1'!AA87))/4000</f>
        <v>0</v>
      </c>
      <c r="I87" s="44">
        <f>(('Выборка 1'!AD87-'Выборка 1'!AC87)+('Выборка 1'!AE87-'Выборка 1'!AD87)+('Выборка 1'!AF87-'Выборка 1'!AE87)+('Выборка 1'!AG87-'Выборка 1'!AF87))/4000</f>
        <v>-2622.75</v>
      </c>
      <c r="J87" s="44">
        <f>(('Выборка 1'!AI87-'Выборка 1'!AH87)+('Выборка 1'!AJ87-'Выборка 1'!AI87)+('Выборка 1'!AK87-'Выборка 1'!AJ87)+('Выборка 1'!AL87-'Выборка 1'!AK87))/4000</f>
        <v>-10486.5</v>
      </c>
      <c r="K87" s="17">
        <f>(('Выборка 1'!AN87-'Выборка 1'!AM87)+('Выборка 1'!AO87-'Выборка 1'!AN87)+('Выборка 1'!AP87-'Выборка 1'!AO87)+('Выборка 1'!AQ87-'Выборка 1'!AP87))/4000</f>
        <v>-18631</v>
      </c>
      <c r="L87" s="44">
        <f>((('Выборка 1'!AS87+'Выборка 1'!AX87)-('Выборка 1'!AR87+'Выборка 1'!AW87))+(('Выборка 1'!AT87+'Выборка 1'!AY87)-('Выборка 1'!AS87+'Выборка 1'!AX87))+(('Выборка 1'!AU87+'Выборка 1'!AZ87)-('Выборка 1'!AT87+'Выборка 1'!AY87))+(('Выборка 1'!AV87+'Выборка 1'!BA87)-('Выборка 1'!AU87+'Выборка 1'!AZ87)))/4000</f>
        <v>-16084</v>
      </c>
      <c r="M87" s="44">
        <f>(('Выборка 1'!BC87-'Выборка 1'!BB87)+('Выборка 1'!BD87-'Выборка 1'!BC87)+('Выборка 1'!BE87-'Выборка 1'!BD87)+('Выборка 1'!BF87-'Выборка 1'!BE87))/4000</f>
        <v>0</v>
      </c>
      <c r="N87" s="44">
        <f t="shared" si="1"/>
        <v>-2547</v>
      </c>
      <c r="O87" s="17">
        <f>((('Выборка 1'!BH87-'Выборка 1'!BM87)-('Выборка 1'!BG87-'Выборка 1'!BL87))+(('Выборка 1'!BI87-'Выборка 1'!BN87)-('Выборка 1'!BH87-'Выборка 1'!BM87))+(('Выборка 1'!BJ87-'Выборка 1'!BO87)-('Выборка 1'!BI87-'Выборка 1'!BN87))+(('Выборка 1'!BK87-'Выборка 1'!BP87)-('Выборка 1'!BJ87-'Выборка 1'!BO87)))/4000</f>
        <v>6291</v>
      </c>
      <c r="P87" s="17">
        <f>(('Выборка 1'!BR87-'Выборка 1'!BQ87)+('Выборка 1'!BS87-'Выборка 1'!BR87)+('Выборка 1'!BT87-'Выборка 1'!BS87)+('Выборка 1'!BU87-'Выборка 1'!BT87))/4000</f>
        <v>3744</v>
      </c>
    </row>
    <row r="88" spans="2:16" x14ac:dyDescent="0.25">
      <c r="B88" s="42">
        <f>('Выборка 1'!AL88+'Выборка 1'!AG88)/1000</f>
        <v>184316</v>
      </c>
      <c r="C88" s="17">
        <v>11</v>
      </c>
      <c r="D88" s="17">
        <f>(('Выборка 1'!E88-'Выборка 1'!D88)+('Выборка 1'!F88-'Выборка 1'!E88)+('Выборка 1'!G88-'Выборка 1'!F88)+('Выборка 1'!H88-'Выборка 1'!G88))/4000</f>
        <v>-1958.75</v>
      </c>
      <c r="E88" s="44">
        <f>(('Выборка 1'!J88-'Выборка 1'!I88)+('Выборка 1'!K88-'Выборка 1'!J88)+('Выборка 1'!L88-'Выборка 1'!K88)+('Выборка 1'!M88-'Выборка 1'!L88))/4000</f>
        <v>-3543.5</v>
      </c>
      <c r="F88" s="17">
        <f>(('Выборка 1'!O88-'Выборка 1'!N88)+('Выборка 1'!P88-'Выборка 1'!O88)+('Выборка 1'!Q88-'Выборка 1'!P88)+('Выборка 1'!R88-'Выборка 1'!Q88))/4000</f>
        <v>14989.75</v>
      </c>
      <c r="G88" s="44">
        <f>(('Выборка 1'!T88-'Выборка 1'!S88)+('Выборка 1'!U88-'Выборка 1'!T88)+('Выборка 1'!V88-'Выборка 1'!U88)+('Выборка 1'!W88-'Выборка 1'!V88))/4000</f>
        <v>-465.75</v>
      </c>
      <c r="H88" s="44">
        <f>(('Выборка 1'!Y88-'Выборка 1'!X88)+('Выборка 1'!Z88+'Выборка 1'!Y88)+('Выборка 1'!AA88-'Выборка 1'!Z88)+('Выборка 1'!AB88-'Выборка 1'!AA88))/4000</f>
        <v>9955.5</v>
      </c>
      <c r="I88" s="44">
        <f>(('Выборка 1'!AD88-'Выборка 1'!AC88)+('Выборка 1'!AE88-'Выборка 1'!AD88)+('Выборка 1'!AF88-'Выборка 1'!AE88)+('Выборка 1'!AG88-'Выборка 1'!AF88))/4000</f>
        <v>0</v>
      </c>
      <c r="J88" s="44">
        <f>(('Выборка 1'!AI88-'Выборка 1'!AH88)+('Выборка 1'!AJ88-'Выборка 1'!AI88)+('Выборка 1'!AK88-'Выборка 1'!AJ88)+('Выборка 1'!AL88-'Выборка 1'!AK88))/4000</f>
        <v>34179.75</v>
      </c>
      <c r="K88" s="17">
        <f>(('Выборка 1'!AN88-'Выборка 1'!AM88)+('Выборка 1'!AO88-'Выборка 1'!AN88)+('Выборка 1'!AP88-'Выборка 1'!AO88)+('Выборка 1'!AQ88-'Выборка 1'!AP88))/4000</f>
        <v>-9083.5</v>
      </c>
      <c r="L88" s="44">
        <f>((('Выборка 1'!AS88+'Выборка 1'!AX88)-('Выборка 1'!AR88+'Выборка 1'!AW88))+(('Выборка 1'!AT88+'Выборка 1'!AY88)-('Выборка 1'!AS88+'Выборка 1'!AX88))+(('Выборка 1'!AU88+'Выборка 1'!AZ88)-('Выборка 1'!AT88+'Выборка 1'!AY88))+(('Выборка 1'!AV88+'Выборка 1'!BA88)-('Выборка 1'!AU88+'Выборка 1'!AZ88)))/4000</f>
        <v>-6522.5</v>
      </c>
      <c r="M88" s="44">
        <f>(('Выборка 1'!BC88-'Выборка 1'!BB88)+('Выборка 1'!BD88-'Выборка 1'!BC88)+('Выборка 1'!BE88-'Выборка 1'!BD88)+('Выборка 1'!BF88-'Выборка 1'!BE88))/4000</f>
        <v>31.75</v>
      </c>
      <c r="N88" s="44">
        <f t="shared" si="1"/>
        <v>-2592.75</v>
      </c>
      <c r="O88" s="17">
        <f>((('Выборка 1'!BH88-'Выборка 1'!BM88)-('Выборка 1'!BG88-'Выборка 1'!BL88))+(('Выборка 1'!BI88-'Выборка 1'!BN88)-('Выборка 1'!BH88-'Выборка 1'!BM88))+(('Выборка 1'!BJ88-'Выборка 1'!BO88)-('Выборка 1'!BI88-'Выборка 1'!BN88))+(('Выборка 1'!BK88-'Выборка 1'!BP88)-('Выборка 1'!BJ88-'Выборка 1'!BO88)))/4000</f>
        <v>-577.5</v>
      </c>
      <c r="P88" s="17">
        <f>(('Выборка 1'!BR88-'Выборка 1'!BQ88)+('Выборка 1'!BS88-'Выборка 1'!BR88)+('Выборка 1'!BT88-'Выборка 1'!BS88)+('Выборка 1'!BU88-'Выборка 1'!BT88))/4000</f>
        <v>-2805</v>
      </c>
    </row>
    <row r="89" spans="2:16" x14ac:dyDescent="0.25">
      <c r="B89" s="42">
        <f>('Выборка 1'!AL89+'Выборка 1'!AG89)/1000</f>
        <v>24589</v>
      </c>
      <c r="C89" s="17">
        <v>22</v>
      </c>
      <c r="D89" s="17">
        <f>(('Выборка 1'!E89-'Выборка 1'!D89)+('Выборка 1'!F89-'Выборка 1'!E89)+('Выборка 1'!G89-'Выборка 1'!F89)+('Выборка 1'!H89-'Выборка 1'!G89))/4000</f>
        <v>0</v>
      </c>
      <c r="E89" s="44">
        <f>(('Выборка 1'!J89-'Выборка 1'!I89)+('Выборка 1'!K89-'Выборка 1'!J89)+('Выборка 1'!L89-'Выборка 1'!K89)+('Выборка 1'!M89-'Выборка 1'!L89))/4000</f>
        <v>0</v>
      </c>
      <c r="F89" s="17">
        <f>(('Выборка 1'!O89-'Выборка 1'!N89)+('Выборка 1'!P89-'Выборка 1'!O89)+('Выборка 1'!Q89-'Выборка 1'!P89)+('Выборка 1'!R89-'Выборка 1'!Q89))/4000</f>
        <v>-3.75</v>
      </c>
      <c r="G89" s="44">
        <f>(('Выборка 1'!T89-'Выборка 1'!S89)+('Выборка 1'!U89-'Выборка 1'!T89)+('Выборка 1'!V89-'Выборка 1'!U89)+('Выборка 1'!W89-'Выборка 1'!V89))/4000</f>
        <v>-132.75</v>
      </c>
      <c r="H89" s="44">
        <f>(('Выборка 1'!Y89-'Выборка 1'!X89)+('Выборка 1'!Z89+'Выборка 1'!Y89)+('Выборка 1'!AA89-'Выборка 1'!Z89)+('Выборка 1'!AB89-'Выборка 1'!AA89))/4000</f>
        <v>-11109.25</v>
      </c>
      <c r="I89" s="44">
        <f>(('Выборка 1'!AD89-'Выборка 1'!AC89)+('Выборка 1'!AE89-'Выборка 1'!AD89)+('Выборка 1'!AF89-'Выборка 1'!AE89)+('Выборка 1'!AG89-'Выборка 1'!AF89))/4000</f>
        <v>5182.75</v>
      </c>
      <c r="J89" s="44">
        <f>(('Выборка 1'!AI89-'Выборка 1'!AH89)+('Выборка 1'!AJ89-'Выборка 1'!AI89)+('Выборка 1'!AK89-'Выборка 1'!AJ89)+('Выборка 1'!AL89-'Выборка 1'!AK89))/4000</f>
        <v>34.5</v>
      </c>
      <c r="K89" s="17">
        <f>(('Выборка 1'!AN89-'Выборка 1'!AM89)+('Выборка 1'!AO89-'Выборка 1'!AN89)+('Выборка 1'!AP89-'Выборка 1'!AO89)+('Выборка 1'!AQ89-'Выборка 1'!AP89))/4000</f>
        <v>-1212.5</v>
      </c>
      <c r="L89" s="44">
        <f>((('Выборка 1'!AS89+'Выборка 1'!AX89)-('Выборка 1'!AR89+'Выборка 1'!AW89))+(('Выборка 1'!AT89+'Выборка 1'!AY89)-('Выборка 1'!AS89+'Выборка 1'!AX89))+(('Выборка 1'!AU89+'Выборка 1'!AZ89)-('Выборка 1'!AT89+'Выборка 1'!AY89))+(('Выборка 1'!AV89+'Выборка 1'!BA89)-('Выборка 1'!AU89+'Выборка 1'!AZ89)))/4000</f>
        <v>-1175.75</v>
      </c>
      <c r="M89" s="44">
        <f>(('Выборка 1'!BC89-'Выборка 1'!BB89)+('Выборка 1'!BD89-'Выборка 1'!BC89)+('Выборка 1'!BE89-'Выборка 1'!BD89)+('Выборка 1'!BF89-'Выборка 1'!BE89))/4000</f>
        <v>-91</v>
      </c>
      <c r="N89" s="44">
        <f t="shared" si="1"/>
        <v>54.25</v>
      </c>
      <c r="O89" s="17">
        <f>((('Выборка 1'!BH89-'Выборка 1'!BM89)-('Выборка 1'!BG89-'Выборка 1'!BL89))+(('Выборка 1'!BI89-'Выборка 1'!BN89)-('Выборка 1'!BH89-'Выборка 1'!BM89))+(('Выборка 1'!BJ89-'Выборка 1'!BO89)-('Выборка 1'!BI89-'Выборка 1'!BN89))+(('Выборка 1'!BK89-'Выборка 1'!BP89)-('Выборка 1'!BJ89-'Выборка 1'!BO89)))/4000</f>
        <v>11.25</v>
      </c>
      <c r="P89" s="17">
        <f>(('Выборка 1'!BR89-'Выборка 1'!BQ89)+('Выборка 1'!BS89-'Выборка 1'!BR89)+('Выборка 1'!BT89-'Выборка 1'!BS89)+('Выборка 1'!BU89-'Выборка 1'!BT89))/4000</f>
        <v>50</v>
      </c>
    </row>
    <row r="90" spans="2:16" x14ac:dyDescent="0.25">
      <c r="B90" s="42">
        <f>('Выборка 1'!AL90+'Выборка 1'!AG90)/1000</f>
        <v>18822</v>
      </c>
      <c r="C90" s="17">
        <v>12</v>
      </c>
      <c r="D90" s="17">
        <f>(('Выборка 1'!E90-'Выборка 1'!D90)+('Выборка 1'!F90-'Выборка 1'!E90)+('Выборка 1'!G90-'Выборка 1'!F90)+('Выборка 1'!H90-'Выборка 1'!G90))/4000</f>
        <v>0</v>
      </c>
      <c r="E90" s="44">
        <f>(('Выборка 1'!J90-'Выборка 1'!I90)+('Выборка 1'!K90-'Выборка 1'!J90)+('Выборка 1'!L90-'Выборка 1'!K90)+('Выборка 1'!M90-'Выборка 1'!L90))/4000</f>
        <v>0</v>
      </c>
      <c r="F90" s="17">
        <f>(('Выборка 1'!O90-'Выборка 1'!N90)+('Выборка 1'!P90-'Выборка 1'!O90)+('Выборка 1'!Q90-'Выборка 1'!P90)+('Выборка 1'!R90-'Выборка 1'!Q90))/4000</f>
        <v>2673</v>
      </c>
      <c r="G90" s="44">
        <f>(('Выборка 1'!T90-'Выборка 1'!S90)+('Выборка 1'!U90-'Выборка 1'!T90)+('Выборка 1'!V90-'Выборка 1'!U90)+('Выборка 1'!W90-'Выборка 1'!V90))/4000</f>
        <v>132.75</v>
      </c>
      <c r="H90" s="44">
        <f>(('Выборка 1'!Y90-'Выборка 1'!X90)+('Выборка 1'!Z90+'Выборка 1'!Y90)+('Выборка 1'!AA90-'Выборка 1'!Z90)+('Выборка 1'!AB90-'Выборка 1'!AA90))/4000</f>
        <v>-1975.5</v>
      </c>
      <c r="I90" s="44">
        <f>(('Выборка 1'!AD90-'Выборка 1'!AC90)+('Выборка 1'!AE90-'Выборка 1'!AD90)+('Выборка 1'!AF90-'Выборка 1'!AE90)+('Выборка 1'!AG90-'Выборка 1'!AF90))/4000</f>
        <v>0</v>
      </c>
      <c r="J90" s="44">
        <f>(('Выборка 1'!AI90-'Выборка 1'!AH90)+('Выборка 1'!AJ90-'Выборка 1'!AI90)+('Выборка 1'!AK90-'Выборка 1'!AJ90)+('Выборка 1'!AL90-'Выборка 1'!AK90))/4000</f>
        <v>4705.5</v>
      </c>
      <c r="K90" s="17">
        <f>(('Выборка 1'!AN90-'Выборка 1'!AM90)+('Выборка 1'!AO90-'Выборка 1'!AN90)+('Выборка 1'!AP90-'Выборка 1'!AO90)+('Выборка 1'!AQ90-'Выборка 1'!AP90))/4000</f>
        <v>0</v>
      </c>
      <c r="L90" s="44">
        <f>((('Выборка 1'!AS90+'Выборка 1'!AX90)-('Выборка 1'!AR90+'Выборка 1'!AW90))+(('Выборка 1'!AT90+'Выборка 1'!AY90)-('Выборка 1'!AS90+'Выборка 1'!AX90))+(('Выборка 1'!AU90+'Выборка 1'!AZ90)-('Выборка 1'!AT90+'Выборка 1'!AY90))+(('Выборка 1'!AV90+'Выборка 1'!BA90)-('Выборка 1'!AU90+'Выборка 1'!AZ90)))/4000</f>
        <v>0</v>
      </c>
      <c r="M90" s="44">
        <f>(('Выборка 1'!BC90-'Выборка 1'!BB90)+('Выборка 1'!BD90-'Выборка 1'!BC90)+('Выборка 1'!BE90-'Выборка 1'!BD90)+('Выборка 1'!BF90-'Выборка 1'!BE90))/4000</f>
        <v>0</v>
      </c>
      <c r="N90" s="44">
        <f t="shared" si="1"/>
        <v>0</v>
      </c>
      <c r="O90" s="17">
        <f>((('Выборка 1'!BH90-'Выборка 1'!BM90)-('Выборка 1'!BG90-'Выборка 1'!BL90))+(('Выборка 1'!BI90-'Выборка 1'!BN90)-('Выборка 1'!BH90-'Выборка 1'!BM90))+(('Выборка 1'!BJ90-'Выборка 1'!BO90)-('Выборка 1'!BI90-'Выборка 1'!BN90))+(('Выборка 1'!BK90-'Выборка 1'!BP90)-('Выборка 1'!BJ90-'Выборка 1'!BO90)))/4000</f>
        <v>-111</v>
      </c>
      <c r="P90" s="17">
        <f>(('Выборка 1'!BR90-'Выборка 1'!BQ90)+('Выборка 1'!BS90-'Выборка 1'!BR90)+('Выборка 1'!BT90-'Выборка 1'!BS90)+('Выборка 1'!BU90-'Выборка 1'!BT90))/4000</f>
        <v>-111</v>
      </c>
    </row>
    <row r="91" spans="2:16" x14ac:dyDescent="0.25">
      <c r="B91" s="42">
        <f>('Выборка 1'!AL91+'Выборка 1'!AG91)/1000</f>
        <v>79128</v>
      </c>
      <c r="C91" s="17">
        <v>14</v>
      </c>
      <c r="D91" s="17">
        <f>(('Выборка 1'!E91-'Выборка 1'!D91)+('Выборка 1'!F91-'Выборка 1'!E91)+('Выборка 1'!G91-'Выборка 1'!F91)+('Выборка 1'!H91-'Выборка 1'!G91))/4000</f>
        <v>233.75</v>
      </c>
      <c r="E91" s="44">
        <f>(('Выборка 1'!J91-'Выборка 1'!I91)+('Выборка 1'!K91-'Выборка 1'!J91)+('Выборка 1'!L91-'Выборка 1'!K91)+('Выборка 1'!M91-'Выборка 1'!L91))/4000</f>
        <v>-949.75</v>
      </c>
      <c r="F91" s="17">
        <f>(('Выборка 1'!O91-'Выборка 1'!N91)+('Выборка 1'!P91-'Выборка 1'!O91)+('Выборка 1'!Q91-'Выборка 1'!P91)+('Выборка 1'!R91-'Выборка 1'!Q91))/4000</f>
        <v>-8820.25</v>
      </c>
      <c r="G91" s="44">
        <f>(('Выборка 1'!T91-'Выборка 1'!S91)+('Выборка 1'!U91-'Выборка 1'!T91)+('Выборка 1'!V91-'Выборка 1'!U91)+('Выборка 1'!W91-'Выборка 1'!V91))/4000</f>
        <v>-576</v>
      </c>
      <c r="H91" s="44">
        <f>(('Выборка 1'!Y91-'Выборка 1'!X91)+('Выборка 1'!Z91+'Выборка 1'!Y91)+('Выборка 1'!AA91-'Выборка 1'!Z91)+('Выборка 1'!AB91-'Выборка 1'!AA91))/4000</f>
        <v>-13548.75</v>
      </c>
      <c r="I91" s="44">
        <f>(('Выборка 1'!AD91-'Выборка 1'!AC91)+('Выборка 1'!AE91-'Выборка 1'!AD91)+('Выборка 1'!AF91-'Выборка 1'!AE91)+('Выборка 1'!AG91-'Выборка 1'!AF91))/4000</f>
        <v>-4304.25</v>
      </c>
      <c r="J91" s="44">
        <f>(('Выборка 1'!AI91-'Выборка 1'!AH91)+('Выборка 1'!AJ91-'Выборка 1'!AI91)+('Выборка 1'!AK91-'Выборка 1'!AJ91)+('Выборка 1'!AL91-'Выборка 1'!AK91))/4000</f>
        <v>17271.75</v>
      </c>
      <c r="K91" s="17">
        <f>(('Выборка 1'!AN91-'Выборка 1'!AM91)+('Выборка 1'!AO91-'Выборка 1'!AN91)+('Выборка 1'!AP91-'Выборка 1'!AO91)+('Выборка 1'!AQ91-'Выборка 1'!AP91))/4000</f>
        <v>-6524.75</v>
      </c>
      <c r="L91" s="44">
        <f>((('Выборка 1'!AS91+'Выборка 1'!AX91)-('Выборка 1'!AR91+'Выборка 1'!AW91))+(('Выборка 1'!AT91+'Выборка 1'!AY91)-('Выборка 1'!AS91+'Выборка 1'!AX91))+(('Выборка 1'!AU91+'Выборка 1'!AZ91)-('Выборка 1'!AT91+'Выборка 1'!AY91))+(('Выборка 1'!AV91+'Выборка 1'!BA91)-('Выборка 1'!AU91+'Выборка 1'!AZ91)))/4000</f>
        <v>-4835.75</v>
      </c>
      <c r="M91" s="44">
        <f>(('Выборка 1'!BC91-'Выборка 1'!BB91)+('Выборка 1'!BD91-'Выборка 1'!BC91)+('Выборка 1'!BE91-'Выборка 1'!BD91)+('Выборка 1'!BF91-'Выборка 1'!BE91))/4000</f>
        <v>-187.75</v>
      </c>
      <c r="N91" s="44">
        <f t="shared" si="1"/>
        <v>-1501.25</v>
      </c>
      <c r="O91" s="17">
        <f>((('Выборка 1'!BH91-'Выборка 1'!BM91)-('Выборка 1'!BG91-'Выборка 1'!BL91))+(('Выборка 1'!BI91-'Выборка 1'!BN91)-('Выборка 1'!BH91-'Выборка 1'!BM91))+(('Выборка 1'!BJ91-'Выборка 1'!BO91)-('Выборка 1'!BI91-'Выборка 1'!BN91))+(('Выборка 1'!BK91-'Выборка 1'!BP91)-('Выборка 1'!BJ91-'Выборка 1'!BO91)))/4000</f>
        <v>-593</v>
      </c>
      <c r="P91" s="17">
        <f>(('Выборка 1'!BR91-'Выборка 1'!BQ91)+('Выборка 1'!BS91-'Выборка 1'!BR91)+('Выборка 1'!BT91-'Выборка 1'!BS91)+('Выборка 1'!BU91-'Выборка 1'!BT91))/4000</f>
        <v>-2094.25</v>
      </c>
    </row>
    <row r="92" spans="2:16" x14ac:dyDescent="0.25">
      <c r="B92" s="42">
        <f>('Выборка 1'!AL92+'Выборка 1'!AG92)/1000</f>
        <v>0</v>
      </c>
      <c r="C92" s="17">
        <v>19</v>
      </c>
      <c r="D92" s="17">
        <f>(('Выборка 1'!E92-'Выборка 1'!D92)+('Выборка 1'!F92-'Выборка 1'!E92)+('Выборка 1'!G92-'Выборка 1'!F92)+('Выборка 1'!H92-'Выборка 1'!G92))/4000</f>
        <v>-5704.5</v>
      </c>
      <c r="E92" s="44">
        <f>(('Выборка 1'!J92-'Выборка 1'!I92)+('Выборка 1'!K92-'Выборка 1'!J92)+('Выборка 1'!L92-'Выборка 1'!K92)+('Выборка 1'!M92-'Выборка 1'!L92))/4000</f>
        <v>-14530.5</v>
      </c>
      <c r="F92" s="17">
        <f>(('Выборка 1'!O92-'Выборка 1'!N92)+('Выборка 1'!P92-'Выборка 1'!O92)+('Выборка 1'!Q92-'Выборка 1'!P92)+('Выборка 1'!R92-'Выборка 1'!Q92))/4000</f>
        <v>-14864.75</v>
      </c>
      <c r="G92" s="44">
        <f>(('Выборка 1'!T92-'Выборка 1'!S92)+('Выборка 1'!U92-'Выборка 1'!T92)+('Выборка 1'!V92-'Выборка 1'!U92)+('Выборка 1'!W92-'Выборка 1'!V92))/4000</f>
        <v>-1119</v>
      </c>
      <c r="H92" s="44">
        <f>(('Выборка 1'!Y92-'Выборка 1'!X92)+('Выборка 1'!Z92+'Выборка 1'!Y92)+('Выборка 1'!AA92-'Выборка 1'!Z92)+('Выборка 1'!AB92-'Выборка 1'!AA92))/4000</f>
        <v>6742.5</v>
      </c>
      <c r="I92" s="44">
        <f>(('Выборка 1'!AD92-'Выборка 1'!AC92)+('Выборка 1'!AE92-'Выборка 1'!AD92)+('Выборка 1'!AF92-'Выборка 1'!AE92)+('Выборка 1'!AG92-'Выборка 1'!AF92))/4000</f>
        <v>0</v>
      </c>
      <c r="J92" s="44">
        <f>(('Выборка 1'!AI92-'Выборка 1'!AH92)+('Выборка 1'!AJ92-'Выборка 1'!AI92)+('Выборка 1'!AK92-'Выборка 1'!AJ92)+('Выборка 1'!AL92-'Выборка 1'!AK92))/4000</f>
        <v>-6578.5</v>
      </c>
      <c r="K92" s="17">
        <f>(('Выборка 1'!AN92-'Выборка 1'!AM92)+('Выборка 1'!AO92-'Выборка 1'!AN92)+('Выборка 1'!AP92-'Выборка 1'!AO92)+('Выборка 1'!AQ92-'Выборка 1'!AP92))/4000</f>
        <v>-66059.25</v>
      </c>
      <c r="L92" s="44">
        <f>((('Выборка 1'!AS92+'Выборка 1'!AX92)-('Выборка 1'!AR92+'Выборка 1'!AW92))+(('Выборка 1'!AT92+'Выборка 1'!AY92)-('Выборка 1'!AS92+'Выборка 1'!AX92))+(('Выборка 1'!AU92+'Выборка 1'!AZ92)-('Выборка 1'!AT92+'Выборка 1'!AY92))+(('Выборка 1'!AV92+'Выборка 1'!BA92)-('Выборка 1'!AU92+'Выборка 1'!AZ92)))/4000</f>
        <v>-63782.25</v>
      </c>
      <c r="M92" s="44">
        <f>(('Выборка 1'!BC92-'Выборка 1'!BB92)+('Выборка 1'!BD92-'Выборка 1'!BC92)+('Выборка 1'!BE92-'Выборка 1'!BD92)+('Выборка 1'!BF92-'Выборка 1'!BE92))/4000</f>
        <v>0</v>
      </c>
      <c r="N92" s="44">
        <f t="shared" si="1"/>
        <v>-2277</v>
      </c>
      <c r="O92" s="17">
        <f>((('Выборка 1'!BH92-'Выборка 1'!BM92)-('Выборка 1'!BG92-'Выборка 1'!BL92))+(('Выборка 1'!BI92-'Выборка 1'!BN92)-('Выборка 1'!BH92-'Выборка 1'!BM92))+(('Выборка 1'!BJ92-'Выборка 1'!BO92)-('Выборка 1'!BI92-'Выборка 1'!BN92))+(('Выборка 1'!BK92-'Выборка 1'!BP92)-('Выборка 1'!BJ92-'Выборка 1'!BO92)))/4000</f>
        <v>0</v>
      </c>
      <c r="P92" s="17">
        <f>(('Выборка 1'!BR92-'Выборка 1'!BQ92)+('Выборка 1'!BS92-'Выборка 1'!BR92)+('Выборка 1'!BT92-'Выборка 1'!BS92)+('Выборка 1'!BU92-'Выборка 1'!BT92))/4000</f>
        <v>-1821.5</v>
      </c>
    </row>
    <row r="93" spans="2:16" x14ac:dyDescent="0.25">
      <c r="B93" s="42">
        <f>('Выборка 1'!AL93+'Выборка 1'!AG93)/1000</f>
        <v>0</v>
      </c>
      <c r="C93" s="17">
        <v>9</v>
      </c>
      <c r="D93" s="17">
        <f>(('Выборка 1'!E93-'Выборка 1'!D93)+('Выборка 1'!F93-'Выборка 1'!E93)+('Выборка 1'!G93-'Выборка 1'!F93)+('Выборка 1'!H93-'Выборка 1'!G93))/4000</f>
        <v>-1132.75</v>
      </c>
      <c r="E93" s="44">
        <f>(('Выборка 1'!J93-'Выборка 1'!I93)+('Выборка 1'!K93-'Выборка 1'!J93)+('Выборка 1'!L93-'Выборка 1'!K93)+('Выборка 1'!M93-'Выборка 1'!L93))/4000</f>
        <v>-50015</v>
      </c>
      <c r="F93" s="17">
        <f>(('Выборка 1'!O93-'Выборка 1'!N93)+('Выборка 1'!P93-'Выборка 1'!O93)+('Выборка 1'!Q93-'Выборка 1'!P93)+('Выборка 1'!R93-'Выборка 1'!Q93))/4000</f>
        <v>-396608.25</v>
      </c>
      <c r="G93" s="44">
        <f>(('Выборка 1'!T93-'Выборка 1'!S93)+('Выборка 1'!U93-'Выборка 1'!T93)+('Выборка 1'!V93-'Выборка 1'!U93)+('Выборка 1'!W93-'Выборка 1'!V93))/4000</f>
        <v>-14967.75</v>
      </c>
      <c r="H93" s="44">
        <f>(('Выборка 1'!Y93-'Выборка 1'!X93)+('Выборка 1'!Z93+'Выборка 1'!Y93)+('Выборка 1'!AA93-'Выборка 1'!Z93)+('Выборка 1'!AB93-'Выборка 1'!AA93))/4000</f>
        <v>-43419</v>
      </c>
      <c r="I93" s="44">
        <f>(('Выборка 1'!AD93-'Выборка 1'!AC93)+('Выборка 1'!AE93-'Выборка 1'!AD93)+('Выборка 1'!AF93-'Выборка 1'!AE93)+('Выборка 1'!AG93-'Выборка 1'!AF93))/4000</f>
        <v>-9282.75</v>
      </c>
      <c r="J93" s="44">
        <f>(('Выборка 1'!AI93-'Выборка 1'!AH93)+('Выборка 1'!AJ93-'Выборка 1'!AI93)+('Выборка 1'!AK93-'Выборка 1'!AJ93)+('Выборка 1'!AL93-'Выборка 1'!AK93))/4000</f>
        <v>-472793.75</v>
      </c>
      <c r="K93" s="17">
        <f>(('Выборка 1'!AN93-'Выборка 1'!AM93)+('Выборка 1'!AO93-'Выборка 1'!AN93)+('Выборка 1'!AP93-'Выборка 1'!AO93)+('Выборка 1'!AQ93-'Выборка 1'!AP93))/4000</f>
        <v>-82779.75</v>
      </c>
      <c r="L93" s="44">
        <f>((('Выборка 1'!AS93+'Выборка 1'!AX93)-('Выборка 1'!AR93+'Выборка 1'!AW93))+(('Выборка 1'!AT93+'Выборка 1'!AY93)-('Выборка 1'!AS93+'Выборка 1'!AX93))+(('Выборка 1'!AU93+'Выборка 1'!AZ93)-('Выборка 1'!AT93+'Выборка 1'!AY93))+(('Выборка 1'!AV93+'Выборка 1'!BA93)-('Выборка 1'!AU93+'Выборка 1'!AZ93)))/4000</f>
        <v>-74641</v>
      </c>
      <c r="M93" s="44">
        <f>(('Выборка 1'!BC93-'Выборка 1'!BB93)+('Выборка 1'!BD93-'Выборка 1'!BC93)+('Выборка 1'!BE93-'Выборка 1'!BD93)+('Выборка 1'!BF93-'Выборка 1'!BE93))/4000</f>
        <v>-8585.75</v>
      </c>
      <c r="N93" s="44">
        <f t="shared" si="1"/>
        <v>447</v>
      </c>
      <c r="O93" s="17">
        <f>((('Выборка 1'!BH93-'Выборка 1'!BM93)-('Выборка 1'!BG93-'Выборка 1'!BL93))+(('Выборка 1'!BI93-'Выборка 1'!BN93)-('Выборка 1'!BH93-'Выборка 1'!BM93))+(('Выборка 1'!BJ93-'Выборка 1'!BO93)-('Выборка 1'!BI93-'Выборка 1'!BN93))+(('Выборка 1'!BK93-'Выборка 1'!BP93)-('Выборка 1'!BJ93-'Выборка 1'!BO93)))/4000</f>
        <v>1249</v>
      </c>
      <c r="P93" s="17">
        <f>(('Выборка 1'!BR93-'Выборка 1'!BQ93)+('Выборка 1'!BS93-'Выборка 1'!BR93)+('Выборка 1'!BT93-'Выборка 1'!BS93)+('Выборка 1'!BU93-'Выборка 1'!BT93))/4000</f>
        <v>1741.25</v>
      </c>
    </row>
    <row r="94" spans="2:16" x14ac:dyDescent="0.25">
      <c r="B94" s="42">
        <f>('Выборка 1'!AL94+'Выборка 1'!AG94)/1000</f>
        <v>0</v>
      </c>
      <c r="C94" s="17">
        <v>17</v>
      </c>
      <c r="D94" s="17">
        <f>(('Выборка 1'!E94-'Выборка 1'!D94)+('Выборка 1'!F94-'Выборка 1'!E94)+('Выборка 1'!G94-'Выборка 1'!F94)+('Выборка 1'!H94-'Выборка 1'!G94))/4000</f>
        <v>-279.25</v>
      </c>
      <c r="E94" s="44">
        <f>(('Выборка 1'!J94-'Выборка 1'!I94)+('Выборка 1'!K94-'Выборка 1'!J94)+('Выборка 1'!L94-'Выборка 1'!K94)+('Выборка 1'!M94-'Выборка 1'!L94))/4000</f>
        <v>0</v>
      </c>
      <c r="F94" s="17">
        <f>(('Выборка 1'!O94-'Выборка 1'!N94)+('Выборка 1'!P94-'Выборка 1'!O94)+('Выборка 1'!Q94-'Выборка 1'!P94)+('Выборка 1'!R94-'Выборка 1'!Q94))/4000</f>
        <v>-3843</v>
      </c>
      <c r="G94" s="44">
        <f>(('Выборка 1'!T94-'Выборка 1'!S94)+('Выборка 1'!U94-'Выборка 1'!T94)+('Выборка 1'!V94-'Выборка 1'!U94)+('Выборка 1'!W94-'Выборка 1'!V94))/4000</f>
        <v>0</v>
      </c>
      <c r="H94" s="44">
        <f>(('Выборка 1'!Y94-'Выборка 1'!X94)+('Выборка 1'!Z94+'Выборка 1'!Y94)+('Выборка 1'!AA94-'Выборка 1'!Z94)+('Выборка 1'!AB94-'Выборка 1'!AA94))/4000</f>
        <v>0</v>
      </c>
      <c r="I94" s="44">
        <f>(('Выборка 1'!AD94-'Выборка 1'!AC94)+('Выборка 1'!AE94-'Выборка 1'!AD94)+('Выборка 1'!AF94-'Выборка 1'!AE94)+('Выборка 1'!AG94-'Выборка 1'!AF94))/4000</f>
        <v>0</v>
      </c>
      <c r="J94" s="44">
        <f>(('Выборка 1'!AI94-'Выборка 1'!AH94)+('Выборка 1'!AJ94-'Выборка 1'!AI94)+('Выборка 1'!AK94-'Выборка 1'!AJ94)+('Выборка 1'!AL94-'Выборка 1'!AK94))/4000</f>
        <v>-5888</v>
      </c>
      <c r="K94" s="17">
        <f>(('Выборка 1'!AN94-'Выборка 1'!AM94)+('Выборка 1'!AO94-'Выборка 1'!AN94)+('Выборка 1'!AP94-'Выборка 1'!AO94)+('Выборка 1'!AQ94-'Выборка 1'!AP94))/4000</f>
        <v>0</v>
      </c>
      <c r="L94" s="44">
        <f>((('Выборка 1'!AS94+'Выборка 1'!AX94)-('Выборка 1'!AR94+'Выборка 1'!AW94))+(('Выборка 1'!AT94+'Выборка 1'!AY94)-('Выборка 1'!AS94+'Выборка 1'!AX94))+(('Выборка 1'!AU94+'Выборка 1'!AZ94)-('Выборка 1'!AT94+'Выборка 1'!AY94))+(('Выборка 1'!AV94+'Выборка 1'!BA94)-('Выборка 1'!AU94+'Выборка 1'!AZ94)))/4000</f>
        <v>0</v>
      </c>
      <c r="M94" s="44">
        <f>(('Выборка 1'!BC94-'Выборка 1'!BB94)+('Выборка 1'!BD94-'Выборка 1'!BC94)+('Выборка 1'!BE94-'Выборка 1'!BD94)+('Выборка 1'!BF94-'Выборка 1'!BE94))/4000</f>
        <v>0</v>
      </c>
      <c r="N94" s="44">
        <f t="shared" si="1"/>
        <v>0</v>
      </c>
      <c r="O94" s="17">
        <f>((('Выборка 1'!BH94-'Выборка 1'!BM94)-('Выборка 1'!BG94-'Выборка 1'!BL94))+(('Выборка 1'!BI94-'Выборка 1'!BN94)-('Выборка 1'!BH94-'Выборка 1'!BM94))+(('Выборка 1'!BJ94-'Выборка 1'!BO94)-('Выборка 1'!BI94-'Выборка 1'!BN94))+(('Выборка 1'!BK94-'Выборка 1'!BP94)-('Выборка 1'!BJ94-'Выборка 1'!BO94)))/4000</f>
        <v>0</v>
      </c>
      <c r="P94" s="17">
        <f>(('Выборка 1'!BR94-'Выборка 1'!BQ94)+('Выборка 1'!BS94-'Выборка 1'!BR94)+('Выборка 1'!BT94-'Выборка 1'!BS94)+('Выборка 1'!BU94-'Выборка 1'!BT94))/4000</f>
        <v>0</v>
      </c>
    </row>
    <row r="95" spans="2:16" x14ac:dyDescent="0.25">
      <c r="B95" s="42">
        <f>('Выборка 1'!AL95+'Выборка 1'!AG95)/1000</f>
        <v>755586</v>
      </c>
      <c r="C95" s="17">
        <v>20</v>
      </c>
      <c r="D95" s="17">
        <f>(('Выборка 1'!E95-'Выборка 1'!D95)+('Выборка 1'!F95-'Выборка 1'!E95)+('Выборка 1'!G95-'Выборка 1'!F95)+('Выборка 1'!H95-'Выборка 1'!G95))/4000</f>
        <v>-11765</v>
      </c>
      <c r="E95" s="44">
        <f>(('Выборка 1'!J95-'Выборка 1'!I95)+('Выборка 1'!K95-'Выборка 1'!J95)+('Выборка 1'!L95-'Выборка 1'!K95)+('Выборка 1'!M95-'Выборка 1'!L95))/4000</f>
        <v>-68242.25</v>
      </c>
      <c r="F95" s="17">
        <f>(('Выборка 1'!O95-'Выборка 1'!N95)+('Выборка 1'!P95-'Выборка 1'!O95)+('Выборка 1'!Q95-'Выборка 1'!P95)+('Выборка 1'!R95-'Выборка 1'!Q95))/4000</f>
        <v>57914.75</v>
      </c>
      <c r="G95" s="44">
        <f>(('Выборка 1'!T95-'Выборка 1'!S95)+('Выборка 1'!U95-'Выборка 1'!T95)+('Выборка 1'!V95-'Выборка 1'!U95)+('Выборка 1'!W95-'Выборка 1'!V95))/4000</f>
        <v>-100793</v>
      </c>
      <c r="H95" s="44">
        <f>(('Выборка 1'!Y95-'Выборка 1'!X95)+('Выборка 1'!Z95+'Выборка 1'!Y95)+('Выборка 1'!AA95-'Выборка 1'!Z95)+('Выборка 1'!AB95-'Выборка 1'!AA95))/4000</f>
        <v>-8226</v>
      </c>
      <c r="I95" s="44">
        <f>(('Выборка 1'!AD95-'Выборка 1'!AC95)+('Выборка 1'!AE95-'Выборка 1'!AD95)+('Выборка 1'!AF95-'Выборка 1'!AE95)+('Выборка 1'!AG95-'Выборка 1'!AF95))/4000</f>
        <v>2197.5</v>
      </c>
      <c r="J95" s="44">
        <f>(('Выборка 1'!AI95-'Выборка 1'!AH95)+('Выборка 1'!AJ95-'Выборка 1'!AI95)+('Выборка 1'!AK95-'Выборка 1'!AJ95)+('Выборка 1'!AL95-'Выборка 1'!AK95))/4000</f>
        <v>-108806</v>
      </c>
      <c r="K95" s="17">
        <f>(('Выборка 1'!AN95-'Выборка 1'!AM95)+('Выборка 1'!AO95-'Выборка 1'!AN95)+('Выборка 1'!AP95-'Выборка 1'!AO95)+('Выборка 1'!AQ95-'Выборка 1'!AP95))/4000</f>
        <v>8622</v>
      </c>
      <c r="L95" s="44">
        <f>((('Выборка 1'!AS95+'Выборка 1'!AX95)-('Выборка 1'!AR95+'Выборка 1'!AW95))+(('Выборка 1'!AT95+'Выборка 1'!AY95)-('Выборка 1'!AS95+'Выборка 1'!AX95))+(('Выборка 1'!AU95+'Выборка 1'!AZ95)-('Выборка 1'!AT95+'Выборка 1'!AY95))+(('Выборка 1'!AV95+'Выборка 1'!BA95)-('Выборка 1'!AU95+'Выборка 1'!AZ95)))/4000</f>
        <v>34783.25</v>
      </c>
      <c r="M95" s="44">
        <f>(('Выборка 1'!BC95-'Выборка 1'!BB95)+('Выборка 1'!BD95-'Выборка 1'!BC95)+('Выборка 1'!BE95-'Выборка 1'!BD95)+('Выборка 1'!BF95-'Выборка 1'!BE95))/4000</f>
        <v>-12365</v>
      </c>
      <c r="N95" s="44">
        <f t="shared" si="1"/>
        <v>-13796.25</v>
      </c>
      <c r="O95" s="17">
        <f>((('Выборка 1'!BH95-'Выборка 1'!BM95)-('Выборка 1'!BG95-'Выборка 1'!BL95))+(('Выборка 1'!BI95-'Выборка 1'!BN95)-('Выборка 1'!BH95-'Выборка 1'!BM95))+(('Выборка 1'!BJ95-'Выборка 1'!BO95)-('Выборка 1'!BI95-'Выборка 1'!BN95))+(('Выборка 1'!BK95-'Выборка 1'!BP95)-('Выборка 1'!BJ95-'Выборка 1'!BO95)))/4000</f>
        <v>-9790.75</v>
      </c>
      <c r="P95" s="17">
        <f>(('Выборка 1'!BR95-'Выборка 1'!BQ95)+('Выборка 1'!BS95-'Выборка 1'!BR95)+('Выборка 1'!BT95-'Выборка 1'!BS95)+('Выборка 1'!BU95-'Выборка 1'!BT95))/4000</f>
        <v>-19492</v>
      </c>
    </row>
    <row r="96" spans="2:16" x14ac:dyDescent="0.25">
      <c r="B96" s="42">
        <f>('Выборка 1'!AL96+'Выборка 1'!AG96)/1000</f>
        <v>110123</v>
      </c>
      <c r="C96" s="17">
        <v>14</v>
      </c>
      <c r="D96" s="17">
        <f>(('Выборка 1'!E96-'Выборка 1'!D96)+('Выборка 1'!F96-'Выборка 1'!E96)+('Выборка 1'!G96-'Выборка 1'!F96)+('Выборка 1'!H96-'Выборка 1'!G96))/4000</f>
        <v>-1494.75</v>
      </c>
      <c r="E96" s="44">
        <f>(('Выборка 1'!J96-'Выборка 1'!I96)+('Выборка 1'!K96-'Выборка 1'!J96)+('Выборка 1'!L96-'Выборка 1'!K96)+('Выборка 1'!M96-'Выборка 1'!L96))/4000</f>
        <v>0</v>
      </c>
      <c r="F96" s="17">
        <f>(('Выборка 1'!O96-'Выборка 1'!N96)+('Выборка 1'!P96-'Выборка 1'!O96)+('Выборка 1'!Q96-'Выборка 1'!P96)+('Выборка 1'!R96-'Выборка 1'!Q96))/4000</f>
        <v>-373622</v>
      </c>
      <c r="G96" s="44">
        <f>(('Выборка 1'!T96-'Выборка 1'!S96)+('Выборка 1'!U96-'Выборка 1'!T96)+('Выборка 1'!V96-'Выборка 1'!U96)+('Выборка 1'!W96-'Выборка 1'!V96))/4000</f>
        <v>17.5</v>
      </c>
      <c r="H96" s="44">
        <f>(('Выборка 1'!Y96-'Выборка 1'!X96)+('Выборка 1'!Z96+'Выборка 1'!Y96)+('Выборка 1'!AA96-'Выборка 1'!Z96)+('Выборка 1'!AB96-'Выборка 1'!AA96))/4000</f>
        <v>-13587.25</v>
      </c>
      <c r="I96" s="44">
        <f>(('Выборка 1'!AD96-'Выборка 1'!AC96)+('Выборка 1'!AE96-'Выборка 1'!AD96)+('Выборка 1'!AF96-'Выборка 1'!AE96)+('Выборка 1'!AG96-'Выборка 1'!AF96))/4000</f>
        <v>2424.25</v>
      </c>
      <c r="J96" s="44">
        <f>(('Выборка 1'!AI96-'Выборка 1'!AH96)+('Выборка 1'!AJ96-'Выборка 1'!AI96)+('Выборка 1'!AK96-'Выборка 1'!AJ96)+('Выборка 1'!AL96-'Выборка 1'!AK96))/4000</f>
        <v>19646</v>
      </c>
      <c r="K96" s="17">
        <f>(('Выборка 1'!AN96-'Выборка 1'!AM96)+('Выборка 1'!AO96-'Выборка 1'!AN96)+('Выборка 1'!AP96-'Выборка 1'!AO96)+('Выборка 1'!AQ96-'Выборка 1'!AP96))/4000</f>
        <v>0</v>
      </c>
      <c r="L96" s="44">
        <f>((('Выборка 1'!AS96+'Выборка 1'!AX96)-('Выборка 1'!AR96+'Выборка 1'!AW96))+(('Выборка 1'!AT96+'Выборка 1'!AY96)-('Выборка 1'!AS96+'Выборка 1'!AX96))+(('Выборка 1'!AU96+'Выборка 1'!AZ96)-('Выборка 1'!AT96+'Выборка 1'!AY96))+(('Выборка 1'!AV96+'Выборка 1'!BA96)-('Выборка 1'!AU96+'Выборка 1'!AZ96)))/4000</f>
        <v>0</v>
      </c>
      <c r="M96" s="44">
        <f>(('Выборка 1'!BC96-'Выборка 1'!BB96)+('Выборка 1'!BD96-'Выборка 1'!BC96)+('Выборка 1'!BE96-'Выборка 1'!BD96)+('Выборка 1'!BF96-'Выборка 1'!BE96))/4000</f>
        <v>0</v>
      </c>
      <c r="N96" s="44">
        <f t="shared" si="1"/>
        <v>0</v>
      </c>
      <c r="O96" s="17">
        <f>((('Выборка 1'!BH96-'Выборка 1'!BM96)-('Выборка 1'!BG96-'Выборка 1'!BL96))+(('Выборка 1'!BI96-'Выборка 1'!BN96)-('Выборка 1'!BH96-'Выборка 1'!BM96))+(('Выборка 1'!BJ96-'Выборка 1'!BO96)-('Выборка 1'!BI96-'Выборка 1'!BN96))+(('Выборка 1'!BK96-'Выборка 1'!BP96)-('Выборка 1'!BJ96-'Выборка 1'!BO96)))/4000</f>
        <v>4126</v>
      </c>
      <c r="P96" s="17">
        <f>(('Выборка 1'!BR96-'Выборка 1'!BQ96)+('Выборка 1'!BS96-'Выборка 1'!BR96)+('Выборка 1'!BT96-'Выборка 1'!BS96)+('Выборка 1'!BU96-'Выборка 1'!BT96))/4000</f>
        <v>4126</v>
      </c>
    </row>
    <row r="97" spans="2:16" x14ac:dyDescent="0.25">
      <c r="B97" s="42">
        <f>('Выборка 1'!AL97+'Выборка 1'!AG97)/1000</f>
        <v>11798</v>
      </c>
      <c r="C97" s="17">
        <v>10</v>
      </c>
      <c r="D97" s="17">
        <f>(('Выборка 1'!E97-'Выборка 1'!D97)+('Выборка 1'!F97-'Выборка 1'!E97)+('Выборка 1'!G97-'Выборка 1'!F97)+('Выборка 1'!H97-'Выборка 1'!G97))/4000</f>
        <v>-246.25</v>
      </c>
      <c r="E97" s="44">
        <f>(('Выборка 1'!J97-'Выборка 1'!I97)+('Выборка 1'!K97-'Выборка 1'!J97)+('Выборка 1'!L97-'Выборка 1'!K97)+('Выборка 1'!M97-'Выборка 1'!L97))/4000</f>
        <v>0.5</v>
      </c>
      <c r="F97" s="17">
        <f>(('Выборка 1'!O97-'Выборка 1'!N97)+('Выборка 1'!P97-'Выборка 1'!O97)+('Выборка 1'!Q97-'Выборка 1'!P97)+('Выборка 1'!R97-'Выборка 1'!Q97))/4000</f>
        <v>452.5</v>
      </c>
      <c r="G97" s="44">
        <f>(('Выборка 1'!T97-'Выборка 1'!S97)+('Выборка 1'!U97-'Выборка 1'!T97)+('Выборка 1'!V97-'Выборка 1'!U97)+('Выборка 1'!W97-'Выборка 1'!V97))/4000</f>
        <v>42.5</v>
      </c>
      <c r="H97" s="44">
        <f>(('Выборка 1'!Y97-'Выборка 1'!X97)+('Выборка 1'!Z97+'Выборка 1'!Y97)+('Выборка 1'!AA97-'Выборка 1'!Z97)+('Выборка 1'!AB97-'Выборка 1'!AA97))/4000</f>
        <v>-2497.75</v>
      </c>
      <c r="I97" s="44">
        <f>(('Выборка 1'!AD97-'Выборка 1'!AC97)+('Выборка 1'!AE97-'Выборка 1'!AD97)+('Выборка 1'!AF97-'Выборка 1'!AE97)+('Выборка 1'!AG97-'Выборка 1'!AF97))/4000</f>
        <v>-0.75</v>
      </c>
      <c r="J97" s="44">
        <f>(('Выборка 1'!AI97-'Выборка 1'!AH97)+('Выборка 1'!AJ97-'Выборка 1'!AI97)+('Выборка 1'!AK97-'Выборка 1'!AJ97)+('Выборка 1'!AL97-'Выборка 1'!AK97))/4000</f>
        <v>533</v>
      </c>
      <c r="K97" s="17">
        <f>(('Выборка 1'!AN97-'Выборка 1'!AM97)+('Выборка 1'!AO97-'Выборка 1'!AN97)+('Выборка 1'!AP97-'Выборка 1'!AO97)+('Выборка 1'!AQ97-'Выборка 1'!AP97))/4000</f>
        <v>-183</v>
      </c>
      <c r="L97" s="44">
        <f>((('Выборка 1'!AS97+'Выборка 1'!AX97)-('Выборка 1'!AR97+'Выборка 1'!AW97))+(('Выборка 1'!AT97+'Выборка 1'!AY97)-('Выборка 1'!AS97+'Выборка 1'!AX97))+(('Выборка 1'!AU97+'Выборка 1'!AZ97)-('Выборка 1'!AT97+'Выборка 1'!AY97))+(('Выборка 1'!AV97+'Выборка 1'!BA97)-('Выборка 1'!AU97+'Выборка 1'!AZ97)))/4000</f>
        <v>-376.25</v>
      </c>
      <c r="M97" s="44">
        <f>(('Выборка 1'!BC97-'Выборка 1'!BB97)+('Выборка 1'!BD97-'Выборка 1'!BC97)+('Выборка 1'!BE97-'Выборка 1'!BD97)+('Выборка 1'!BF97-'Выборка 1'!BE97))/4000</f>
        <v>-1136</v>
      </c>
      <c r="N97" s="44">
        <f t="shared" si="1"/>
        <v>1329.25</v>
      </c>
      <c r="O97" s="17">
        <f>((('Выборка 1'!BH97-'Выборка 1'!BM97)-('Выборка 1'!BG97-'Выборка 1'!BL97))+(('Выборка 1'!BI97-'Выборка 1'!BN97)-('Выборка 1'!BH97-'Выборка 1'!BM97))+(('Выборка 1'!BJ97-'Выборка 1'!BO97)-('Выборка 1'!BI97-'Выборка 1'!BN97))+(('Выборка 1'!BK97-'Выборка 1'!BP97)-('Выборка 1'!BJ97-'Выборка 1'!BO97)))/4000</f>
        <v>-277.75</v>
      </c>
      <c r="P97" s="17">
        <f>(('Выборка 1'!BR97-'Выборка 1'!BQ97)+('Выборка 1'!BS97-'Выборка 1'!BR97)+('Выборка 1'!BT97-'Выборка 1'!BS97)+('Выборка 1'!BU97-'Выборка 1'!BT97))/4000</f>
        <v>1051.5</v>
      </c>
    </row>
    <row r="98" spans="2:16" x14ac:dyDescent="0.25">
      <c r="B98" s="42">
        <f>('Выборка 1'!AL98+'Выборка 1'!AG98)/1000</f>
        <v>0</v>
      </c>
      <c r="C98" s="17">
        <v>10</v>
      </c>
      <c r="D98" s="17">
        <f>(('Выборка 1'!E98-'Выборка 1'!D98)+('Выборка 1'!F98-'Выборка 1'!E98)+('Выборка 1'!G98-'Выборка 1'!F98)+('Выборка 1'!H98-'Выборка 1'!G98))/4000</f>
        <v>-19455.75</v>
      </c>
      <c r="E98" s="44">
        <f>(('Выборка 1'!J98-'Выборка 1'!I98)+('Выборка 1'!K98-'Выборка 1'!J98)+('Выборка 1'!L98-'Выборка 1'!K98)+('Выборка 1'!M98-'Выборка 1'!L98))/4000</f>
        <v>-11957.75</v>
      </c>
      <c r="F98" s="17">
        <f>(('Выборка 1'!O98-'Выборка 1'!N98)+('Выборка 1'!P98-'Выборка 1'!O98)+('Выборка 1'!Q98-'Выборка 1'!P98)+('Выборка 1'!R98-'Выборка 1'!Q98))/4000</f>
        <v>-36720.75</v>
      </c>
      <c r="G98" s="44">
        <f>(('Выборка 1'!T98-'Выборка 1'!S98)+('Выборка 1'!U98-'Выборка 1'!T98)+('Выборка 1'!V98-'Выборка 1'!U98)+('Выборка 1'!W98-'Выборка 1'!V98))/4000</f>
        <v>-21191.25</v>
      </c>
      <c r="H98" s="44">
        <f>(('Выборка 1'!Y98-'Выборка 1'!X98)+('Выборка 1'!Z98+'Выборка 1'!Y98)+('Выборка 1'!AA98-'Выборка 1'!Z98)+('Выборка 1'!AB98-'Выборка 1'!AA98))/4000</f>
        <v>3043</v>
      </c>
      <c r="I98" s="44">
        <f>(('Выборка 1'!AD98-'Выборка 1'!AC98)+('Выборка 1'!AE98-'Выборка 1'!AD98)+('Выборка 1'!AF98-'Выборка 1'!AE98)+('Выборка 1'!AG98-'Выборка 1'!AF98))/4000</f>
        <v>0</v>
      </c>
      <c r="J98" s="44">
        <f>(('Выборка 1'!AI98-'Выборка 1'!AH98)+('Выборка 1'!AJ98-'Выборка 1'!AI98)+('Выборка 1'!AK98-'Выборка 1'!AJ98)+('Выборка 1'!AL98-'Выборка 1'!AK98))/4000</f>
        <v>-95468</v>
      </c>
      <c r="K98" s="17">
        <f>(('Выборка 1'!AN98-'Выборка 1'!AM98)+('Выборка 1'!AO98-'Выборка 1'!AN98)+('Выборка 1'!AP98-'Выборка 1'!AO98)+('Выборка 1'!AQ98-'Выборка 1'!AP98))/4000</f>
        <v>-27129.5</v>
      </c>
      <c r="L98" s="44">
        <f>((('Выборка 1'!AS98+'Выборка 1'!AX98)-('Выборка 1'!AR98+'Выборка 1'!AW98))+(('Выборка 1'!AT98+'Выборка 1'!AY98)-('Выборка 1'!AS98+'Выборка 1'!AX98))+(('Выборка 1'!AU98+'Выборка 1'!AZ98)-('Выборка 1'!AT98+'Выборка 1'!AY98))+(('Выборка 1'!AV98+'Выборка 1'!BA98)-('Выборка 1'!AU98+'Выборка 1'!AZ98)))/4000</f>
        <v>-19981.5</v>
      </c>
      <c r="M98" s="44">
        <f>(('Выборка 1'!BC98-'Выборка 1'!BB98)+('Выборка 1'!BD98-'Выборка 1'!BC98)+('Выборка 1'!BE98-'Выборка 1'!BD98)+('Выборка 1'!BF98-'Выборка 1'!BE98))/4000</f>
        <v>-5743</v>
      </c>
      <c r="N98" s="44">
        <f t="shared" si="1"/>
        <v>-1405</v>
      </c>
      <c r="O98" s="17">
        <f>((('Выборка 1'!BH98-'Выборка 1'!BM98)-('Выборка 1'!BG98-'Выборка 1'!BL98))+(('Выборка 1'!BI98-'Выборка 1'!BN98)-('Выборка 1'!BH98-'Выборка 1'!BM98))+(('Выборка 1'!BJ98-'Выборка 1'!BO98)-('Выборка 1'!BI98-'Выборка 1'!BN98))+(('Выборка 1'!BK98-'Выборка 1'!BP98)-('Выборка 1'!BJ98-'Выборка 1'!BO98)))/4000</f>
        <v>678</v>
      </c>
      <c r="P98" s="17">
        <f>(('Выборка 1'!BR98-'Выборка 1'!BQ98)+('Выборка 1'!BS98-'Выборка 1'!BR98)+('Выборка 1'!BT98-'Выборка 1'!BS98)+('Выборка 1'!BU98-'Выборка 1'!BT98))/4000</f>
        <v>-819.5</v>
      </c>
    </row>
    <row r="99" spans="2:16" x14ac:dyDescent="0.25">
      <c r="B99" s="42">
        <f>('Выборка 1'!AL99+'Выборка 1'!AG99)/1000</f>
        <v>1231009</v>
      </c>
      <c r="C99" s="17">
        <v>33</v>
      </c>
      <c r="D99" s="17">
        <f>(('Выборка 1'!E99-'Выборка 1'!D99)+('Выборка 1'!F99-'Выборка 1'!E99)+('Выборка 1'!G99-'Выборка 1'!F99)+('Выборка 1'!H99-'Выборка 1'!G99))/4000</f>
        <v>-17670</v>
      </c>
      <c r="E99" s="44">
        <f>(('Выборка 1'!J99-'Выборка 1'!I99)+('Выборка 1'!K99-'Выборка 1'!J99)+('Выборка 1'!L99-'Выборка 1'!K99)+('Выборка 1'!M99-'Выборка 1'!L99))/4000</f>
        <v>-236388.5</v>
      </c>
      <c r="F99" s="17">
        <f>(('Выборка 1'!O99-'Выборка 1'!N99)+('Выборка 1'!P99-'Выборка 1'!O99)+('Выборка 1'!Q99-'Выборка 1'!P99)+('Выборка 1'!R99-'Выборка 1'!Q99))/4000</f>
        <v>-14778.5</v>
      </c>
      <c r="G99" s="44">
        <f>(('Выборка 1'!T99-'Выборка 1'!S99)+('Выборка 1'!U99-'Выборка 1'!T99)+('Выборка 1'!V99-'Выборка 1'!U99)+('Выборка 1'!W99-'Выборка 1'!V99))/4000</f>
        <v>7227.5</v>
      </c>
      <c r="H99" s="44">
        <f>(('Выборка 1'!Y99-'Выборка 1'!X99)+('Выборка 1'!Z99+'Выборка 1'!Y99)+('Выборка 1'!AA99-'Выборка 1'!Z99)+('Выборка 1'!AB99-'Выборка 1'!AA99))/4000</f>
        <v>-173424.75</v>
      </c>
      <c r="I99" s="44">
        <f>(('Выборка 1'!AD99-'Выборка 1'!AC99)+('Выборка 1'!AE99-'Выборка 1'!AD99)+('Выборка 1'!AF99-'Выборка 1'!AE99)+('Выборка 1'!AG99-'Выборка 1'!AF99))/4000</f>
        <v>0</v>
      </c>
      <c r="J99" s="44">
        <f>(('Выборка 1'!AI99-'Выборка 1'!AH99)+('Выборка 1'!AJ99-'Выборка 1'!AI99)+('Выборка 1'!AK99-'Выборка 1'!AJ99)+('Выборка 1'!AL99-'Выборка 1'!AK99))/4000</f>
        <v>14768</v>
      </c>
      <c r="K99" s="17">
        <f>(('Выборка 1'!AN99-'Выборка 1'!AM99)+('Выборка 1'!AO99-'Выборка 1'!AN99)+('Выборка 1'!AP99-'Выборка 1'!AO99)+('Выборка 1'!AQ99-'Выборка 1'!AP99))/4000</f>
        <v>-149490.25</v>
      </c>
      <c r="L99" s="44">
        <f>((('Выборка 1'!AS99+'Выборка 1'!AX99)-('Выборка 1'!AR99+'Выборка 1'!AW99))+(('Выборка 1'!AT99+'Выборка 1'!AY99)-('Выборка 1'!AS99+'Выборка 1'!AX99))+(('Выборка 1'!AU99+'Выборка 1'!AZ99)-('Выборка 1'!AT99+'Выборка 1'!AY99))+(('Выборка 1'!AV99+'Выборка 1'!BA99)-('Выборка 1'!AU99+'Выборка 1'!AZ99)))/4000</f>
        <v>-151805.75</v>
      </c>
      <c r="M99" s="44">
        <f>(('Выборка 1'!BC99-'Выборка 1'!BB99)+('Выборка 1'!BD99-'Выборка 1'!BC99)+('Выборка 1'!BE99-'Выборка 1'!BD99)+('Выборка 1'!BF99-'Выборка 1'!BE99))/4000</f>
        <v>0</v>
      </c>
      <c r="N99" s="44">
        <f t="shared" si="1"/>
        <v>2315.5</v>
      </c>
      <c r="O99" s="17">
        <f>((('Выборка 1'!BH99-'Выборка 1'!BM99)-('Выборка 1'!BG99-'Выборка 1'!BL99))+(('Выборка 1'!BI99-'Выборка 1'!BN99)-('Выборка 1'!BH99-'Выборка 1'!BM99))+(('Выборка 1'!BJ99-'Выборка 1'!BO99)-('Выборка 1'!BI99-'Выборка 1'!BN99))+(('Выборка 1'!BK99-'Выборка 1'!BP99)-('Выборка 1'!BJ99-'Выборка 1'!BO99)))/4000</f>
        <v>-20740</v>
      </c>
      <c r="P99" s="17">
        <f>(('Выборка 1'!BR99-'Выборка 1'!BQ99)+('Выборка 1'!BS99-'Выборка 1'!BR99)+('Выборка 1'!BT99-'Выборка 1'!BS99)+('Выборка 1'!BU99-'Выборка 1'!BT99))/4000</f>
        <v>-39416</v>
      </c>
    </row>
    <row r="100" spans="2:16" x14ac:dyDescent="0.25">
      <c r="B100" s="42">
        <f>('Выборка 1'!AL100+'Выборка 1'!AG100)/1000</f>
        <v>0</v>
      </c>
      <c r="C100" s="17">
        <v>16</v>
      </c>
      <c r="D100" s="17">
        <f>(('Выборка 1'!E100-'Выборка 1'!D100)+('Выборка 1'!F100-'Выборка 1'!E100)+('Выборка 1'!G100-'Выборка 1'!F100)+('Выборка 1'!H100-'Выборка 1'!G100))/4000</f>
        <v>0</v>
      </c>
      <c r="E100" s="44">
        <f>(('Выборка 1'!J100-'Выборка 1'!I100)+('Выборка 1'!K100-'Выборка 1'!J100)+('Выборка 1'!L100-'Выборка 1'!K100)+('Выборка 1'!M100-'Выборка 1'!L100))/4000</f>
        <v>0</v>
      </c>
      <c r="F100" s="17">
        <f>(('Выборка 1'!O100-'Выборка 1'!N100)+('Выборка 1'!P100-'Выборка 1'!O100)+('Выборка 1'!Q100-'Выборка 1'!P100)+('Выборка 1'!R100-'Выборка 1'!Q100))/4000</f>
        <v>0</v>
      </c>
      <c r="G100" s="44">
        <f>(('Выборка 1'!T100-'Выборка 1'!S100)+('Выборка 1'!U100-'Выборка 1'!T100)+('Выборка 1'!V100-'Выборка 1'!U100)+('Выборка 1'!W100-'Выборка 1'!V100))/4000</f>
        <v>0</v>
      </c>
      <c r="H100" s="44">
        <f>(('Выборка 1'!Y100-'Выборка 1'!X100)+('Выборка 1'!Z100+'Выборка 1'!Y100)+('Выборка 1'!AA100-'Выборка 1'!Z100)+('Выборка 1'!AB100-'Выборка 1'!AA100))/4000</f>
        <v>0</v>
      </c>
      <c r="I100" s="44">
        <f>(('Выборка 1'!AD100-'Выборка 1'!AC100)+('Выборка 1'!AE100-'Выборка 1'!AD100)+('Выборка 1'!AF100-'Выборка 1'!AE100)+('Выборка 1'!AG100-'Выборка 1'!AF100))/4000</f>
        <v>0</v>
      </c>
      <c r="J100" s="44">
        <f>(('Выборка 1'!AI100-'Выборка 1'!AH100)+('Выборка 1'!AJ100-'Выборка 1'!AI100)+('Выборка 1'!AK100-'Выборка 1'!AJ100)+('Выборка 1'!AL100-'Выборка 1'!AK100))/4000</f>
        <v>0</v>
      </c>
      <c r="K100" s="17">
        <f>(('Выборка 1'!AN100-'Выборка 1'!AM100)+('Выборка 1'!AO100-'Выборка 1'!AN100)+('Выборка 1'!AP100-'Выборка 1'!AO100)+('Выборка 1'!AQ100-'Выборка 1'!AP100))/4000</f>
        <v>0</v>
      </c>
      <c r="L100" s="44">
        <f>((('Выборка 1'!AS100+'Выборка 1'!AX100)-('Выборка 1'!AR100+'Выборка 1'!AW100))+(('Выборка 1'!AT100+'Выборка 1'!AY100)-('Выборка 1'!AS100+'Выборка 1'!AX100))+(('Выборка 1'!AU100+'Выборка 1'!AZ100)-('Выборка 1'!AT100+'Выборка 1'!AY100))+(('Выборка 1'!AV100+'Выборка 1'!BA100)-('Выборка 1'!AU100+'Выборка 1'!AZ100)))/4000</f>
        <v>0</v>
      </c>
      <c r="M100" s="44">
        <f>(('Выборка 1'!BC100-'Выборка 1'!BB100)+('Выборка 1'!BD100-'Выборка 1'!BC100)+('Выборка 1'!BE100-'Выборка 1'!BD100)+('Выборка 1'!BF100-'Выборка 1'!BE100))/4000</f>
        <v>0</v>
      </c>
      <c r="N100" s="44">
        <f t="shared" si="1"/>
        <v>0</v>
      </c>
      <c r="O100" s="17">
        <f>((('Выборка 1'!BH100-'Выборка 1'!BM100)-('Выборка 1'!BG100-'Выборка 1'!BL100))+(('Выборка 1'!BI100-'Выборка 1'!BN100)-('Выборка 1'!BH100-'Выборка 1'!BM100))+(('Выборка 1'!BJ100-'Выборка 1'!BO100)-('Выборка 1'!BI100-'Выборка 1'!BN100))+(('Выборка 1'!BK100-'Выборка 1'!BP100)-('Выборка 1'!BJ100-'Выборка 1'!BO100)))/4000</f>
        <v>0</v>
      </c>
      <c r="P100" s="17">
        <f>(('Выборка 1'!BR100-'Выборка 1'!BQ100)+('Выборка 1'!BS100-'Выборка 1'!BR100)+('Выборка 1'!BT100-'Выборка 1'!BS100)+('Выборка 1'!BU100-'Выборка 1'!BT100))/4000</f>
        <v>0</v>
      </c>
    </row>
    <row r="101" spans="2:16" x14ac:dyDescent="0.25">
      <c r="B101" s="42">
        <f>('Выборка 1'!AL101+'Выборка 1'!AG101)/1000</f>
        <v>0</v>
      </c>
      <c r="C101" s="17">
        <v>19</v>
      </c>
      <c r="D101" s="17">
        <f>(('Выборка 1'!E101-'Выборка 1'!D101)+('Выборка 1'!F101-'Выборка 1'!E101)+('Выборка 1'!G101-'Выборка 1'!F101)+('Выборка 1'!H101-'Выборка 1'!G101))/4000</f>
        <v>-6.75</v>
      </c>
      <c r="E101" s="44">
        <f>(('Выборка 1'!J101-'Выборка 1'!I101)+('Выборка 1'!K101-'Выборка 1'!J101)+('Выборка 1'!L101-'Выборка 1'!K101)+('Выборка 1'!M101-'Выборка 1'!L101))/4000</f>
        <v>-2071.5</v>
      </c>
      <c r="F101" s="17">
        <f>(('Выборка 1'!O101-'Выборка 1'!N101)+('Выборка 1'!P101-'Выборка 1'!O101)+('Выборка 1'!Q101-'Выборка 1'!P101)+('Выборка 1'!R101-'Выборка 1'!Q101))/4000</f>
        <v>-11020.5</v>
      </c>
      <c r="G101" s="44">
        <f>(('Выборка 1'!T101-'Выборка 1'!S101)+('Выборка 1'!U101-'Выборка 1'!T101)+('Выборка 1'!V101-'Выборка 1'!U101)+('Выборка 1'!W101-'Выборка 1'!V101))/4000</f>
        <v>-19.75</v>
      </c>
      <c r="H101" s="44">
        <f>(('Выборка 1'!Y101-'Выборка 1'!X101)+('Выборка 1'!Z101+'Выборка 1'!Y101)+('Выборка 1'!AA101-'Выборка 1'!Z101)+('Выборка 1'!AB101-'Выборка 1'!AA101))/4000</f>
        <v>631</v>
      </c>
      <c r="I101" s="44">
        <f>(('Выборка 1'!AD101-'Выборка 1'!AC101)+('Выборка 1'!AE101-'Выборка 1'!AD101)+('Выборка 1'!AF101-'Выборка 1'!AE101)+('Выборка 1'!AG101-'Выборка 1'!AF101))/4000</f>
        <v>-203</v>
      </c>
      <c r="J101" s="44">
        <f>(('Выборка 1'!AI101-'Выборка 1'!AH101)+('Выборка 1'!AJ101-'Выборка 1'!AI101)+('Выборка 1'!AK101-'Выборка 1'!AJ101)+('Выборка 1'!AL101-'Выборка 1'!AK101))/4000</f>
        <v>-1974</v>
      </c>
      <c r="K101" s="17">
        <f>(('Выборка 1'!AN101-'Выборка 1'!AM101)+('Выборка 1'!AO101-'Выборка 1'!AN101)+('Выборка 1'!AP101-'Выборка 1'!AO101)+('Выборка 1'!AQ101-'Выборка 1'!AP101))/4000</f>
        <v>-7284.5</v>
      </c>
      <c r="L101" s="44">
        <f>((('Выборка 1'!AS101+'Выборка 1'!AX101)-('Выборка 1'!AR101+'Выборка 1'!AW101))+(('Выборка 1'!AT101+'Выборка 1'!AY101)-('Выборка 1'!AS101+'Выборка 1'!AX101))+(('Выборка 1'!AU101+'Выборка 1'!AZ101)-('Выборка 1'!AT101+'Выборка 1'!AY101))+(('Выборка 1'!AV101+'Выборка 1'!BA101)-('Выборка 1'!AU101+'Выборка 1'!AZ101)))/4000</f>
        <v>-5338.75</v>
      </c>
      <c r="M101" s="44">
        <f>(('Выборка 1'!BC101-'Выборка 1'!BB101)+('Выборка 1'!BD101-'Выборка 1'!BC101)+('Выборка 1'!BE101-'Выборка 1'!BD101)+('Выборка 1'!BF101-'Выборка 1'!BE101))/4000</f>
        <v>-1488.5</v>
      </c>
      <c r="N101" s="44">
        <f t="shared" si="1"/>
        <v>-457.25</v>
      </c>
      <c r="O101" s="17">
        <f>((('Выборка 1'!BH101-'Выборка 1'!BM101)-('Выборка 1'!BG101-'Выборка 1'!BL101))+(('Выборка 1'!BI101-'Выборка 1'!BN101)-('Выборка 1'!BH101-'Выборка 1'!BM101))+(('Выборка 1'!BJ101-'Выборка 1'!BO101)-('Выборка 1'!BI101-'Выборка 1'!BN101))+(('Выборка 1'!BK101-'Выборка 1'!BP101)-('Выборка 1'!BJ101-'Выборка 1'!BO101)))/4000</f>
        <v>274.75</v>
      </c>
      <c r="P101" s="17">
        <f>(('Выборка 1'!BR101-'Выборка 1'!BQ101)+('Выборка 1'!BS101-'Выборка 1'!BR101)+('Выборка 1'!BT101-'Выборка 1'!BS101)+('Выборка 1'!BU101-'Выборка 1'!BT101))/4000</f>
        <v>185.5</v>
      </c>
    </row>
    <row r="102" spans="2:16" x14ac:dyDescent="0.25">
      <c r="B102" s="42">
        <f>('Выборка 1'!AL102+'Выборка 1'!AG102)/1000</f>
        <v>120275</v>
      </c>
      <c r="C102" s="17">
        <v>14</v>
      </c>
      <c r="D102" s="17">
        <f>(('Выборка 1'!E102-'Выборка 1'!D102)+('Выборка 1'!F102-'Выборка 1'!E102)+('Выборка 1'!G102-'Выборка 1'!F102)+('Выборка 1'!H102-'Выборка 1'!G102))/4000</f>
        <v>-2616.25</v>
      </c>
      <c r="E102" s="44">
        <f>(('Выборка 1'!J102-'Выборка 1'!I102)+('Выборка 1'!K102-'Выборка 1'!J102)+('Выборка 1'!L102-'Выборка 1'!K102)+('Выборка 1'!M102-'Выборка 1'!L102))/4000</f>
        <v>-52120</v>
      </c>
      <c r="F102" s="17">
        <f>(('Выборка 1'!O102-'Выборка 1'!N102)+('Выборка 1'!P102-'Выборка 1'!O102)+('Выборка 1'!Q102-'Выборка 1'!P102)+('Выборка 1'!R102-'Выборка 1'!Q102))/4000</f>
        <v>-3922.25</v>
      </c>
      <c r="G102" s="44">
        <f>(('Выборка 1'!T102-'Выборка 1'!S102)+('Выборка 1'!U102-'Выборка 1'!T102)+('Выборка 1'!V102-'Выборка 1'!U102)+('Выборка 1'!W102-'Выборка 1'!V102))/4000</f>
        <v>-14646</v>
      </c>
      <c r="H102" s="44">
        <f>(('Выборка 1'!Y102-'Выборка 1'!X102)+('Выборка 1'!Z102+'Выборка 1'!Y102)+('Выборка 1'!AA102-'Выборка 1'!Z102)+('Выборка 1'!AB102-'Выборка 1'!AA102))/4000</f>
        <v>-24939.75</v>
      </c>
      <c r="I102" s="44">
        <f>(('Выборка 1'!AD102-'Выборка 1'!AC102)+('Выборка 1'!AE102-'Выборка 1'!AD102)+('Выборка 1'!AF102-'Выборка 1'!AE102)+('Выборка 1'!AG102-'Выборка 1'!AF102))/4000</f>
        <v>-102.75</v>
      </c>
      <c r="J102" s="44">
        <f>(('Выборка 1'!AI102-'Выборка 1'!AH102)+('Выборка 1'!AJ102-'Выборка 1'!AI102)+('Выборка 1'!AK102-'Выборка 1'!AJ102)+('Выборка 1'!AL102-'Выборка 1'!AK102))/4000</f>
        <v>-55054</v>
      </c>
      <c r="K102" s="17">
        <f>(('Выборка 1'!AN102-'Выборка 1'!AM102)+('Выборка 1'!AO102-'Выборка 1'!AN102)+('Выборка 1'!AP102-'Выборка 1'!AO102)+('Выборка 1'!AQ102-'Выборка 1'!AP102))/4000</f>
        <v>-186568</v>
      </c>
      <c r="L102" s="44">
        <f>((('Выборка 1'!AS102+'Выборка 1'!AX102)-('Выборка 1'!AR102+'Выборка 1'!AW102))+(('Выборка 1'!AT102+'Выборка 1'!AY102)-('Выборка 1'!AS102+'Выборка 1'!AX102))+(('Выборка 1'!AU102+'Выборка 1'!AZ102)-('Выборка 1'!AT102+'Выборка 1'!AY102))+(('Выборка 1'!AV102+'Выборка 1'!BA102)-('Выборка 1'!AU102+'Выборка 1'!AZ102)))/4000</f>
        <v>-198749.75</v>
      </c>
      <c r="M102" s="44">
        <f>(('Выборка 1'!BC102-'Выборка 1'!BB102)+('Выборка 1'!BD102-'Выборка 1'!BC102)+('Выборка 1'!BE102-'Выборка 1'!BD102)+('Выборка 1'!BF102-'Выборка 1'!BE102))/4000</f>
        <v>-16504</v>
      </c>
      <c r="N102" s="44">
        <f t="shared" si="1"/>
        <v>28685.75</v>
      </c>
      <c r="O102" s="17">
        <f>((('Выборка 1'!BH102-'Выборка 1'!BM102)-('Выборка 1'!BG102-'Выборка 1'!BL102))+(('Выборка 1'!BI102-'Выборка 1'!BN102)-('Выборка 1'!BH102-'Выборка 1'!BM102))+(('Выборка 1'!BJ102-'Выборка 1'!BO102)-('Выборка 1'!BI102-'Выборка 1'!BN102))+(('Выборка 1'!BK102-'Выборка 1'!BP102)-('Выборка 1'!BJ102-'Выборка 1'!BO102)))/4000</f>
        <v>-30350</v>
      </c>
      <c r="P102" s="17">
        <f>(('Выборка 1'!BR102-'Выборка 1'!BQ102)+('Выборка 1'!BS102-'Выборка 1'!BR102)+('Выборка 1'!BT102-'Выборка 1'!BS102)+('Выборка 1'!BU102-'Выборка 1'!BT102))/4000</f>
        <v>-617.5</v>
      </c>
    </row>
    <row r="103" spans="2:16" x14ac:dyDescent="0.25">
      <c r="B103" s="42">
        <f>('Выборка 1'!AL103+'Выборка 1'!AG103)/1000</f>
        <v>530709</v>
      </c>
      <c r="C103" s="17">
        <v>17</v>
      </c>
      <c r="D103" s="17">
        <f>(('Выборка 1'!E103-'Выборка 1'!D103)+('Выборка 1'!F103-'Выборка 1'!E103)+('Выборка 1'!G103-'Выборка 1'!F103)+('Выборка 1'!H103-'Выборка 1'!G103))/4000</f>
        <v>-865.75</v>
      </c>
      <c r="E103" s="44">
        <f>(('Выборка 1'!J103-'Выборка 1'!I103)+('Выборка 1'!K103-'Выборка 1'!J103)+('Выборка 1'!L103-'Выборка 1'!K103)+('Выборка 1'!M103-'Выборка 1'!L103))/4000</f>
        <v>3677.25</v>
      </c>
      <c r="F103" s="17">
        <f>(('Выборка 1'!O103-'Выборка 1'!N103)+('Выборка 1'!P103-'Выборка 1'!O103)+('Выборка 1'!Q103-'Выборка 1'!P103)+('Выборка 1'!R103-'Выборка 1'!Q103))/4000</f>
        <v>6515</v>
      </c>
      <c r="G103" s="44">
        <f>(('Выборка 1'!T103-'Выборка 1'!S103)+('Выборка 1'!U103-'Выборка 1'!T103)+('Выборка 1'!V103-'Выборка 1'!U103)+('Выборка 1'!W103-'Выборка 1'!V103))/4000</f>
        <v>-1154.5</v>
      </c>
      <c r="H103" s="44">
        <f>(('Выборка 1'!Y103-'Выборка 1'!X103)+('Выборка 1'!Z103+'Выборка 1'!Y103)+('Выборка 1'!AA103-'Выборка 1'!Z103)+('Выборка 1'!AB103-'Выборка 1'!AA103))/4000</f>
        <v>-51340.25</v>
      </c>
      <c r="I103" s="44">
        <f>(('Выборка 1'!AD103-'Выборка 1'!AC103)+('Выборка 1'!AE103-'Выборка 1'!AD103)+('Выборка 1'!AF103-'Выборка 1'!AE103)+('Выборка 1'!AG103-'Выборка 1'!AF103))/4000</f>
        <v>0</v>
      </c>
      <c r="J103" s="44">
        <f>(('Выборка 1'!AI103-'Выборка 1'!AH103)+('Выборка 1'!AJ103-'Выборка 1'!AI103)+('Выборка 1'!AK103-'Выборка 1'!AJ103)+('Выборка 1'!AL103-'Выборка 1'!AK103))/4000</f>
        <v>7382</v>
      </c>
      <c r="K103" s="17">
        <f>(('Выборка 1'!AN103-'Выборка 1'!AM103)+('Выборка 1'!AO103-'Выборка 1'!AN103)+('Выборка 1'!AP103-'Выборка 1'!AO103)+('Выборка 1'!AQ103-'Выборка 1'!AP103))/4000</f>
        <v>-158631</v>
      </c>
      <c r="L103" s="44">
        <f>((('Выборка 1'!AS103+'Выборка 1'!AX103)-('Выборка 1'!AR103+'Выборка 1'!AW103))+(('Выборка 1'!AT103+'Выборка 1'!AY103)-('Выборка 1'!AS103+'Выборка 1'!AX103))+(('Выборка 1'!AU103+'Выборка 1'!AZ103)-('Выборка 1'!AT103+'Выборка 1'!AY103))+(('Выборка 1'!AV103+'Выборка 1'!BA103)-('Выборка 1'!AU103+'Выборка 1'!AZ103)))/4000</f>
        <v>-176976.5</v>
      </c>
      <c r="M103" s="44">
        <f>(('Выборка 1'!BC103-'Выборка 1'!BB103)+('Выборка 1'!BD103-'Выборка 1'!BC103)+('Выборка 1'!BE103-'Выборка 1'!BD103)+('Выборка 1'!BF103-'Выборка 1'!BE103))/4000</f>
        <v>-7050.75</v>
      </c>
      <c r="N103" s="44">
        <f t="shared" si="1"/>
        <v>25396.25</v>
      </c>
      <c r="O103" s="17">
        <f>((('Выборка 1'!BH103-'Выборка 1'!BM103)-('Выборка 1'!BG103-'Выборка 1'!BL103))+(('Выборка 1'!BI103-'Выборка 1'!BN103)-('Выборка 1'!BH103-'Выборка 1'!BM103))+(('Выборка 1'!BJ103-'Выборка 1'!BO103)-('Выборка 1'!BI103-'Выборка 1'!BN103))+(('Выборка 1'!BK103-'Выборка 1'!BP103)-('Выборка 1'!BJ103-'Выборка 1'!BO103)))/4000</f>
        <v>4797.75</v>
      </c>
      <c r="P103" s="17">
        <f>(('Выборка 1'!BR103-'Выборка 1'!BQ103)+('Выборка 1'!BS103-'Выборка 1'!BR103)+('Выборка 1'!BT103-'Выборка 1'!BS103)+('Выборка 1'!BU103-'Выборка 1'!BT103))/4000</f>
        <v>31034.5</v>
      </c>
    </row>
    <row r="104" spans="2:16" x14ac:dyDescent="0.25">
      <c r="B104" s="42">
        <f>('Выборка 1'!AL104+'Выборка 1'!AG104)/1000</f>
        <v>120863</v>
      </c>
      <c r="C104" s="17">
        <v>9</v>
      </c>
      <c r="D104" s="17">
        <f>(('Выборка 1'!E104-'Выборка 1'!D104)+('Выборка 1'!F104-'Выборка 1'!E104)+('Выборка 1'!G104-'Выборка 1'!F104)+('Выборка 1'!H104-'Выборка 1'!G104))/4000</f>
        <v>-36316</v>
      </c>
      <c r="E104" s="44">
        <f>(('Выборка 1'!J104-'Выборка 1'!I104)+('Выборка 1'!K104-'Выборка 1'!J104)+('Выборка 1'!L104-'Выборка 1'!K104)+('Выборка 1'!M104-'Выборка 1'!L104))/4000</f>
        <v>0</v>
      </c>
      <c r="F104" s="17">
        <f>(('Выборка 1'!O104-'Выборка 1'!N104)+('Выборка 1'!P104-'Выборка 1'!O104)+('Выборка 1'!Q104-'Выборка 1'!P104)+('Выборка 1'!R104-'Выборка 1'!Q104))/4000</f>
        <v>0</v>
      </c>
      <c r="G104" s="44">
        <f>(('Выборка 1'!T104-'Выборка 1'!S104)+('Выборка 1'!U104-'Выборка 1'!T104)+('Выборка 1'!V104-'Выборка 1'!U104)+('Выборка 1'!W104-'Выборка 1'!V104))/4000</f>
        <v>736</v>
      </c>
      <c r="H104" s="44">
        <f>(('Выборка 1'!Y104-'Выборка 1'!X104)+('Выборка 1'!Z104+'Выборка 1'!Y104)+('Выборка 1'!AA104-'Выборка 1'!Z104)+('Выборка 1'!AB104-'Выборка 1'!AA104))/4000</f>
        <v>-56347.75</v>
      </c>
      <c r="I104" s="44">
        <f>(('Выборка 1'!AD104-'Выборка 1'!AC104)+('Выборка 1'!AE104-'Выборка 1'!AD104)+('Выборка 1'!AF104-'Выборка 1'!AE104)+('Выборка 1'!AG104-'Выборка 1'!AF104))/4000</f>
        <v>0</v>
      </c>
      <c r="J104" s="44">
        <f>(('Выборка 1'!AI104-'Выборка 1'!AH104)+('Выборка 1'!AJ104-'Выборка 1'!AI104)+('Выборка 1'!AK104-'Выборка 1'!AJ104)+('Выборка 1'!AL104-'Выборка 1'!AK104))/4000</f>
        <v>-5031</v>
      </c>
      <c r="K104" s="17">
        <f>(('Выборка 1'!AN104-'Выборка 1'!AM104)+('Выборка 1'!AO104-'Выборка 1'!AN104)+('Выборка 1'!AP104-'Выборка 1'!AO104)+('Выборка 1'!AQ104-'Выборка 1'!AP104))/4000</f>
        <v>0</v>
      </c>
      <c r="L104" s="44">
        <f>((('Выборка 1'!AS104+'Выборка 1'!AX104)-('Выборка 1'!AR104+'Выборка 1'!AW104))+(('Выборка 1'!AT104+'Выборка 1'!AY104)-('Выборка 1'!AS104+'Выборка 1'!AX104))+(('Выборка 1'!AU104+'Выборка 1'!AZ104)-('Выборка 1'!AT104+'Выборка 1'!AY104))+(('Выборка 1'!AV104+'Выборка 1'!BA104)-('Выборка 1'!AU104+'Выборка 1'!AZ104)))/4000</f>
        <v>0</v>
      </c>
      <c r="M104" s="44">
        <f>(('Выборка 1'!BC104-'Выборка 1'!BB104)+('Выборка 1'!BD104-'Выборка 1'!BC104)+('Выборка 1'!BE104-'Выборка 1'!BD104)+('Выборка 1'!BF104-'Выборка 1'!BE104))/4000</f>
        <v>0</v>
      </c>
      <c r="N104" s="44">
        <f t="shared" si="1"/>
        <v>0</v>
      </c>
      <c r="O104" s="17">
        <f>((('Выборка 1'!BH104-'Выборка 1'!BM104)-('Выборка 1'!BG104-'Выборка 1'!BL104))+(('Выборка 1'!BI104-'Выборка 1'!BN104)-('Выборка 1'!BH104-'Выборка 1'!BM104))+(('Выборка 1'!BJ104-'Выборка 1'!BO104)-('Выборка 1'!BI104-'Выборка 1'!BN104))+(('Выборка 1'!BK104-'Выборка 1'!BP104)-('Выборка 1'!BJ104-'Выборка 1'!BO104)))/4000</f>
        <v>139.75</v>
      </c>
      <c r="P104" s="17">
        <f>(('Выборка 1'!BR104-'Выборка 1'!BQ104)+('Выборка 1'!BS104-'Выборка 1'!BR104)+('Выборка 1'!BT104-'Выборка 1'!BS104)+('Выборка 1'!BU104-'Выборка 1'!BT104))/4000</f>
        <v>153.75</v>
      </c>
    </row>
    <row r="105" spans="2:16" x14ac:dyDescent="0.25">
      <c r="B105" s="42">
        <f>('Выборка 1'!AL105+'Выборка 1'!AG105)/1000</f>
        <v>0</v>
      </c>
      <c r="C105" s="17">
        <v>20</v>
      </c>
      <c r="D105" s="17">
        <f>(('Выборка 1'!E105-'Выборка 1'!D105)+('Выборка 1'!F105-'Выборка 1'!E105)+('Выборка 1'!G105-'Выборка 1'!F105)+('Выборка 1'!H105-'Выборка 1'!G105))/4000</f>
        <v>-333.75</v>
      </c>
      <c r="E105" s="44">
        <f>(('Выборка 1'!J105-'Выборка 1'!I105)+('Выборка 1'!K105-'Выборка 1'!J105)+('Выборка 1'!L105-'Выборка 1'!K105)+('Выборка 1'!M105-'Выборка 1'!L105))/4000</f>
        <v>-531</v>
      </c>
      <c r="F105" s="17">
        <f>(('Выборка 1'!O105-'Выборка 1'!N105)+('Выборка 1'!P105-'Выборка 1'!O105)+('Выборка 1'!Q105-'Выборка 1'!P105)+('Выборка 1'!R105-'Выборка 1'!Q105))/4000</f>
        <v>-13002.25</v>
      </c>
      <c r="G105" s="44">
        <f>(('Выборка 1'!T105-'Выборка 1'!S105)+('Выборка 1'!U105-'Выборка 1'!T105)+('Выборка 1'!V105-'Выборка 1'!U105)+('Выборка 1'!W105-'Выборка 1'!V105))/4000</f>
        <v>-4487.25</v>
      </c>
      <c r="H105" s="44">
        <f>(('Выборка 1'!Y105-'Выборка 1'!X105)+('Выборка 1'!Z105+'Выборка 1'!Y105)+('Выборка 1'!AA105-'Выборка 1'!Z105)+('Выборка 1'!AB105-'Выборка 1'!AA105))/4000</f>
        <v>3496.5</v>
      </c>
      <c r="I105" s="44">
        <f>(('Выборка 1'!AD105-'Выборка 1'!AC105)+('Выборка 1'!AE105-'Выборка 1'!AD105)+('Выборка 1'!AF105-'Выборка 1'!AE105)+('Выборка 1'!AG105-'Выборка 1'!AF105))/4000</f>
        <v>0</v>
      </c>
      <c r="J105" s="44">
        <f>(('Выборка 1'!AI105-'Выборка 1'!AH105)+('Выборка 1'!AJ105-'Выборка 1'!AI105)+('Выборка 1'!AK105-'Выборка 1'!AJ105)+('Выборка 1'!AL105-'Выборка 1'!AK105))/4000</f>
        <v>-11558.25</v>
      </c>
      <c r="K105" s="17">
        <f>(('Выборка 1'!AN105-'Выборка 1'!AM105)+('Выборка 1'!AO105-'Выборка 1'!AN105)+('Выборка 1'!AP105-'Выборка 1'!AO105)+('Выборка 1'!AQ105-'Выборка 1'!AP105))/4000</f>
        <v>-56215.25</v>
      </c>
      <c r="L105" s="44">
        <f>((('Выборка 1'!AS105+'Выборка 1'!AX105)-('Выборка 1'!AR105+'Выборка 1'!AW105))+(('Выборка 1'!AT105+'Выборка 1'!AY105)-('Выборка 1'!AS105+'Выборка 1'!AX105))+(('Выборка 1'!AU105+'Выборка 1'!AZ105)-('Выборка 1'!AT105+'Выборка 1'!AY105))+(('Выборка 1'!AV105+'Выборка 1'!BA105)-('Выборка 1'!AU105+'Выборка 1'!AZ105)))/4000</f>
        <v>-50157</v>
      </c>
      <c r="M105" s="44">
        <f>(('Выборка 1'!BC105-'Выборка 1'!BB105)+('Выборка 1'!BD105-'Выборка 1'!BC105)+('Выборка 1'!BE105-'Выборка 1'!BD105)+('Выборка 1'!BF105-'Выборка 1'!BE105))/4000</f>
        <v>-5835.5</v>
      </c>
      <c r="N105" s="44">
        <f t="shared" si="1"/>
        <v>-222.75</v>
      </c>
      <c r="O105" s="17">
        <f>((('Выборка 1'!BH105-'Выборка 1'!BM105)-('Выборка 1'!BG105-'Выборка 1'!BL105))+(('Выборка 1'!BI105-'Выборка 1'!BN105)-('Выборка 1'!BH105-'Выборка 1'!BM105))+(('Выборка 1'!BJ105-'Выборка 1'!BO105)-('Выборка 1'!BI105-'Выборка 1'!BN105))+(('Выборка 1'!BK105-'Выборка 1'!BP105)-('Выборка 1'!BJ105-'Выборка 1'!BO105)))/4000</f>
        <v>-457.25</v>
      </c>
      <c r="P105" s="17">
        <f>(('Выборка 1'!BR105-'Выборка 1'!BQ105)+('Выборка 1'!BS105-'Выборка 1'!BR105)+('Выборка 1'!BT105-'Выборка 1'!BS105)+('Выборка 1'!BU105-'Выборка 1'!BT105))/4000</f>
        <v>-618</v>
      </c>
    </row>
    <row r="106" spans="2:16" x14ac:dyDescent="0.25">
      <c r="B106" s="42">
        <f>('Выборка 1'!AL106+'Выборка 1'!AG106)/1000</f>
        <v>0</v>
      </c>
      <c r="C106" s="17">
        <v>12</v>
      </c>
      <c r="D106" s="17">
        <f>(('Выборка 1'!E106-'Выборка 1'!D106)+('Выборка 1'!F106-'Выборка 1'!E106)+('Выборка 1'!G106-'Выборка 1'!F106)+('Выборка 1'!H106-'Выборка 1'!G106))/4000</f>
        <v>0</v>
      </c>
      <c r="E106" s="44">
        <f>(('Выборка 1'!J106-'Выборка 1'!I106)+('Выборка 1'!K106-'Выборка 1'!J106)+('Выборка 1'!L106-'Выборка 1'!K106)+('Выборка 1'!M106-'Выборка 1'!L106))/4000</f>
        <v>-153918.75</v>
      </c>
      <c r="F106" s="17">
        <f>(('Выборка 1'!O106-'Выборка 1'!N106)+('Выборка 1'!P106-'Выборка 1'!O106)+('Выборка 1'!Q106-'Выборка 1'!P106)+('Выборка 1'!R106-'Выборка 1'!Q106))/4000</f>
        <v>-65236.25</v>
      </c>
      <c r="G106" s="44">
        <f>(('Выборка 1'!T106-'Выборка 1'!S106)+('Выборка 1'!U106-'Выборка 1'!T106)+('Выборка 1'!V106-'Выборка 1'!U106)+('Выборка 1'!W106-'Выборка 1'!V106))/4000</f>
        <v>-5276.75</v>
      </c>
      <c r="H106" s="44">
        <f>(('Выборка 1'!Y106-'Выборка 1'!X106)+('Выборка 1'!Z106+'Выборка 1'!Y106)+('Выборка 1'!AA106-'Выборка 1'!Z106)+('Выборка 1'!AB106-'Выборка 1'!AA106))/4000</f>
        <v>149978.5</v>
      </c>
      <c r="I106" s="44">
        <f>(('Выборка 1'!AD106-'Выборка 1'!AC106)+('Выборка 1'!AE106-'Выборка 1'!AD106)+('Выборка 1'!AF106-'Выборка 1'!AE106)+('Выборка 1'!AG106-'Выборка 1'!AF106))/4000</f>
        <v>-29216.75</v>
      </c>
      <c r="J106" s="44">
        <f>(('Выборка 1'!AI106-'Выборка 1'!AH106)+('Выборка 1'!AJ106-'Выборка 1'!AI106)+('Выборка 1'!AK106-'Выборка 1'!AJ106)+('Выборка 1'!AL106-'Выборка 1'!AK106))/4000</f>
        <v>-352020.25</v>
      </c>
      <c r="K106" s="17">
        <f>(('Выборка 1'!AN106-'Выборка 1'!AM106)+('Выборка 1'!AO106-'Выборка 1'!AN106)+('Выборка 1'!AP106-'Выборка 1'!AO106)+('Выборка 1'!AQ106-'Выборка 1'!AP106))/4000</f>
        <v>-24946.5</v>
      </c>
      <c r="L106" s="44">
        <f>((('Выборка 1'!AS106+'Выборка 1'!AX106)-('Выборка 1'!AR106+'Выборка 1'!AW106))+(('Выборка 1'!AT106+'Выборка 1'!AY106)-('Выборка 1'!AS106+'Выборка 1'!AX106))+(('Выборка 1'!AU106+'Выборка 1'!AZ106)-('Выборка 1'!AT106+'Выборка 1'!AY106))+(('Выборка 1'!AV106+'Выборка 1'!BA106)-('Выборка 1'!AU106+'Выборка 1'!AZ106)))/4000</f>
        <v>-29737</v>
      </c>
      <c r="M106" s="44">
        <f>(('Выборка 1'!BC106-'Выборка 1'!BB106)+('Выборка 1'!BD106-'Выборка 1'!BC106)+('Выборка 1'!BE106-'Выборка 1'!BD106)+('Выборка 1'!BF106-'Выборка 1'!BE106))/4000</f>
        <v>-1439.5</v>
      </c>
      <c r="N106" s="44">
        <f t="shared" si="1"/>
        <v>6230</v>
      </c>
      <c r="O106" s="17">
        <f>((('Выборка 1'!BH106-'Выборка 1'!BM106)-('Выборка 1'!BG106-'Выборка 1'!BL106))+(('Выборка 1'!BI106-'Выборка 1'!BN106)-('Выборка 1'!BH106-'Выборка 1'!BM106))+(('Выборка 1'!BJ106-'Выборка 1'!BO106)-('Выборка 1'!BI106-'Выборка 1'!BN106))+(('Выборка 1'!BK106-'Выборка 1'!BP106)-('Выборка 1'!BJ106-'Выборка 1'!BO106)))/4000</f>
        <v>-1410.25</v>
      </c>
      <c r="P106" s="17">
        <f>(('Выборка 1'!BR106-'Выборка 1'!BQ106)+('Выборка 1'!BS106-'Выборка 1'!BR106)+('Выборка 1'!BT106-'Выборка 1'!BS106)+('Выборка 1'!BU106-'Выборка 1'!BT106))/4000</f>
        <v>4780.5</v>
      </c>
    </row>
    <row r="107" spans="2:16" x14ac:dyDescent="0.25">
      <c r="B107" s="42">
        <f>('Выборка 1'!AL107+'Выборка 1'!AG107)/1000</f>
        <v>0</v>
      </c>
      <c r="C107" s="17">
        <v>22</v>
      </c>
      <c r="D107" s="17">
        <f>(('Выборка 1'!E107-'Выборка 1'!D107)+('Выборка 1'!F107-'Выборка 1'!E107)+('Выборка 1'!G107-'Выборка 1'!F107)+('Выборка 1'!H107-'Выборка 1'!G107))/4000</f>
        <v>0</v>
      </c>
      <c r="E107" s="44">
        <f>(('Выборка 1'!J107-'Выборка 1'!I107)+('Выборка 1'!K107-'Выборка 1'!J107)+('Выборка 1'!L107-'Выборка 1'!K107)+('Выборка 1'!M107-'Выборка 1'!L107))/4000</f>
        <v>2.5</v>
      </c>
      <c r="F107" s="17">
        <f>(('Выборка 1'!O107-'Выборка 1'!N107)+('Выборка 1'!P107-'Выборка 1'!O107)+('Выборка 1'!Q107-'Выборка 1'!P107)+('Выборка 1'!R107-'Выборка 1'!Q107))/4000</f>
        <v>0</v>
      </c>
      <c r="G107" s="44">
        <f>(('Выборка 1'!T107-'Выборка 1'!S107)+('Выборка 1'!U107-'Выборка 1'!T107)+('Выборка 1'!V107-'Выборка 1'!U107)+('Выборка 1'!W107-'Выборка 1'!V107))/4000</f>
        <v>-2.5</v>
      </c>
      <c r="H107" s="44">
        <f>(('Выборка 1'!Y107-'Выборка 1'!X107)+('Выборка 1'!Z107+'Выборка 1'!Y107)+('Выборка 1'!AA107-'Выборка 1'!Z107)+('Выборка 1'!AB107-'Выборка 1'!AA107))/4000</f>
        <v>0</v>
      </c>
      <c r="I107" s="44">
        <f>(('Выборка 1'!AD107-'Выборка 1'!AC107)+('Выборка 1'!AE107-'Выборка 1'!AD107)+('Выборка 1'!AF107-'Выборка 1'!AE107)+('Выборка 1'!AG107-'Выборка 1'!AF107))/4000</f>
        <v>0</v>
      </c>
      <c r="J107" s="44">
        <f>(('Выборка 1'!AI107-'Выборка 1'!AH107)+('Выборка 1'!AJ107-'Выборка 1'!AI107)+('Выборка 1'!AK107-'Выборка 1'!AJ107)+('Выборка 1'!AL107-'Выборка 1'!AK107))/4000</f>
        <v>0</v>
      </c>
      <c r="K107" s="17">
        <f>(('Выборка 1'!AN107-'Выборка 1'!AM107)+('Выборка 1'!AO107-'Выборка 1'!AN107)+('Выборка 1'!AP107-'Выборка 1'!AO107)+('Выборка 1'!AQ107-'Выборка 1'!AP107))/4000</f>
        <v>994</v>
      </c>
      <c r="L107" s="44">
        <f>((('Выборка 1'!AS107+'Выборка 1'!AX107)-('Выборка 1'!AR107+'Выборка 1'!AW107))+(('Выборка 1'!AT107+'Выборка 1'!AY107)-('Выборка 1'!AS107+'Выборка 1'!AX107))+(('Выборка 1'!AU107+'Выборка 1'!AZ107)-('Выборка 1'!AT107+'Выборка 1'!AY107))+(('Выборка 1'!AV107+'Выборка 1'!BA107)-('Выборка 1'!AU107+'Выборка 1'!AZ107)))/4000</f>
        <v>901.5</v>
      </c>
      <c r="M107" s="44">
        <f>(('Выборка 1'!BC107-'Выборка 1'!BB107)+('Выборка 1'!BD107-'Выборка 1'!BC107)+('Выборка 1'!BE107-'Выборка 1'!BD107)+('Выборка 1'!BF107-'Выборка 1'!BE107))/4000</f>
        <v>0</v>
      </c>
      <c r="N107" s="44">
        <f t="shared" si="1"/>
        <v>92.5</v>
      </c>
      <c r="O107" s="17">
        <f>((('Выборка 1'!BH107-'Выборка 1'!BM107)-('Выборка 1'!BG107-'Выборка 1'!BL107))+(('Выборка 1'!BI107-'Выборка 1'!BN107)-('Выборка 1'!BH107-'Выборка 1'!BM107))+(('Выборка 1'!BJ107-'Выборка 1'!BO107)-('Выборка 1'!BI107-'Выборка 1'!BN107))+(('Выборка 1'!BK107-'Выборка 1'!BP107)-('Выборка 1'!BJ107-'Выборка 1'!BO107)))/4000</f>
        <v>0</v>
      </c>
      <c r="P107" s="17">
        <f>(('Выборка 1'!BR107-'Выборка 1'!BQ107)+('Выборка 1'!BS107-'Выборка 1'!BR107)+('Выборка 1'!BT107-'Выборка 1'!BS107)+('Выборка 1'!BU107-'Выборка 1'!BT107))/4000</f>
        <v>33.25</v>
      </c>
    </row>
    <row r="108" spans="2:16" x14ac:dyDescent="0.25">
      <c r="B108" s="42">
        <f>('Выборка 1'!AL108+'Выборка 1'!AG108)/1000</f>
        <v>158927</v>
      </c>
      <c r="C108" s="17">
        <v>12</v>
      </c>
      <c r="D108" s="17">
        <f>(('Выборка 1'!E108-'Выборка 1'!D108)+('Выборка 1'!F108-'Выборка 1'!E108)+('Выборка 1'!G108-'Выборка 1'!F108)+('Выборка 1'!H108-'Выборка 1'!G108))/4000</f>
        <v>0</v>
      </c>
      <c r="E108" s="44">
        <f>(('Выборка 1'!J108-'Выборка 1'!I108)+('Выборка 1'!K108-'Выборка 1'!J108)+('Выборка 1'!L108-'Выборка 1'!K108)+('Выборка 1'!M108-'Выборка 1'!L108))/4000</f>
        <v>0</v>
      </c>
      <c r="F108" s="17">
        <f>(('Выборка 1'!O108-'Выборка 1'!N108)+('Выборка 1'!P108-'Выборка 1'!O108)+('Выборка 1'!Q108-'Выборка 1'!P108)+('Выборка 1'!R108-'Выборка 1'!Q108))/4000</f>
        <v>2772</v>
      </c>
      <c r="G108" s="44">
        <f>(('Выборка 1'!T108-'Выборка 1'!S108)+('Выборка 1'!U108-'Выборка 1'!T108)+('Выборка 1'!V108-'Выборка 1'!U108)+('Выборка 1'!W108-'Выборка 1'!V108))/4000</f>
        <v>0</v>
      </c>
      <c r="H108" s="44">
        <f>(('Выборка 1'!Y108-'Выборка 1'!X108)+('Выборка 1'!Z108+'Выборка 1'!Y108)+('Выборка 1'!AA108-'Выборка 1'!Z108)+('Выборка 1'!AB108-'Выборка 1'!AA108))/4000</f>
        <v>-36964.75</v>
      </c>
      <c r="I108" s="44">
        <f>(('Выборка 1'!AD108-'Выборка 1'!AC108)+('Выборка 1'!AE108-'Выборка 1'!AD108)+('Выборка 1'!AF108-'Выборка 1'!AE108)+('Выборка 1'!AG108-'Выборка 1'!AF108))/4000</f>
        <v>0</v>
      </c>
      <c r="J108" s="44">
        <f>(('Выборка 1'!AI108-'Выборка 1'!AH108)+('Выборка 1'!AJ108-'Выборка 1'!AI108)+('Выборка 1'!AK108-'Выборка 1'!AJ108)+('Выборка 1'!AL108-'Выборка 1'!AK108))/4000</f>
        <v>39731.75</v>
      </c>
      <c r="K108" s="17">
        <f>(('Выборка 1'!AN108-'Выборка 1'!AM108)+('Выборка 1'!AO108-'Выборка 1'!AN108)+('Выборка 1'!AP108-'Выборка 1'!AO108)+('Выборка 1'!AQ108-'Выборка 1'!AP108))/4000</f>
        <v>0</v>
      </c>
      <c r="L108" s="44">
        <f>((('Выборка 1'!AS108+'Выборка 1'!AX108)-('Выборка 1'!AR108+'Выборка 1'!AW108))+(('Выборка 1'!AT108+'Выборка 1'!AY108)-('Выборка 1'!AS108+'Выборка 1'!AX108))+(('Выборка 1'!AU108+'Выборка 1'!AZ108)-('Выборка 1'!AT108+'Выборка 1'!AY108))+(('Выборка 1'!AV108+'Выборка 1'!BA108)-('Выборка 1'!AU108+'Выборка 1'!AZ108)))/4000</f>
        <v>0</v>
      </c>
      <c r="M108" s="44">
        <f>(('Выборка 1'!BC108-'Выборка 1'!BB108)+('Выборка 1'!BD108-'Выборка 1'!BC108)+('Выборка 1'!BE108-'Выборка 1'!BD108)+('Выборка 1'!BF108-'Выборка 1'!BE108))/4000</f>
        <v>0</v>
      </c>
      <c r="N108" s="44">
        <f t="shared" si="1"/>
        <v>0</v>
      </c>
      <c r="O108" s="17">
        <f>((('Выборка 1'!BH108-'Выборка 1'!BM108)-('Выборка 1'!BG108-'Выборка 1'!BL108))+(('Выборка 1'!BI108-'Выборка 1'!BN108)-('Выборка 1'!BH108-'Выборка 1'!BM108))+(('Выборка 1'!BJ108-'Выборка 1'!BO108)-('Выборка 1'!BI108-'Выборка 1'!BN108))+(('Выборка 1'!BK108-'Выборка 1'!BP108)-('Выборка 1'!BJ108-'Выборка 1'!BO108)))/4000</f>
        <v>-78.25</v>
      </c>
      <c r="P108" s="17">
        <f>(('Выборка 1'!BR108-'Выборка 1'!BQ108)+('Выборка 1'!BS108-'Выборка 1'!BR108)+('Выборка 1'!BT108-'Выборка 1'!BS108)+('Выборка 1'!BU108-'Выборка 1'!BT108))/4000</f>
        <v>-78.25</v>
      </c>
    </row>
    <row r="109" spans="2:16" x14ac:dyDescent="0.25">
      <c r="B109" s="42">
        <f>('Выборка 1'!AL109+'Выборка 1'!AG109)/1000</f>
        <v>17503</v>
      </c>
      <c r="C109" s="17">
        <v>12</v>
      </c>
      <c r="D109" s="17">
        <f>(('Выборка 1'!E109-'Выборка 1'!D109)+('Выборка 1'!F109-'Выборка 1'!E109)+('Выборка 1'!G109-'Выборка 1'!F109)+('Выборка 1'!H109-'Выборка 1'!G109))/4000</f>
        <v>-1710.25</v>
      </c>
      <c r="E109" s="44">
        <f>(('Выборка 1'!J109-'Выборка 1'!I109)+('Выборка 1'!K109-'Выборка 1'!J109)+('Выборка 1'!L109-'Выборка 1'!K109)+('Выборка 1'!M109-'Выборка 1'!L109))/4000</f>
        <v>-4282.75</v>
      </c>
      <c r="F109" s="17">
        <f>(('Выборка 1'!O109-'Выборка 1'!N109)+('Выборка 1'!P109-'Выборка 1'!O109)+('Выборка 1'!Q109-'Выборка 1'!P109)+('Выборка 1'!R109-'Выборка 1'!Q109))/4000</f>
        <v>-4886.25</v>
      </c>
      <c r="G109" s="44">
        <f>(('Выборка 1'!T109-'Выборка 1'!S109)+('Выборка 1'!U109-'Выборка 1'!T109)+('Выборка 1'!V109-'Выборка 1'!U109)+('Выборка 1'!W109-'Выборка 1'!V109))/4000</f>
        <v>-134.25</v>
      </c>
      <c r="H109" s="44">
        <f>(('Выборка 1'!Y109-'Выборка 1'!X109)+('Выборка 1'!Z109+'Выборка 1'!Y109)+('Выборка 1'!AA109-'Выборка 1'!Z109)+('Выборка 1'!AB109-'Выборка 1'!AA109))/4000</f>
        <v>-6631.5</v>
      </c>
      <c r="I109" s="44">
        <f>(('Выборка 1'!AD109-'Выборка 1'!AC109)+('Выборка 1'!AE109-'Выборка 1'!AD109)+('Выборка 1'!AF109-'Выборка 1'!AE109)+('Выборка 1'!AG109-'Выборка 1'!AF109))/4000</f>
        <v>-918.75</v>
      </c>
      <c r="J109" s="44">
        <f>(('Выборка 1'!AI109-'Выборка 1'!AH109)+('Выборка 1'!AJ109-'Выборка 1'!AI109)+('Выборка 1'!AK109-'Выборка 1'!AJ109)+('Выборка 1'!AL109-'Выборка 1'!AK109))/4000</f>
        <v>-3328.5</v>
      </c>
      <c r="K109" s="17">
        <f>(('Выборка 1'!AN109-'Выборка 1'!AM109)+('Выборка 1'!AO109-'Выборка 1'!AN109)+('Выборка 1'!AP109-'Выборка 1'!AO109)+('Выборка 1'!AQ109-'Выборка 1'!AP109))/4000</f>
        <v>-20180.5</v>
      </c>
      <c r="L109" s="44">
        <f>((('Выборка 1'!AS109+'Выборка 1'!AX109)-('Выборка 1'!AR109+'Выборка 1'!AW109))+(('Выборка 1'!AT109+'Выборка 1'!AY109)-('Выборка 1'!AS109+'Выборка 1'!AX109))+(('Выборка 1'!AU109+'Выборка 1'!AZ109)-('Выборка 1'!AT109+'Выборка 1'!AY109))+(('Выборка 1'!AV109+'Выборка 1'!BA109)-('Выборка 1'!AU109+'Выборка 1'!AZ109)))/4000</f>
        <v>-18759.5</v>
      </c>
      <c r="M109" s="44">
        <f>(('Выборка 1'!BC109-'Выборка 1'!BB109)+('Выборка 1'!BD109-'Выборка 1'!BC109)+('Выборка 1'!BE109-'Выборка 1'!BD109)+('Выборка 1'!BF109-'Выборка 1'!BE109))/4000</f>
        <v>0</v>
      </c>
      <c r="N109" s="44">
        <f t="shared" si="1"/>
        <v>-1421</v>
      </c>
      <c r="O109" s="17">
        <f>((('Выборка 1'!BH109-'Выборка 1'!BM109)-('Выборка 1'!BG109-'Выборка 1'!BL109))+(('Выборка 1'!BI109-'Выборка 1'!BN109)-('Выборка 1'!BH109-'Выборка 1'!BM109))+(('Выборка 1'!BJ109-'Выборка 1'!BO109)-('Выборка 1'!BI109-'Выборка 1'!BN109))+(('Выборка 1'!BK109-'Выборка 1'!BP109)-('Выборка 1'!BJ109-'Выборка 1'!BO109)))/4000</f>
        <v>215.25</v>
      </c>
      <c r="P109" s="17">
        <f>(('Выборка 1'!BR109-'Выборка 1'!BQ109)+('Выборка 1'!BS109-'Выборка 1'!BR109)+('Выборка 1'!BT109-'Выборка 1'!BS109)+('Выборка 1'!BU109-'Выборка 1'!BT109))/4000</f>
        <v>-890</v>
      </c>
    </row>
    <row r="110" spans="2:16" x14ac:dyDescent="0.25">
      <c r="B110" s="42">
        <f>('Выборка 1'!AL110+'Выборка 1'!AG110)/1000</f>
        <v>0</v>
      </c>
      <c r="C110" s="17">
        <v>17</v>
      </c>
      <c r="D110" s="17">
        <f>(('Выборка 1'!E110-'Выборка 1'!D110)+('Выборка 1'!F110-'Выборка 1'!E110)+('Выборка 1'!G110-'Выборка 1'!F110)+('Выборка 1'!H110-'Выборка 1'!G110))/4000</f>
        <v>0</v>
      </c>
      <c r="E110" s="44">
        <f>(('Выборка 1'!J110-'Выборка 1'!I110)+('Выборка 1'!K110-'Выборка 1'!J110)+('Выборка 1'!L110-'Выборка 1'!K110)+('Выборка 1'!M110-'Выборка 1'!L110))/4000</f>
        <v>-1421.25</v>
      </c>
      <c r="F110" s="17">
        <f>(('Выборка 1'!O110-'Выборка 1'!N110)+('Выборка 1'!P110-'Выборка 1'!O110)+('Выборка 1'!Q110-'Выборка 1'!P110)+('Выборка 1'!R110-'Выборка 1'!Q110))/4000</f>
        <v>-4427.5</v>
      </c>
      <c r="G110" s="44">
        <f>(('Выборка 1'!T110-'Выборка 1'!S110)+('Выборка 1'!U110-'Выборка 1'!T110)+('Выборка 1'!V110-'Выборка 1'!U110)+('Выборка 1'!W110-'Выборка 1'!V110))/4000</f>
        <v>-32</v>
      </c>
      <c r="H110" s="44">
        <f>(('Выборка 1'!Y110-'Выборка 1'!X110)+('Выборка 1'!Z110+'Выборка 1'!Y110)+('Выборка 1'!AA110-'Выборка 1'!Z110)+('Выборка 1'!AB110-'Выборка 1'!AA110))/4000</f>
        <v>-488.5</v>
      </c>
      <c r="I110" s="44">
        <f>(('Выборка 1'!AD110-'Выборка 1'!AC110)+('Выборка 1'!AE110-'Выборка 1'!AD110)+('Выборка 1'!AF110-'Выборка 1'!AE110)+('Выборка 1'!AG110-'Выборка 1'!AF110))/4000</f>
        <v>-187</v>
      </c>
      <c r="J110" s="44">
        <f>(('Выборка 1'!AI110-'Выборка 1'!AH110)+('Выборка 1'!AJ110-'Выборка 1'!AI110)+('Выборка 1'!AK110-'Выборка 1'!AJ110)+('Выборка 1'!AL110-'Выборка 1'!AK110))/4000</f>
        <v>-5176.75</v>
      </c>
      <c r="K110" s="17">
        <f>(('Выборка 1'!AN110-'Выборка 1'!AM110)+('Выборка 1'!AO110-'Выборка 1'!AN110)+('Выборка 1'!AP110-'Выборка 1'!AO110)+('Выборка 1'!AQ110-'Выборка 1'!AP110))/4000</f>
        <v>-2124.5</v>
      </c>
      <c r="L110" s="44">
        <f>((('Выборка 1'!AS110+'Выборка 1'!AX110)-('Выборка 1'!AR110+'Выборка 1'!AW110))+(('Выборка 1'!AT110+'Выборка 1'!AY110)-('Выборка 1'!AS110+'Выборка 1'!AX110))+(('Выборка 1'!AU110+'Выборка 1'!AZ110)-('Выборка 1'!AT110+'Выборка 1'!AY110))+(('Выборка 1'!AV110+'Выборка 1'!BA110)-('Выборка 1'!AU110+'Выборка 1'!AZ110)))/4000</f>
        <v>-2054.75</v>
      </c>
      <c r="M110" s="44">
        <f>(('Выборка 1'!BC110-'Выборка 1'!BB110)+('Выборка 1'!BD110-'Выборка 1'!BC110)+('Выборка 1'!BE110-'Выборка 1'!BD110)+('Выборка 1'!BF110-'Выборка 1'!BE110))/4000</f>
        <v>0</v>
      </c>
      <c r="N110" s="44">
        <f t="shared" si="1"/>
        <v>-69.75</v>
      </c>
      <c r="O110" s="17">
        <f>((('Выборка 1'!BH110-'Выборка 1'!BM110)-('Выборка 1'!BG110-'Выборка 1'!BL110))+(('Выборка 1'!BI110-'Выборка 1'!BN110)-('Выборка 1'!BH110-'Выборка 1'!BM110))+(('Выборка 1'!BJ110-'Выборка 1'!BO110)-('Выборка 1'!BI110-'Выборка 1'!BN110))+(('Выборка 1'!BK110-'Выборка 1'!BP110)-('Выборка 1'!BJ110-'Выборка 1'!BO110)))/4000</f>
        <v>-47.75</v>
      </c>
      <c r="P110" s="17">
        <f>(('Выборка 1'!BR110-'Выборка 1'!BQ110)+('Выборка 1'!BS110-'Выборка 1'!BR110)+('Выборка 1'!BT110-'Выборка 1'!BS110)+('Выборка 1'!BU110-'Выборка 1'!BT110))/4000</f>
        <v>-87</v>
      </c>
    </row>
    <row r="111" spans="2:16" x14ac:dyDescent="0.25">
      <c r="B111" s="42">
        <f>('Выборка 1'!AL111+'Выборка 1'!AG111)/1000</f>
        <v>57608</v>
      </c>
      <c r="C111" s="17">
        <v>15</v>
      </c>
      <c r="D111" s="17">
        <f>(('Выборка 1'!E111-'Выборка 1'!D111)+('Выборка 1'!F111-'Выборка 1'!E111)+('Выборка 1'!G111-'Выборка 1'!F111)+('Выборка 1'!H111-'Выборка 1'!G111))/4000</f>
        <v>-345</v>
      </c>
      <c r="E111" s="44">
        <f>(('Выборка 1'!J111-'Выборка 1'!I111)+('Выборка 1'!K111-'Выборка 1'!J111)+('Выборка 1'!L111-'Выборка 1'!K111)+('Выборка 1'!M111-'Выборка 1'!L111))/4000</f>
        <v>-4373.75</v>
      </c>
      <c r="F111" s="17">
        <f>(('Выборка 1'!O111-'Выборка 1'!N111)+('Выборка 1'!P111-'Выборка 1'!O111)+('Выборка 1'!Q111-'Выборка 1'!P111)+('Выборка 1'!R111-'Выборка 1'!Q111))/4000</f>
        <v>-6330.5</v>
      </c>
      <c r="G111" s="44">
        <f>(('Выборка 1'!T111-'Выборка 1'!S111)+('Выборка 1'!U111-'Выборка 1'!T111)+('Выборка 1'!V111-'Выборка 1'!U111)+('Выборка 1'!W111-'Выборка 1'!V111))/4000</f>
        <v>-35</v>
      </c>
      <c r="H111" s="44">
        <f>(('Выборка 1'!Y111-'Выборка 1'!X111)+('Выборка 1'!Z111+'Выборка 1'!Y111)+('Выборка 1'!AA111-'Выборка 1'!Z111)+('Выборка 1'!AB111-'Выборка 1'!AA111))/4000</f>
        <v>0</v>
      </c>
      <c r="I111" s="44">
        <f>(('Выборка 1'!AD111-'Выборка 1'!AC111)+('Выборка 1'!AE111-'Выборка 1'!AD111)+('Выборка 1'!AF111-'Выборка 1'!AE111)+('Выборка 1'!AG111-'Выборка 1'!AF111))/4000</f>
        <v>451</v>
      </c>
      <c r="J111" s="44">
        <f>(('Выборка 1'!AI111-'Выборка 1'!AH111)+('Выборка 1'!AJ111-'Выборка 1'!AI111)+('Выборка 1'!AK111-'Выборка 1'!AJ111)+('Выборка 1'!AL111-'Выборка 1'!AK111))/4000</f>
        <v>-8283.25</v>
      </c>
      <c r="K111" s="17">
        <f>(('Выборка 1'!AN111-'Выборка 1'!AM111)+('Выборка 1'!AO111-'Выборка 1'!AN111)+('Выборка 1'!AP111-'Выборка 1'!AO111)+('Выборка 1'!AQ111-'Выборка 1'!AP111))/4000</f>
        <v>-51015.25</v>
      </c>
      <c r="L111" s="44">
        <f>((('Выборка 1'!AS111+'Выборка 1'!AX111)-('Выборка 1'!AR111+'Выборка 1'!AW111))+(('Выборка 1'!AT111+'Выборка 1'!AY111)-('Выборка 1'!AS111+'Выборка 1'!AX111))+(('Выборка 1'!AU111+'Выборка 1'!AZ111)-('Выборка 1'!AT111+'Выборка 1'!AY111))+(('Выборка 1'!AV111+'Выборка 1'!BA111)-('Выборка 1'!AU111+'Выборка 1'!AZ111)))/4000</f>
        <v>-50034.5</v>
      </c>
      <c r="M111" s="44">
        <f>(('Выборка 1'!BC111-'Выборка 1'!BB111)+('Выборка 1'!BD111-'Выборка 1'!BC111)+('Выборка 1'!BE111-'Выборка 1'!BD111)+('Выборка 1'!BF111-'Выборка 1'!BE111))/4000</f>
        <v>0</v>
      </c>
      <c r="N111" s="44">
        <f t="shared" si="1"/>
        <v>-980.75</v>
      </c>
      <c r="O111" s="17">
        <f>((('Выборка 1'!BH111-'Выборка 1'!BM111)-('Выборка 1'!BG111-'Выборка 1'!BL111))+(('Выборка 1'!BI111-'Выборка 1'!BN111)-('Выборка 1'!BH111-'Выборка 1'!BM111))+(('Выборка 1'!BJ111-'Выборка 1'!BO111)-('Выборка 1'!BI111-'Выборка 1'!BN111))+(('Выборка 1'!BK111-'Выборка 1'!BP111)-('Выборка 1'!BJ111-'Выборка 1'!BO111)))/4000</f>
        <v>-1926.25</v>
      </c>
      <c r="P111" s="17">
        <f>(('Выборка 1'!BR111-'Выборка 1'!BQ111)+('Выборка 1'!BS111-'Выборка 1'!BR111)+('Выборка 1'!BT111-'Выборка 1'!BS111)+('Выборка 1'!BU111-'Выборка 1'!BT111))/4000</f>
        <v>-2799.25</v>
      </c>
    </row>
    <row r="112" spans="2:16" x14ac:dyDescent="0.25">
      <c r="B112" s="42">
        <f>('Выборка 1'!AL112+'Выборка 1'!AG112)/1000</f>
        <v>48359</v>
      </c>
      <c r="C112" s="17">
        <v>11</v>
      </c>
      <c r="D112" s="17">
        <f>(('Выборка 1'!E112-'Выборка 1'!D112)+('Выборка 1'!F112-'Выборка 1'!E112)+('Выборка 1'!G112-'Выборка 1'!F112)+('Выборка 1'!H112-'Выборка 1'!G112))/4000</f>
        <v>-3943</v>
      </c>
      <c r="E112" s="44">
        <f>(('Выборка 1'!J112-'Выборка 1'!I112)+('Выборка 1'!K112-'Выборка 1'!J112)+('Выборка 1'!L112-'Выборка 1'!K112)+('Выборка 1'!M112-'Выборка 1'!L112))/4000</f>
        <v>-9874</v>
      </c>
      <c r="F112" s="17">
        <f>(('Выборка 1'!O112-'Выборка 1'!N112)+('Выборка 1'!P112-'Выборка 1'!O112)+('Выборка 1'!Q112-'Выборка 1'!P112)+('Выборка 1'!R112-'Выборка 1'!Q112))/4000</f>
        <v>-3595.75</v>
      </c>
      <c r="G112" s="44">
        <f>(('Выборка 1'!T112-'Выборка 1'!S112)+('Выборка 1'!U112-'Выборка 1'!T112)+('Выборка 1'!V112-'Выборка 1'!U112)+('Выборка 1'!W112-'Выборка 1'!V112))/4000</f>
        <v>-49</v>
      </c>
      <c r="H112" s="44">
        <f>(('Выборка 1'!Y112-'Выборка 1'!X112)+('Выборка 1'!Z112+'Выборка 1'!Y112)+('Выборка 1'!AA112-'Выборка 1'!Z112)+('Выборка 1'!AB112-'Выборка 1'!AA112))/4000</f>
        <v>0</v>
      </c>
      <c r="I112" s="44">
        <f>(('Выборка 1'!AD112-'Выборка 1'!AC112)+('Выборка 1'!AE112-'Выборка 1'!AD112)+('Выборка 1'!AF112-'Выборка 1'!AE112)+('Выборка 1'!AG112-'Выборка 1'!AF112))/4000</f>
        <v>0</v>
      </c>
      <c r="J112" s="44">
        <f>(('Выборка 1'!AI112-'Выборка 1'!AH112)+('Выборка 1'!AJ112-'Выборка 1'!AI112)+('Выборка 1'!AK112-'Выборка 1'!AJ112)+('Выборка 1'!AL112-'Выборка 1'!AK112))/4000</f>
        <v>-4853.75</v>
      </c>
      <c r="K112" s="17">
        <f>(('Выборка 1'!AN112-'Выборка 1'!AM112)+('Выборка 1'!AO112-'Выборка 1'!AN112)+('Выборка 1'!AP112-'Выборка 1'!AO112)+('Выборка 1'!AQ112-'Выборка 1'!AP112))/4000</f>
        <v>-13411.5</v>
      </c>
      <c r="L112" s="44">
        <f>((('Выборка 1'!AS112+'Выборка 1'!AX112)-('Выборка 1'!AR112+'Выборка 1'!AW112))+(('Выборка 1'!AT112+'Выборка 1'!AY112)-('Выборка 1'!AS112+'Выборка 1'!AX112))+(('Выборка 1'!AU112+'Выборка 1'!AZ112)-('Выборка 1'!AT112+'Выборка 1'!AY112))+(('Выборка 1'!AV112+'Выборка 1'!BA112)-('Выборка 1'!AU112+'Выборка 1'!AZ112)))/4000</f>
        <v>-14648.25</v>
      </c>
      <c r="M112" s="44">
        <f>(('Выборка 1'!BC112-'Выборка 1'!BB112)+('Выборка 1'!BD112-'Выборка 1'!BC112)+('Выборка 1'!BE112-'Выборка 1'!BD112)+('Выборка 1'!BF112-'Выборка 1'!BE112))/4000</f>
        <v>0</v>
      </c>
      <c r="N112" s="44">
        <f t="shared" si="1"/>
        <v>1236.75</v>
      </c>
      <c r="O112" s="17">
        <f>((('Выборка 1'!BH112-'Выборка 1'!BM112)-('Выборка 1'!BG112-'Выборка 1'!BL112))+(('Выборка 1'!BI112-'Выборка 1'!BN112)-('Выборка 1'!BH112-'Выборка 1'!BM112))+(('Выборка 1'!BJ112-'Выборка 1'!BO112)-('Выборка 1'!BI112-'Выборка 1'!BN112))+(('Выборка 1'!BK112-'Выборка 1'!BP112)-('Выборка 1'!BJ112-'Выборка 1'!BO112)))/4000</f>
        <v>-1280</v>
      </c>
      <c r="P112" s="17">
        <f>(('Выборка 1'!BR112-'Выборка 1'!BQ112)+('Выборка 1'!BS112-'Выборка 1'!BR112)+('Выборка 1'!BT112-'Выборка 1'!BS112)+('Выборка 1'!BU112-'Выборка 1'!BT112))/4000</f>
        <v>-7.25</v>
      </c>
    </row>
    <row r="113" spans="2:16" x14ac:dyDescent="0.25">
      <c r="B113" s="42">
        <f>('Выборка 1'!AL113+'Выборка 1'!AG113)/1000</f>
        <v>11800443</v>
      </c>
      <c r="C113" s="17">
        <v>6</v>
      </c>
      <c r="D113" s="17">
        <f>(('Выборка 1'!E113-'Выборка 1'!D113)+('Выборка 1'!F113-'Выборка 1'!E113)+('Выборка 1'!G113-'Выборка 1'!F113)+('Выборка 1'!H113-'Выборка 1'!G113))/4000</f>
        <v>29733.75</v>
      </c>
      <c r="E113" s="44">
        <f>(('Выборка 1'!J113-'Выборка 1'!I113)+('Выборка 1'!K113-'Выборка 1'!J113)+('Выборка 1'!L113-'Выборка 1'!K113)+('Выборка 1'!M113-'Выборка 1'!L113))/4000</f>
        <v>2270275.75</v>
      </c>
      <c r="F113" s="17">
        <f>(('Выборка 1'!O113-'Выборка 1'!N113)+('Выборка 1'!P113-'Выборка 1'!O113)+('Выборка 1'!Q113-'Выборка 1'!P113)+('Выборка 1'!R113-'Выборка 1'!Q113))/4000</f>
        <v>331675.5</v>
      </c>
      <c r="G113" s="44">
        <f>(('Выборка 1'!T113-'Выборка 1'!S113)+('Выборка 1'!U113-'Выборка 1'!T113)+('Выборка 1'!V113-'Выборка 1'!U113)+('Выборка 1'!W113-'Выборка 1'!V113))/4000</f>
        <v>-23741.75</v>
      </c>
      <c r="H113" s="44">
        <f>(('Выборка 1'!Y113-'Выборка 1'!X113)+('Выборка 1'!Z113+'Выборка 1'!Y113)+('Выборка 1'!AA113-'Выборка 1'!Z113)+('Выборка 1'!AB113-'Выборка 1'!AA113))/4000</f>
        <v>-209978.25</v>
      </c>
      <c r="I113" s="44">
        <f>(('Выборка 1'!AD113-'Выборка 1'!AC113)+('Выборка 1'!AE113-'Выборка 1'!AD113)+('Выборка 1'!AF113-'Выборка 1'!AE113)+('Выборка 1'!AG113-'Выборка 1'!AF113))/4000</f>
        <v>0</v>
      </c>
      <c r="J113" s="44">
        <f>(('Выборка 1'!AI113-'Выборка 1'!AH113)+('Выборка 1'!AJ113-'Выборка 1'!AI113)+('Выборка 1'!AK113-'Выборка 1'!AJ113)+('Выборка 1'!AL113-'Выборка 1'!AK113))/4000</f>
        <v>2877910.25</v>
      </c>
      <c r="K113" s="17">
        <f>(('Выборка 1'!AN113-'Выборка 1'!AM113)+('Выборка 1'!AO113-'Выборка 1'!AN113)+('Выборка 1'!AP113-'Выборка 1'!AO113)+('Выборка 1'!AQ113-'Выборка 1'!AP113))/4000</f>
        <v>-108138.5</v>
      </c>
      <c r="L113" s="44">
        <f>((('Выборка 1'!AS113+'Выборка 1'!AX113)-('Выборка 1'!AR113+'Выборка 1'!AW113))+(('Выборка 1'!AT113+'Выборка 1'!AY113)-('Выборка 1'!AS113+'Выборка 1'!AX113))+(('Выборка 1'!AU113+'Выборка 1'!AZ113)-('Выборка 1'!AT113+'Выборка 1'!AY113))+(('Выборка 1'!AV113+'Выборка 1'!BA113)-('Выборка 1'!AU113+'Выборка 1'!AZ113)))/4000</f>
        <v>-92853.5</v>
      </c>
      <c r="M113" s="44">
        <f>(('Выборка 1'!BC113-'Выборка 1'!BB113)+('Выборка 1'!BD113-'Выборка 1'!BC113)+('Выборка 1'!BE113-'Выборка 1'!BD113)+('Выборка 1'!BF113-'Выборка 1'!BE113))/4000</f>
        <v>57025.75</v>
      </c>
      <c r="N113" s="44">
        <f t="shared" si="1"/>
        <v>-72310.75</v>
      </c>
      <c r="O113" s="17">
        <f>((('Выборка 1'!BH113-'Выборка 1'!BM113)-('Выборка 1'!BG113-'Выборка 1'!BL113))+(('Выборка 1'!BI113-'Выборка 1'!BN113)-('Выборка 1'!BH113-'Выборка 1'!BM113))+(('Выборка 1'!BJ113-'Выборка 1'!BO113)-('Выборка 1'!BI113-'Выборка 1'!BN113))+(('Выборка 1'!BK113-'Выборка 1'!BP113)-('Выборка 1'!BJ113-'Выборка 1'!BO113)))/4000</f>
        <v>10479</v>
      </c>
      <c r="P113" s="17">
        <f>(('Выборка 1'!BR113-'Выборка 1'!BQ113)+('Выборка 1'!BS113-'Выборка 1'!BR113)+('Выборка 1'!BT113-'Выборка 1'!BS113)+('Выборка 1'!BU113-'Выборка 1'!BT113))/4000</f>
        <v>-34865</v>
      </c>
    </row>
    <row r="114" spans="2:16" x14ac:dyDescent="0.25">
      <c r="B114" s="42">
        <f>('Выборка 1'!AL114+'Выборка 1'!AG114)/1000</f>
        <v>219371</v>
      </c>
      <c r="C114" s="17">
        <v>10</v>
      </c>
      <c r="D114" s="17">
        <f>(('Выборка 1'!E114-'Выборка 1'!D114)+('Выборка 1'!F114-'Выборка 1'!E114)+('Выборка 1'!G114-'Выборка 1'!F114)+('Выборка 1'!H114-'Выборка 1'!G114))/4000</f>
        <v>-870.5</v>
      </c>
      <c r="E114" s="44">
        <f>(('Выборка 1'!J114-'Выборка 1'!I114)+('Выборка 1'!K114-'Выборка 1'!J114)+('Выборка 1'!L114-'Выборка 1'!K114)+('Выборка 1'!M114-'Выборка 1'!L114))/4000</f>
        <v>-7708.75</v>
      </c>
      <c r="F114" s="17">
        <f>(('Выборка 1'!O114-'Выборка 1'!N114)+('Выборка 1'!P114-'Выборка 1'!O114)+('Выборка 1'!Q114-'Выборка 1'!P114)+('Выборка 1'!R114-'Выборка 1'!Q114))/4000</f>
        <v>10641</v>
      </c>
      <c r="G114" s="44">
        <f>(('Выборка 1'!T114-'Выборка 1'!S114)+('Выборка 1'!U114-'Выборка 1'!T114)+('Выборка 1'!V114-'Выборка 1'!U114)+('Выборка 1'!W114-'Выборка 1'!V114))/4000</f>
        <v>-12.25</v>
      </c>
      <c r="H114" s="44">
        <f>(('Выборка 1'!Y114-'Выборка 1'!X114)+('Выборка 1'!Z114+'Выборка 1'!Y114)+('Выборка 1'!AA114-'Выборка 1'!Z114)+('Выборка 1'!AB114-'Выборка 1'!AA114))/4000</f>
        <v>0</v>
      </c>
      <c r="I114" s="44">
        <f>(('Выборка 1'!AD114-'Выборка 1'!AC114)+('Выборка 1'!AE114-'Выборка 1'!AD114)+('Выборка 1'!AF114-'Выборка 1'!AE114)+('Выборка 1'!AG114-'Выборка 1'!AF114))/4000</f>
        <v>-1916.5</v>
      </c>
      <c r="J114" s="44">
        <f>(('Выборка 1'!AI114-'Выборка 1'!AH114)+('Выборка 1'!AJ114-'Выборка 1'!AI114)+('Выборка 1'!AK114-'Выборка 1'!AJ114)+('Выборка 1'!AL114-'Выборка 1'!AK114))/4000</f>
        <v>39122</v>
      </c>
      <c r="K114" s="17">
        <f>(('Выборка 1'!AN114-'Выборка 1'!AM114)+('Выборка 1'!AO114-'Выборка 1'!AN114)+('Выборка 1'!AP114-'Выборка 1'!AO114)+('Выборка 1'!AQ114-'Выборка 1'!AP114))/4000</f>
        <v>-44833</v>
      </c>
      <c r="L114" s="44">
        <f>((('Выборка 1'!AS114+'Выборка 1'!AX114)-('Выборка 1'!AR114+'Выборка 1'!AW114))+(('Выборка 1'!AT114+'Выборка 1'!AY114)-('Выборка 1'!AS114+'Выборка 1'!AX114))+(('Выборка 1'!AU114+'Выборка 1'!AZ114)-('Выборка 1'!AT114+'Выборка 1'!AY114))+(('Выборка 1'!AV114+'Выборка 1'!BA114)-('Выборка 1'!AU114+'Выборка 1'!AZ114)))/4000</f>
        <v>-39085.5</v>
      </c>
      <c r="M114" s="44">
        <f>(('Выборка 1'!BC114-'Выборка 1'!BB114)+('Выборка 1'!BD114-'Выборка 1'!BC114)+('Выборка 1'!BE114-'Выборка 1'!BD114)+('Выборка 1'!BF114-'Выборка 1'!BE114))/4000</f>
        <v>0</v>
      </c>
      <c r="N114" s="44">
        <f t="shared" si="1"/>
        <v>-5747.5</v>
      </c>
      <c r="O114" s="17">
        <f>((('Выборка 1'!BH114-'Выборка 1'!BM114)-('Выборка 1'!BG114-'Выборка 1'!BL114))+(('Выборка 1'!BI114-'Выборка 1'!BN114)-('Выборка 1'!BH114-'Выборка 1'!BM114))+(('Выборка 1'!BJ114-'Выборка 1'!BO114)-('Выборка 1'!BI114-'Выборка 1'!BN114))+(('Выборка 1'!BK114-'Выборка 1'!BP114)-('Выборка 1'!BJ114-'Выборка 1'!BO114)))/4000</f>
        <v>-7.75</v>
      </c>
      <c r="P114" s="17">
        <f>(('Выборка 1'!BR114-'Выборка 1'!BQ114)+('Выборка 1'!BS114-'Выборка 1'!BR114)+('Выборка 1'!BT114-'Выборка 1'!BS114)+('Выборка 1'!BU114-'Выборка 1'!BT114))/4000</f>
        <v>-596.25</v>
      </c>
    </row>
    <row r="115" spans="2:16" x14ac:dyDescent="0.25">
      <c r="B115" s="42">
        <f>('Выборка 1'!AL115+'Выборка 1'!AG115)/1000</f>
        <v>0</v>
      </c>
      <c r="C115" s="17">
        <v>12</v>
      </c>
      <c r="D115" s="17">
        <f>(('Выборка 1'!E115-'Выборка 1'!D115)+('Выборка 1'!F115-'Выборка 1'!E115)+('Выборка 1'!G115-'Выборка 1'!F115)+('Выборка 1'!H115-'Выборка 1'!G115))/4000</f>
        <v>-6689.75</v>
      </c>
      <c r="E115" s="44">
        <f>(('Выборка 1'!J115-'Выборка 1'!I115)+('Выборка 1'!K115-'Выборка 1'!J115)+('Выборка 1'!L115-'Выборка 1'!K115)+('Выборка 1'!M115-'Выборка 1'!L115))/4000</f>
        <v>-39713.5</v>
      </c>
      <c r="F115" s="17">
        <f>(('Выборка 1'!O115-'Выборка 1'!N115)+('Выборка 1'!P115-'Выборка 1'!O115)+('Выборка 1'!Q115-'Выборка 1'!P115)+('Выборка 1'!R115-'Выборка 1'!Q115))/4000</f>
        <v>-5749.5</v>
      </c>
      <c r="G115" s="44">
        <f>(('Выборка 1'!T115-'Выборка 1'!S115)+('Выборка 1'!U115-'Выборка 1'!T115)+('Выборка 1'!V115-'Выборка 1'!U115)+('Выборка 1'!W115-'Выборка 1'!V115))/4000</f>
        <v>0</v>
      </c>
      <c r="H115" s="44">
        <f>(('Выборка 1'!Y115-'Выборка 1'!X115)+('Выборка 1'!Z115+'Выборка 1'!Y115)+('Выборка 1'!AA115-'Выборка 1'!Z115)+('Выборка 1'!AB115-'Выборка 1'!AA115))/4000</f>
        <v>0</v>
      </c>
      <c r="I115" s="44">
        <f>(('Выборка 1'!AD115-'Выборка 1'!AC115)+('Выборка 1'!AE115-'Выборка 1'!AD115)+('Выборка 1'!AF115-'Выборка 1'!AE115)+('Выборка 1'!AG115-'Выборка 1'!AF115))/4000</f>
        <v>-306.75</v>
      </c>
      <c r="J115" s="44">
        <f>(('Выборка 1'!AI115-'Выборка 1'!AH115)+('Выборка 1'!AJ115-'Выборка 1'!AI115)+('Выборка 1'!AK115-'Выборка 1'!AJ115)+('Выборка 1'!AL115-'Выборка 1'!AK115))/4000</f>
        <v>-47032.75</v>
      </c>
      <c r="K115" s="17">
        <f>(('Выборка 1'!AN115-'Выборка 1'!AM115)+('Выборка 1'!AO115-'Выборка 1'!AN115)+('Выборка 1'!AP115-'Выборка 1'!AO115)+('Выборка 1'!AQ115-'Выборка 1'!AP115))/4000</f>
        <v>-19620.75</v>
      </c>
      <c r="L115" s="44">
        <f>((('Выборка 1'!AS115+'Выборка 1'!AX115)-('Выборка 1'!AR115+'Выборка 1'!AW115))+(('Выборка 1'!AT115+'Выборка 1'!AY115)-('Выборка 1'!AS115+'Выборка 1'!AX115))+(('Выборка 1'!AU115+'Выборка 1'!AZ115)-('Выборка 1'!AT115+'Выборка 1'!AY115))+(('Выборка 1'!AV115+'Выборка 1'!BA115)-('Выборка 1'!AU115+'Выборка 1'!AZ115)))/4000</f>
        <v>-19334.5</v>
      </c>
      <c r="M115" s="44">
        <f>(('Выборка 1'!BC115-'Выборка 1'!BB115)+('Выборка 1'!BD115-'Выборка 1'!BC115)+('Выборка 1'!BE115-'Выборка 1'!BD115)+('Выборка 1'!BF115-'Выборка 1'!BE115))/4000</f>
        <v>0</v>
      </c>
      <c r="N115" s="44">
        <f t="shared" si="1"/>
        <v>-286.25</v>
      </c>
      <c r="O115" s="17">
        <f>((('Выборка 1'!BH115-'Выборка 1'!BM115)-('Выборка 1'!BG115-'Выборка 1'!BL115))+(('Выборка 1'!BI115-'Выборка 1'!BN115)-('Выборка 1'!BH115-'Выборка 1'!BM115))+(('Выборка 1'!BJ115-'Выборка 1'!BO115)-('Выборка 1'!BI115-'Выборка 1'!BN115))+(('Выборка 1'!BK115-'Выборка 1'!BP115)-('Выборка 1'!BJ115-'Выборка 1'!BO115)))/4000</f>
        <v>20.5</v>
      </c>
      <c r="P115" s="17">
        <f>(('Выборка 1'!BR115-'Выборка 1'!BQ115)+('Выборка 1'!BS115-'Выборка 1'!BR115)+('Выборка 1'!BT115-'Выборка 1'!BS115)+('Выборка 1'!BU115-'Выборка 1'!BT115))/4000</f>
        <v>-169.25</v>
      </c>
    </row>
    <row r="116" spans="2:16" x14ac:dyDescent="0.25">
      <c r="B116" s="42">
        <f>('Выборка 1'!AL116+'Выборка 1'!AG116)/1000</f>
        <v>75414</v>
      </c>
      <c r="C116" s="17">
        <v>18</v>
      </c>
      <c r="D116" s="17">
        <f>(('Выборка 1'!E116-'Выборка 1'!D116)+('Выборка 1'!F116-'Выборка 1'!E116)+('Выборка 1'!G116-'Выборка 1'!F116)+('Выборка 1'!H116-'Выборка 1'!G116))/4000</f>
        <v>-2649.75</v>
      </c>
      <c r="E116" s="44">
        <f>(('Выборка 1'!J116-'Выборка 1'!I116)+('Выборка 1'!K116-'Выборка 1'!J116)+('Выборка 1'!L116-'Выборка 1'!K116)+('Выборка 1'!M116-'Выборка 1'!L116))/4000</f>
        <v>-31.25</v>
      </c>
      <c r="F116" s="17">
        <f>(('Выборка 1'!O116-'Выборка 1'!N116)+('Выборка 1'!P116-'Выборка 1'!O116)+('Выборка 1'!Q116-'Выборка 1'!P116)+('Выборка 1'!R116-'Выборка 1'!Q116))/4000</f>
        <v>-8813.75</v>
      </c>
      <c r="G116" s="44">
        <f>(('Выборка 1'!T116-'Выборка 1'!S116)+('Выборка 1'!U116-'Выборка 1'!T116)+('Выборка 1'!V116-'Выборка 1'!U116)+('Выборка 1'!W116-'Выборка 1'!V116))/4000</f>
        <v>289</v>
      </c>
      <c r="H116" s="44">
        <f>(('Выборка 1'!Y116-'Выборка 1'!X116)+('Выборка 1'!Z116+'Выборка 1'!Y116)+('Выборка 1'!AA116-'Выборка 1'!Z116)+('Выборка 1'!AB116-'Выборка 1'!AA116))/4000</f>
        <v>0</v>
      </c>
      <c r="I116" s="44">
        <f>(('Выборка 1'!AD116-'Выборка 1'!AC116)+('Выборка 1'!AE116-'Выборка 1'!AD116)+('Выборка 1'!AF116-'Выборка 1'!AE116)+('Выборка 1'!AG116-'Выборка 1'!AF116))/4000</f>
        <v>0</v>
      </c>
      <c r="J116" s="44">
        <f>(('Выборка 1'!AI116-'Выборка 1'!AH116)+('Выборка 1'!AJ116-'Выборка 1'!AI116)+('Выборка 1'!AK116-'Выборка 1'!AJ116)+('Выборка 1'!AL116-'Выборка 1'!AK116))/4000</f>
        <v>-5275.25</v>
      </c>
      <c r="K116" s="17">
        <f>(('Выборка 1'!AN116-'Выборка 1'!AM116)+('Выборка 1'!AO116-'Выборка 1'!AN116)+('Выборка 1'!AP116-'Выборка 1'!AO116)+('Выборка 1'!AQ116-'Выборка 1'!AP116))/4000</f>
        <v>0</v>
      </c>
      <c r="L116" s="44">
        <f>((('Выборка 1'!AS116+'Выборка 1'!AX116)-('Выборка 1'!AR116+'Выборка 1'!AW116))+(('Выборка 1'!AT116+'Выборка 1'!AY116)-('Выборка 1'!AS116+'Выборка 1'!AX116))+(('Выборка 1'!AU116+'Выборка 1'!AZ116)-('Выборка 1'!AT116+'Выборка 1'!AY116))+(('Выборка 1'!AV116+'Выборка 1'!BA116)-('Выборка 1'!AU116+'Выборка 1'!AZ116)))/4000</f>
        <v>0</v>
      </c>
      <c r="M116" s="44">
        <f>(('Выборка 1'!BC116-'Выборка 1'!BB116)+('Выборка 1'!BD116-'Выборка 1'!BC116)+('Выборка 1'!BE116-'Выборка 1'!BD116)+('Выборка 1'!BF116-'Выборка 1'!BE116))/4000</f>
        <v>0</v>
      </c>
      <c r="N116" s="44">
        <f t="shared" si="1"/>
        <v>0</v>
      </c>
      <c r="O116" s="17">
        <f>((('Выборка 1'!BH116-'Выборка 1'!BM116)-('Выборка 1'!BG116-'Выборка 1'!BL116))+(('Выборка 1'!BI116-'Выборка 1'!BN116)-('Выборка 1'!BH116-'Выборка 1'!BM116))+(('Выборка 1'!BJ116-'Выборка 1'!BO116)-('Выборка 1'!BI116-'Выборка 1'!BN116))+(('Выборка 1'!BK116-'Выборка 1'!BP116)-('Выборка 1'!BJ116-'Выборка 1'!BO116)))/4000</f>
        <v>14515.5</v>
      </c>
      <c r="P116" s="17">
        <f>(('Выборка 1'!BR116-'Выборка 1'!BQ116)+('Выборка 1'!BS116-'Выборка 1'!BR116)+('Выборка 1'!BT116-'Выборка 1'!BS116)+('Выборка 1'!BU116-'Выборка 1'!BT116))/4000</f>
        <v>14515.5</v>
      </c>
    </row>
    <row r="117" spans="2:16" x14ac:dyDescent="0.25">
      <c r="B117" s="42">
        <f>('Выборка 1'!AL117+'Выборка 1'!AG117)/1000</f>
        <v>49302</v>
      </c>
      <c r="C117" s="17">
        <v>25</v>
      </c>
      <c r="D117" s="17">
        <f>(('Выборка 1'!E117-'Выборка 1'!D117)+('Выборка 1'!F117-'Выборка 1'!E117)+('Выборка 1'!G117-'Выборка 1'!F117)+('Выборка 1'!H117-'Выборка 1'!G117))/4000</f>
        <v>-987.75</v>
      </c>
      <c r="E117" s="44">
        <f>(('Выборка 1'!J117-'Выборка 1'!I117)+('Выборка 1'!K117-'Выборка 1'!J117)+('Выборка 1'!L117-'Выборка 1'!K117)+('Выборка 1'!M117-'Выборка 1'!L117))/4000</f>
        <v>0</v>
      </c>
      <c r="F117" s="17">
        <f>(('Выборка 1'!O117-'Выборка 1'!N117)+('Выборка 1'!P117-'Выборка 1'!O117)+('Выборка 1'!Q117-'Выборка 1'!P117)+('Выборка 1'!R117-'Выборка 1'!Q117))/4000</f>
        <v>402</v>
      </c>
      <c r="G117" s="44">
        <f>(('Выборка 1'!T117-'Выборка 1'!S117)+('Выборка 1'!U117-'Выборка 1'!T117)+('Выборка 1'!V117-'Выборка 1'!U117)+('Выборка 1'!W117-'Выборка 1'!V117))/4000</f>
        <v>-388.75</v>
      </c>
      <c r="H117" s="44">
        <f>(('Выборка 1'!Y117-'Выборка 1'!X117)+('Выборка 1'!Z117+'Выборка 1'!Y117)+('Выборка 1'!AA117-'Выборка 1'!Z117)+('Выборка 1'!AB117-'Выборка 1'!AA117))/4000</f>
        <v>-21733.25</v>
      </c>
      <c r="I117" s="44">
        <f>(('Выборка 1'!AD117-'Выборка 1'!AC117)+('Выборка 1'!AE117-'Выборка 1'!AD117)+('Выборка 1'!AF117-'Выборка 1'!AE117)+('Выборка 1'!AG117-'Выборка 1'!AF117))/4000</f>
        <v>-182.5</v>
      </c>
      <c r="J117" s="44">
        <f>(('Выборка 1'!AI117-'Выборка 1'!AH117)+('Выборка 1'!AJ117-'Выборка 1'!AI117)+('Выборка 1'!AK117-'Выборка 1'!AJ117)+('Выборка 1'!AL117-'Выборка 1'!AK117))/4000</f>
        <v>-953.25</v>
      </c>
      <c r="K117" s="17">
        <f>(('Выборка 1'!AN117-'Выборка 1'!AM117)+('Выборка 1'!AO117-'Выборка 1'!AN117)+('Выборка 1'!AP117-'Выборка 1'!AO117)+('Выборка 1'!AQ117-'Выборка 1'!AP117))/4000</f>
        <v>-856.5</v>
      </c>
      <c r="L117" s="44">
        <f>((('Выборка 1'!AS117+'Выборка 1'!AX117)-('Выборка 1'!AR117+'Выборка 1'!AW117))+(('Выборка 1'!AT117+'Выборка 1'!AY117)-('Выборка 1'!AS117+'Выборка 1'!AX117))+(('Выборка 1'!AU117+'Выборка 1'!AZ117)-('Выборка 1'!AT117+'Выборка 1'!AY117))+(('Выборка 1'!AV117+'Выборка 1'!BA117)-('Выборка 1'!AU117+'Выборка 1'!AZ117)))/4000</f>
        <v>0</v>
      </c>
      <c r="M117" s="44">
        <f>(('Выборка 1'!BC117-'Выборка 1'!BB117)+('Выборка 1'!BD117-'Выборка 1'!BC117)+('Выборка 1'!BE117-'Выборка 1'!BD117)+('Выборка 1'!BF117-'Выборка 1'!BE117))/4000</f>
        <v>-524.5</v>
      </c>
      <c r="N117" s="44">
        <f t="shared" si="1"/>
        <v>-332</v>
      </c>
      <c r="O117" s="17">
        <f>((('Выборка 1'!BH117-'Выборка 1'!BM117)-('Выборка 1'!BG117-'Выборка 1'!BL117))+(('Выборка 1'!BI117-'Выборка 1'!BN117)-('Выборка 1'!BH117-'Выборка 1'!BM117))+(('Выборка 1'!BJ117-'Выборка 1'!BO117)-('Выборка 1'!BI117-'Выборка 1'!BN117))+(('Выборка 1'!BK117-'Выборка 1'!BP117)-('Выборка 1'!BJ117-'Выборка 1'!BO117)))/4000</f>
        <v>4.75</v>
      </c>
      <c r="P117" s="17">
        <f>(('Выборка 1'!BR117-'Выборка 1'!BQ117)+('Выборка 1'!BS117-'Выборка 1'!BR117)+('Выборка 1'!BT117-'Выборка 1'!BS117)+('Выборка 1'!BU117-'Выборка 1'!BT117))/4000</f>
        <v>-276.75</v>
      </c>
    </row>
    <row r="118" spans="2:16" x14ac:dyDescent="0.25">
      <c r="B118" s="42">
        <f>('Выборка 1'!AL118+'Выборка 1'!AG118)/1000</f>
        <v>1934258</v>
      </c>
      <c r="C118" s="17">
        <v>24</v>
      </c>
      <c r="D118" s="17">
        <f>(('Выборка 1'!E118-'Выборка 1'!D118)+('Выборка 1'!F118-'Выборка 1'!E118)+('Выборка 1'!G118-'Выборка 1'!F118)+('Выборка 1'!H118-'Выборка 1'!G118))/4000</f>
        <v>-12031</v>
      </c>
      <c r="E118" s="44">
        <f>(('Выборка 1'!J118-'Выборка 1'!I118)+('Выборка 1'!K118-'Выборка 1'!J118)+('Выборка 1'!L118-'Выборка 1'!K118)+('Выборка 1'!M118-'Выборка 1'!L118))/4000</f>
        <v>-16295.25</v>
      </c>
      <c r="F118" s="17">
        <f>(('Выборка 1'!O118-'Выборка 1'!N118)+('Выборка 1'!P118-'Выборка 1'!O118)+('Выборка 1'!Q118-'Выборка 1'!P118)+('Выборка 1'!R118-'Выборка 1'!Q118))/4000</f>
        <v>-175405.75</v>
      </c>
      <c r="G118" s="44">
        <f>(('Выборка 1'!T118-'Выборка 1'!S118)+('Выборка 1'!U118-'Выборка 1'!T118)+('Выборка 1'!V118-'Выборка 1'!U118)+('Выборка 1'!W118-'Выборка 1'!V118))/4000</f>
        <v>1515</v>
      </c>
      <c r="H118" s="44">
        <f>(('Выборка 1'!Y118-'Выборка 1'!X118)+('Выборка 1'!Z118+'Выборка 1'!Y118)+('Выборка 1'!AA118-'Выборка 1'!Z118)+('Выборка 1'!AB118-'Выборка 1'!AA118))/4000</f>
        <v>-808940.5</v>
      </c>
      <c r="I118" s="44">
        <f>(('Выборка 1'!AD118-'Выборка 1'!AC118)+('Выборка 1'!AE118-'Выборка 1'!AD118)+('Выборка 1'!AF118-'Выборка 1'!AE118)+('Выборка 1'!AG118-'Выборка 1'!AF118))/4000</f>
        <v>-58716.25</v>
      </c>
      <c r="J118" s="44">
        <f>(('Выборка 1'!AI118-'Выборка 1'!AH118)+('Выборка 1'!AJ118-'Выборка 1'!AI118)+('Выборка 1'!AK118-'Выборка 1'!AJ118)+('Выборка 1'!AL118-'Выборка 1'!AK118))/4000</f>
        <v>101566</v>
      </c>
      <c r="K118" s="17">
        <f>(('Выборка 1'!AN118-'Выборка 1'!AM118)+('Выборка 1'!AO118-'Выборка 1'!AN118)+('Выборка 1'!AP118-'Выборка 1'!AO118)+('Выборка 1'!AQ118-'Выборка 1'!AP118))/4000</f>
        <v>-88</v>
      </c>
      <c r="L118" s="44">
        <f>((('Выборка 1'!AS118+'Выборка 1'!AX118)-('Выборка 1'!AR118+'Выборка 1'!AW118))+(('Выборка 1'!AT118+'Выборка 1'!AY118)-('Выборка 1'!AS118+'Выборка 1'!AX118))+(('Выборка 1'!AU118+'Выборка 1'!AZ118)-('Выборка 1'!AT118+'Выборка 1'!AY118))+(('Выборка 1'!AV118+'Выборка 1'!BA118)-('Выборка 1'!AU118+'Выборка 1'!AZ118)))/4000</f>
        <v>-879.75</v>
      </c>
      <c r="M118" s="44">
        <f>(('Выборка 1'!BC118-'Выборка 1'!BB118)+('Выборка 1'!BD118-'Выборка 1'!BC118)+('Выборка 1'!BE118-'Выборка 1'!BD118)+('Выборка 1'!BF118-'Выборка 1'!BE118))/4000</f>
        <v>-10997</v>
      </c>
      <c r="N118" s="44">
        <f t="shared" si="1"/>
        <v>11788.75</v>
      </c>
      <c r="O118" s="17">
        <f>((('Выборка 1'!BH118-'Выборка 1'!BM118)-('Выборка 1'!BG118-'Выборка 1'!BL118))+(('Выборка 1'!BI118-'Выборка 1'!BN118)-('Выборка 1'!BH118-'Выборка 1'!BM118))+(('Выборка 1'!BJ118-'Выборка 1'!BO118)-('Выборка 1'!BI118-'Выборка 1'!BN118))+(('Выборка 1'!BK118-'Выборка 1'!BP118)-('Выборка 1'!BJ118-'Выборка 1'!BO118)))/4000</f>
        <v>8278.25</v>
      </c>
      <c r="P118" s="17">
        <f>(('Выборка 1'!BR118-'Выборка 1'!BQ118)+('Выборка 1'!BS118-'Выборка 1'!BR118)+('Выборка 1'!BT118-'Выборка 1'!BS118)+('Выборка 1'!BU118-'Выборка 1'!BT118))/4000</f>
        <v>14304.25</v>
      </c>
    </row>
    <row r="119" spans="2:16" x14ac:dyDescent="0.25">
      <c r="B119" s="42">
        <f>('Выборка 1'!AL119+'Выборка 1'!AG119)/1000</f>
        <v>0</v>
      </c>
      <c r="C119" s="17">
        <v>17</v>
      </c>
      <c r="D119" s="17">
        <f>(('Выборка 1'!E119-'Выборка 1'!D119)+('Выборка 1'!F119-'Выборка 1'!E119)+('Выборка 1'!G119-'Выборка 1'!F119)+('Выборка 1'!H119-'Выборка 1'!G119))/4000</f>
        <v>-420.5</v>
      </c>
      <c r="E119" s="44">
        <f>(('Выборка 1'!J119-'Выборка 1'!I119)+('Выборка 1'!K119-'Выборка 1'!J119)+('Выборка 1'!L119-'Выборка 1'!K119)+('Выборка 1'!M119-'Выборка 1'!L119))/4000</f>
        <v>0</v>
      </c>
      <c r="F119" s="17">
        <f>(('Выборка 1'!O119-'Выборка 1'!N119)+('Выборка 1'!P119-'Выборка 1'!O119)+('Выборка 1'!Q119-'Выборка 1'!P119)+('Выборка 1'!R119-'Выборка 1'!Q119))/4000</f>
        <v>-6362</v>
      </c>
      <c r="G119" s="44">
        <f>(('Выборка 1'!T119-'Выборка 1'!S119)+('Выборка 1'!U119-'Выборка 1'!T119)+('Выборка 1'!V119-'Выборка 1'!U119)+('Выборка 1'!W119-'Выборка 1'!V119))/4000</f>
        <v>0</v>
      </c>
      <c r="H119" s="44">
        <f>(('Выборка 1'!Y119-'Выборка 1'!X119)+('Выборка 1'!Z119+'Выборка 1'!Y119)+('Выборка 1'!AA119-'Выборка 1'!Z119)+('Выборка 1'!AB119-'Выборка 1'!AA119))/4000</f>
        <v>-11193.25</v>
      </c>
      <c r="I119" s="44">
        <f>(('Выборка 1'!AD119-'Выборка 1'!AC119)+('Выборка 1'!AE119-'Выборка 1'!AD119)+('Выборка 1'!AF119-'Выборка 1'!AE119)+('Выборка 1'!AG119-'Выборка 1'!AF119))/4000</f>
        <v>0</v>
      </c>
      <c r="J119" s="44">
        <f>(('Выборка 1'!AI119-'Выборка 1'!AH119)+('Выборка 1'!AJ119-'Выборка 1'!AI119)+('Выборка 1'!AK119-'Выборка 1'!AJ119)+('Выборка 1'!AL119-'Выборка 1'!AK119))/4000</f>
        <v>-12453.75</v>
      </c>
      <c r="K119" s="17">
        <f>(('Выборка 1'!AN119-'Выборка 1'!AM119)+('Выборка 1'!AO119-'Выборка 1'!AN119)+('Выборка 1'!AP119-'Выборка 1'!AO119)+('Выборка 1'!AQ119-'Выборка 1'!AP119))/4000</f>
        <v>-62.75</v>
      </c>
      <c r="L119" s="44">
        <f>((('Выборка 1'!AS119+'Выборка 1'!AX119)-('Выборка 1'!AR119+'Выборка 1'!AW119))+(('Выборка 1'!AT119+'Выборка 1'!AY119)-('Выборка 1'!AS119+'Выборка 1'!AX119))+(('Выборка 1'!AU119+'Выборка 1'!AZ119)-('Выборка 1'!AT119+'Выборка 1'!AY119))+(('Выборка 1'!AV119+'Выборка 1'!BA119)-('Выборка 1'!AU119+'Выборка 1'!AZ119)))/4000</f>
        <v>0</v>
      </c>
      <c r="M119" s="44">
        <f>(('Выборка 1'!BC119-'Выборка 1'!BB119)+('Выборка 1'!BD119-'Выборка 1'!BC119)+('Выборка 1'!BE119-'Выборка 1'!BD119)+('Выборка 1'!BF119-'Выборка 1'!BE119))/4000</f>
        <v>0</v>
      </c>
      <c r="N119" s="44">
        <f t="shared" si="1"/>
        <v>-62.75</v>
      </c>
      <c r="O119" s="17">
        <f>((('Выборка 1'!BH119-'Выборка 1'!BM119)-('Выборка 1'!BG119-'Выборка 1'!BL119))+(('Выборка 1'!BI119-'Выборка 1'!BN119)-('Выборка 1'!BH119-'Выборка 1'!BM119))+(('Выборка 1'!BJ119-'Выборка 1'!BO119)-('Выборка 1'!BI119-'Выборка 1'!BN119))+(('Выборка 1'!BK119-'Выборка 1'!BP119)-('Выборка 1'!BJ119-'Выборка 1'!BO119)))/4000</f>
        <v>1175.25</v>
      </c>
      <c r="P119" s="17">
        <f>(('Выборка 1'!BR119-'Выборка 1'!BQ119)+('Выборка 1'!BS119-'Выборка 1'!BR119)+('Выборка 1'!BT119-'Выборка 1'!BS119)+('Выборка 1'!BU119-'Выборка 1'!BT119))/4000</f>
        <v>1113.5</v>
      </c>
    </row>
    <row r="120" spans="2:16" x14ac:dyDescent="0.25">
      <c r="B120" s="42">
        <f>('Выборка 1'!AL120+'Выборка 1'!AG120)/1000</f>
        <v>0</v>
      </c>
      <c r="C120" s="17">
        <v>12</v>
      </c>
      <c r="D120" s="17">
        <f>(('Выборка 1'!E120-'Выборка 1'!D120)+('Выборка 1'!F120-'Выборка 1'!E120)+('Выборка 1'!G120-'Выборка 1'!F120)+('Выборка 1'!H120-'Выборка 1'!G120))/4000</f>
        <v>-12160.25</v>
      </c>
      <c r="E120" s="44">
        <f>(('Выборка 1'!J120-'Выборка 1'!I120)+('Выборка 1'!K120-'Выборка 1'!J120)+('Выборка 1'!L120-'Выборка 1'!K120)+('Выборка 1'!M120-'Выборка 1'!L120))/4000</f>
        <v>-13757.5</v>
      </c>
      <c r="F120" s="17">
        <f>(('Выборка 1'!O120-'Выборка 1'!N120)+('Выборка 1'!P120-'Выборка 1'!O120)+('Выборка 1'!Q120-'Выборка 1'!P120)+('Выборка 1'!R120-'Выборка 1'!Q120))/4000</f>
        <v>-22578.5</v>
      </c>
      <c r="G120" s="44">
        <f>(('Выборка 1'!T120-'Выборка 1'!S120)+('Выборка 1'!U120-'Выборка 1'!T120)+('Выборка 1'!V120-'Выборка 1'!U120)+('Выборка 1'!W120-'Выборка 1'!V120))/4000</f>
        <v>-515.25</v>
      </c>
      <c r="H120" s="44">
        <f>(('Выборка 1'!Y120-'Выборка 1'!X120)+('Выборка 1'!Z120+'Выборка 1'!Y120)+('Выборка 1'!AA120-'Выборка 1'!Z120)+('Выборка 1'!AB120-'Выборка 1'!AA120))/4000</f>
        <v>0</v>
      </c>
      <c r="I120" s="44">
        <f>(('Выборка 1'!AD120-'Выборка 1'!AC120)+('Выборка 1'!AE120-'Выборка 1'!AD120)+('Выборка 1'!AF120-'Выборка 1'!AE120)+('Выборка 1'!AG120-'Выборка 1'!AF120))/4000</f>
        <v>-13645.75</v>
      </c>
      <c r="J120" s="44">
        <f>(('Выборка 1'!AI120-'Выборка 1'!AH120)+('Выборка 1'!AJ120-'Выборка 1'!AI120)+('Выборка 1'!AK120-'Выборка 1'!AJ120)+('Выборка 1'!AL120-'Выборка 1'!AK120))/4000</f>
        <v>-22861.75</v>
      </c>
      <c r="K120" s="17">
        <f>(('Выборка 1'!AN120-'Выборка 1'!AM120)+('Выборка 1'!AO120-'Выборка 1'!AN120)+('Выборка 1'!AP120-'Выборка 1'!AO120)+('Выборка 1'!AQ120-'Выборка 1'!AP120))/4000</f>
        <v>-151085</v>
      </c>
      <c r="L120" s="44">
        <f>((('Выборка 1'!AS120+'Выборка 1'!AX120)-('Выборка 1'!AR120+'Выборка 1'!AW120))+(('Выборка 1'!AT120+'Выборка 1'!AY120)-('Выборка 1'!AS120+'Выборка 1'!AX120))+(('Выборка 1'!AU120+'Выборка 1'!AZ120)-('Выборка 1'!AT120+'Выборка 1'!AY120))+(('Выборка 1'!AV120+'Выборка 1'!BA120)-('Выборка 1'!AU120+'Выборка 1'!AZ120)))/4000</f>
        <v>-148553.5</v>
      </c>
      <c r="M120" s="44">
        <f>(('Выборка 1'!BC120-'Выборка 1'!BB120)+('Выборка 1'!BD120-'Выборка 1'!BC120)+('Выборка 1'!BE120-'Выборка 1'!BD120)+('Выборка 1'!BF120-'Выборка 1'!BE120))/4000</f>
        <v>0</v>
      </c>
      <c r="N120" s="44">
        <f t="shared" si="1"/>
        <v>-2531.5</v>
      </c>
      <c r="O120" s="17">
        <f>((('Выборка 1'!BH120-'Выборка 1'!BM120)-('Выборка 1'!BG120-'Выборка 1'!BL120))+(('Выборка 1'!BI120-'Выборка 1'!BN120)-('Выборка 1'!BH120-'Выборка 1'!BM120))+(('Выборка 1'!BJ120-'Выборка 1'!BO120)-('Выборка 1'!BI120-'Выборка 1'!BN120))+(('Выборка 1'!BK120-'Выборка 1'!BP120)-('Выборка 1'!BJ120-'Выборка 1'!BO120)))/4000</f>
        <v>2929.5</v>
      </c>
      <c r="P120" s="17">
        <f>(('Выборка 1'!BR120-'Выборка 1'!BQ120)+('Выборка 1'!BS120-'Выборка 1'!BR120)+('Выборка 1'!BT120-'Выборка 1'!BS120)+('Выборка 1'!BU120-'Выборка 1'!BT120))/4000</f>
        <v>1751.25</v>
      </c>
    </row>
    <row r="121" spans="2:16" x14ac:dyDescent="0.25">
      <c r="B121" s="42">
        <f>('Выборка 1'!AL121+'Выборка 1'!AG121)/1000</f>
        <v>0</v>
      </c>
      <c r="C121" s="17">
        <v>33</v>
      </c>
      <c r="D121" s="17">
        <f>(('Выборка 1'!E121-'Выборка 1'!D121)+('Выборка 1'!F121-'Выборка 1'!E121)+('Выборка 1'!G121-'Выборка 1'!F121)+('Выборка 1'!H121-'Выборка 1'!G121))/4000</f>
        <v>0</v>
      </c>
      <c r="E121" s="44">
        <f>(('Выборка 1'!J121-'Выборка 1'!I121)+('Выборка 1'!K121-'Выборка 1'!J121)+('Выборка 1'!L121-'Выборка 1'!K121)+('Выборка 1'!M121-'Выборка 1'!L121))/4000</f>
        <v>0</v>
      </c>
      <c r="F121" s="17">
        <f>(('Выборка 1'!O121-'Выборка 1'!N121)+('Выборка 1'!P121-'Выборка 1'!O121)+('Выборка 1'!Q121-'Выборка 1'!P121)+('Выборка 1'!R121-'Выборка 1'!Q121))/4000</f>
        <v>0</v>
      </c>
      <c r="G121" s="44">
        <f>(('Выборка 1'!T121-'Выборка 1'!S121)+('Выборка 1'!U121-'Выборка 1'!T121)+('Выборка 1'!V121-'Выборка 1'!U121)+('Выборка 1'!W121-'Выборка 1'!V121))/4000</f>
        <v>0</v>
      </c>
      <c r="H121" s="44">
        <f>(('Выборка 1'!Y121-'Выборка 1'!X121)+('Выборка 1'!Z121+'Выборка 1'!Y121)+('Выборка 1'!AA121-'Выборка 1'!Z121)+('Выборка 1'!AB121-'Выборка 1'!AA121))/4000</f>
        <v>0</v>
      </c>
      <c r="I121" s="44">
        <f>(('Выборка 1'!AD121-'Выборка 1'!AC121)+('Выборка 1'!AE121-'Выборка 1'!AD121)+('Выборка 1'!AF121-'Выборка 1'!AE121)+('Выборка 1'!AG121-'Выборка 1'!AF121))/4000</f>
        <v>0</v>
      </c>
      <c r="J121" s="44">
        <f>(('Выборка 1'!AI121-'Выборка 1'!AH121)+('Выборка 1'!AJ121-'Выборка 1'!AI121)+('Выборка 1'!AK121-'Выборка 1'!AJ121)+('Выборка 1'!AL121-'Выборка 1'!AK121))/4000</f>
        <v>0</v>
      </c>
      <c r="K121" s="17">
        <f>(('Выборка 1'!AN121-'Выборка 1'!AM121)+('Выборка 1'!AO121-'Выборка 1'!AN121)+('Выборка 1'!AP121-'Выборка 1'!AO121)+('Выборка 1'!AQ121-'Выборка 1'!AP121))/4000</f>
        <v>0</v>
      </c>
      <c r="L121" s="44">
        <f>((('Выборка 1'!AS121+'Выборка 1'!AX121)-('Выборка 1'!AR121+'Выборка 1'!AW121))+(('Выборка 1'!AT121+'Выборка 1'!AY121)-('Выборка 1'!AS121+'Выборка 1'!AX121))+(('Выборка 1'!AU121+'Выборка 1'!AZ121)-('Выборка 1'!AT121+'Выборка 1'!AY121))+(('Выборка 1'!AV121+'Выборка 1'!BA121)-('Выборка 1'!AU121+'Выборка 1'!AZ121)))/4000</f>
        <v>0</v>
      </c>
      <c r="M121" s="44">
        <f>(('Выборка 1'!BC121-'Выборка 1'!BB121)+('Выборка 1'!BD121-'Выборка 1'!BC121)+('Выборка 1'!BE121-'Выборка 1'!BD121)+('Выборка 1'!BF121-'Выборка 1'!BE121))/4000</f>
        <v>0</v>
      </c>
      <c r="N121" s="44">
        <f t="shared" si="1"/>
        <v>0</v>
      </c>
      <c r="O121" s="17">
        <f>((('Выборка 1'!BH121-'Выборка 1'!BM121)-('Выборка 1'!BG121-'Выборка 1'!BL121))+(('Выборка 1'!BI121-'Выборка 1'!BN121)-('Выборка 1'!BH121-'Выборка 1'!BM121))+(('Выборка 1'!BJ121-'Выборка 1'!BO121)-('Выборка 1'!BI121-'Выборка 1'!BN121))+(('Выборка 1'!BK121-'Выборка 1'!BP121)-('Выборка 1'!BJ121-'Выборка 1'!BO121)))/4000</f>
        <v>0</v>
      </c>
      <c r="P121" s="17">
        <f>(('Выборка 1'!BR121-'Выборка 1'!BQ121)+('Выборка 1'!BS121-'Выборка 1'!BR121)+('Выборка 1'!BT121-'Выборка 1'!BS121)+('Выборка 1'!BU121-'Выборка 1'!BT121))/4000</f>
        <v>0</v>
      </c>
    </row>
    <row r="122" spans="2:16" x14ac:dyDescent="0.25">
      <c r="B122" s="42">
        <f>('Выборка 1'!AL122+'Выборка 1'!AG122)/1000</f>
        <v>0</v>
      </c>
      <c r="C122" s="17">
        <v>27</v>
      </c>
      <c r="D122" s="17">
        <f>(('Выборка 1'!E122-'Выборка 1'!D122)+('Выборка 1'!F122-'Выборка 1'!E122)+('Выборка 1'!G122-'Выборка 1'!F122)+('Выборка 1'!H122-'Выборка 1'!G122))/4000</f>
        <v>0</v>
      </c>
      <c r="E122" s="44">
        <f>(('Выборка 1'!J122-'Выборка 1'!I122)+('Выборка 1'!K122-'Выборка 1'!J122)+('Выборка 1'!L122-'Выборка 1'!K122)+('Выборка 1'!M122-'Выборка 1'!L122))/4000</f>
        <v>0</v>
      </c>
      <c r="F122" s="17">
        <f>(('Выборка 1'!O122-'Выборка 1'!N122)+('Выборка 1'!P122-'Выборка 1'!O122)+('Выборка 1'!Q122-'Выборка 1'!P122)+('Выборка 1'!R122-'Выборка 1'!Q122))/4000</f>
        <v>0</v>
      </c>
      <c r="G122" s="44">
        <f>(('Выборка 1'!T122-'Выборка 1'!S122)+('Выборка 1'!U122-'Выборка 1'!T122)+('Выборка 1'!V122-'Выборка 1'!U122)+('Выборка 1'!W122-'Выборка 1'!V122))/4000</f>
        <v>0</v>
      </c>
      <c r="H122" s="44">
        <f>(('Выборка 1'!Y122-'Выборка 1'!X122)+('Выборка 1'!Z122+'Выборка 1'!Y122)+('Выборка 1'!AA122-'Выборка 1'!Z122)+('Выборка 1'!AB122-'Выборка 1'!AA122))/4000</f>
        <v>0</v>
      </c>
      <c r="I122" s="44">
        <f>(('Выборка 1'!AD122-'Выборка 1'!AC122)+('Выборка 1'!AE122-'Выборка 1'!AD122)+('Выборка 1'!AF122-'Выборка 1'!AE122)+('Выборка 1'!AG122-'Выборка 1'!AF122))/4000</f>
        <v>0</v>
      </c>
      <c r="J122" s="44">
        <f>(('Выборка 1'!AI122-'Выборка 1'!AH122)+('Выборка 1'!AJ122-'Выборка 1'!AI122)+('Выборка 1'!AK122-'Выборка 1'!AJ122)+('Выборка 1'!AL122-'Выборка 1'!AK122))/4000</f>
        <v>0</v>
      </c>
      <c r="K122" s="17">
        <f>(('Выборка 1'!AN122-'Выборка 1'!AM122)+('Выборка 1'!AO122-'Выборка 1'!AN122)+('Выборка 1'!AP122-'Выборка 1'!AO122)+('Выборка 1'!AQ122-'Выборка 1'!AP122))/4000</f>
        <v>0</v>
      </c>
      <c r="L122" s="44">
        <f>((('Выборка 1'!AS122+'Выборка 1'!AX122)-('Выборка 1'!AR122+'Выборка 1'!AW122))+(('Выборка 1'!AT122+'Выборка 1'!AY122)-('Выборка 1'!AS122+'Выборка 1'!AX122))+(('Выборка 1'!AU122+'Выборка 1'!AZ122)-('Выборка 1'!AT122+'Выборка 1'!AY122))+(('Выборка 1'!AV122+'Выборка 1'!BA122)-('Выборка 1'!AU122+'Выборка 1'!AZ122)))/4000</f>
        <v>0</v>
      </c>
      <c r="M122" s="44">
        <f>(('Выборка 1'!BC122-'Выборка 1'!BB122)+('Выборка 1'!BD122-'Выборка 1'!BC122)+('Выборка 1'!BE122-'Выборка 1'!BD122)+('Выборка 1'!BF122-'Выборка 1'!BE122))/4000</f>
        <v>0</v>
      </c>
      <c r="N122" s="44">
        <f t="shared" si="1"/>
        <v>0</v>
      </c>
      <c r="O122" s="17">
        <f>((('Выборка 1'!BH122-'Выборка 1'!BM122)-('Выборка 1'!BG122-'Выборка 1'!BL122))+(('Выборка 1'!BI122-'Выборка 1'!BN122)-('Выборка 1'!BH122-'Выборка 1'!BM122))+(('Выборка 1'!BJ122-'Выборка 1'!BO122)-('Выборка 1'!BI122-'Выборка 1'!BN122))+(('Выборка 1'!BK122-'Выборка 1'!BP122)-('Выборка 1'!BJ122-'Выборка 1'!BO122)))/4000</f>
        <v>0</v>
      </c>
      <c r="P122" s="17">
        <f>(('Выборка 1'!BR122-'Выборка 1'!BQ122)+('Выборка 1'!BS122-'Выборка 1'!BR122)+('Выборка 1'!BT122-'Выборка 1'!BS122)+('Выборка 1'!BU122-'Выборка 1'!BT122))/4000</f>
        <v>0</v>
      </c>
    </row>
    <row r="123" spans="2:16" x14ac:dyDescent="0.25">
      <c r="B123" s="42">
        <f>('Выборка 1'!AL123+'Выборка 1'!AG123)/1000</f>
        <v>72428</v>
      </c>
      <c r="C123" s="17">
        <v>21</v>
      </c>
      <c r="D123" s="17">
        <f>(('Выборка 1'!E123-'Выборка 1'!D123)+('Выборка 1'!F123-'Выборка 1'!E123)+('Выборка 1'!G123-'Выборка 1'!F123)+('Выборка 1'!H123-'Выборка 1'!G123))/4000</f>
        <v>0</v>
      </c>
      <c r="E123" s="44">
        <f>(('Выборка 1'!J123-'Выборка 1'!I123)+('Выборка 1'!K123-'Выборка 1'!J123)+('Выборка 1'!L123-'Выборка 1'!K123)+('Выборка 1'!M123-'Выборка 1'!L123))/4000</f>
        <v>0</v>
      </c>
      <c r="F123" s="17">
        <f>(('Выборка 1'!O123-'Выборка 1'!N123)+('Выборка 1'!P123-'Выборка 1'!O123)+('Выборка 1'!Q123-'Выборка 1'!P123)+('Выборка 1'!R123-'Выборка 1'!Q123))/4000</f>
        <v>19927.5</v>
      </c>
      <c r="G123" s="44">
        <f>(('Выборка 1'!T123-'Выборка 1'!S123)+('Выборка 1'!U123-'Выборка 1'!T123)+('Выборка 1'!V123-'Выборка 1'!U123)+('Выборка 1'!W123-'Выборка 1'!V123))/4000</f>
        <v>1507</v>
      </c>
      <c r="H123" s="44">
        <f>(('Выборка 1'!Y123-'Выборка 1'!X123)+('Выборка 1'!Z123+'Выборка 1'!Y123)+('Выборка 1'!AA123-'Выборка 1'!Z123)+('Выборка 1'!AB123-'Выборка 1'!AA123))/4000</f>
        <v>-25506</v>
      </c>
      <c r="I123" s="44">
        <f>(('Выборка 1'!AD123-'Выборка 1'!AC123)+('Выборка 1'!AE123-'Выборка 1'!AD123)+('Выборка 1'!AF123-'Выборка 1'!AE123)+('Выборка 1'!AG123-'Выборка 1'!AF123))/4000</f>
        <v>0</v>
      </c>
      <c r="J123" s="44">
        <f>(('Выборка 1'!AI123-'Выборка 1'!AH123)+('Выборка 1'!AJ123-'Выборка 1'!AI123)+('Выборка 1'!AK123-'Выборка 1'!AJ123)+('Выборка 1'!AL123-'Выборка 1'!AK123))/4000</f>
        <v>18107</v>
      </c>
      <c r="K123" s="17">
        <f>(('Выборка 1'!AN123-'Выборка 1'!AM123)+('Выборка 1'!AO123-'Выборка 1'!AN123)+('Выборка 1'!AP123-'Выборка 1'!AO123)+('Выборка 1'!AQ123-'Выборка 1'!AP123))/4000</f>
        <v>0</v>
      </c>
      <c r="L123" s="44">
        <f>((('Выборка 1'!AS123+'Выборка 1'!AX123)-('Выборка 1'!AR123+'Выборка 1'!AW123))+(('Выборка 1'!AT123+'Выборка 1'!AY123)-('Выборка 1'!AS123+'Выборка 1'!AX123))+(('Выборка 1'!AU123+'Выборка 1'!AZ123)-('Выборка 1'!AT123+'Выборка 1'!AY123))+(('Выборка 1'!AV123+'Выборка 1'!BA123)-('Выборка 1'!AU123+'Выборка 1'!AZ123)))/4000</f>
        <v>0</v>
      </c>
      <c r="M123" s="44">
        <f>(('Выборка 1'!BC123-'Выборка 1'!BB123)+('Выборка 1'!BD123-'Выборка 1'!BC123)+('Выборка 1'!BE123-'Выборка 1'!BD123)+('Выборка 1'!BF123-'Выборка 1'!BE123))/4000</f>
        <v>0</v>
      </c>
      <c r="N123" s="44">
        <f t="shared" si="1"/>
        <v>0</v>
      </c>
      <c r="O123" s="17">
        <f>((('Выборка 1'!BH123-'Выборка 1'!BM123)-('Выборка 1'!BG123-'Выборка 1'!BL123))+(('Выборка 1'!BI123-'Выборка 1'!BN123)-('Выборка 1'!BH123-'Выборка 1'!BM123))+(('Выборка 1'!BJ123-'Выборка 1'!BO123)-('Выборка 1'!BI123-'Выборка 1'!BN123))+(('Выборка 1'!BK123-'Выборка 1'!BP123)-('Выборка 1'!BJ123-'Выборка 1'!BO123)))/4000</f>
        <v>0</v>
      </c>
      <c r="P123" s="17">
        <f>(('Выборка 1'!BR123-'Выборка 1'!BQ123)+('Выборка 1'!BS123-'Выборка 1'!BR123)+('Выборка 1'!BT123-'Выборка 1'!BS123)+('Выборка 1'!BU123-'Выборка 1'!BT123))/4000</f>
        <v>0</v>
      </c>
    </row>
    <row r="124" spans="2:16" x14ac:dyDescent="0.25">
      <c r="B124" s="42">
        <f>('Выборка 1'!AL124+'Выборка 1'!AG124)/1000</f>
        <v>47116</v>
      </c>
      <c r="C124" s="17">
        <v>10</v>
      </c>
      <c r="D124" s="17">
        <f>(('Выборка 1'!E124-'Выборка 1'!D124)+('Выборка 1'!F124-'Выборка 1'!E124)+('Выборка 1'!G124-'Выборка 1'!F124)+('Выборка 1'!H124-'Выборка 1'!G124))/4000</f>
        <v>-90.5</v>
      </c>
      <c r="E124" s="44">
        <f>(('Выборка 1'!J124-'Выборка 1'!I124)+('Выборка 1'!K124-'Выборка 1'!J124)+('Выборка 1'!L124-'Выборка 1'!K124)+('Выборка 1'!M124-'Выборка 1'!L124))/4000</f>
        <v>-885.75</v>
      </c>
      <c r="F124" s="17">
        <f>(('Выборка 1'!O124-'Выборка 1'!N124)+('Выборка 1'!P124-'Выборка 1'!O124)+('Выборка 1'!Q124-'Выборка 1'!P124)+('Выборка 1'!R124-'Выборка 1'!Q124))/4000</f>
        <v>-6698.5</v>
      </c>
      <c r="G124" s="44">
        <f>(('Выборка 1'!T124-'Выборка 1'!S124)+('Выборка 1'!U124-'Выборка 1'!T124)+('Выборка 1'!V124-'Выборка 1'!U124)+('Выборка 1'!W124-'Выборка 1'!V124))/4000</f>
        <v>1274.5</v>
      </c>
      <c r="H124" s="44">
        <f>(('Выборка 1'!Y124-'Выборка 1'!X124)+('Выборка 1'!Z124+'Выборка 1'!Y124)+('Выборка 1'!AA124-'Выборка 1'!Z124)+('Выборка 1'!AB124-'Выборка 1'!AA124))/4000</f>
        <v>-23614</v>
      </c>
      <c r="I124" s="44">
        <f>(('Выборка 1'!AD124-'Выборка 1'!AC124)+('Выборка 1'!AE124-'Выборка 1'!AD124)+('Выборка 1'!AF124-'Выборка 1'!AE124)+('Выборка 1'!AG124-'Выборка 1'!AF124))/4000</f>
        <v>-114.5</v>
      </c>
      <c r="J124" s="44">
        <f>(('Выборка 1'!AI124-'Выборка 1'!AH124)+('Выборка 1'!AJ124-'Выборка 1'!AI124)+('Выборка 1'!AK124-'Выборка 1'!AJ124)+('Выборка 1'!AL124-'Выборка 1'!AK124))/4000</f>
        <v>4670.25</v>
      </c>
      <c r="K124" s="17">
        <f>(('Выборка 1'!AN124-'Выборка 1'!AM124)+('Выборка 1'!AO124-'Выборка 1'!AN124)+('Выборка 1'!AP124-'Выборка 1'!AO124)+('Выборка 1'!AQ124-'Выборка 1'!AP124))/4000</f>
        <v>-38453.5</v>
      </c>
      <c r="L124" s="44">
        <f>((('Выборка 1'!AS124+'Выборка 1'!AX124)-('Выборка 1'!AR124+'Выборка 1'!AW124))+(('Выборка 1'!AT124+'Выборка 1'!AY124)-('Выборка 1'!AS124+'Выборка 1'!AX124))+(('Выборка 1'!AU124+'Выборка 1'!AZ124)-('Выборка 1'!AT124+'Выборка 1'!AY124))+(('Выборка 1'!AV124+'Выборка 1'!BA124)-('Выборка 1'!AU124+'Выборка 1'!AZ124)))/4000</f>
        <v>-37774.75</v>
      </c>
      <c r="M124" s="44">
        <f>(('Выборка 1'!BC124-'Выборка 1'!BB124)+('Выборка 1'!BD124-'Выборка 1'!BC124)+('Выборка 1'!BE124-'Выборка 1'!BD124)+('Выборка 1'!BF124-'Выборка 1'!BE124))/4000</f>
        <v>0</v>
      </c>
      <c r="N124" s="44">
        <f t="shared" si="1"/>
        <v>-678.75</v>
      </c>
      <c r="O124" s="17">
        <f>((('Выборка 1'!BH124-'Выборка 1'!BM124)-('Выборка 1'!BG124-'Выборка 1'!BL124))+(('Выборка 1'!BI124-'Выборка 1'!BN124)-('Выборка 1'!BH124-'Выборка 1'!BM124))+(('Выборка 1'!BJ124-'Выборка 1'!BO124)-('Выборка 1'!BI124-'Выборка 1'!BN124))+(('Выборка 1'!BK124-'Выборка 1'!BP124)-('Выборка 1'!BJ124-'Выборка 1'!BO124)))/4000</f>
        <v>226.75</v>
      </c>
      <c r="P124" s="17">
        <f>(('Выборка 1'!BR124-'Выборка 1'!BQ124)+('Выборка 1'!BS124-'Выборка 1'!BR124)+('Выборка 1'!BT124-'Выборка 1'!BS124)+('Выборка 1'!BU124-'Выборка 1'!BT124))/4000</f>
        <v>-362.75</v>
      </c>
    </row>
    <row r="125" spans="2:16" x14ac:dyDescent="0.25">
      <c r="B125" s="42">
        <f>('Выборка 1'!AL125+'Выборка 1'!AG125)/1000</f>
        <v>0</v>
      </c>
      <c r="C125" s="17">
        <v>24</v>
      </c>
      <c r="D125" s="17">
        <f>(('Выборка 1'!E125-'Выборка 1'!D125)+('Выборка 1'!F125-'Выборка 1'!E125)+('Выборка 1'!G125-'Выборка 1'!F125)+('Выборка 1'!H125-'Выборка 1'!G125))/4000</f>
        <v>-1226.75</v>
      </c>
      <c r="E125" s="44">
        <f>(('Выборка 1'!J125-'Выборка 1'!I125)+('Выборка 1'!K125-'Выборка 1'!J125)+('Выборка 1'!L125-'Выборка 1'!K125)+('Выборка 1'!M125-'Выборка 1'!L125))/4000</f>
        <v>0</v>
      </c>
      <c r="F125" s="17">
        <f>(('Выборка 1'!O125-'Выборка 1'!N125)+('Выборка 1'!P125-'Выборка 1'!O125)+('Выборка 1'!Q125-'Выборка 1'!P125)+('Выборка 1'!R125-'Выборка 1'!Q125))/4000</f>
        <v>-175</v>
      </c>
      <c r="G125" s="44">
        <f>(('Выборка 1'!T125-'Выборка 1'!S125)+('Выборка 1'!U125-'Выборка 1'!T125)+('Выборка 1'!V125-'Выборка 1'!U125)+('Выборка 1'!W125-'Выборка 1'!V125))/4000</f>
        <v>0</v>
      </c>
      <c r="H125" s="44">
        <f>(('Выборка 1'!Y125-'Выборка 1'!X125)+('Выборка 1'!Z125+'Выборка 1'!Y125)+('Выборка 1'!AA125-'Выборка 1'!Z125)+('Выборка 1'!AB125-'Выборка 1'!AA125))/4000</f>
        <v>-12848</v>
      </c>
      <c r="I125" s="44">
        <f>(('Выборка 1'!AD125-'Выборка 1'!AC125)+('Выборка 1'!AE125-'Выборка 1'!AD125)+('Выборка 1'!AF125-'Выборка 1'!AE125)+('Выборка 1'!AG125-'Выборка 1'!AF125))/4000</f>
        <v>-564.5</v>
      </c>
      <c r="J125" s="44">
        <f>(('Выборка 1'!AI125-'Выборка 1'!AH125)+('Выборка 1'!AJ125-'Выборка 1'!AI125)+('Выборка 1'!AK125-'Выборка 1'!AJ125)+('Выборка 1'!AL125-'Выборка 1'!AK125))/4000</f>
        <v>-9801</v>
      </c>
      <c r="K125" s="17">
        <f>(('Выборка 1'!AN125-'Выборка 1'!AM125)+('Выборка 1'!AO125-'Выборка 1'!AN125)+('Выборка 1'!AP125-'Выборка 1'!AO125)+('Выборка 1'!AQ125-'Выборка 1'!AP125))/4000</f>
        <v>-1654.5</v>
      </c>
      <c r="L125" s="44">
        <f>((('Выборка 1'!AS125+'Выборка 1'!AX125)-('Выборка 1'!AR125+'Выборка 1'!AW125))+(('Выборка 1'!AT125+'Выборка 1'!AY125)-('Выборка 1'!AS125+'Выборка 1'!AX125))+(('Выборка 1'!AU125+'Выборка 1'!AZ125)-('Выборка 1'!AT125+'Выборка 1'!AY125))+(('Выборка 1'!AV125+'Выборка 1'!BA125)-('Выборка 1'!AU125+'Выборка 1'!AZ125)))/4000</f>
        <v>-1672.5</v>
      </c>
      <c r="M125" s="44">
        <f>(('Выборка 1'!BC125-'Выборка 1'!BB125)+('Выборка 1'!BD125-'Выборка 1'!BC125)+('Выборка 1'!BE125-'Выборка 1'!BD125)+('Выборка 1'!BF125-'Выборка 1'!BE125))/4000</f>
        <v>-1662.75</v>
      </c>
      <c r="N125" s="44">
        <f t="shared" si="1"/>
        <v>1680.75</v>
      </c>
      <c r="O125" s="17">
        <f>((('Выборка 1'!BH125-'Выборка 1'!BM125)-('Выборка 1'!BG125-'Выборка 1'!BL125))+(('Выборка 1'!BI125-'Выборка 1'!BN125)-('Выборка 1'!BH125-'Выборка 1'!BM125))+(('Выборка 1'!BJ125-'Выборка 1'!BO125)-('Выборка 1'!BI125-'Выборка 1'!BN125))+(('Выборка 1'!BK125-'Выборка 1'!BP125)-('Выборка 1'!BJ125-'Выборка 1'!BO125)))/4000</f>
        <v>2371.25</v>
      </c>
      <c r="P125" s="17">
        <f>(('Выборка 1'!BR125-'Выборка 1'!BQ125)+('Выборка 1'!BS125-'Выборка 1'!BR125)+('Выборка 1'!BT125-'Выборка 1'!BS125)+('Выборка 1'!BU125-'Выборка 1'!BT125))/4000</f>
        <v>4871.5</v>
      </c>
    </row>
    <row r="126" spans="2:16" x14ac:dyDescent="0.25">
      <c r="B126" s="42">
        <f>('Выборка 1'!AL126+'Выборка 1'!AG126)/1000</f>
        <v>0</v>
      </c>
      <c r="C126" s="17">
        <v>13</v>
      </c>
      <c r="D126" s="17">
        <f>(('Выборка 1'!E126-'Выборка 1'!D126)+('Выборка 1'!F126-'Выборка 1'!E126)+('Выборка 1'!G126-'Выборка 1'!F126)+('Выборка 1'!H126-'Выборка 1'!G126))/4000</f>
        <v>-752.25</v>
      </c>
      <c r="E126" s="44">
        <f>(('Выборка 1'!J126-'Выборка 1'!I126)+('Выборка 1'!K126-'Выборка 1'!J126)+('Выборка 1'!L126-'Выборка 1'!K126)+('Выборка 1'!M126-'Выборка 1'!L126))/4000</f>
        <v>-103.75</v>
      </c>
      <c r="F126" s="17">
        <f>(('Выборка 1'!O126-'Выборка 1'!N126)+('Выборка 1'!P126-'Выборка 1'!O126)+('Выборка 1'!Q126-'Выборка 1'!P126)+('Выборка 1'!R126-'Выборка 1'!Q126))/4000</f>
        <v>-3679.75</v>
      </c>
      <c r="G126" s="44">
        <f>(('Выборка 1'!T126-'Выборка 1'!S126)+('Выборка 1'!U126-'Выборка 1'!T126)+('Выборка 1'!V126-'Выборка 1'!U126)+('Выборка 1'!W126-'Выборка 1'!V126))/4000</f>
        <v>-9.5</v>
      </c>
      <c r="H126" s="44">
        <f>(('Выборка 1'!Y126-'Выборка 1'!X126)+('Выборка 1'!Z126+'Выборка 1'!Y126)+('Выборка 1'!AA126-'Выборка 1'!Z126)+('Выборка 1'!AB126-'Выборка 1'!AA126))/4000</f>
        <v>-1671.25</v>
      </c>
      <c r="I126" s="44">
        <f>(('Выборка 1'!AD126-'Выборка 1'!AC126)+('Выборка 1'!AE126-'Выборка 1'!AD126)+('Выборка 1'!AF126-'Выборка 1'!AE126)+('Выборка 1'!AG126-'Выборка 1'!AF126))/4000</f>
        <v>-832.5</v>
      </c>
      <c r="J126" s="44">
        <f>(('Выборка 1'!AI126-'Выборка 1'!AH126)+('Выборка 1'!AJ126-'Выборка 1'!AI126)+('Выборка 1'!AK126-'Выборка 1'!AJ126)+('Выборка 1'!AL126-'Выборка 1'!AK126))/4000</f>
        <v>-5263.5</v>
      </c>
      <c r="K126" s="17">
        <f>(('Выборка 1'!AN126-'Выборка 1'!AM126)+('Выборка 1'!AO126-'Выборка 1'!AN126)+('Выборка 1'!AP126-'Выборка 1'!AO126)+('Выборка 1'!AQ126-'Выборка 1'!AP126))/4000</f>
        <v>-2080.25</v>
      </c>
      <c r="L126" s="44">
        <f>((('Выборка 1'!AS126+'Выборка 1'!AX126)-('Выборка 1'!AR126+'Выборка 1'!AW126))+(('Выборка 1'!AT126+'Выборка 1'!AY126)-('Выборка 1'!AS126+'Выборка 1'!AX126))+(('Выборка 1'!AU126+'Выборка 1'!AZ126)-('Выборка 1'!AT126+'Выборка 1'!AY126))+(('Выборка 1'!AV126+'Выборка 1'!BA126)-('Выборка 1'!AU126+'Выборка 1'!AZ126)))/4000</f>
        <v>-3625.5</v>
      </c>
      <c r="M126" s="44">
        <f>(('Выборка 1'!BC126-'Выборка 1'!BB126)+('Выборка 1'!BD126-'Выборка 1'!BC126)+('Выборка 1'!BE126-'Выборка 1'!BD126)+('Выборка 1'!BF126-'Выборка 1'!BE126))/4000</f>
        <v>-1184.5</v>
      </c>
      <c r="N126" s="44">
        <f t="shared" si="1"/>
        <v>2729.75</v>
      </c>
      <c r="O126" s="17">
        <f>((('Выборка 1'!BH126-'Выборка 1'!BM126)-('Выборка 1'!BG126-'Выборка 1'!BL126))+(('Выборка 1'!BI126-'Выборка 1'!BN126)-('Выборка 1'!BH126-'Выборка 1'!BM126))+(('Выборка 1'!BJ126-'Выборка 1'!BO126)-('Выборка 1'!BI126-'Выборка 1'!BN126))+(('Выборка 1'!BK126-'Выборка 1'!BP126)-('Выборка 1'!BJ126-'Выборка 1'!BO126)))/4000</f>
        <v>56.25</v>
      </c>
      <c r="P126" s="17">
        <f>(('Выборка 1'!BR126-'Выборка 1'!BQ126)+('Выборка 1'!BS126-'Выборка 1'!BR126)+('Выборка 1'!BT126-'Выборка 1'!BS126)+('Выборка 1'!BU126-'Выборка 1'!BT126))/4000</f>
        <v>2738.75</v>
      </c>
    </row>
    <row r="127" spans="2:16" x14ac:dyDescent="0.25">
      <c r="B127" s="42">
        <f>('Выборка 1'!AL127+'Выборка 1'!AG127)/1000</f>
        <v>0</v>
      </c>
      <c r="C127" s="17">
        <v>16</v>
      </c>
      <c r="D127" s="17">
        <f>(('Выборка 1'!E127-'Выборка 1'!D127)+('Выборка 1'!F127-'Выборка 1'!E127)+('Выборка 1'!G127-'Выборка 1'!F127)+('Выборка 1'!H127-'Выборка 1'!G127))/4000</f>
        <v>-35879.75</v>
      </c>
      <c r="E127" s="44">
        <f>(('Выборка 1'!J127-'Выборка 1'!I127)+('Выборка 1'!K127-'Выборка 1'!J127)+('Выборка 1'!L127-'Выборка 1'!K127)+('Выборка 1'!M127-'Выборка 1'!L127))/4000</f>
        <v>-24261</v>
      </c>
      <c r="F127" s="17">
        <f>(('Выборка 1'!O127-'Выборка 1'!N127)+('Выборка 1'!P127-'Выборка 1'!O127)+('Выборка 1'!Q127-'Выборка 1'!P127)+('Выборка 1'!R127-'Выборка 1'!Q127))/4000</f>
        <v>-13222.75</v>
      </c>
      <c r="G127" s="44">
        <f>(('Выборка 1'!T127-'Выборка 1'!S127)+('Выборка 1'!U127-'Выборка 1'!T127)+('Выборка 1'!V127-'Выборка 1'!U127)+('Выборка 1'!W127-'Выборка 1'!V127))/4000</f>
        <v>-32.25</v>
      </c>
      <c r="H127" s="44">
        <f>(('Выборка 1'!Y127-'Выборка 1'!X127)+('Выборка 1'!Z127+'Выборка 1'!Y127)+('Выборка 1'!AA127-'Выборка 1'!Z127)+('Выборка 1'!AB127-'Выборка 1'!AA127))/4000</f>
        <v>8984.5</v>
      </c>
      <c r="I127" s="44">
        <f>(('Выборка 1'!AD127-'Выборка 1'!AC127)+('Выборка 1'!AE127-'Выборка 1'!AD127)+('Выборка 1'!AF127-'Выборка 1'!AE127)+('Выборка 1'!AG127-'Выборка 1'!AF127))/4000</f>
        <v>-15792</v>
      </c>
      <c r="J127" s="44">
        <f>(('Выборка 1'!AI127-'Выборка 1'!AH127)+('Выборка 1'!AJ127-'Выборка 1'!AI127)+('Выборка 1'!AK127-'Выборка 1'!AJ127)+('Выборка 1'!AL127-'Выборка 1'!AK127))/4000</f>
        <v>-28975.25</v>
      </c>
      <c r="K127" s="17">
        <f>(('Выборка 1'!AN127-'Выборка 1'!AM127)+('Выборка 1'!AO127-'Выборка 1'!AN127)+('Выборка 1'!AP127-'Выборка 1'!AO127)+('Выборка 1'!AQ127-'Выборка 1'!AP127))/4000</f>
        <v>-35615.5</v>
      </c>
      <c r="L127" s="44">
        <f>((('Выборка 1'!AS127+'Выборка 1'!AX127)-('Выборка 1'!AR127+'Выборка 1'!AW127))+(('Выборка 1'!AT127+'Выборка 1'!AY127)-('Выборка 1'!AS127+'Выборка 1'!AX127))+(('Выборка 1'!AU127+'Выборка 1'!AZ127)-('Выборка 1'!AT127+'Выборка 1'!AY127))+(('Выборка 1'!AV127+'Выборка 1'!BA127)-('Выборка 1'!AU127+'Выборка 1'!AZ127)))/4000</f>
        <v>-38260.25</v>
      </c>
      <c r="M127" s="44">
        <f>(('Выборка 1'!BC127-'Выборка 1'!BB127)+('Выборка 1'!BD127-'Выборка 1'!BC127)+('Выборка 1'!BE127-'Выборка 1'!BD127)+('Выборка 1'!BF127-'Выборка 1'!BE127))/4000</f>
        <v>0</v>
      </c>
      <c r="N127" s="44">
        <f t="shared" si="1"/>
        <v>2644.75</v>
      </c>
      <c r="O127" s="17">
        <f>((('Выборка 1'!BH127-'Выборка 1'!BM127)-('Выборка 1'!BG127-'Выборка 1'!BL127))+(('Выборка 1'!BI127-'Выборка 1'!BN127)-('Выборка 1'!BH127-'Выборка 1'!BM127))+(('Выборка 1'!BJ127-'Выборка 1'!BO127)-('Выборка 1'!BI127-'Выборка 1'!BN127))+(('Выборка 1'!BK127-'Выборка 1'!BP127)-('Выборка 1'!BJ127-'Выборка 1'!BO127)))/4000</f>
        <v>-1470.25</v>
      </c>
      <c r="P127" s="17">
        <f>(('Выборка 1'!BR127-'Выборка 1'!BQ127)+('Выборка 1'!BS127-'Выборка 1'!BR127)+('Выборка 1'!BT127-'Выборка 1'!BS127)+('Выборка 1'!BU127-'Выборка 1'!BT127))/4000</f>
        <v>3282.5</v>
      </c>
    </row>
    <row r="128" spans="2:16" x14ac:dyDescent="0.25">
      <c r="B128" s="42">
        <f>('Выборка 1'!AL128+'Выборка 1'!AG128)/1000</f>
        <v>343454</v>
      </c>
      <c r="C128" s="17">
        <v>33</v>
      </c>
      <c r="D128" s="17">
        <f>(('Выборка 1'!E128-'Выборка 1'!D128)+('Выборка 1'!F128-'Выборка 1'!E128)+('Выборка 1'!G128-'Выборка 1'!F128)+('Выборка 1'!H128-'Выборка 1'!G128))/4000</f>
        <v>-63355.5</v>
      </c>
      <c r="E128" s="44">
        <f>(('Выборка 1'!J128-'Выборка 1'!I128)+('Выборка 1'!K128-'Выборка 1'!J128)+('Выборка 1'!L128-'Выборка 1'!K128)+('Выборка 1'!M128-'Выборка 1'!L128))/4000</f>
        <v>-17027.5</v>
      </c>
      <c r="F128" s="17">
        <f>(('Выборка 1'!O128-'Выборка 1'!N128)+('Выборка 1'!P128-'Выборка 1'!O128)+('Выборка 1'!Q128-'Выборка 1'!P128)+('Выборка 1'!R128-'Выборка 1'!Q128))/4000</f>
        <v>-8558.75</v>
      </c>
      <c r="G128" s="44">
        <f>(('Выборка 1'!T128-'Выборка 1'!S128)+('Выборка 1'!U128-'Выборка 1'!T128)+('Выборка 1'!V128-'Выборка 1'!U128)+('Выборка 1'!W128-'Выборка 1'!V128))/4000</f>
        <v>5190.25</v>
      </c>
      <c r="H128" s="44">
        <f>(('Выборка 1'!Y128-'Выборка 1'!X128)+('Выборка 1'!Z128+'Выборка 1'!Y128)+('Выборка 1'!AA128-'Выборка 1'!Z128)+('Выборка 1'!AB128-'Выборка 1'!AA128))/4000</f>
        <v>-95995.5</v>
      </c>
      <c r="I128" s="44">
        <f>(('Выборка 1'!AD128-'Выборка 1'!AC128)+('Выборка 1'!AE128-'Выборка 1'!AD128)+('Выборка 1'!AF128-'Выборка 1'!AE128)+('Выборка 1'!AG128-'Выборка 1'!AF128))/4000</f>
        <v>-19690</v>
      </c>
      <c r="J128" s="44">
        <f>(('Выборка 1'!AI128-'Выборка 1'!AH128)+('Выборка 1'!AJ128-'Выборка 1'!AI128)+('Выборка 1'!AK128-'Выборка 1'!AJ128)+('Выборка 1'!AL128-'Выборка 1'!AK128))/4000</f>
        <v>35101</v>
      </c>
      <c r="K128" s="17">
        <f>(('Выборка 1'!AN128-'Выборка 1'!AM128)+('Выборка 1'!AO128-'Выборка 1'!AN128)+('Выборка 1'!AP128-'Выборка 1'!AO128)+('Выборка 1'!AQ128-'Выборка 1'!AP128))/4000</f>
        <v>-32302</v>
      </c>
      <c r="L128" s="44">
        <f>((('Выборка 1'!AS128+'Выборка 1'!AX128)-('Выборка 1'!AR128+'Выборка 1'!AW128))+(('Выборка 1'!AT128+'Выборка 1'!AY128)-('Выборка 1'!AS128+'Выборка 1'!AX128))+(('Выборка 1'!AU128+'Выборка 1'!AZ128)-('Выборка 1'!AT128+'Выборка 1'!AY128))+(('Выборка 1'!AV128+'Выборка 1'!BA128)-('Выборка 1'!AU128+'Выборка 1'!AZ128)))/4000</f>
        <v>-31494</v>
      </c>
      <c r="M128" s="44">
        <f>(('Выборка 1'!BC128-'Выборка 1'!BB128)+('Выборка 1'!BD128-'Выборка 1'!BC128)+('Выборка 1'!BE128-'Выборка 1'!BD128)+('Выборка 1'!BF128-'Выборка 1'!BE128))/4000</f>
        <v>0</v>
      </c>
      <c r="N128" s="44">
        <f t="shared" si="1"/>
        <v>-808</v>
      </c>
      <c r="O128" s="17">
        <f>((('Выборка 1'!BH128-'Выборка 1'!BM128)-('Выборка 1'!BG128-'Выборка 1'!BL128))+(('Выборка 1'!BI128-'Выборка 1'!BN128)-('Выборка 1'!BH128-'Выборка 1'!BM128))+(('Выборка 1'!BJ128-'Выборка 1'!BO128)-('Выборка 1'!BI128-'Выборка 1'!BN128))+(('Выборка 1'!BK128-'Выборка 1'!BP128)-('Выборка 1'!BJ128-'Выборка 1'!BO128)))/4000</f>
        <v>-32464.75</v>
      </c>
      <c r="P128" s="17">
        <f>(('Выборка 1'!BR128-'Выборка 1'!BQ128)+('Выборка 1'!BS128-'Выборка 1'!BR128)+('Выборка 1'!BT128-'Выборка 1'!BS128)+('Выборка 1'!BU128-'Выборка 1'!BT128))/4000</f>
        <v>-27149</v>
      </c>
    </row>
    <row r="129" spans="2:16" x14ac:dyDescent="0.25">
      <c r="B129" s="42">
        <f>('Выборка 1'!AL129+'Выборка 1'!AG129)/1000</f>
        <v>0</v>
      </c>
      <c r="C129" s="17">
        <v>32</v>
      </c>
      <c r="D129" s="17">
        <f>(('Выборка 1'!E129-'Выборка 1'!D129)+('Выборка 1'!F129-'Выборка 1'!E129)+('Выборка 1'!G129-'Выборка 1'!F129)+('Выборка 1'!H129-'Выборка 1'!G129))/4000</f>
        <v>-51002</v>
      </c>
      <c r="E129" s="44">
        <f>(('Выборка 1'!J129-'Выборка 1'!I129)+('Выборка 1'!K129-'Выборка 1'!J129)+('Выборка 1'!L129-'Выборка 1'!K129)+('Выборка 1'!M129-'Выборка 1'!L129))/4000</f>
        <v>-9867.75</v>
      </c>
      <c r="F129" s="17">
        <f>(('Выборка 1'!O129-'Выборка 1'!N129)+('Выборка 1'!P129-'Выборка 1'!O129)+('Выборка 1'!Q129-'Выборка 1'!P129)+('Выборка 1'!R129-'Выборка 1'!Q129))/4000</f>
        <v>-1136</v>
      </c>
      <c r="G129" s="44">
        <f>(('Выборка 1'!T129-'Выборка 1'!S129)+('Выборка 1'!U129-'Выборка 1'!T129)+('Выборка 1'!V129-'Выборка 1'!U129)+('Выборка 1'!W129-'Выборка 1'!V129))/4000</f>
        <v>-50.75</v>
      </c>
      <c r="H129" s="44">
        <f>(('Выборка 1'!Y129-'Выборка 1'!X129)+('Выборка 1'!Z129+'Выборка 1'!Y129)+('Выборка 1'!AA129-'Выборка 1'!Z129)+('Выборка 1'!AB129-'Выборка 1'!AA129))/4000</f>
        <v>-2121.75</v>
      </c>
      <c r="I129" s="44">
        <f>(('Выборка 1'!AD129-'Выборка 1'!AC129)+('Выборка 1'!AE129-'Выборка 1'!AD129)+('Выборка 1'!AF129-'Выборка 1'!AE129)+('Выборка 1'!AG129-'Выборка 1'!AF129))/4000</f>
        <v>-3475.25</v>
      </c>
      <c r="J129" s="44">
        <f>(('Выборка 1'!AI129-'Выборка 1'!AH129)+('Выборка 1'!AJ129-'Выборка 1'!AI129)+('Выборка 1'!AK129-'Выборка 1'!AJ129)+('Выборка 1'!AL129-'Выборка 1'!AK129))/4000</f>
        <v>-4582</v>
      </c>
      <c r="K129" s="17">
        <f>(('Выборка 1'!AN129-'Выборка 1'!AM129)+('Выборка 1'!AO129-'Выборка 1'!AN129)+('Выборка 1'!AP129-'Выборка 1'!AO129)+('Выборка 1'!AQ129-'Выборка 1'!AP129))/4000</f>
        <v>-9571.25</v>
      </c>
      <c r="L129" s="44">
        <f>((('Выборка 1'!AS129+'Выборка 1'!AX129)-('Выборка 1'!AR129+'Выборка 1'!AW129))+(('Выборка 1'!AT129+'Выборка 1'!AY129)-('Выборка 1'!AS129+'Выборка 1'!AX129))+(('Выборка 1'!AU129+'Выборка 1'!AZ129)-('Выборка 1'!AT129+'Выборка 1'!AY129))+(('Выборка 1'!AV129+'Выборка 1'!BA129)-('Выборка 1'!AU129+'Выборка 1'!AZ129)))/4000</f>
        <v>-11064.25</v>
      </c>
      <c r="M129" s="44">
        <f>(('Выборка 1'!BC129-'Выборка 1'!BB129)+('Выборка 1'!BD129-'Выборка 1'!BC129)+('Выборка 1'!BE129-'Выборка 1'!BD129)+('Выборка 1'!BF129-'Выборка 1'!BE129))/4000</f>
        <v>0</v>
      </c>
      <c r="N129" s="44">
        <f t="shared" si="1"/>
        <v>1493</v>
      </c>
      <c r="O129" s="17">
        <f>((('Выборка 1'!BH129-'Выборка 1'!BM129)-('Выборка 1'!BG129-'Выборка 1'!BL129))+(('Выборка 1'!BI129-'Выборка 1'!BN129)-('Выборка 1'!BH129-'Выборка 1'!BM129))+(('Выборка 1'!BJ129-'Выборка 1'!BO129)-('Выборка 1'!BI129-'Выборка 1'!BN129))+(('Выборка 1'!BK129-'Выборка 1'!BP129)-('Выборка 1'!BJ129-'Выборка 1'!BO129)))/4000</f>
        <v>-1519.75</v>
      </c>
      <c r="P129" s="17">
        <f>(('Выборка 1'!BR129-'Выборка 1'!BQ129)+('Выборка 1'!BS129-'Выборка 1'!BR129)+('Выборка 1'!BT129-'Выборка 1'!BS129)+('Выборка 1'!BU129-'Выборка 1'!BT129))/4000</f>
        <v>363</v>
      </c>
    </row>
    <row r="130" spans="2:16" x14ac:dyDescent="0.25">
      <c r="B130" s="42">
        <f>('Выборка 1'!AL130+'Выборка 1'!AG130)/1000</f>
        <v>489206</v>
      </c>
      <c r="C130" s="17">
        <v>13</v>
      </c>
      <c r="D130" s="17">
        <f>(('Выборка 1'!E130-'Выборка 1'!D130)+('Выборка 1'!F130-'Выборка 1'!E130)+('Выборка 1'!G130-'Выборка 1'!F130)+('Выборка 1'!H130-'Выборка 1'!G130))/4000</f>
        <v>-17053.5</v>
      </c>
      <c r="E130" s="44">
        <f>(('Выборка 1'!J130-'Выборка 1'!I130)+('Выборка 1'!K130-'Выборка 1'!J130)+('Выборка 1'!L130-'Выборка 1'!K130)+('Выборка 1'!M130-'Выборка 1'!L130))/4000</f>
        <v>-94296</v>
      </c>
      <c r="F130" s="17">
        <f>(('Выборка 1'!O130-'Выборка 1'!N130)+('Выборка 1'!P130-'Выборка 1'!O130)+('Выборка 1'!Q130-'Выборка 1'!P130)+('Выборка 1'!R130-'Выборка 1'!Q130))/4000</f>
        <v>-17330</v>
      </c>
      <c r="G130" s="44">
        <f>(('Выборка 1'!T130-'Выборка 1'!S130)+('Выборка 1'!U130-'Выборка 1'!T130)+('Выборка 1'!V130-'Выборка 1'!U130)+('Выборка 1'!W130-'Выборка 1'!V130))/4000</f>
        <v>1321.5</v>
      </c>
      <c r="H130" s="44">
        <f>(('Выборка 1'!Y130-'Выборка 1'!X130)+('Выборка 1'!Z130+'Выборка 1'!Y130)+('Выборка 1'!AA130-'Выборка 1'!Z130)+('Выборка 1'!AB130-'Выборка 1'!AA130))/4000</f>
        <v>-105499</v>
      </c>
      <c r="I130" s="44">
        <f>(('Выборка 1'!AD130-'Выборка 1'!AC130)+('Выборка 1'!AE130-'Выборка 1'!AD130)+('Выборка 1'!AF130-'Выборка 1'!AE130)+('Выборка 1'!AG130-'Выборка 1'!AF130))/4000</f>
        <v>-8141.5</v>
      </c>
      <c r="J130" s="44">
        <f>(('Выборка 1'!AI130-'Выборка 1'!AH130)+('Выборка 1'!AJ130-'Выборка 1'!AI130)+('Выборка 1'!AK130-'Выборка 1'!AJ130)+('Выборка 1'!AL130-'Выборка 1'!AK130))/4000</f>
        <v>40803.25</v>
      </c>
      <c r="K130" s="17">
        <f>(('Выборка 1'!AN130-'Выборка 1'!AM130)+('Выборка 1'!AO130-'Выборка 1'!AN130)+('Выборка 1'!AP130-'Выборка 1'!AO130)+('Выборка 1'!AQ130-'Выборка 1'!AP130))/4000</f>
        <v>-105981.5</v>
      </c>
      <c r="L130" s="44">
        <f>((('Выборка 1'!AS130+'Выборка 1'!AX130)-('Выборка 1'!AR130+'Выборка 1'!AW130))+(('Выборка 1'!AT130+'Выборка 1'!AY130)-('Выборка 1'!AS130+'Выборка 1'!AX130))+(('Выборка 1'!AU130+'Выборка 1'!AZ130)-('Выборка 1'!AT130+'Выборка 1'!AY130))+(('Выборка 1'!AV130+'Выборка 1'!BA130)-('Выборка 1'!AU130+'Выборка 1'!AZ130)))/4000</f>
        <v>-88473.25</v>
      </c>
      <c r="M130" s="44">
        <f>(('Выборка 1'!BC130-'Выборка 1'!BB130)+('Выборка 1'!BD130-'Выборка 1'!BC130)+('Выборка 1'!BE130-'Выборка 1'!BD130)+('Выборка 1'!BF130-'Выборка 1'!BE130))/4000</f>
        <v>-17283.25</v>
      </c>
      <c r="N130" s="44">
        <f t="shared" si="1"/>
        <v>-225</v>
      </c>
      <c r="O130" s="17">
        <f>((('Выборка 1'!BH130-'Выборка 1'!BM130)-('Выборка 1'!BG130-'Выборка 1'!BL130))+(('Выборка 1'!BI130-'Выборка 1'!BN130)-('Выборка 1'!BH130-'Выборка 1'!BM130))+(('Выборка 1'!BJ130-'Выборка 1'!BO130)-('Выборка 1'!BI130-'Выборка 1'!BN130))+(('Выборка 1'!BK130-'Выборка 1'!BP130)-('Выборка 1'!BJ130-'Выборка 1'!BO130)))/4000</f>
        <v>-7628.5</v>
      </c>
      <c r="P130" s="17">
        <f>(('Выборка 1'!BR130-'Выборка 1'!BQ130)+('Выборка 1'!BS130-'Выборка 1'!BR130)+('Выборка 1'!BT130-'Выборка 1'!BS130)+('Выборка 1'!BU130-'Выборка 1'!BT130))/4000</f>
        <v>-1113.25</v>
      </c>
    </row>
    <row r="131" spans="2:16" x14ac:dyDescent="0.25">
      <c r="B131" s="42">
        <f>('Выборка 1'!AL131+'Выборка 1'!AG131)/1000</f>
        <v>0</v>
      </c>
      <c r="C131" s="17">
        <v>19</v>
      </c>
      <c r="D131" s="17">
        <f>(('Выборка 1'!E131-'Выборка 1'!D131)+('Выборка 1'!F131-'Выборка 1'!E131)+('Выборка 1'!G131-'Выборка 1'!F131)+('Выборка 1'!H131-'Выборка 1'!G131))/4000</f>
        <v>-24</v>
      </c>
      <c r="E131" s="44">
        <f>(('Выборка 1'!J131-'Выборка 1'!I131)+('Выборка 1'!K131-'Выборка 1'!J131)+('Выборка 1'!L131-'Выборка 1'!K131)+('Выборка 1'!M131-'Выборка 1'!L131))/4000</f>
        <v>-4918.25</v>
      </c>
      <c r="F131" s="17">
        <f>(('Выборка 1'!O131-'Выборка 1'!N131)+('Выборка 1'!P131-'Выборка 1'!O131)+('Выборка 1'!Q131-'Выборка 1'!P131)+('Выборка 1'!R131-'Выборка 1'!Q131))/4000</f>
        <v>-3194</v>
      </c>
      <c r="G131" s="44">
        <f>(('Выборка 1'!T131-'Выборка 1'!S131)+('Выборка 1'!U131-'Выборка 1'!T131)+('Выборка 1'!V131-'Выборка 1'!U131)+('Выборка 1'!W131-'Выборка 1'!V131))/4000</f>
        <v>0</v>
      </c>
      <c r="H131" s="44">
        <f>(('Выборка 1'!Y131-'Выборка 1'!X131)+('Выборка 1'!Z131+'Выборка 1'!Y131)+('Выборка 1'!AA131-'Выборка 1'!Z131)+('Выборка 1'!AB131-'Выборка 1'!AA131))/4000</f>
        <v>-1665.5</v>
      </c>
      <c r="I131" s="44">
        <f>(('Выборка 1'!AD131-'Выборка 1'!AC131)+('Выборка 1'!AE131-'Выборка 1'!AD131)+('Выборка 1'!AF131-'Выборка 1'!AE131)+('Выборка 1'!AG131-'Выборка 1'!AF131))/4000</f>
        <v>0</v>
      </c>
      <c r="J131" s="44">
        <f>(('Выборка 1'!AI131-'Выборка 1'!AH131)+('Выборка 1'!AJ131-'Выборка 1'!AI131)+('Выборка 1'!AK131-'Выборка 1'!AJ131)+('Выборка 1'!AL131-'Выборка 1'!AK131))/4000</f>
        <v>-8949.75</v>
      </c>
      <c r="K131" s="17">
        <f>(('Выборка 1'!AN131-'Выборка 1'!AM131)+('Выборка 1'!AO131-'Выборка 1'!AN131)+('Выборка 1'!AP131-'Выборка 1'!AO131)+('Выборка 1'!AQ131-'Выборка 1'!AP131))/4000</f>
        <v>0</v>
      </c>
      <c r="L131" s="44">
        <f>((('Выборка 1'!AS131+'Выборка 1'!AX131)-('Выборка 1'!AR131+'Выборка 1'!AW131))+(('Выборка 1'!AT131+'Выборка 1'!AY131)-('Выборка 1'!AS131+'Выборка 1'!AX131))+(('Выборка 1'!AU131+'Выборка 1'!AZ131)-('Выборка 1'!AT131+'Выборка 1'!AY131))+(('Выборка 1'!AV131+'Выборка 1'!BA131)-('Выборка 1'!AU131+'Выборка 1'!AZ131)))/4000</f>
        <v>0</v>
      </c>
      <c r="M131" s="44">
        <f>(('Выборка 1'!BC131-'Выборка 1'!BB131)+('Выборка 1'!BD131-'Выборка 1'!BC131)+('Выборка 1'!BE131-'Выборка 1'!BD131)+('Выборка 1'!BF131-'Выборка 1'!BE131))/4000</f>
        <v>0</v>
      </c>
      <c r="N131" s="44">
        <f t="shared" ref="N131:N194" si="2">K131-L131-M131</f>
        <v>0</v>
      </c>
      <c r="O131" s="17">
        <f>((('Выборка 1'!BH131-'Выборка 1'!BM131)-('Выборка 1'!BG131-'Выборка 1'!BL131))+(('Выборка 1'!BI131-'Выборка 1'!BN131)-('Выборка 1'!BH131-'Выборка 1'!BM131))+(('Выборка 1'!BJ131-'Выборка 1'!BO131)-('Выборка 1'!BI131-'Выборка 1'!BN131))+(('Выборка 1'!BK131-'Выборка 1'!BP131)-('Выборка 1'!BJ131-'Выборка 1'!BO131)))/4000</f>
        <v>88.75</v>
      </c>
      <c r="P131" s="17">
        <f>(('Выборка 1'!BR131-'Выборка 1'!BQ131)+('Выборка 1'!BS131-'Выборка 1'!BR131)+('Выборка 1'!BT131-'Выборка 1'!BS131)+('Выборка 1'!BU131-'Выборка 1'!BT131))/4000</f>
        <v>88.75</v>
      </c>
    </row>
    <row r="132" spans="2:16" x14ac:dyDescent="0.25">
      <c r="B132" s="42">
        <f>('Выборка 1'!AL132+'Выборка 1'!AG132)/1000</f>
        <v>0</v>
      </c>
      <c r="C132" s="17">
        <v>13</v>
      </c>
      <c r="D132" s="17">
        <f>(('Выборка 1'!E132-'Выборка 1'!D132)+('Выборка 1'!F132-'Выборка 1'!E132)+('Выборка 1'!G132-'Выборка 1'!F132)+('Выборка 1'!H132-'Выборка 1'!G132))/4000</f>
        <v>0</v>
      </c>
      <c r="E132" s="44">
        <f>(('Выборка 1'!J132-'Выборка 1'!I132)+('Выборка 1'!K132-'Выборка 1'!J132)+('Выборка 1'!L132-'Выборка 1'!K132)+('Выборка 1'!M132-'Выборка 1'!L132))/4000</f>
        <v>-8621</v>
      </c>
      <c r="F132" s="17">
        <f>(('Выборка 1'!O132-'Выборка 1'!N132)+('Выборка 1'!P132-'Выборка 1'!O132)+('Выборка 1'!Q132-'Выборка 1'!P132)+('Выборка 1'!R132-'Выборка 1'!Q132))/4000</f>
        <v>-2740</v>
      </c>
      <c r="G132" s="44">
        <f>(('Выборка 1'!T132-'Выборка 1'!S132)+('Выборка 1'!U132-'Выборка 1'!T132)+('Выборка 1'!V132-'Выборка 1'!U132)+('Выборка 1'!W132-'Выборка 1'!V132))/4000</f>
        <v>0</v>
      </c>
      <c r="H132" s="44">
        <f>(('Выборка 1'!Y132-'Выборка 1'!X132)+('Выборка 1'!Z132+'Выборка 1'!Y132)+('Выборка 1'!AA132-'Выборка 1'!Z132)+('Выборка 1'!AB132-'Выборка 1'!AA132))/4000</f>
        <v>1046</v>
      </c>
      <c r="I132" s="44">
        <f>(('Выборка 1'!AD132-'Выборка 1'!AC132)+('Выборка 1'!AE132-'Выборка 1'!AD132)+('Выборка 1'!AF132-'Выборка 1'!AE132)+('Выборка 1'!AG132-'Выборка 1'!AF132))/4000</f>
        <v>0</v>
      </c>
      <c r="J132" s="44">
        <f>(('Выборка 1'!AI132-'Выборка 1'!AH132)+('Выборка 1'!AJ132-'Выборка 1'!AI132)+('Выборка 1'!AK132-'Выборка 1'!AJ132)+('Выборка 1'!AL132-'Выборка 1'!AK132))/4000</f>
        <v>-10747.75</v>
      </c>
      <c r="K132" s="17">
        <f>(('Выборка 1'!AN132-'Выборка 1'!AM132)+('Выборка 1'!AO132-'Выборка 1'!AN132)+('Выборка 1'!AP132-'Выборка 1'!AO132)+('Выборка 1'!AQ132-'Выборка 1'!AP132))/4000</f>
        <v>0</v>
      </c>
      <c r="L132" s="44">
        <f>((('Выборка 1'!AS132+'Выборка 1'!AX132)-('Выборка 1'!AR132+'Выборка 1'!AW132))+(('Выборка 1'!AT132+'Выборка 1'!AY132)-('Выборка 1'!AS132+'Выборка 1'!AX132))+(('Выборка 1'!AU132+'Выборка 1'!AZ132)-('Выборка 1'!AT132+'Выборка 1'!AY132))+(('Выборка 1'!AV132+'Выборка 1'!BA132)-('Выборка 1'!AU132+'Выборка 1'!AZ132)))/4000</f>
        <v>-89.5</v>
      </c>
      <c r="M132" s="44">
        <f>(('Выборка 1'!BC132-'Выборка 1'!BB132)+('Выборка 1'!BD132-'Выборка 1'!BC132)+('Выборка 1'!BE132-'Выборка 1'!BD132)+('Выборка 1'!BF132-'Выборка 1'!BE132))/4000</f>
        <v>0</v>
      </c>
      <c r="N132" s="44">
        <f t="shared" si="2"/>
        <v>89.5</v>
      </c>
      <c r="O132" s="17">
        <f>((('Выборка 1'!BH132-'Выборка 1'!BM132)-('Выборка 1'!BG132-'Выборка 1'!BL132))+(('Выборка 1'!BI132-'Выборка 1'!BN132)-('Выборка 1'!BH132-'Выборка 1'!BM132))+(('Выборка 1'!BJ132-'Выборка 1'!BO132)-('Выборка 1'!BI132-'Выборка 1'!BN132))+(('Выборка 1'!BK132-'Выборка 1'!BP132)-('Выборка 1'!BJ132-'Выборка 1'!BO132)))/4000</f>
        <v>36.75</v>
      </c>
      <c r="P132" s="17">
        <f>(('Выборка 1'!BR132-'Выборка 1'!BQ132)+('Выборка 1'!BS132-'Выборка 1'!BR132)+('Выборка 1'!BT132-'Выборка 1'!BS132)+('Выборка 1'!BU132-'Выборка 1'!BT132))/4000</f>
        <v>126.25</v>
      </c>
    </row>
    <row r="133" spans="2:16" x14ac:dyDescent="0.25">
      <c r="B133" s="42">
        <f>('Выборка 1'!AL133+'Выборка 1'!AG133)/1000</f>
        <v>0</v>
      </c>
      <c r="C133" s="17">
        <v>24</v>
      </c>
      <c r="D133" s="17">
        <f>(('Выборка 1'!E133-'Выборка 1'!D133)+('Выборка 1'!F133-'Выборка 1'!E133)+('Выборка 1'!G133-'Выборка 1'!F133)+('Выборка 1'!H133-'Выборка 1'!G133))/4000</f>
        <v>-4007</v>
      </c>
      <c r="E133" s="44">
        <f>(('Выборка 1'!J133-'Выборка 1'!I133)+('Выборка 1'!K133-'Выборка 1'!J133)+('Выборка 1'!L133-'Выборка 1'!K133)+('Выборка 1'!M133-'Выборка 1'!L133))/4000</f>
        <v>-52188</v>
      </c>
      <c r="F133" s="17">
        <f>(('Выборка 1'!O133-'Выборка 1'!N133)+('Выборка 1'!P133-'Выборка 1'!O133)+('Выборка 1'!Q133-'Выборка 1'!P133)+('Выборка 1'!R133-'Выборка 1'!Q133))/4000</f>
        <v>-23024</v>
      </c>
      <c r="G133" s="44">
        <f>(('Выборка 1'!T133-'Выборка 1'!S133)+('Выборка 1'!U133-'Выборка 1'!T133)+('Выборка 1'!V133-'Выборка 1'!U133)+('Выборка 1'!W133-'Выборка 1'!V133))/4000</f>
        <v>-3974.5</v>
      </c>
      <c r="H133" s="44">
        <f>(('Выборка 1'!Y133-'Выборка 1'!X133)+('Выборка 1'!Z133+'Выборка 1'!Y133)+('Выборка 1'!AA133-'Выборка 1'!Z133)+('Выборка 1'!AB133-'Выборка 1'!AA133))/4000</f>
        <v>7311.5</v>
      </c>
      <c r="I133" s="44">
        <f>(('Выборка 1'!AD133-'Выборка 1'!AC133)+('Выборка 1'!AE133-'Выборка 1'!AD133)+('Выборка 1'!AF133-'Выборка 1'!AE133)+('Выборка 1'!AG133-'Выборка 1'!AF133))/4000</f>
        <v>-69.5</v>
      </c>
      <c r="J133" s="44">
        <f>(('Выборка 1'!AI133-'Выборка 1'!AH133)+('Выборка 1'!AJ133-'Выборка 1'!AI133)+('Выборка 1'!AK133-'Выборка 1'!AJ133)+('Выборка 1'!AL133-'Выборка 1'!AK133))/4000</f>
        <v>-45345.25</v>
      </c>
      <c r="K133" s="17">
        <f>(('Выборка 1'!AN133-'Выборка 1'!AM133)+('Выборка 1'!AO133-'Выборка 1'!AN133)+('Выборка 1'!AP133-'Выборка 1'!AO133)+('Выборка 1'!AQ133-'Выборка 1'!AP133))/4000</f>
        <v>-90528</v>
      </c>
      <c r="L133" s="44">
        <f>((('Выборка 1'!AS133+'Выборка 1'!AX133)-('Выборка 1'!AR133+'Выборка 1'!AW133))+(('Выборка 1'!AT133+'Выборка 1'!AY133)-('Выборка 1'!AS133+'Выборка 1'!AX133))+(('Выборка 1'!AU133+'Выборка 1'!AZ133)-('Выборка 1'!AT133+'Выборка 1'!AY133))+(('Выборка 1'!AV133+'Выборка 1'!BA133)-('Выборка 1'!AU133+'Выборка 1'!AZ133)))/4000</f>
        <v>-71856.25</v>
      </c>
      <c r="M133" s="44">
        <f>(('Выборка 1'!BC133-'Выборка 1'!BB133)+('Выборка 1'!BD133-'Выборка 1'!BC133)+('Выборка 1'!BE133-'Выборка 1'!BD133)+('Выборка 1'!BF133-'Выборка 1'!BE133))/4000</f>
        <v>-5522.75</v>
      </c>
      <c r="N133" s="44">
        <f t="shared" si="2"/>
        <v>-13149</v>
      </c>
      <c r="O133" s="17">
        <f>((('Выборка 1'!BH133-'Выборка 1'!BM133)-('Выборка 1'!BG133-'Выборка 1'!BL133))+(('Выборка 1'!BI133-'Выборка 1'!BN133)-('Выборка 1'!BH133-'Выборка 1'!BM133))+(('Выборка 1'!BJ133-'Выборка 1'!BO133)-('Выборка 1'!BI133-'Выборка 1'!BN133))+(('Выборка 1'!BK133-'Выборка 1'!BP133)-('Выборка 1'!BJ133-'Выборка 1'!BO133)))/4000</f>
        <v>10458.5</v>
      </c>
      <c r="P133" s="17">
        <f>(('Выборка 1'!BR133-'Выборка 1'!BQ133)+('Выборка 1'!BS133-'Выборка 1'!BR133)+('Выборка 1'!BT133-'Выборка 1'!BS133)+('Выборка 1'!BU133-'Выборка 1'!BT133))/4000</f>
        <v>-626.25</v>
      </c>
    </row>
    <row r="134" spans="2:16" x14ac:dyDescent="0.25">
      <c r="B134" s="42">
        <f>('Выборка 1'!AL134+'Выборка 1'!AG134)/1000</f>
        <v>0</v>
      </c>
      <c r="C134" s="17">
        <v>23</v>
      </c>
      <c r="D134" s="17">
        <f>(('Выборка 1'!E134-'Выборка 1'!D134)+('Выборка 1'!F134-'Выборка 1'!E134)+('Выборка 1'!G134-'Выборка 1'!F134)+('Выборка 1'!H134-'Выборка 1'!G134))/4000</f>
        <v>0</v>
      </c>
      <c r="E134" s="44">
        <f>(('Выборка 1'!J134-'Выборка 1'!I134)+('Выборка 1'!K134-'Выборка 1'!J134)+('Выборка 1'!L134-'Выборка 1'!K134)+('Выборка 1'!M134-'Выборка 1'!L134))/4000</f>
        <v>0</v>
      </c>
      <c r="F134" s="17">
        <f>(('Выборка 1'!O134-'Выборка 1'!N134)+('Выборка 1'!P134-'Выборка 1'!O134)+('Выборка 1'!Q134-'Выборка 1'!P134)+('Выборка 1'!R134-'Выборка 1'!Q134))/4000</f>
        <v>0</v>
      </c>
      <c r="G134" s="44">
        <f>(('Выборка 1'!T134-'Выборка 1'!S134)+('Выборка 1'!U134-'Выборка 1'!T134)+('Выборка 1'!V134-'Выборка 1'!U134)+('Выборка 1'!W134-'Выборка 1'!V134))/4000</f>
        <v>0</v>
      </c>
      <c r="H134" s="44">
        <f>(('Выборка 1'!Y134-'Выборка 1'!X134)+('Выборка 1'!Z134+'Выборка 1'!Y134)+('Выборка 1'!AA134-'Выборка 1'!Z134)+('Выборка 1'!AB134-'Выборка 1'!AA134))/4000</f>
        <v>0</v>
      </c>
      <c r="I134" s="44">
        <f>(('Выборка 1'!AD134-'Выборка 1'!AC134)+('Выборка 1'!AE134-'Выборка 1'!AD134)+('Выборка 1'!AF134-'Выборка 1'!AE134)+('Выборка 1'!AG134-'Выборка 1'!AF134))/4000</f>
        <v>0</v>
      </c>
      <c r="J134" s="44">
        <f>(('Выборка 1'!AI134-'Выборка 1'!AH134)+('Выборка 1'!AJ134-'Выборка 1'!AI134)+('Выборка 1'!AK134-'Выборка 1'!AJ134)+('Выборка 1'!AL134-'Выборка 1'!AK134))/4000</f>
        <v>0</v>
      </c>
      <c r="K134" s="17">
        <f>(('Выборка 1'!AN134-'Выборка 1'!AM134)+('Выборка 1'!AO134-'Выборка 1'!AN134)+('Выборка 1'!AP134-'Выборка 1'!AO134)+('Выборка 1'!AQ134-'Выборка 1'!AP134))/4000</f>
        <v>0</v>
      </c>
      <c r="L134" s="44">
        <f>((('Выборка 1'!AS134+'Выборка 1'!AX134)-('Выборка 1'!AR134+'Выборка 1'!AW134))+(('Выборка 1'!AT134+'Выборка 1'!AY134)-('Выборка 1'!AS134+'Выборка 1'!AX134))+(('Выборка 1'!AU134+'Выборка 1'!AZ134)-('Выборка 1'!AT134+'Выборка 1'!AY134))+(('Выборка 1'!AV134+'Выборка 1'!BA134)-('Выборка 1'!AU134+'Выборка 1'!AZ134)))/4000</f>
        <v>0</v>
      </c>
      <c r="M134" s="44">
        <f>(('Выборка 1'!BC134-'Выборка 1'!BB134)+('Выборка 1'!BD134-'Выборка 1'!BC134)+('Выборка 1'!BE134-'Выборка 1'!BD134)+('Выборка 1'!BF134-'Выборка 1'!BE134))/4000</f>
        <v>0</v>
      </c>
      <c r="N134" s="44">
        <f t="shared" si="2"/>
        <v>0</v>
      </c>
      <c r="O134" s="17">
        <f>((('Выборка 1'!BH134-'Выборка 1'!BM134)-('Выборка 1'!BG134-'Выборка 1'!BL134))+(('Выборка 1'!BI134-'Выборка 1'!BN134)-('Выборка 1'!BH134-'Выборка 1'!BM134))+(('Выборка 1'!BJ134-'Выборка 1'!BO134)-('Выборка 1'!BI134-'Выборка 1'!BN134))+(('Выборка 1'!BK134-'Выборка 1'!BP134)-('Выборка 1'!BJ134-'Выборка 1'!BO134)))/4000</f>
        <v>0</v>
      </c>
      <c r="P134" s="17">
        <f>(('Выборка 1'!BR134-'Выборка 1'!BQ134)+('Выборка 1'!BS134-'Выборка 1'!BR134)+('Выборка 1'!BT134-'Выборка 1'!BS134)+('Выборка 1'!BU134-'Выборка 1'!BT134))/4000</f>
        <v>0</v>
      </c>
    </row>
    <row r="135" spans="2:16" x14ac:dyDescent="0.25">
      <c r="B135" s="42">
        <f>('Выборка 1'!AL135+'Выборка 1'!AG135)/1000</f>
        <v>32545</v>
      </c>
      <c r="C135" s="17">
        <v>8</v>
      </c>
      <c r="D135" s="17">
        <f>(('Выборка 1'!E135-'Выборка 1'!D135)+('Выборка 1'!F135-'Выборка 1'!E135)+('Выборка 1'!G135-'Выборка 1'!F135)+('Выборка 1'!H135-'Выборка 1'!G135))/4000</f>
        <v>-50.5</v>
      </c>
      <c r="E135" s="44">
        <f>(('Выборка 1'!J135-'Выборка 1'!I135)+('Выборка 1'!K135-'Выборка 1'!J135)+('Выборка 1'!L135-'Выборка 1'!K135)+('Выборка 1'!M135-'Выборка 1'!L135))/4000</f>
        <v>-79.5</v>
      </c>
      <c r="F135" s="17">
        <f>(('Выборка 1'!O135-'Выборка 1'!N135)+('Выборка 1'!P135-'Выборка 1'!O135)+('Выборка 1'!Q135-'Выборка 1'!P135)+('Выборка 1'!R135-'Выборка 1'!Q135))/4000</f>
        <v>16.25</v>
      </c>
      <c r="G135" s="44">
        <f>(('Выборка 1'!T135-'Выборка 1'!S135)+('Выборка 1'!U135-'Выборка 1'!T135)+('Выборка 1'!V135-'Выборка 1'!U135)+('Выборка 1'!W135-'Выборка 1'!V135))/4000</f>
        <v>-189.25</v>
      </c>
      <c r="H135" s="44">
        <f>(('Выборка 1'!Y135-'Выборка 1'!X135)+('Выборка 1'!Z135+'Выборка 1'!Y135)+('Выборка 1'!AA135-'Выборка 1'!Z135)+('Выборка 1'!AB135-'Выборка 1'!AA135))/4000</f>
        <v>0</v>
      </c>
      <c r="I135" s="44">
        <f>(('Выборка 1'!AD135-'Выборка 1'!AC135)+('Выборка 1'!AE135-'Выборка 1'!AD135)+('Выборка 1'!AF135-'Выборка 1'!AE135)+('Выборка 1'!AG135-'Выборка 1'!AF135))/4000</f>
        <v>-267.25</v>
      </c>
      <c r="J135" s="44">
        <f>(('Выборка 1'!AI135-'Выборка 1'!AH135)+('Выборка 1'!AJ135-'Выборка 1'!AI135)+('Выборка 1'!AK135-'Выборка 1'!AJ135)+('Выборка 1'!AL135-'Выборка 1'!AK135))/4000</f>
        <v>5820</v>
      </c>
      <c r="K135" s="17">
        <f>(('Выборка 1'!AN135-'Выборка 1'!AM135)+('Выборка 1'!AO135-'Выборка 1'!AN135)+('Выборка 1'!AP135-'Выборка 1'!AO135)+('Выборка 1'!AQ135-'Выборка 1'!AP135))/4000</f>
        <v>4210</v>
      </c>
      <c r="L135" s="44">
        <f>((('Выборка 1'!AS135+'Выборка 1'!AX135)-('Выборка 1'!AR135+'Выборка 1'!AW135))+(('Выборка 1'!AT135+'Выборка 1'!AY135)-('Выборка 1'!AS135+'Выборка 1'!AX135))+(('Выборка 1'!AU135+'Выборка 1'!AZ135)-('Выборка 1'!AT135+'Выборка 1'!AY135))+(('Выборка 1'!AV135+'Выборка 1'!BA135)-('Выборка 1'!AU135+'Выборка 1'!AZ135)))/4000</f>
        <v>6015</v>
      </c>
      <c r="M135" s="44">
        <f>(('Выборка 1'!BC135-'Выборка 1'!BB135)+('Выборка 1'!BD135-'Выборка 1'!BC135)+('Выборка 1'!BE135-'Выборка 1'!BD135)+('Выборка 1'!BF135-'Выборка 1'!BE135))/4000</f>
        <v>0</v>
      </c>
      <c r="N135" s="44">
        <f t="shared" si="2"/>
        <v>-1805</v>
      </c>
      <c r="O135" s="17">
        <f>((('Выборка 1'!BH135-'Выборка 1'!BM135)-('Выборка 1'!BG135-'Выборка 1'!BL135))+(('Выборка 1'!BI135-'Выборка 1'!BN135)-('Выборка 1'!BH135-'Выборка 1'!BM135))+(('Выборка 1'!BJ135-'Выборка 1'!BO135)-('Выборка 1'!BI135-'Выборка 1'!BN135))+(('Выборка 1'!BK135-'Выборка 1'!BP135)-('Выборка 1'!BJ135-'Выборка 1'!BO135)))/4000</f>
        <v>-186.75</v>
      </c>
      <c r="P135" s="17">
        <f>(('Выборка 1'!BR135-'Выборка 1'!BQ135)+('Выборка 1'!BS135-'Выборка 1'!BR135)+('Выборка 1'!BT135-'Выборка 1'!BS135)+('Выборка 1'!BU135-'Выборка 1'!BT135))/4000</f>
        <v>-2083.75</v>
      </c>
    </row>
    <row r="136" spans="2:16" x14ac:dyDescent="0.25">
      <c r="B136" s="42">
        <f>('Выборка 1'!AL136+'Выборка 1'!AG136)/1000</f>
        <v>53951</v>
      </c>
      <c r="C136" s="17">
        <v>8</v>
      </c>
      <c r="D136" s="17">
        <f>(('Выборка 1'!E136-'Выборка 1'!D136)+('Выборка 1'!F136-'Выборка 1'!E136)+('Выборка 1'!G136-'Выборка 1'!F136)+('Выборка 1'!H136-'Выборка 1'!G136))/4000</f>
        <v>0</v>
      </c>
      <c r="E136" s="44">
        <f>(('Выборка 1'!J136-'Выборка 1'!I136)+('Выборка 1'!K136-'Выборка 1'!J136)+('Выборка 1'!L136-'Выборка 1'!K136)+('Выборка 1'!M136-'Выборка 1'!L136))/4000</f>
        <v>0</v>
      </c>
      <c r="F136" s="17">
        <f>(('Выборка 1'!O136-'Выборка 1'!N136)+('Выборка 1'!P136-'Выборка 1'!O136)+('Выборка 1'!Q136-'Выборка 1'!P136)+('Выборка 1'!R136-'Выборка 1'!Q136))/4000</f>
        <v>1057.25</v>
      </c>
      <c r="G136" s="44">
        <f>(('Выборка 1'!T136-'Выборка 1'!S136)+('Выборка 1'!U136-'Выборка 1'!T136)+('Выборка 1'!V136-'Выборка 1'!U136)+('Выборка 1'!W136-'Выборка 1'!V136))/4000</f>
        <v>-10</v>
      </c>
      <c r="H136" s="44">
        <f>(('Выборка 1'!Y136-'Выборка 1'!X136)+('Выборка 1'!Z136+'Выборка 1'!Y136)+('Выборка 1'!AA136-'Выборка 1'!Z136)+('Выборка 1'!AB136-'Выборка 1'!AA136))/4000</f>
        <v>-16081.75</v>
      </c>
      <c r="I136" s="44">
        <f>(('Выборка 1'!AD136-'Выборка 1'!AC136)+('Выборка 1'!AE136-'Выборка 1'!AD136)+('Выборка 1'!AF136-'Выборка 1'!AE136)+('Выборка 1'!AG136-'Выборка 1'!AF136))/4000</f>
        <v>0</v>
      </c>
      <c r="J136" s="44">
        <f>(('Выборка 1'!AI136-'Выборка 1'!AH136)+('Выборка 1'!AJ136-'Выборка 1'!AI136)+('Выборка 1'!AK136-'Выборка 1'!AJ136)+('Выборка 1'!AL136-'Выборка 1'!AK136))/4000</f>
        <v>5588.5</v>
      </c>
      <c r="K136" s="17">
        <f>(('Выборка 1'!AN136-'Выборка 1'!AM136)+('Выборка 1'!AO136-'Выборка 1'!AN136)+('Выборка 1'!AP136-'Выборка 1'!AO136)+('Выборка 1'!AQ136-'Выборка 1'!AP136))/4000</f>
        <v>-3120.75</v>
      </c>
      <c r="L136" s="44">
        <f>((('Выборка 1'!AS136+'Выборка 1'!AX136)-('Выборка 1'!AR136+'Выборка 1'!AW136))+(('Выборка 1'!AT136+'Выборка 1'!AY136)-('Выборка 1'!AS136+'Выборка 1'!AX136))+(('Выборка 1'!AU136+'Выборка 1'!AZ136)-('Выборка 1'!AT136+'Выборка 1'!AY136))+(('Выборка 1'!AV136+'Выборка 1'!BA136)-('Выборка 1'!AU136+'Выборка 1'!AZ136)))/4000</f>
        <v>-4485.75</v>
      </c>
      <c r="M136" s="44">
        <f>(('Выборка 1'!BC136-'Выборка 1'!BB136)+('Выборка 1'!BD136-'Выборка 1'!BC136)+('Выборка 1'!BE136-'Выборка 1'!BD136)+('Выборка 1'!BF136-'Выборка 1'!BE136))/4000</f>
        <v>-105.25</v>
      </c>
      <c r="N136" s="44">
        <f t="shared" si="2"/>
        <v>1470.25</v>
      </c>
      <c r="O136" s="17">
        <f>((('Выборка 1'!BH136-'Выборка 1'!BM136)-('Выборка 1'!BG136-'Выборка 1'!BL136))+(('Выборка 1'!BI136-'Выборка 1'!BN136)-('Выборка 1'!BH136-'Выборка 1'!BM136))+(('Выборка 1'!BJ136-'Выборка 1'!BO136)-('Выборка 1'!BI136-'Выборка 1'!BN136))+(('Выборка 1'!BK136-'Выборка 1'!BP136)-('Выборка 1'!BJ136-'Выборка 1'!BO136)))/4000</f>
        <v>82</v>
      </c>
      <c r="P136" s="17">
        <f>(('Выборка 1'!BR136-'Выборка 1'!BQ136)+('Выборка 1'!BS136-'Выборка 1'!BR136)+('Выборка 1'!BT136-'Выборка 1'!BS136)+('Выборка 1'!BU136-'Выборка 1'!BT136))/4000</f>
        <v>1574.5</v>
      </c>
    </row>
    <row r="137" spans="2:16" x14ac:dyDescent="0.25">
      <c r="B137" s="42">
        <f>('Выборка 1'!AL137+'Выборка 1'!AG137)/1000</f>
        <v>53201</v>
      </c>
      <c r="C137" s="17">
        <v>10</v>
      </c>
      <c r="D137" s="17">
        <f>(('Выборка 1'!E137-'Выборка 1'!D137)+('Выборка 1'!F137-'Выборка 1'!E137)+('Выборка 1'!G137-'Выборка 1'!F137)+('Выборка 1'!H137-'Выборка 1'!G137))/4000</f>
        <v>-2421.5</v>
      </c>
      <c r="E137" s="44">
        <f>(('Выборка 1'!J137-'Выборка 1'!I137)+('Выборка 1'!K137-'Выборка 1'!J137)+('Выборка 1'!L137-'Выборка 1'!K137)+('Выборка 1'!M137-'Выборка 1'!L137))/4000</f>
        <v>-53</v>
      </c>
      <c r="F137" s="17">
        <f>(('Выборка 1'!O137-'Выборка 1'!N137)+('Выборка 1'!P137-'Выборка 1'!O137)+('Выборка 1'!Q137-'Выборка 1'!P137)+('Выборка 1'!R137-'Выборка 1'!Q137))/4000</f>
        <v>-2905</v>
      </c>
      <c r="G137" s="44">
        <f>(('Выборка 1'!T137-'Выборка 1'!S137)+('Выборка 1'!U137-'Выборка 1'!T137)+('Выборка 1'!V137-'Выборка 1'!U137)+('Выборка 1'!W137-'Выборка 1'!V137))/4000</f>
        <v>15.75</v>
      </c>
      <c r="H137" s="44">
        <f>(('Выборка 1'!Y137-'Выборка 1'!X137)+('Выборка 1'!Z137+'Выборка 1'!Y137)+('Выборка 1'!AA137-'Выборка 1'!Z137)+('Выборка 1'!AB137-'Выборка 1'!AA137))/4000</f>
        <v>-25592.75</v>
      </c>
      <c r="I137" s="44">
        <f>(('Выборка 1'!AD137-'Выборка 1'!AC137)+('Выборка 1'!AE137-'Выборка 1'!AD137)+('Выборка 1'!AF137-'Выборка 1'!AE137)+('Выборка 1'!AG137-'Выборка 1'!AF137))/4000</f>
        <v>0</v>
      </c>
      <c r="J137" s="44">
        <f>(('Выборка 1'!AI137-'Выборка 1'!AH137)+('Выборка 1'!AJ137-'Выборка 1'!AI137)+('Выборка 1'!AK137-'Выборка 1'!AJ137)+('Выборка 1'!AL137-'Выборка 1'!AK137))/4000</f>
        <v>2966.75</v>
      </c>
      <c r="K137" s="17">
        <f>(('Выборка 1'!AN137-'Выборка 1'!AM137)+('Выборка 1'!AO137-'Выборка 1'!AN137)+('Выборка 1'!AP137-'Выборка 1'!AO137)+('Выборка 1'!AQ137-'Выборка 1'!AP137))/4000</f>
        <v>-3483</v>
      </c>
      <c r="L137" s="44">
        <f>((('Выборка 1'!AS137+'Выборка 1'!AX137)-('Выборка 1'!AR137+'Выборка 1'!AW137))+(('Выборка 1'!AT137+'Выборка 1'!AY137)-('Выборка 1'!AS137+'Выборка 1'!AX137))+(('Выборка 1'!AU137+'Выборка 1'!AZ137)-('Выборка 1'!AT137+'Выборка 1'!AY137))+(('Выборка 1'!AV137+'Выборка 1'!BA137)-('Выборка 1'!AU137+'Выборка 1'!AZ137)))/4000</f>
        <v>-5253.5</v>
      </c>
      <c r="M137" s="44">
        <f>(('Выборка 1'!BC137-'Выборка 1'!BB137)+('Выборка 1'!BD137-'Выборка 1'!BC137)+('Выборка 1'!BE137-'Выборка 1'!BD137)+('Выборка 1'!BF137-'Выборка 1'!BE137))/4000</f>
        <v>378.25</v>
      </c>
      <c r="N137" s="44">
        <f t="shared" si="2"/>
        <v>1392.25</v>
      </c>
      <c r="O137" s="17">
        <f>((('Выборка 1'!BH137-'Выборка 1'!BM137)-('Выборка 1'!BG137-'Выборка 1'!BL137))+(('Выборка 1'!BI137-'Выборка 1'!BN137)-('Выборка 1'!BH137-'Выборка 1'!BM137))+(('Выборка 1'!BJ137-'Выборка 1'!BO137)-('Выборка 1'!BI137-'Выборка 1'!BN137))+(('Выборка 1'!BK137-'Выборка 1'!BP137)-('Выборка 1'!BJ137-'Выборка 1'!BO137)))/4000</f>
        <v>-212.25</v>
      </c>
      <c r="P137" s="17">
        <f>(('Выборка 1'!BR137-'Выборка 1'!BQ137)+('Выборка 1'!BS137-'Выборка 1'!BR137)+('Выборка 1'!BT137-'Выборка 1'!BS137)+('Выборка 1'!BU137-'Выборка 1'!BT137))/4000</f>
        <v>1180</v>
      </c>
    </row>
    <row r="138" spans="2:16" x14ac:dyDescent="0.25">
      <c r="B138" s="42">
        <f>('Выборка 1'!AL138+'Выборка 1'!AG138)/1000</f>
        <v>0</v>
      </c>
      <c r="C138" s="17">
        <v>18</v>
      </c>
      <c r="D138" s="17">
        <f>(('Выборка 1'!E138-'Выборка 1'!D138)+('Выборка 1'!F138-'Выборка 1'!E138)+('Выборка 1'!G138-'Выборка 1'!F138)+('Выборка 1'!H138-'Выборка 1'!G138))/4000</f>
        <v>-248.25</v>
      </c>
      <c r="E138" s="44">
        <f>(('Выборка 1'!J138-'Выборка 1'!I138)+('Выборка 1'!K138-'Выборка 1'!J138)+('Выборка 1'!L138-'Выборка 1'!K138)+('Выборка 1'!M138-'Выборка 1'!L138))/4000</f>
        <v>-1715.5</v>
      </c>
      <c r="F138" s="17">
        <f>(('Выборка 1'!O138-'Выборка 1'!N138)+('Выборка 1'!P138-'Выборка 1'!O138)+('Выборка 1'!Q138-'Выборка 1'!P138)+('Выборка 1'!R138-'Выборка 1'!Q138))/4000</f>
        <v>-65908.25</v>
      </c>
      <c r="G138" s="44">
        <f>(('Выборка 1'!T138-'Выборка 1'!S138)+('Выборка 1'!U138-'Выборка 1'!T138)+('Выборка 1'!V138-'Выборка 1'!U138)+('Выборка 1'!W138-'Выборка 1'!V138))/4000</f>
        <v>-55.5</v>
      </c>
      <c r="H138" s="44">
        <f>(('Выборка 1'!Y138-'Выборка 1'!X138)+('Выборка 1'!Z138+'Выборка 1'!Y138)+('Выборка 1'!AA138-'Выборка 1'!Z138)+('Выборка 1'!AB138-'Выборка 1'!AA138))/4000</f>
        <v>4840</v>
      </c>
      <c r="I138" s="44">
        <f>(('Выборка 1'!AD138-'Выборка 1'!AC138)+('Выборка 1'!AE138-'Выборка 1'!AD138)+('Выборка 1'!AF138-'Выборка 1'!AE138)+('Выборка 1'!AG138-'Выборка 1'!AF138))/4000</f>
        <v>-1089.25</v>
      </c>
      <c r="J138" s="44">
        <f>(('Выборка 1'!AI138-'Выборка 1'!AH138)+('Выборка 1'!AJ138-'Выборка 1'!AI138)+('Выборка 1'!AK138-'Выборка 1'!AJ138)+('Выборка 1'!AL138-'Выборка 1'!AK138))/4000</f>
        <v>-87529</v>
      </c>
      <c r="K138" s="17">
        <f>(('Выборка 1'!AN138-'Выборка 1'!AM138)+('Выборка 1'!AO138-'Выборка 1'!AN138)+('Выборка 1'!AP138-'Выборка 1'!AO138)+('Выборка 1'!AQ138-'Выборка 1'!AP138))/4000</f>
        <v>-55069.5</v>
      </c>
      <c r="L138" s="44">
        <f>((('Выборка 1'!AS138+'Выборка 1'!AX138)-('Выборка 1'!AR138+'Выборка 1'!AW138))+(('Выборка 1'!AT138+'Выборка 1'!AY138)-('Выборка 1'!AS138+'Выборка 1'!AX138))+(('Выборка 1'!AU138+'Выборка 1'!AZ138)-('Выборка 1'!AT138+'Выборка 1'!AY138))+(('Выборка 1'!AV138+'Выборка 1'!BA138)-('Выборка 1'!AU138+'Выборка 1'!AZ138)))/4000</f>
        <v>-42791.75</v>
      </c>
      <c r="M138" s="44">
        <f>(('Выборка 1'!BC138-'Выборка 1'!BB138)+('Выборка 1'!BD138-'Выборка 1'!BC138)+('Выборка 1'!BE138-'Выборка 1'!BD138)+('Выборка 1'!BF138-'Выборка 1'!BE138))/4000</f>
        <v>-10713</v>
      </c>
      <c r="N138" s="44">
        <f t="shared" si="2"/>
        <v>-1564.75</v>
      </c>
      <c r="O138" s="17">
        <f>((('Выборка 1'!BH138-'Выборка 1'!BM138)-('Выборка 1'!BG138-'Выборка 1'!BL138))+(('Выборка 1'!BI138-'Выборка 1'!BN138)-('Выборка 1'!BH138-'Выборка 1'!BM138))+(('Выборка 1'!BJ138-'Выборка 1'!BO138)-('Выборка 1'!BI138-'Выборка 1'!BN138))+(('Выборка 1'!BK138-'Выборка 1'!BP138)-('Выборка 1'!BJ138-'Выборка 1'!BO138)))/4000</f>
        <v>493.25</v>
      </c>
      <c r="P138" s="17">
        <f>(('Выборка 1'!BR138-'Выборка 1'!BQ138)+('Выборка 1'!BS138-'Выборка 1'!BR138)+('Выборка 1'!BT138-'Выборка 1'!BS138)+('Выборка 1'!BU138-'Выборка 1'!BT138))/4000</f>
        <v>-1277.25</v>
      </c>
    </row>
    <row r="139" spans="2:16" x14ac:dyDescent="0.25">
      <c r="B139" s="42">
        <f>('Выборка 1'!AL139+'Выборка 1'!AG139)/1000</f>
        <v>136295</v>
      </c>
      <c r="C139" s="17">
        <v>5</v>
      </c>
      <c r="D139" s="17">
        <f>(('Выборка 1'!E139-'Выборка 1'!D139)+('Выборка 1'!F139-'Выборка 1'!E139)+('Выборка 1'!G139-'Выборка 1'!F139)+('Выборка 1'!H139-'Выборка 1'!G139))/4000</f>
        <v>327.5</v>
      </c>
      <c r="E139" s="44">
        <f>(('Выборка 1'!J139-'Выборка 1'!I139)+('Выборка 1'!K139-'Выборка 1'!J139)+('Выборка 1'!L139-'Выборка 1'!K139)+('Выборка 1'!M139-'Выборка 1'!L139))/4000</f>
        <v>-1025.75</v>
      </c>
      <c r="F139" s="17">
        <f>(('Выборка 1'!O139-'Выборка 1'!N139)+('Выборка 1'!P139-'Выборка 1'!O139)+('Выборка 1'!Q139-'Выборка 1'!P139)+('Выборка 1'!R139-'Выборка 1'!Q139))/4000</f>
        <v>19906.75</v>
      </c>
      <c r="G139" s="44">
        <f>(('Выборка 1'!T139-'Выборка 1'!S139)+('Выборка 1'!U139-'Выборка 1'!T139)+('Выборка 1'!V139-'Выборка 1'!U139)+('Выборка 1'!W139-'Выборка 1'!V139))/4000</f>
        <v>5</v>
      </c>
      <c r="H139" s="44">
        <f>(('Выборка 1'!Y139-'Выборка 1'!X139)+('Выборка 1'!Z139+'Выборка 1'!Y139)+('Выборка 1'!AA139-'Выборка 1'!Z139)+('Выборка 1'!AB139-'Выборка 1'!AA139))/4000</f>
        <v>4135.75</v>
      </c>
      <c r="I139" s="44">
        <f>(('Выборка 1'!AD139-'Выборка 1'!AC139)+('Выборка 1'!AE139-'Выборка 1'!AD139)+('Выборка 1'!AF139-'Выборка 1'!AE139)+('Выборка 1'!AG139-'Выборка 1'!AF139))/4000</f>
        <v>0</v>
      </c>
      <c r="J139" s="44">
        <f>(('Выборка 1'!AI139-'Выборка 1'!AH139)+('Выборка 1'!AJ139-'Выборка 1'!AI139)+('Выборка 1'!AK139-'Выборка 1'!AJ139)+('Выборка 1'!AL139-'Выборка 1'!AK139))/4000</f>
        <v>29590</v>
      </c>
      <c r="K139" s="17">
        <f>(('Выборка 1'!AN139-'Выборка 1'!AM139)+('Выборка 1'!AO139-'Выборка 1'!AN139)+('Выборка 1'!AP139-'Выборка 1'!AO139)+('Выборка 1'!AQ139-'Выборка 1'!AP139))/4000</f>
        <v>797.75</v>
      </c>
      <c r="L139" s="44">
        <f>((('Выборка 1'!AS139+'Выборка 1'!AX139)-('Выборка 1'!AR139+'Выборка 1'!AW139))+(('Выборка 1'!AT139+'Выборка 1'!AY139)-('Выборка 1'!AS139+'Выборка 1'!AX139))+(('Выборка 1'!AU139+'Выборка 1'!AZ139)-('Выборка 1'!AT139+'Выборка 1'!AY139))+(('Выборка 1'!AV139+'Выборка 1'!BA139)-('Выборка 1'!AU139+'Выборка 1'!AZ139)))/4000</f>
        <v>-6433.25</v>
      </c>
      <c r="M139" s="44">
        <f>(('Выборка 1'!BC139-'Выборка 1'!BB139)+('Выборка 1'!BD139-'Выборка 1'!BC139)+('Выборка 1'!BE139-'Выборка 1'!BD139)+('Выборка 1'!BF139-'Выборка 1'!BE139))/4000</f>
        <v>7506.25</v>
      </c>
      <c r="N139" s="44">
        <f t="shared" si="2"/>
        <v>-275.25</v>
      </c>
      <c r="O139" s="17">
        <f>((('Выборка 1'!BH139-'Выборка 1'!BM139)-('Выборка 1'!BG139-'Выборка 1'!BL139))+(('Выборка 1'!BI139-'Выборка 1'!BN139)-('Выборка 1'!BH139-'Выборка 1'!BM139))+(('Выборка 1'!BJ139-'Выборка 1'!BO139)-('Выборка 1'!BI139-'Выборка 1'!BN139))+(('Выборка 1'!BK139-'Выборка 1'!BP139)-('Выборка 1'!BJ139-'Выборка 1'!BO139)))/4000</f>
        <v>-609.25</v>
      </c>
      <c r="P139" s="17">
        <f>(('Выборка 1'!BR139-'Выборка 1'!BQ139)+('Выборка 1'!BS139-'Выборка 1'!BR139)+('Выборка 1'!BT139-'Выборка 1'!BS139)+('Выборка 1'!BU139-'Выборка 1'!BT139))/4000</f>
        <v>-707.75</v>
      </c>
    </row>
    <row r="140" spans="2:16" x14ac:dyDescent="0.25">
      <c r="B140" s="42">
        <f>('Выборка 1'!AL140+'Выборка 1'!AG140)/1000</f>
        <v>0</v>
      </c>
      <c r="C140" s="17">
        <v>33</v>
      </c>
      <c r="D140" s="17">
        <f>(('Выборка 1'!E140-'Выборка 1'!D140)+('Выборка 1'!F140-'Выборка 1'!E140)+('Выборка 1'!G140-'Выборка 1'!F140)+('Выборка 1'!H140-'Выборка 1'!G140))/4000</f>
        <v>0</v>
      </c>
      <c r="E140" s="44">
        <f>(('Выборка 1'!J140-'Выборка 1'!I140)+('Выборка 1'!K140-'Выборка 1'!J140)+('Выборка 1'!L140-'Выборка 1'!K140)+('Выборка 1'!M140-'Выборка 1'!L140))/4000</f>
        <v>0</v>
      </c>
      <c r="F140" s="17">
        <f>(('Выборка 1'!O140-'Выборка 1'!N140)+('Выборка 1'!P140-'Выборка 1'!O140)+('Выборка 1'!Q140-'Выборка 1'!P140)+('Выборка 1'!R140-'Выборка 1'!Q140))/4000</f>
        <v>-25992</v>
      </c>
      <c r="G140" s="44">
        <f>(('Выборка 1'!T140-'Выборка 1'!S140)+('Выборка 1'!U140-'Выборка 1'!T140)+('Выборка 1'!V140-'Выборка 1'!U140)+('Выборка 1'!W140-'Выборка 1'!V140))/4000</f>
        <v>-76</v>
      </c>
      <c r="H140" s="44">
        <f>(('Выборка 1'!Y140-'Выборка 1'!X140)+('Выборка 1'!Z140+'Выборка 1'!Y140)+('Выборка 1'!AA140-'Выборка 1'!Z140)+('Выборка 1'!AB140-'Выборка 1'!AA140))/4000</f>
        <v>-64756.5</v>
      </c>
      <c r="I140" s="44">
        <f>(('Выборка 1'!AD140-'Выборка 1'!AC140)+('Выборка 1'!AE140-'Выборка 1'!AD140)+('Выборка 1'!AF140-'Выборка 1'!AE140)+('Выборка 1'!AG140-'Выборка 1'!AF140))/4000</f>
        <v>-4</v>
      </c>
      <c r="J140" s="44">
        <f>(('Выборка 1'!AI140-'Выборка 1'!AH140)+('Выборка 1'!AJ140-'Выборка 1'!AI140)+('Выборка 1'!AK140-'Выборка 1'!AJ140)+('Выборка 1'!AL140-'Выборка 1'!AK140))/4000</f>
        <v>-80979.75</v>
      </c>
      <c r="K140" s="17">
        <f>(('Выборка 1'!AN140-'Выборка 1'!AM140)+('Выборка 1'!AO140-'Выборка 1'!AN140)+('Выборка 1'!AP140-'Выборка 1'!AO140)+('Выборка 1'!AQ140-'Выборка 1'!AP140))/4000</f>
        <v>-131.25</v>
      </c>
      <c r="L140" s="44">
        <f>((('Выборка 1'!AS140+'Выборка 1'!AX140)-('Выборка 1'!AR140+'Выборка 1'!AW140))+(('Выборка 1'!AT140+'Выборка 1'!AY140)-('Выборка 1'!AS140+'Выборка 1'!AX140))+(('Выборка 1'!AU140+'Выборка 1'!AZ140)-('Выборка 1'!AT140+'Выборка 1'!AY140))+(('Выборка 1'!AV140+'Выборка 1'!BA140)-('Выборка 1'!AU140+'Выборка 1'!AZ140)))/4000</f>
        <v>0</v>
      </c>
      <c r="M140" s="44">
        <f>(('Выборка 1'!BC140-'Выборка 1'!BB140)+('Выборка 1'!BD140-'Выборка 1'!BC140)+('Выборка 1'!BE140-'Выборка 1'!BD140)+('Выборка 1'!BF140-'Выборка 1'!BE140))/4000</f>
        <v>-1838.25</v>
      </c>
      <c r="N140" s="44">
        <f t="shared" si="2"/>
        <v>1707</v>
      </c>
      <c r="O140" s="17">
        <f>((('Выборка 1'!BH140-'Выборка 1'!BM140)-('Выборка 1'!BG140-'Выборка 1'!BL140))+(('Выборка 1'!BI140-'Выборка 1'!BN140)-('Выборка 1'!BH140-'Выборка 1'!BM140))+(('Выборка 1'!BJ140-'Выборка 1'!BO140)-('Выборка 1'!BI140-'Выборка 1'!BN140))+(('Выборка 1'!BK140-'Выборка 1'!BP140)-('Выборка 1'!BJ140-'Выборка 1'!BO140)))/4000</f>
        <v>12329</v>
      </c>
      <c r="P140" s="17">
        <f>(('Выборка 1'!BR140-'Выборка 1'!BQ140)+('Выборка 1'!BS140-'Выборка 1'!BR140)+('Выборка 1'!BT140-'Выборка 1'!BS140)+('Выборка 1'!BU140-'Выборка 1'!BT140))/4000</f>
        <v>14391</v>
      </c>
    </row>
    <row r="141" spans="2:16" x14ac:dyDescent="0.25">
      <c r="B141" s="42">
        <f>('Выборка 1'!AL141+'Выборка 1'!AG141)/1000</f>
        <v>0</v>
      </c>
      <c r="C141" s="17">
        <v>10</v>
      </c>
      <c r="D141" s="17">
        <f>(('Выборка 1'!E141-'Выборка 1'!D141)+('Выборка 1'!F141-'Выборка 1'!E141)+('Выборка 1'!G141-'Выборка 1'!F141)+('Выборка 1'!H141-'Выборка 1'!G141))/4000</f>
        <v>-10.25</v>
      </c>
      <c r="E141" s="44">
        <f>(('Выборка 1'!J141-'Выборка 1'!I141)+('Выборка 1'!K141-'Выборка 1'!J141)+('Выборка 1'!L141-'Выборка 1'!K141)+('Выборка 1'!M141-'Выборка 1'!L141))/4000</f>
        <v>-3.5</v>
      </c>
      <c r="F141" s="17">
        <f>(('Выборка 1'!O141-'Выборка 1'!N141)+('Выборка 1'!P141-'Выборка 1'!O141)+('Выборка 1'!Q141-'Выборка 1'!P141)+('Выборка 1'!R141-'Выборка 1'!Q141))/4000</f>
        <v>-250</v>
      </c>
      <c r="G141" s="44">
        <f>(('Выборка 1'!T141-'Выборка 1'!S141)+('Выборка 1'!U141-'Выборка 1'!T141)+('Выборка 1'!V141-'Выборка 1'!U141)+('Выборка 1'!W141-'Выборка 1'!V141))/4000</f>
        <v>-51.75</v>
      </c>
      <c r="H141" s="44">
        <f>(('Выборка 1'!Y141-'Выборка 1'!X141)+('Выборка 1'!Z141+'Выборка 1'!Y141)+('Выборка 1'!AA141-'Выборка 1'!Z141)+('Выборка 1'!AB141-'Выборка 1'!AA141))/4000</f>
        <v>-706</v>
      </c>
      <c r="I141" s="44">
        <f>(('Выборка 1'!AD141-'Выборка 1'!AC141)+('Выборка 1'!AE141-'Выборка 1'!AD141)+('Выборка 1'!AF141-'Выборка 1'!AE141)+('Выборка 1'!AG141-'Выборка 1'!AF141))/4000</f>
        <v>0</v>
      </c>
      <c r="J141" s="44">
        <f>(('Выборка 1'!AI141-'Выборка 1'!AH141)+('Выборка 1'!AJ141-'Выборка 1'!AI141)+('Выборка 1'!AK141-'Выборка 1'!AJ141)+('Выборка 1'!AL141-'Выборка 1'!AK141))/4000</f>
        <v>-117.75</v>
      </c>
      <c r="K141" s="17">
        <f>(('Выборка 1'!AN141-'Выборка 1'!AM141)+('Выборка 1'!AO141-'Выборка 1'!AN141)+('Выборка 1'!AP141-'Выборка 1'!AO141)+('Выборка 1'!AQ141-'Выборка 1'!AP141))/4000</f>
        <v>-1864</v>
      </c>
      <c r="L141" s="44">
        <f>((('Выборка 1'!AS141+'Выборка 1'!AX141)-('Выборка 1'!AR141+'Выборка 1'!AW141))+(('Выборка 1'!AT141+'Выборка 1'!AY141)-('Выборка 1'!AS141+'Выборка 1'!AX141))+(('Выборка 1'!AU141+'Выборка 1'!AZ141)-('Выборка 1'!AT141+'Выборка 1'!AY141))+(('Выборка 1'!AV141+'Выборка 1'!BA141)-('Выборка 1'!AU141+'Выборка 1'!AZ141)))/4000</f>
        <v>-75.25</v>
      </c>
      <c r="M141" s="44">
        <f>(('Выборка 1'!BC141-'Выборка 1'!BB141)+('Выборка 1'!BD141-'Выборка 1'!BC141)+('Выборка 1'!BE141-'Выборка 1'!BD141)+('Выборка 1'!BF141-'Выборка 1'!BE141))/4000</f>
        <v>-1219.5</v>
      </c>
      <c r="N141" s="44">
        <f t="shared" si="2"/>
        <v>-569.25</v>
      </c>
      <c r="O141" s="17">
        <f>((('Выборка 1'!BH141-'Выборка 1'!BM141)-('Выборка 1'!BG141-'Выборка 1'!BL141))+(('Выборка 1'!BI141-'Выборка 1'!BN141)-('Выборка 1'!BH141-'Выборка 1'!BM141))+(('Выборка 1'!BJ141-'Выборка 1'!BO141)-('Выборка 1'!BI141-'Выборка 1'!BN141))+(('Выборка 1'!BK141-'Выборка 1'!BP141)-('Выборка 1'!BJ141-'Выборка 1'!BO141)))/4000</f>
        <v>878</v>
      </c>
      <c r="P141" s="17">
        <f>(('Выборка 1'!BR141-'Выборка 1'!BQ141)+('Выборка 1'!BS141-'Выборка 1'!BR141)+('Выборка 1'!BT141-'Выборка 1'!BS141)+('Выборка 1'!BU141-'Выборка 1'!BT141))/4000</f>
        <v>319.25</v>
      </c>
    </row>
    <row r="142" spans="2:16" x14ac:dyDescent="0.25">
      <c r="B142" s="42">
        <f>('Выборка 1'!AL142+'Выборка 1'!AG142)/1000</f>
        <v>1014206</v>
      </c>
      <c r="C142" s="17">
        <v>32</v>
      </c>
      <c r="D142" s="17">
        <f>(('Выборка 1'!E142-'Выборка 1'!D142)+('Выборка 1'!F142-'Выборка 1'!E142)+('Выборка 1'!G142-'Выборка 1'!F142)+('Выборка 1'!H142-'Выборка 1'!G142))/4000</f>
        <v>0</v>
      </c>
      <c r="E142" s="44">
        <f>(('Выборка 1'!J142-'Выборка 1'!I142)+('Выборка 1'!K142-'Выборка 1'!J142)+('Выборка 1'!L142-'Выборка 1'!K142)+('Выборка 1'!M142-'Выборка 1'!L142))/4000</f>
        <v>-21726</v>
      </c>
      <c r="F142" s="17">
        <f>(('Выборка 1'!O142-'Выборка 1'!N142)+('Выборка 1'!P142-'Выборка 1'!O142)+('Выборка 1'!Q142-'Выборка 1'!P142)+('Выборка 1'!R142-'Выборка 1'!Q142))/4000</f>
        <v>-19465</v>
      </c>
      <c r="G142" s="44">
        <f>(('Выборка 1'!T142-'Выборка 1'!S142)+('Выборка 1'!U142-'Выборка 1'!T142)+('Выборка 1'!V142-'Выборка 1'!U142)+('Выборка 1'!W142-'Выборка 1'!V142))/4000</f>
        <v>-6899.75</v>
      </c>
      <c r="H142" s="44">
        <f>(('Выборка 1'!Y142-'Выборка 1'!X142)+('Выборка 1'!Z142+'Выборка 1'!Y142)+('Выборка 1'!AA142-'Выборка 1'!Z142)+('Выборка 1'!AB142-'Выборка 1'!AA142))/4000</f>
        <v>-401313.75</v>
      </c>
      <c r="I142" s="44">
        <f>(('Выборка 1'!AD142-'Выборка 1'!AC142)+('Выборка 1'!AE142-'Выборка 1'!AD142)+('Выборка 1'!AF142-'Выборка 1'!AE142)+('Выборка 1'!AG142-'Выборка 1'!AF142))/4000</f>
        <v>0</v>
      </c>
      <c r="J142" s="44">
        <f>(('Выборка 1'!AI142-'Выборка 1'!AH142)+('Выборка 1'!AJ142-'Выборка 1'!AI142)+('Выборка 1'!AK142-'Выборка 1'!AJ142)+('Выборка 1'!AL142-'Выборка 1'!AK142))/4000</f>
        <v>-92656</v>
      </c>
      <c r="K142" s="17">
        <f>(('Выборка 1'!AN142-'Выборка 1'!AM142)+('Выборка 1'!AO142-'Выборка 1'!AN142)+('Выборка 1'!AP142-'Выборка 1'!AO142)+('Выборка 1'!AQ142-'Выборка 1'!AP142))/4000</f>
        <v>0</v>
      </c>
      <c r="L142" s="44">
        <f>((('Выборка 1'!AS142+'Выборка 1'!AX142)-('Выборка 1'!AR142+'Выборка 1'!AW142))+(('Выборка 1'!AT142+'Выборка 1'!AY142)-('Выборка 1'!AS142+'Выборка 1'!AX142))+(('Выборка 1'!AU142+'Выборка 1'!AZ142)-('Выборка 1'!AT142+'Выборка 1'!AY142))+(('Выборка 1'!AV142+'Выборка 1'!BA142)-('Выборка 1'!AU142+'Выборка 1'!AZ142)))/4000</f>
        <v>0</v>
      </c>
      <c r="M142" s="44">
        <f>(('Выборка 1'!BC142-'Выборка 1'!BB142)+('Выборка 1'!BD142-'Выборка 1'!BC142)+('Выборка 1'!BE142-'Выборка 1'!BD142)+('Выборка 1'!BF142-'Выборка 1'!BE142))/4000</f>
        <v>0</v>
      </c>
      <c r="N142" s="44">
        <f t="shared" si="2"/>
        <v>0</v>
      </c>
      <c r="O142" s="17">
        <f>((('Выборка 1'!BH142-'Выборка 1'!BM142)-('Выборка 1'!BG142-'Выборка 1'!BL142))+(('Выборка 1'!BI142-'Выборка 1'!BN142)-('Выборка 1'!BH142-'Выборка 1'!BM142))+(('Выборка 1'!BJ142-'Выборка 1'!BO142)-('Выборка 1'!BI142-'Выборка 1'!BN142))+(('Выборка 1'!BK142-'Выборка 1'!BP142)-('Выборка 1'!BJ142-'Выборка 1'!BO142)))/4000</f>
        <v>-27412.5</v>
      </c>
      <c r="P142" s="17">
        <f>(('Выборка 1'!BR142-'Выборка 1'!BQ142)+('Выборка 1'!BS142-'Выборка 1'!BR142)+('Выборка 1'!BT142-'Выборка 1'!BS142)+('Выборка 1'!BU142-'Выборка 1'!BT142))/4000</f>
        <v>-24394.75</v>
      </c>
    </row>
    <row r="143" spans="2:16" x14ac:dyDescent="0.25">
      <c r="B143" s="42">
        <f>('Выборка 1'!AL143+'Выборка 1'!AG143)/1000</f>
        <v>0</v>
      </c>
      <c r="C143" s="17">
        <v>33</v>
      </c>
      <c r="D143" s="17">
        <f>(('Выборка 1'!E143-'Выборка 1'!D143)+('Выборка 1'!F143-'Выборка 1'!E143)+('Выборка 1'!G143-'Выборка 1'!F143)+('Выборка 1'!H143-'Выборка 1'!G143))/4000</f>
        <v>0</v>
      </c>
      <c r="E143" s="44">
        <f>(('Выборка 1'!J143-'Выборка 1'!I143)+('Выборка 1'!K143-'Выборка 1'!J143)+('Выборка 1'!L143-'Выборка 1'!K143)+('Выборка 1'!M143-'Выборка 1'!L143))/4000</f>
        <v>0</v>
      </c>
      <c r="F143" s="17">
        <f>(('Выборка 1'!O143-'Выборка 1'!N143)+('Выборка 1'!P143-'Выборка 1'!O143)+('Выборка 1'!Q143-'Выборка 1'!P143)+('Выборка 1'!R143-'Выборка 1'!Q143))/4000</f>
        <v>0</v>
      </c>
      <c r="G143" s="44">
        <f>(('Выборка 1'!T143-'Выборка 1'!S143)+('Выборка 1'!U143-'Выборка 1'!T143)+('Выборка 1'!V143-'Выборка 1'!U143)+('Выборка 1'!W143-'Выборка 1'!V143))/4000</f>
        <v>0</v>
      </c>
      <c r="H143" s="44">
        <f>(('Выборка 1'!Y143-'Выборка 1'!X143)+('Выборка 1'!Z143+'Выборка 1'!Y143)+('Выборка 1'!AA143-'Выборка 1'!Z143)+('Выборка 1'!AB143-'Выборка 1'!AA143))/4000</f>
        <v>0</v>
      </c>
      <c r="I143" s="44">
        <f>(('Выборка 1'!AD143-'Выборка 1'!AC143)+('Выборка 1'!AE143-'Выборка 1'!AD143)+('Выборка 1'!AF143-'Выборка 1'!AE143)+('Выборка 1'!AG143-'Выборка 1'!AF143))/4000</f>
        <v>0</v>
      </c>
      <c r="J143" s="44">
        <f>(('Выборка 1'!AI143-'Выборка 1'!AH143)+('Выборка 1'!AJ143-'Выборка 1'!AI143)+('Выборка 1'!AK143-'Выборка 1'!AJ143)+('Выборка 1'!AL143-'Выборка 1'!AK143))/4000</f>
        <v>0</v>
      </c>
      <c r="K143" s="17">
        <f>(('Выборка 1'!AN143-'Выборка 1'!AM143)+('Выборка 1'!AO143-'Выборка 1'!AN143)+('Выборка 1'!AP143-'Выборка 1'!AO143)+('Выборка 1'!AQ143-'Выборка 1'!AP143))/4000</f>
        <v>0</v>
      </c>
      <c r="L143" s="44">
        <f>((('Выборка 1'!AS143+'Выборка 1'!AX143)-('Выборка 1'!AR143+'Выборка 1'!AW143))+(('Выборка 1'!AT143+'Выборка 1'!AY143)-('Выборка 1'!AS143+'Выборка 1'!AX143))+(('Выборка 1'!AU143+'Выборка 1'!AZ143)-('Выборка 1'!AT143+'Выборка 1'!AY143))+(('Выборка 1'!AV143+'Выборка 1'!BA143)-('Выборка 1'!AU143+'Выборка 1'!AZ143)))/4000</f>
        <v>0</v>
      </c>
      <c r="M143" s="44">
        <f>(('Выборка 1'!BC143-'Выборка 1'!BB143)+('Выборка 1'!BD143-'Выборка 1'!BC143)+('Выборка 1'!BE143-'Выборка 1'!BD143)+('Выборка 1'!BF143-'Выборка 1'!BE143))/4000</f>
        <v>0</v>
      </c>
      <c r="N143" s="44">
        <f t="shared" si="2"/>
        <v>0</v>
      </c>
      <c r="O143" s="17">
        <f>((('Выборка 1'!BH143-'Выборка 1'!BM143)-('Выборка 1'!BG143-'Выборка 1'!BL143))+(('Выборка 1'!BI143-'Выборка 1'!BN143)-('Выборка 1'!BH143-'Выборка 1'!BM143))+(('Выборка 1'!BJ143-'Выборка 1'!BO143)-('Выборка 1'!BI143-'Выборка 1'!BN143))+(('Выборка 1'!BK143-'Выборка 1'!BP143)-('Выборка 1'!BJ143-'Выборка 1'!BO143)))/4000</f>
        <v>0</v>
      </c>
      <c r="P143" s="17">
        <f>(('Выборка 1'!BR143-'Выборка 1'!BQ143)+('Выборка 1'!BS143-'Выборка 1'!BR143)+('Выборка 1'!BT143-'Выборка 1'!BS143)+('Выборка 1'!BU143-'Выборка 1'!BT143))/4000</f>
        <v>0</v>
      </c>
    </row>
    <row r="144" spans="2:16" x14ac:dyDescent="0.25">
      <c r="B144" s="42">
        <f>('Выборка 1'!AL144+'Выборка 1'!AG144)/1000</f>
        <v>127645</v>
      </c>
      <c r="C144" s="17">
        <v>19</v>
      </c>
      <c r="D144" s="17">
        <f>(('Выборка 1'!E144-'Выборка 1'!D144)+('Выборка 1'!F144-'Выборка 1'!E144)+('Выборка 1'!G144-'Выборка 1'!F144)+('Выборка 1'!H144-'Выборка 1'!G144))/4000</f>
        <v>6595.25</v>
      </c>
      <c r="E144" s="44">
        <f>(('Выборка 1'!J144-'Выборка 1'!I144)+('Выборка 1'!K144-'Выборка 1'!J144)+('Выборка 1'!L144-'Выборка 1'!K144)+('Выборка 1'!M144-'Выборка 1'!L144))/4000</f>
        <v>-20211.75</v>
      </c>
      <c r="F144" s="17">
        <f>(('Выборка 1'!O144-'Выборка 1'!N144)+('Выборка 1'!P144-'Выборка 1'!O144)+('Выборка 1'!Q144-'Выборка 1'!P144)+('Выборка 1'!R144-'Выборка 1'!Q144))/4000</f>
        <v>-13118</v>
      </c>
      <c r="G144" s="44">
        <f>(('Выборка 1'!T144-'Выборка 1'!S144)+('Выборка 1'!U144-'Выборка 1'!T144)+('Выборка 1'!V144-'Выборка 1'!U144)+('Выборка 1'!W144-'Выборка 1'!V144))/4000</f>
        <v>-55</v>
      </c>
      <c r="H144" s="44">
        <f>(('Выборка 1'!Y144-'Выборка 1'!X144)+('Выборка 1'!Z144+'Выборка 1'!Y144)+('Выборка 1'!AA144-'Выборка 1'!Z144)+('Выборка 1'!AB144-'Выборка 1'!AA144))/4000</f>
        <v>0</v>
      </c>
      <c r="I144" s="44">
        <f>(('Выборка 1'!AD144-'Выборка 1'!AC144)+('Выборка 1'!AE144-'Выборка 1'!AD144)+('Выборка 1'!AF144-'Выборка 1'!AE144)+('Выборка 1'!AG144-'Выборка 1'!AF144))/4000</f>
        <v>49.5</v>
      </c>
      <c r="J144" s="44">
        <f>(('Выборка 1'!AI144-'Выборка 1'!AH144)+('Выборка 1'!AJ144-'Выборка 1'!AI144)+('Выборка 1'!AK144-'Выборка 1'!AJ144)+('Выборка 1'!AL144-'Выборка 1'!AK144))/4000</f>
        <v>6058</v>
      </c>
      <c r="K144" s="17">
        <f>(('Выборка 1'!AN144-'Выборка 1'!AM144)+('Выборка 1'!AO144-'Выборка 1'!AN144)+('Выборка 1'!AP144-'Выборка 1'!AO144)+('Выборка 1'!AQ144-'Выборка 1'!AP144))/4000</f>
        <v>-25240.5</v>
      </c>
      <c r="L144" s="44">
        <f>((('Выборка 1'!AS144+'Выборка 1'!AX144)-('Выборка 1'!AR144+'Выборка 1'!AW144))+(('Выборка 1'!AT144+'Выборка 1'!AY144)-('Выборка 1'!AS144+'Выборка 1'!AX144))+(('Выборка 1'!AU144+'Выборка 1'!AZ144)-('Выборка 1'!AT144+'Выборка 1'!AY144))+(('Выборка 1'!AV144+'Выборка 1'!BA144)-('Выборка 1'!AU144+'Выборка 1'!AZ144)))/4000</f>
        <v>-16147.75</v>
      </c>
      <c r="M144" s="44">
        <f>(('Выборка 1'!BC144-'Выборка 1'!BB144)+('Выборка 1'!BD144-'Выборка 1'!BC144)+('Выборка 1'!BE144-'Выборка 1'!BD144)+('Выборка 1'!BF144-'Выборка 1'!BE144))/4000</f>
        <v>0</v>
      </c>
      <c r="N144" s="44">
        <f t="shared" si="2"/>
        <v>-9092.75</v>
      </c>
      <c r="O144" s="17">
        <f>((('Выборка 1'!BH144-'Выборка 1'!BM144)-('Выборка 1'!BG144-'Выборка 1'!BL144))+(('Выборка 1'!BI144-'Выборка 1'!BN144)-('Выборка 1'!BH144-'Выборка 1'!BM144))+(('Выборка 1'!BJ144-'Выборка 1'!BO144)-('Выборка 1'!BI144-'Выборка 1'!BN144))+(('Выборка 1'!BK144-'Выборка 1'!BP144)-('Выборка 1'!BJ144-'Выборка 1'!BO144)))/4000</f>
        <v>6721</v>
      </c>
      <c r="P144" s="17">
        <f>(('Выборка 1'!BR144-'Выборка 1'!BQ144)+('Выборка 1'!BS144-'Выборка 1'!BR144)+('Выборка 1'!BT144-'Выборка 1'!BS144)+('Выборка 1'!BU144-'Выборка 1'!BT144))/4000</f>
        <v>34.5</v>
      </c>
    </row>
    <row r="145" spans="2:16" x14ac:dyDescent="0.25">
      <c r="B145" s="42">
        <f>('Выборка 1'!AL145+'Выборка 1'!AG145)/1000</f>
        <v>42217</v>
      </c>
      <c r="C145" s="17">
        <v>32</v>
      </c>
      <c r="D145" s="17">
        <f>(('Выборка 1'!E145-'Выборка 1'!D145)+('Выборка 1'!F145-'Выборка 1'!E145)+('Выборка 1'!G145-'Выборка 1'!F145)+('Выборка 1'!H145-'Выборка 1'!G145))/4000</f>
        <v>-3214.75</v>
      </c>
      <c r="E145" s="44">
        <f>(('Выборка 1'!J145-'Выборка 1'!I145)+('Выборка 1'!K145-'Выборка 1'!J145)+('Выборка 1'!L145-'Выборка 1'!K145)+('Выборка 1'!M145-'Выборка 1'!L145))/4000</f>
        <v>-2802.5</v>
      </c>
      <c r="F145" s="17">
        <f>(('Выборка 1'!O145-'Выборка 1'!N145)+('Выборка 1'!P145-'Выборка 1'!O145)+('Выборка 1'!Q145-'Выборка 1'!P145)+('Выборка 1'!R145-'Выборка 1'!Q145))/4000</f>
        <v>-1342.5</v>
      </c>
      <c r="G145" s="44">
        <f>(('Выборка 1'!T145-'Выборка 1'!S145)+('Выборка 1'!U145-'Выборка 1'!T145)+('Выборка 1'!V145-'Выборка 1'!U145)+('Выборка 1'!W145-'Выборка 1'!V145))/4000</f>
        <v>-168.75</v>
      </c>
      <c r="H145" s="44">
        <f>(('Выборка 1'!Y145-'Выборка 1'!X145)+('Выборка 1'!Z145+'Выборка 1'!Y145)+('Выборка 1'!AA145-'Выборка 1'!Z145)+('Выборка 1'!AB145-'Выборка 1'!AA145))/4000</f>
        <v>-2255.5</v>
      </c>
      <c r="I145" s="44">
        <f>(('Выборка 1'!AD145-'Выборка 1'!AC145)+('Выборка 1'!AE145-'Выборка 1'!AD145)+('Выборка 1'!AF145-'Выборка 1'!AE145)+('Выборка 1'!AG145-'Выборка 1'!AF145))/4000</f>
        <v>-4133.25</v>
      </c>
      <c r="J145" s="44">
        <f>(('Выборка 1'!AI145-'Выборка 1'!AH145)+('Выборка 1'!AJ145-'Выборка 1'!AI145)+('Выборка 1'!AK145-'Выборка 1'!AJ145)+('Выборка 1'!AL145-'Выборка 1'!AK145))/4000</f>
        <v>6243.25</v>
      </c>
      <c r="K145" s="17">
        <f>(('Выборка 1'!AN145-'Выборка 1'!AM145)+('Выборка 1'!AO145-'Выборка 1'!AN145)+('Выборка 1'!AP145-'Выборка 1'!AO145)+('Выборка 1'!AQ145-'Выборка 1'!AP145))/4000</f>
        <v>-5068.75</v>
      </c>
      <c r="L145" s="44">
        <f>((('Выборка 1'!AS145+'Выборка 1'!AX145)-('Выборка 1'!AR145+'Выборка 1'!AW145))+(('Выборка 1'!AT145+'Выборка 1'!AY145)-('Выборка 1'!AS145+'Выборка 1'!AX145))+(('Выборка 1'!AU145+'Выборка 1'!AZ145)-('Выборка 1'!AT145+'Выборка 1'!AY145))+(('Выборка 1'!AV145+'Выборка 1'!BA145)-('Выборка 1'!AU145+'Выборка 1'!AZ145)))/4000</f>
        <v>2421.75</v>
      </c>
      <c r="M145" s="44">
        <f>(('Выборка 1'!BC145-'Выборка 1'!BB145)+('Выборка 1'!BD145-'Выборка 1'!BC145)+('Выборка 1'!BE145-'Выборка 1'!BD145)+('Выборка 1'!BF145-'Выборка 1'!BE145))/4000</f>
        <v>401.75</v>
      </c>
      <c r="N145" s="44">
        <f t="shared" si="2"/>
        <v>-7892.25</v>
      </c>
      <c r="O145" s="17">
        <f>((('Выборка 1'!BH145-'Выборка 1'!BM145)-('Выборка 1'!BG145-'Выборка 1'!BL145))+(('Выборка 1'!BI145-'Выборка 1'!BN145)-('Выборка 1'!BH145-'Выборка 1'!BM145))+(('Выборка 1'!BJ145-'Выборка 1'!BO145)-('Выборка 1'!BI145-'Выборка 1'!BN145))+(('Выборка 1'!BK145-'Выборка 1'!BP145)-('Выборка 1'!BJ145-'Выборка 1'!BO145)))/4000</f>
        <v>1182.25</v>
      </c>
      <c r="P145" s="17">
        <f>(('Выборка 1'!BR145-'Выборка 1'!BQ145)+('Выборка 1'!BS145-'Выборка 1'!BR145)+('Выборка 1'!BT145-'Выборка 1'!BS145)+('Выборка 1'!BU145-'Выборка 1'!BT145))/4000</f>
        <v>-4727.25</v>
      </c>
    </row>
    <row r="146" spans="2:16" x14ac:dyDescent="0.25">
      <c r="B146" s="42">
        <f>('Выборка 1'!AL146+'Выборка 1'!AG146)/1000</f>
        <v>972761</v>
      </c>
      <c r="C146" s="17">
        <v>11</v>
      </c>
      <c r="D146" s="17">
        <f>(('Выборка 1'!E146-'Выборка 1'!D146)+('Выборка 1'!F146-'Выборка 1'!E146)+('Выборка 1'!G146-'Выборка 1'!F146)+('Выборка 1'!H146-'Выборка 1'!G146))/4000</f>
        <v>3694.25</v>
      </c>
      <c r="E146" s="44">
        <f>(('Выборка 1'!J146-'Выборка 1'!I146)+('Выборка 1'!K146-'Выборка 1'!J146)+('Выборка 1'!L146-'Выборка 1'!K146)+('Выборка 1'!M146-'Выборка 1'!L146))/4000</f>
        <v>7431.5</v>
      </c>
      <c r="F146" s="17">
        <f>(('Выборка 1'!O146-'Выборка 1'!N146)+('Выборка 1'!P146-'Выборка 1'!O146)+('Выборка 1'!Q146-'Выборка 1'!P146)+('Выборка 1'!R146-'Выборка 1'!Q146))/4000</f>
        <v>3544.75</v>
      </c>
      <c r="G146" s="44">
        <f>(('Выборка 1'!T146-'Выборка 1'!S146)+('Выборка 1'!U146-'Выборка 1'!T146)+('Выборка 1'!V146-'Выборка 1'!U146)+('Выборка 1'!W146-'Выборка 1'!V146))/4000</f>
        <v>-2581.5</v>
      </c>
      <c r="H146" s="44">
        <f>(('Выборка 1'!Y146-'Выборка 1'!X146)+('Выборка 1'!Z146+'Выборка 1'!Y146)+('Выборка 1'!AA146-'Выборка 1'!Z146)+('Выборка 1'!AB146-'Выборка 1'!AA146))/4000</f>
        <v>20795.5</v>
      </c>
      <c r="I146" s="44">
        <f>(('Выборка 1'!AD146-'Выборка 1'!AC146)+('Выборка 1'!AE146-'Выборка 1'!AD146)+('Выборка 1'!AF146-'Выборка 1'!AE146)+('Выборка 1'!AG146-'Выборка 1'!AF146))/4000</f>
        <v>35911</v>
      </c>
      <c r="J146" s="44">
        <f>(('Выборка 1'!AI146-'Выборка 1'!AH146)+('Выборка 1'!AJ146-'Выборка 1'!AI146)+('Выборка 1'!AK146-'Выборка 1'!AJ146)+('Выборка 1'!AL146-'Выборка 1'!AK146))/4000</f>
        <v>114606.25</v>
      </c>
      <c r="K146" s="17">
        <f>(('Выборка 1'!AN146-'Выборка 1'!AM146)+('Выборка 1'!AO146-'Выборка 1'!AN146)+('Выборка 1'!AP146-'Выборка 1'!AO146)+('Выборка 1'!AQ146-'Выборка 1'!AP146))/4000</f>
        <v>-66507.75</v>
      </c>
      <c r="L146" s="44">
        <f>((('Выборка 1'!AS146+'Выборка 1'!AX146)-('Выборка 1'!AR146+'Выборка 1'!AW146))+(('Выборка 1'!AT146+'Выборка 1'!AY146)-('Выборка 1'!AS146+'Выборка 1'!AX146))+(('Выборка 1'!AU146+'Выборка 1'!AZ146)-('Выборка 1'!AT146+'Выборка 1'!AY146))+(('Выборка 1'!AV146+'Выборка 1'!BA146)-('Выборка 1'!AU146+'Выборка 1'!AZ146)))/4000</f>
        <v>-42266</v>
      </c>
      <c r="M146" s="44">
        <f>(('Выборка 1'!BC146-'Выборка 1'!BB146)+('Выборка 1'!BD146-'Выборка 1'!BC146)+('Выборка 1'!BE146-'Выборка 1'!BD146)+('Выборка 1'!BF146-'Выборка 1'!BE146))/4000</f>
        <v>-59</v>
      </c>
      <c r="N146" s="44">
        <f t="shared" si="2"/>
        <v>-24182.75</v>
      </c>
      <c r="O146" s="17">
        <f>((('Выборка 1'!BH146-'Выборка 1'!BM146)-('Выборка 1'!BG146-'Выборка 1'!BL146))+(('Выборка 1'!BI146-'Выборка 1'!BN146)-('Выборка 1'!BH146-'Выборка 1'!BM146))+(('Выборка 1'!BJ146-'Выборка 1'!BO146)-('Выборка 1'!BI146-'Выборка 1'!BN146))+(('Выборка 1'!BK146-'Выборка 1'!BP146)-('Выборка 1'!BJ146-'Выборка 1'!BO146)))/4000</f>
        <v>17252.75</v>
      </c>
      <c r="P146" s="17">
        <f>(('Выборка 1'!BR146-'Выборка 1'!BQ146)+('Выборка 1'!BS146-'Выборка 1'!BR146)+('Выборка 1'!BT146-'Выборка 1'!BS146)+('Выборка 1'!BU146-'Выборка 1'!BT146))/4000</f>
        <v>-6475.25</v>
      </c>
    </row>
    <row r="147" spans="2:16" x14ac:dyDescent="0.25">
      <c r="B147" s="42">
        <f>('Выборка 1'!AL147+'Выборка 1'!AG147)/1000</f>
        <v>0</v>
      </c>
      <c r="C147" s="17">
        <v>8</v>
      </c>
      <c r="D147" s="17">
        <f>(('Выборка 1'!E147-'Выборка 1'!D147)+('Выборка 1'!F147-'Выборка 1'!E147)+('Выборка 1'!G147-'Выборка 1'!F147)+('Выборка 1'!H147-'Выборка 1'!G147))/4000</f>
        <v>-13</v>
      </c>
      <c r="E147" s="44">
        <f>(('Выборка 1'!J147-'Выборка 1'!I147)+('Выборка 1'!K147-'Выборка 1'!J147)+('Выборка 1'!L147-'Выборка 1'!K147)+('Выборка 1'!M147-'Выборка 1'!L147))/4000</f>
        <v>0</v>
      </c>
      <c r="F147" s="17">
        <f>(('Выборка 1'!O147-'Выборка 1'!N147)+('Выборка 1'!P147-'Выборка 1'!O147)+('Выборка 1'!Q147-'Выборка 1'!P147)+('Выборка 1'!R147-'Выборка 1'!Q147))/4000</f>
        <v>-9737.5</v>
      </c>
      <c r="G147" s="44">
        <f>(('Выборка 1'!T147-'Выборка 1'!S147)+('Выборка 1'!U147-'Выборка 1'!T147)+('Выборка 1'!V147-'Выборка 1'!U147)+('Выборка 1'!W147-'Выборка 1'!V147))/4000</f>
        <v>0</v>
      </c>
      <c r="H147" s="44">
        <f>(('Выборка 1'!Y147-'Выборка 1'!X147)+('Выборка 1'!Z147+'Выборка 1'!Y147)+('Выборка 1'!AA147-'Выборка 1'!Z147)+('Выборка 1'!AB147-'Выборка 1'!AA147))/4000</f>
        <v>-2900.75</v>
      </c>
      <c r="I147" s="44">
        <f>(('Выборка 1'!AD147-'Выборка 1'!AC147)+('Выборка 1'!AE147-'Выборка 1'!AD147)+('Выборка 1'!AF147-'Выборка 1'!AE147)+('Выборка 1'!AG147-'Выборка 1'!AF147))/4000</f>
        <v>0</v>
      </c>
      <c r="J147" s="44">
        <f>(('Выборка 1'!AI147-'Выборка 1'!AH147)+('Выборка 1'!AJ147-'Выборка 1'!AI147)+('Выборка 1'!AK147-'Выборка 1'!AJ147)+('Выборка 1'!AL147-'Выборка 1'!AK147))/4000</f>
        <v>-12419.25</v>
      </c>
      <c r="K147" s="17">
        <f>(('Выборка 1'!AN147-'Выборка 1'!AM147)+('Выборка 1'!AO147-'Выборка 1'!AN147)+('Выборка 1'!AP147-'Выборка 1'!AO147)+('Выборка 1'!AQ147-'Выборка 1'!AP147))/4000</f>
        <v>-10948.25</v>
      </c>
      <c r="L147" s="44">
        <f>((('Выборка 1'!AS147+'Выборка 1'!AX147)-('Выборка 1'!AR147+'Выборка 1'!AW147))+(('Выборка 1'!AT147+'Выборка 1'!AY147)-('Выборка 1'!AS147+'Выборка 1'!AX147))+(('Выборка 1'!AU147+'Выборка 1'!AZ147)-('Выборка 1'!AT147+'Выборка 1'!AY147))+(('Выборка 1'!AV147+'Выборка 1'!BA147)-('Выборка 1'!AU147+'Выборка 1'!AZ147)))/4000</f>
        <v>-13917</v>
      </c>
      <c r="M147" s="44">
        <f>(('Выборка 1'!BC147-'Выборка 1'!BB147)+('Выборка 1'!BD147-'Выборка 1'!BC147)+('Выборка 1'!BE147-'Выборка 1'!BD147)+('Выборка 1'!BF147-'Выборка 1'!BE147))/4000</f>
        <v>-354.5</v>
      </c>
      <c r="N147" s="44">
        <f t="shared" si="2"/>
        <v>3323.25</v>
      </c>
      <c r="O147" s="17">
        <f>((('Выборка 1'!BH147-'Выборка 1'!BM147)-('Выборка 1'!BG147-'Выборка 1'!BL147))+(('Выборка 1'!BI147-'Выборка 1'!BN147)-('Выборка 1'!BH147-'Выборка 1'!BM147))+(('Выборка 1'!BJ147-'Выборка 1'!BO147)-('Выборка 1'!BI147-'Выборка 1'!BN147))+(('Выборка 1'!BK147-'Выборка 1'!BP147)-('Выборка 1'!BJ147-'Выборка 1'!BO147)))/4000</f>
        <v>48</v>
      </c>
      <c r="P147" s="17">
        <f>(('Выборка 1'!BR147-'Выборка 1'!BQ147)+('Выборка 1'!BS147-'Выборка 1'!BR147)+('Выборка 1'!BT147-'Выборка 1'!BS147)+('Выборка 1'!BU147-'Выборка 1'!BT147))/4000</f>
        <v>2690.5</v>
      </c>
    </row>
    <row r="148" spans="2:16" x14ac:dyDescent="0.25">
      <c r="B148" s="42">
        <f>('Выборка 1'!AL148+'Выборка 1'!AG148)/1000</f>
        <v>0</v>
      </c>
      <c r="C148" s="17">
        <v>8</v>
      </c>
      <c r="D148" s="17">
        <f>(('Выборка 1'!E148-'Выборка 1'!D148)+('Выборка 1'!F148-'Выборка 1'!E148)+('Выборка 1'!G148-'Выборка 1'!F148)+('Выборка 1'!H148-'Выборка 1'!G148))/4000</f>
        <v>-5988.5</v>
      </c>
      <c r="E148" s="44">
        <f>(('Выборка 1'!J148-'Выборка 1'!I148)+('Выборка 1'!K148-'Выборка 1'!J148)+('Выборка 1'!L148-'Выборка 1'!K148)+('Выборка 1'!M148-'Выборка 1'!L148))/4000</f>
        <v>-42998.5</v>
      </c>
      <c r="F148" s="17">
        <f>(('Выборка 1'!O148-'Выборка 1'!N148)+('Выборка 1'!P148-'Выборка 1'!O148)+('Выборка 1'!Q148-'Выборка 1'!P148)+('Выборка 1'!R148-'Выборка 1'!Q148))/4000</f>
        <v>-24073.25</v>
      </c>
      <c r="G148" s="44">
        <f>(('Выборка 1'!T148-'Выборка 1'!S148)+('Выборка 1'!U148-'Выборка 1'!T148)+('Выборка 1'!V148-'Выборка 1'!U148)+('Выборка 1'!W148-'Выборка 1'!V148))/4000</f>
        <v>-1429</v>
      </c>
      <c r="H148" s="44">
        <f>(('Выборка 1'!Y148-'Выборка 1'!X148)+('Выборка 1'!Z148+'Выборка 1'!Y148)+('Выборка 1'!AA148-'Выборка 1'!Z148)+('Выборка 1'!AB148-'Выборка 1'!AA148))/4000</f>
        <v>-7253.75</v>
      </c>
      <c r="I148" s="44">
        <f>(('Выборка 1'!AD148-'Выборка 1'!AC148)+('Выборка 1'!AE148-'Выборка 1'!AD148)+('Выборка 1'!AF148-'Выборка 1'!AE148)+('Выборка 1'!AG148-'Выборка 1'!AF148))/4000</f>
        <v>-2212</v>
      </c>
      <c r="J148" s="44">
        <f>(('Выборка 1'!AI148-'Выборка 1'!AH148)+('Выборка 1'!AJ148-'Выборка 1'!AI148)+('Выборка 1'!AK148-'Выборка 1'!AJ148)+('Выборка 1'!AL148-'Выборка 1'!AK148))/4000</f>
        <v>-59568.75</v>
      </c>
      <c r="K148" s="17">
        <f>(('Выборка 1'!AN148-'Выборка 1'!AM148)+('Выборка 1'!AO148-'Выборка 1'!AN148)+('Выборка 1'!AP148-'Выборка 1'!AO148)+('Выборка 1'!AQ148-'Выборка 1'!AP148))/4000</f>
        <v>-118655.25</v>
      </c>
      <c r="L148" s="44">
        <f>((('Выборка 1'!AS148+'Выборка 1'!AX148)-('Выборка 1'!AR148+'Выборка 1'!AW148))+(('Выборка 1'!AT148+'Выборка 1'!AY148)-('Выборка 1'!AS148+'Выборка 1'!AX148))+(('Выборка 1'!AU148+'Выборка 1'!AZ148)-('Выборка 1'!AT148+'Выборка 1'!AY148))+(('Выборка 1'!AV148+'Выборка 1'!BA148)-('Выборка 1'!AU148+'Выборка 1'!AZ148)))/4000</f>
        <v>-114008.75</v>
      </c>
      <c r="M148" s="44">
        <f>(('Выборка 1'!BC148-'Выборка 1'!BB148)+('Выборка 1'!BD148-'Выборка 1'!BC148)+('Выборка 1'!BE148-'Выборка 1'!BD148)+('Выборка 1'!BF148-'Выборка 1'!BE148))/4000</f>
        <v>-4186.25</v>
      </c>
      <c r="N148" s="44">
        <f t="shared" si="2"/>
        <v>-460.25</v>
      </c>
      <c r="O148" s="17">
        <f>((('Выборка 1'!BH148-'Выборка 1'!BM148)-('Выборка 1'!BG148-'Выборка 1'!BL148))+(('Выборка 1'!BI148-'Выборка 1'!BN148)-('Выборка 1'!BH148-'Выборка 1'!BM148))+(('Выборка 1'!BJ148-'Выборка 1'!BO148)-('Выборка 1'!BI148-'Выборка 1'!BN148))+(('Выборка 1'!BK148-'Выборка 1'!BP148)-('Выборка 1'!BJ148-'Выборка 1'!BO148)))/4000</f>
        <v>-431.75</v>
      </c>
      <c r="P148" s="17">
        <f>(('Выборка 1'!BR148-'Выборка 1'!BQ148)+('Выборка 1'!BS148-'Выборка 1'!BR148)+('Выборка 1'!BT148-'Выборка 1'!BS148)+('Выборка 1'!BU148-'Выборка 1'!BT148))/4000</f>
        <v>-700.75</v>
      </c>
    </row>
    <row r="149" spans="2:16" x14ac:dyDescent="0.25">
      <c r="B149" s="42">
        <f>('Выборка 1'!AL149+'Выборка 1'!AG149)/1000</f>
        <v>0</v>
      </c>
      <c r="C149" s="17">
        <v>13</v>
      </c>
      <c r="D149" s="17">
        <f>(('Выборка 1'!E149-'Выборка 1'!D149)+('Выборка 1'!F149-'Выборка 1'!E149)+('Выборка 1'!G149-'Выборка 1'!F149)+('Выборка 1'!H149-'Выборка 1'!G149))/4000</f>
        <v>-673.75</v>
      </c>
      <c r="E149" s="44">
        <f>(('Выборка 1'!J149-'Выборка 1'!I149)+('Выборка 1'!K149-'Выборка 1'!J149)+('Выборка 1'!L149-'Выборка 1'!K149)+('Выборка 1'!M149-'Выборка 1'!L149))/4000</f>
        <v>-11178.5</v>
      </c>
      <c r="F149" s="17">
        <f>(('Выборка 1'!O149-'Выборка 1'!N149)+('Выборка 1'!P149-'Выборка 1'!O149)+('Выборка 1'!Q149-'Выборка 1'!P149)+('Выборка 1'!R149-'Выборка 1'!Q149))/4000</f>
        <v>-15450.25</v>
      </c>
      <c r="G149" s="44">
        <f>(('Выборка 1'!T149-'Выборка 1'!S149)+('Выборка 1'!U149-'Выборка 1'!T149)+('Выборка 1'!V149-'Выборка 1'!U149)+('Выборка 1'!W149-'Выборка 1'!V149))/4000</f>
        <v>-199.25</v>
      </c>
      <c r="H149" s="44">
        <f>(('Выборка 1'!Y149-'Выборка 1'!X149)+('Выборка 1'!Z149+'Выборка 1'!Y149)+('Выборка 1'!AA149-'Выборка 1'!Z149)+('Выборка 1'!AB149-'Выборка 1'!AA149))/4000</f>
        <v>0</v>
      </c>
      <c r="I149" s="44">
        <f>(('Выборка 1'!AD149-'Выборка 1'!AC149)+('Выборка 1'!AE149-'Выборка 1'!AD149)+('Выборка 1'!AF149-'Выборка 1'!AE149)+('Выборка 1'!AG149-'Выборка 1'!AF149))/4000</f>
        <v>-3740.75</v>
      </c>
      <c r="J149" s="44">
        <f>(('Выборка 1'!AI149-'Выборка 1'!AH149)+('Выборка 1'!AJ149-'Выборка 1'!AI149)+('Выборка 1'!AK149-'Выборка 1'!AJ149)+('Выборка 1'!AL149-'Выборка 1'!AK149))/4000</f>
        <v>-19045.25</v>
      </c>
      <c r="K149" s="17">
        <f>(('Выборка 1'!AN149-'Выборка 1'!AM149)+('Выборка 1'!AO149-'Выборка 1'!AN149)+('Выборка 1'!AP149-'Выборка 1'!AO149)+('Выборка 1'!AQ149-'Выборка 1'!AP149))/4000</f>
        <v>-67453.25</v>
      </c>
      <c r="L149" s="44">
        <f>((('Выборка 1'!AS149+'Выборка 1'!AX149)-('Выборка 1'!AR149+'Выборка 1'!AW149))+(('Выборка 1'!AT149+'Выборка 1'!AY149)-('Выборка 1'!AS149+'Выборка 1'!AX149))+(('Выборка 1'!AU149+'Выборка 1'!AZ149)-('Выборка 1'!AT149+'Выборка 1'!AY149))+(('Выборка 1'!AV149+'Выборка 1'!BA149)-('Выборка 1'!AU149+'Выборка 1'!AZ149)))/4000</f>
        <v>-69773.25</v>
      </c>
      <c r="M149" s="44">
        <f>(('Выборка 1'!BC149-'Выборка 1'!BB149)+('Выборка 1'!BD149-'Выборка 1'!BC149)+('Выборка 1'!BE149-'Выборка 1'!BD149)+('Выборка 1'!BF149-'Выборка 1'!BE149))/4000</f>
        <v>0</v>
      </c>
      <c r="N149" s="44">
        <f t="shared" si="2"/>
        <v>2320</v>
      </c>
      <c r="O149" s="17">
        <f>((('Выборка 1'!BH149-'Выборка 1'!BM149)-('Выборка 1'!BG149-'Выборка 1'!BL149))+(('Выборка 1'!BI149-'Выборка 1'!BN149)-('Выборка 1'!BH149-'Выборка 1'!BM149))+(('Выборка 1'!BJ149-'Выборка 1'!BO149)-('Выборка 1'!BI149-'Выборка 1'!BN149))+(('Выборка 1'!BK149-'Выборка 1'!BP149)-('Выборка 1'!BJ149-'Выборка 1'!BO149)))/4000</f>
        <v>-3128.25</v>
      </c>
      <c r="P149" s="17">
        <f>(('Выборка 1'!BR149-'Выборка 1'!BQ149)+('Выборка 1'!BS149-'Выборка 1'!BR149)+('Выборка 1'!BT149-'Выборка 1'!BS149)+('Выборка 1'!BU149-'Выборка 1'!BT149))/4000</f>
        <v>-83.75</v>
      </c>
    </row>
    <row r="150" spans="2:16" x14ac:dyDescent="0.25">
      <c r="B150" s="42">
        <f>('Выборка 1'!AL150+'Выборка 1'!AG150)/1000</f>
        <v>1730943</v>
      </c>
      <c r="C150" s="17">
        <v>13</v>
      </c>
      <c r="D150" s="17">
        <f>(('Выборка 1'!E150-'Выборка 1'!D150)+('Выборка 1'!F150-'Выборка 1'!E150)+('Выборка 1'!G150-'Выборка 1'!F150)+('Выборка 1'!H150-'Выборка 1'!G150))/4000</f>
        <v>-906188.75</v>
      </c>
      <c r="E150" s="44">
        <f>(('Выборка 1'!J150-'Выборка 1'!I150)+('Выборка 1'!K150-'Выборка 1'!J150)+('Выборка 1'!L150-'Выборка 1'!K150)+('Выборка 1'!M150-'Выборка 1'!L150))/4000</f>
        <v>-112519.25</v>
      </c>
      <c r="F150" s="17">
        <f>(('Выборка 1'!O150-'Выборка 1'!N150)+('Выборка 1'!P150-'Выборка 1'!O150)+('Выборка 1'!Q150-'Выборка 1'!P150)+('Выборка 1'!R150-'Выборка 1'!Q150))/4000</f>
        <v>418.75</v>
      </c>
      <c r="G150" s="44">
        <f>(('Выборка 1'!T150-'Выборка 1'!S150)+('Выборка 1'!U150-'Выборка 1'!T150)+('Выборка 1'!V150-'Выборка 1'!U150)+('Выборка 1'!W150-'Выборка 1'!V150))/4000</f>
        <v>0</v>
      </c>
      <c r="H150" s="44">
        <f>(('Выборка 1'!Y150-'Выборка 1'!X150)+('Выборка 1'!Z150+'Выборка 1'!Y150)+('Выборка 1'!AA150-'Выборка 1'!Z150)+('Выборка 1'!AB150-'Выборка 1'!AA150))/4000</f>
        <v>-1598196.25</v>
      </c>
      <c r="I150" s="44">
        <f>(('Выборка 1'!AD150-'Выборка 1'!AC150)+('Выборка 1'!AE150-'Выборка 1'!AD150)+('Выборка 1'!AF150-'Выборка 1'!AE150)+('Выборка 1'!AG150-'Выборка 1'!AF150))/4000</f>
        <v>-174744.5</v>
      </c>
      <c r="J150" s="44">
        <f>(('Выборка 1'!AI150-'Выборка 1'!AH150)+('Выборка 1'!AJ150-'Выборка 1'!AI150)+('Выборка 1'!AK150-'Выборка 1'!AJ150)+('Выборка 1'!AL150-'Выборка 1'!AK150))/4000</f>
        <v>223089.75</v>
      </c>
      <c r="K150" s="17">
        <f>(('Выборка 1'!AN150-'Выборка 1'!AM150)+('Выборка 1'!AO150-'Выборка 1'!AN150)+('Выборка 1'!AP150-'Выборка 1'!AO150)+('Выборка 1'!AQ150-'Выборка 1'!AP150))/4000</f>
        <v>-473.25</v>
      </c>
      <c r="L150" s="44">
        <f>((('Выборка 1'!AS150+'Выборка 1'!AX150)-('Выборка 1'!AR150+'Выборка 1'!AW150))+(('Выборка 1'!AT150+'Выборка 1'!AY150)-('Выборка 1'!AS150+'Выборка 1'!AX150))+(('Выборка 1'!AU150+'Выборка 1'!AZ150)-('Выборка 1'!AT150+'Выборка 1'!AY150))+(('Выборка 1'!AV150+'Выборка 1'!BA150)-('Выборка 1'!AU150+'Выборка 1'!AZ150)))/4000</f>
        <v>-6247.75</v>
      </c>
      <c r="M150" s="44">
        <f>(('Выборка 1'!BC150-'Выборка 1'!BB150)+('Выборка 1'!BD150-'Выборка 1'!BC150)+('Выборка 1'!BE150-'Выборка 1'!BD150)+('Выборка 1'!BF150-'Выборка 1'!BE150))/4000</f>
        <v>0</v>
      </c>
      <c r="N150" s="44">
        <f t="shared" si="2"/>
        <v>5774.5</v>
      </c>
      <c r="O150" s="17">
        <f>((('Выборка 1'!BH150-'Выборка 1'!BM150)-('Выборка 1'!BG150-'Выборка 1'!BL150))+(('Выборка 1'!BI150-'Выборка 1'!BN150)-('Выборка 1'!BH150-'Выборка 1'!BM150))+(('Выборка 1'!BJ150-'Выборка 1'!BO150)-('Выборка 1'!BI150-'Выборка 1'!BN150))+(('Выборка 1'!BK150-'Выборка 1'!BP150)-('Выборка 1'!BJ150-'Выборка 1'!BO150)))/4000</f>
        <v>108043.25</v>
      </c>
      <c r="P150" s="17">
        <f>(('Выборка 1'!BR150-'Выборка 1'!BQ150)+('Выборка 1'!BS150-'Выборка 1'!BR150)+('Выборка 1'!BT150-'Выборка 1'!BS150)+('Выборка 1'!BU150-'Выборка 1'!BT150))/4000</f>
        <v>134833.5</v>
      </c>
    </row>
    <row r="151" spans="2:16" x14ac:dyDescent="0.25">
      <c r="B151" s="42">
        <f>('Выборка 1'!AL151+'Выборка 1'!AG151)/1000</f>
        <v>4581753</v>
      </c>
      <c r="C151" s="17">
        <v>25</v>
      </c>
      <c r="D151" s="17">
        <f>(('Выборка 1'!E151-'Выборка 1'!D151)+('Выборка 1'!F151-'Выборка 1'!E151)+('Выборка 1'!G151-'Выборка 1'!F151)+('Выборка 1'!H151-'Выборка 1'!G151))/4000</f>
        <v>-39981.5</v>
      </c>
      <c r="E151" s="44">
        <f>(('Выборка 1'!J151-'Выборка 1'!I151)+('Выборка 1'!K151-'Выборка 1'!J151)+('Выборка 1'!L151-'Выборка 1'!K151)+('Выборка 1'!M151-'Выборка 1'!L151))/4000</f>
        <v>-13223.5</v>
      </c>
      <c r="F151" s="17">
        <f>(('Выборка 1'!O151-'Выборка 1'!N151)+('Выборка 1'!P151-'Выборка 1'!O151)+('Выборка 1'!Q151-'Выборка 1'!P151)+('Выборка 1'!R151-'Выборка 1'!Q151))/4000</f>
        <v>-120471</v>
      </c>
      <c r="G151" s="44">
        <f>(('Выборка 1'!T151-'Выборка 1'!S151)+('Выборка 1'!U151-'Выборка 1'!T151)+('Выборка 1'!V151-'Выборка 1'!U151)+('Выборка 1'!W151-'Выборка 1'!V151))/4000</f>
        <v>44</v>
      </c>
      <c r="H151" s="44">
        <f>(('Выборка 1'!Y151-'Выборка 1'!X151)+('Выборка 1'!Z151+'Выборка 1'!Y151)+('Выборка 1'!AA151-'Выборка 1'!Z151)+('Выборка 1'!AB151-'Выборка 1'!AA151))/4000</f>
        <v>-2472085</v>
      </c>
      <c r="I151" s="44">
        <f>(('Выборка 1'!AD151-'Выборка 1'!AC151)+('Выборка 1'!AE151-'Выборка 1'!AD151)+('Выборка 1'!AF151-'Выборка 1'!AE151)+('Выборка 1'!AG151-'Выборка 1'!AF151))/4000</f>
        <v>0</v>
      </c>
      <c r="J151" s="44">
        <f>(('Выборка 1'!AI151-'Выборка 1'!AH151)+('Выборка 1'!AJ151-'Выборка 1'!AI151)+('Выборка 1'!AK151-'Выборка 1'!AJ151)+('Выборка 1'!AL151-'Выборка 1'!AK151))/4000</f>
        <v>-250938</v>
      </c>
      <c r="K151" s="17">
        <f>(('Выборка 1'!AN151-'Выборка 1'!AM151)+('Выборка 1'!AO151-'Выборка 1'!AN151)+('Выборка 1'!AP151-'Выборка 1'!AO151)+('Выборка 1'!AQ151-'Выборка 1'!AP151))/4000</f>
        <v>2229.75</v>
      </c>
      <c r="L151" s="44">
        <f>((('Выборка 1'!AS151+'Выборка 1'!AX151)-('Выборка 1'!AR151+'Выборка 1'!AW151))+(('Выборка 1'!AT151+'Выборка 1'!AY151)-('Выборка 1'!AS151+'Выборка 1'!AX151))+(('Выборка 1'!AU151+'Выборка 1'!AZ151)-('Выборка 1'!AT151+'Выборка 1'!AY151))+(('Выборка 1'!AV151+'Выборка 1'!BA151)-('Выборка 1'!AU151+'Выборка 1'!AZ151)))/4000</f>
        <v>4364</v>
      </c>
      <c r="M151" s="44">
        <f>(('Выборка 1'!BC151-'Выборка 1'!BB151)+('Выборка 1'!BD151-'Выборка 1'!BC151)+('Выборка 1'!BE151-'Выборка 1'!BD151)+('Выборка 1'!BF151-'Выборка 1'!BE151))/4000</f>
        <v>0</v>
      </c>
      <c r="N151" s="44">
        <f t="shared" si="2"/>
        <v>-2134.25</v>
      </c>
      <c r="O151" s="17">
        <f>((('Выборка 1'!BH151-'Выборка 1'!BM151)-('Выборка 1'!BG151-'Выборка 1'!BL151))+(('Выборка 1'!BI151-'Выборка 1'!BN151)-('Выборка 1'!BH151-'Выборка 1'!BM151))+(('Выборка 1'!BJ151-'Выборка 1'!BO151)-('Выборка 1'!BI151-'Выборка 1'!BN151))+(('Выборка 1'!BK151-'Выборка 1'!BP151)-('Выборка 1'!BJ151-'Выборка 1'!BO151)))/4000</f>
        <v>-31088</v>
      </c>
      <c r="P151" s="17">
        <f>(('Выборка 1'!BR151-'Выборка 1'!BQ151)+('Выборка 1'!BS151-'Выборка 1'!BR151)+('Выборка 1'!BT151-'Выборка 1'!BS151)+('Выборка 1'!BU151-'Выборка 1'!BT151))/4000</f>
        <v>-24677</v>
      </c>
    </row>
    <row r="152" spans="2:16" x14ac:dyDescent="0.25">
      <c r="B152" s="42">
        <f>('Выборка 1'!AL152+'Выборка 1'!AG152)/1000</f>
        <v>99845</v>
      </c>
      <c r="C152" s="17">
        <v>24</v>
      </c>
      <c r="D152" s="17">
        <f>(('Выборка 1'!E152-'Выборка 1'!D152)+('Выборка 1'!F152-'Выборка 1'!E152)+('Выборка 1'!G152-'Выборка 1'!F152)+('Выборка 1'!H152-'Выборка 1'!G152))/4000</f>
        <v>0</v>
      </c>
      <c r="E152" s="44">
        <f>(('Выборка 1'!J152-'Выборка 1'!I152)+('Выборка 1'!K152-'Выборка 1'!J152)+('Выборка 1'!L152-'Выборка 1'!K152)+('Выборка 1'!M152-'Выборка 1'!L152))/4000</f>
        <v>0</v>
      </c>
      <c r="F152" s="17">
        <f>(('Выборка 1'!O152-'Выборка 1'!N152)+('Выборка 1'!P152-'Выборка 1'!O152)+('Выборка 1'!Q152-'Выборка 1'!P152)+('Выборка 1'!R152-'Выборка 1'!Q152))/4000</f>
        <v>-16468.75</v>
      </c>
      <c r="G152" s="44">
        <f>(('Выборка 1'!T152-'Выборка 1'!S152)+('Выборка 1'!U152-'Выборка 1'!T152)+('Выборка 1'!V152-'Выборка 1'!U152)+('Выборка 1'!W152-'Выборка 1'!V152))/4000</f>
        <v>429</v>
      </c>
      <c r="H152" s="44">
        <f>(('Выборка 1'!Y152-'Выборка 1'!X152)+('Выборка 1'!Z152+'Выборка 1'!Y152)+('Выборка 1'!AA152-'Выборка 1'!Z152)+('Выборка 1'!AB152-'Выборка 1'!AA152))/4000</f>
        <v>-16042.25</v>
      </c>
      <c r="I152" s="44">
        <f>(('Выборка 1'!AD152-'Выборка 1'!AC152)+('Выборка 1'!AE152-'Выборка 1'!AD152)+('Выборка 1'!AF152-'Выборка 1'!AE152)+('Выборка 1'!AG152-'Выборка 1'!AF152))/4000</f>
        <v>0</v>
      </c>
      <c r="J152" s="44">
        <f>(('Выборка 1'!AI152-'Выборка 1'!AH152)+('Выборка 1'!AJ152-'Выборка 1'!AI152)+('Выборка 1'!AK152-'Выборка 1'!AJ152)+('Выборка 1'!AL152-'Выборка 1'!AK152))/4000</f>
        <v>0</v>
      </c>
      <c r="K152" s="17">
        <f>(('Выборка 1'!AN152-'Выборка 1'!AM152)+('Выборка 1'!AO152-'Выборка 1'!AN152)+('Выборка 1'!AP152-'Выборка 1'!AO152)+('Выборка 1'!AQ152-'Выборка 1'!AP152))/4000</f>
        <v>0</v>
      </c>
      <c r="L152" s="44">
        <f>((('Выборка 1'!AS152+'Выборка 1'!AX152)-('Выборка 1'!AR152+'Выборка 1'!AW152))+(('Выборка 1'!AT152+'Выборка 1'!AY152)-('Выборка 1'!AS152+'Выборка 1'!AX152))+(('Выборка 1'!AU152+'Выборка 1'!AZ152)-('Выборка 1'!AT152+'Выборка 1'!AY152))+(('Выборка 1'!AV152+'Выборка 1'!BA152)-('Выборка 1'!AU152+'Выборка 1'!AZ152)))/4000</f>
        <v>0</v>
      </c>
      <c r="M152" s="44">
        <f>(('Выборка 1'!BC152-'Выборка 1'!BB152)+('Выборка 1'!BD152-'Выборка 1'!BC152)+('Выборка 1'!BE152-'Выборка 1'!BD152)+('Выборка 1'!BF152-'Выборка 1'!BE152))/4000</f>
        <v>0</v>
      </c>
      <c r="N152" s="44">
        <f t="shared" si="2"/>
        <v>0</v>
      </c>
      <c r="O152" s="17">
        <f>((('Выборка 1'!BH152-'Выборка 1'!BM152)-('Выборка 1'!BG152-'Выборка 1'!BL152))+(('Выборка 1'!BI152-'Выборка 1'!BN152)-('Выборка 1'!BH152-'Выборка 1'!BM152))+(('Выборка 1'!BJ152-'Выборка 1'!BO152)-('Выборка 1'!BI152-'Выборка 1'!BN152))+(('Выборка 1'!BK152-'Выборка 1'!BP152)-('Выборка 1'!BJ152-'Выборка 1'!BO152)))/4000</f>
        <v>0</v>
      </c>
      <c r="P152" s="17">
        <f>(('Выборка 1'!BR152-'Выборка 1'!BQ152)+('Выборка 1'!BS152-'Выборка 1'!BR152)+('Выборка 1'!BT152-'Выборка 1'!BS152)+('Выборка 1'!BU152-'Выборка 1'!BT152))/4000</f>
        <v>0</v>
      </c>
    </row>
    <row r="153" spans="2:16" x14ac:dyDescent="0.25">
      <c r="B153" s="42">
        <f>('Выборка 1'!AL153+'Выборка 1'!AG153)/1000</f>
        <v>10885</v>
      </c>
      <c r="C153" s="17">
        <v>19</v>
      </c>
      <c r="D153" s="17">
        <f>(('Выборка 1'!E153-'Выборка 1'!D153)+('Выборка 1'!F153-'Выборка 1'!E153)+('Выборка 1'!G153-'Выборка 1'!F153)+('Выборка 1'!H153-'Выборка 1'!G153))/4000</f>
        <v>-30.75</v>
      </c>
      <c r="E153" s="44">
        <f>(('Выборка 1'!J153-'Выборка 1'!I153)+('Выборка 1'!K153-'Выборка 1'!J153)+('Выборка 1'!L153-'Выборка 1'!K153)+('Выборка 1'!M153-'Выборка 1'!L153))/4000</f>
        <v>-29.5</v>
      </c>
      <c r="F153" s="17">
        <f>(('Выборка 1'!O153-'Выборка 1'!N153)+('Выборка 1'!P153-'Выборка 1'!O153)+('Выборка 1'!Q153-'Выборка 1'!P153)+('Выборка 1'!R153-'Выборка 1'!Q153))/4000</f>
        <v>-527.5</v>
      </c>
      <c r="G153" s="44">
        <f>(('Выборка 1'!T153-'Выборка 1'!S153)+('Выборка 1'!U153-'Выборка 1'!T153)+('Выборка 1'!V153-'Выборка 1'!U153)+('Выборка 1'!W153-'Выборка 1'!V153))/4000</f>
        <v>-316</v>
      </c>
      <c r="H153" s="44">
        <f>(('Выборка 1'!Y153-'Выборка 1'!X153)+('Выборка 1'!Z153+'Выборка 1'!Y153)+('Выборка 1'!AA153-'Выборка 1'!Z153)+('Выборка 1'!AB153-'Выборка 1'!AA153))/4000</f>
        <v>0</v>
      </c>
      <c r="I153" s="44">
        <f>(('Выборка 1'!AD153-'Выборка 1'!AC153)+('Выборка 1'!AE153-'Выборка 1'!AD153)+('Выборка 1'!AF153-'Выборка 1'!AE153)+('Выборка 1'!AG153-'Выборка 1'!AF153))/4000</f>
        <v>0</v>
      </c>
      <c r="J153" s="44">
        <f>(('Выборка 1'!AI153-'Выборка 1'!AH153)+('Выборка 1'!AJ153-'Выборка 1'!AI153)+('Выборка 1'!AK153-'Выборка 1'!AJ153)+('Выборка 1'!AL153-'Выборка 1'!AK153))/4000</f>
        <v>741.5</v>
      </c>
      <c r="K153" s="17">
        <f>(('Выборка 1'!AN153-'Выборка 1'!AM153)+('Выборка 1'!AO153-'Выборка 1'!AN153)+('Выборка 1'!AP153-'Выборка 1'!AO153)+('Выборка 1'!AQ153-'Выборка 1'!AP153))/4000</f>
        <v>-2133.25</v>
      </c>
      <c r="L153" s="44">
        <f>((('Выборка 1'!AS153+'Выборка 1'!AX153)-('Выборка 1'!AR153+'Выборка 1'!AW153))+(('Выборка 1'!AT153+'Выборка 1'!AY153)-('Выборка 1'!AS153+'Выборка 1'!AX153))+(('Выборка 1'!AU153+'Выборка 1'!AZ153)-('Выборка 1'!AT153+'Выборка 1'!AY153))+(('Выборка 1'!AV153+'Выборка 1'!BA153)-('Выборка 1'!AU153+'Выборка 1'!AZ153)))/4000</f>
        <v>-2374.25</v>
      </c>
      <c r="M153" s="44">
        <f>(('Выборка 1'!BC153-'Выборка 1'!BB153)+('Выборка 1'!BD153-'Выборка 1'!BC153)+('Выборка 1'!BE153-'Выборка 1'!BD153)+('Выборка 1'!BF153-'Выборка 1'!BE153))/4000</f>
        <v>0</v>
      </c>
      <c r="N153" s="44">
        <f t="shared" si="2"/>
        <v>241</v>
      </c>
      <c r="O153" s="17">
        <f>((('Выборка 1'!BH153-'Выборка 1'!BM153)-('Выборка 1'!BG153-'Выборка 1'!BL153))+(('Выборка 1'!BI153-'Выборка 1'!BN153)-('Выборка 1'!BH153-'Выборка 1'!BM153))+(('Выборка 1'!BJ153-'Выборка 1'!BO153)-('Выборка 1'!BI153-'Выборка 1'!BN153))+(('Выборка 1'!BK153-'Выборка 1'!BP153)-('Выборка 1'!BJ153-'Выборка 1'!BO153)))/4000</f>
        <v>-509.5</v>
      </c>
      <c r="P153" s="17">
        <f>(('Выборка 1'!BR153-'Выборка 1'!BQ153)+('Выборка 1'!BS153-'Выборка 1'!BR153)+('Выборка 1'!BT153-'Выборка 1'!BS153)+('Выборка 1'!BU153-'Выборка 1'!BT153))/4000</f>
        <v>-246.5</v>
      </c>
    </row>
    <row r="154" spans="2:16" x14ac:dyDescent="0.25">
      <c r="B154" s="42">
        <f>('Выборка 1'!AL154+'Выборка 1'!AG154)/1000</f>
        <v>0</v>
      </c>
      <c r="C154" s="17">
        <v>10</v>
      </c>
      <c r="D154" s="17">
        <f>(('Выборка 1'!E154-'Выборка 1'!D154)+('Выборка 1'!F154-'Выборка 1'!E154)+('Выборка 1'!G154-'Выборка 1'!F154)+('Выборка 1'!H154-'Выборка 1'!G154))/4000</f>
        <v>-2643.5</v>
      </c>
      <c r="E154" s="44">
        <f>(('Выборка 1'!J154-'Выборка 1'!I154)+('Выборка 1'!K154-'Выборка 1'!J154)+('Выборка 1'!L154-'Выборка 1'!K154)+('Выборка 1'!M154-'Выборка 1'!L154))/4000</f>
        <v>-389.25</v>
      </c>
      <c r="F154" s="17">
        <f>(('Выборка 1'!O154-'Выборка 1'!N154)+('Выборка 1'!P154-'Выборка 1'!O154)+('Выборка 1'!Q154-'Выборка 1'!P154)+('Выборка 1'!R154-'Выборка 1'!Q154))/4000</f>
        <v>-9996.75</v>
      </c>
      <c r="G154" s="44">
        <f>(('Выборка 1'!T154-'Выборка 1'!S154)+('Выборка 1'!U154-'Выборка 1'!T154)+('Выборка 1'!V154-'Выборка 1'!U154)+('Выборка 1'!W154-'Выборка 1'!V154))/4000</f>
        <v>-4746.25</v>
      </c>
      <c r="H154" s="44">
        <f>(('Выборка 1'!Y154-'Выборка 1'!X154)+('Выборка 1'!Z154+'Выборка 1'!Y154)+('Выборка 1'!AA154-'Выборка 1'!Z154)+('Выборка 1'!AB154-'Выборка 1'!AA154))/4000</f>
        <v>0</v>
      </c>
      <c r="I154" s="44">
        <f>(('Выборка 1'!AD154-'Выборка 1'!AC154)+('Выборка 1'!AE154-'Выборка 1'!AD154)+('Выборка 1'!AF154-'Выборка 1'!AE154)+('Выборка 1'!AG154-'Выборка 1'!AF154))/4000</f>
        <v>-111.75</v>
      </c>
      <c r="J154" s="44">
        <f>(('Выборка 1'!AI154-'Выборка 1'!AH154)+('Выборка 1'!AJ154-'Выборка 1'!AI154)+('Выборка 1'!AK154-'Выборка 1'!AJ154)+('Выборка 1'!AL154-'Выборка 1'!AK154))/4000</f>
        <v>-15419.5</v>
      </c>
      <c r="K154" s="17">
        <f>(('Выборка 1'!AN154-'Выборка 1'!AM154)+('Выборка 1'!AO154-'Выборка 1'!AN154)+('Выборка 1'!AP154-'Выборка 1'!AO154)+('Выборка 1'!AQ154-'Выборка 1'!AP154))/4000</f>
        <v>-25860.25</v>
      </c>
      <c r="L154" s="44">
        <f>((('Выборка 1'!AS154+'Выборка 1'!AX154)-('Выборка 1'!AR154+'Выборка 1'!AW154))+(('Выборка 1'!AT154+'Выборка 1'!AY154)-('Выборка 1'!AS154+'Выборка 1'!AX154))+(('Выборка 1'!AU154+'Выборка 1'!AZ154)-('Выборка 1'!AT154+'Выборка 1'!AY154))+(('Выборка 1'!AV154+'Выборка 1'!BA154)-('Выборка 1'!AU154+'Выборка 1'!AZ154)))/4000</f>
        <v>-25769.25</v>
      </c>
      <c r="M154" s="44">
        <f>(('Выборка 1'!BC154-'Выборка 1'!BB154)+('Выборка 1'!BD154-'Выборка 1'!BC154)+('Выборка 1'!BE154-'Выборка 1'!BD154)+('Выборка 1'!BF154-'Выборка 1'!BE154))/4000</f>
        <v>0</v>
      </c>
      <c r="N154" s="44">
        <f t="shared" si="2"/>
        <v>-91</v>
      </c>
      <c r="O154" s="17">
        <f>((('Выборка 1'!BH154-'Выборка 1'!BM154)-('Выборка 1'!BG154-'Выборка 1'!BL154))+(('Выборка 1'!BI154-'Выборка 1'!BN154)-('Выборка 1'!BH154-'Выборка 1'!BM154))+(('Выборка 1'!BJ154-'Выборка 1'!BO154)-('Выборка 1'!BI154-'Выборка 1'!BN154))+(('Выборка 1'!BK154-'Выборка 1'!BP154)-('Выборка 1'!BJ154-'Выборка 1'!BO154)))/4000</f>
        <v>94.75</v>
      </c>
      <c r="P154" s="17">
        <f>(('Выборка 1'!BR154-'Выборка 1'!BQ154)+('Выборка 1'!BS154-'Выборка 1'!BR154)+('Выборка 1'!BT154-'Выборка 1'!BS154)+('Выборка 1'!BU154-'Выборка 1'!BT154))/4000</f>
        <v>3.75</v>
      </c>
    </row>
    <row r="155" spans="2:16" x14ac:dyDescent="0.25">
      <c r="B155" s="42">
        <f>('Выборка 1'!AL155+'Выборка 1'!AG155)/1000</f>
        <v>189291</v>
      </c>
      <c r="C155" s="17">
        <v>7</v>
      </c>
      <c r="D155" s="17">
        <f>(('Выборка 1'!E155-'Выборка 1'!D155)+('Выборка 1'!F155-'Выборка 1'!E155)+('Выборка 1'!G155-'Выборка 1'!F155)+('Выборка 1'!H155-'Выборка 1'!G155))/4000</f>
        <v>-4144</v>
      </c>
      <c r="E155" s="44">
        <f>(('Выборка 1'!J155-'Выборка 1'!I155)+('Выборка 1'!K155-'Выборка 1'!J155)+('Выборка 1'!L155-'Выборка 1'!K155)+('Выборка 1'!M155-'Выборка 1'!L155))/4000</f>
        <v>8049.25</v>
      </c>
      <c r="F155" s="17">
        <f>(('Выборка 1'!O155-'Выборка 1'!N155)+('Выборка 1'!P155-'Выборка 1'!O155)+('Выборка 1'!Q155-'Выборка 1'!P155)+('Выборка 1'!R155-'Выборка 1'!Q155))/4000</f>
        <v>47043.75</v>
      </c>
      <c r="G155" s="44">
        <f>(('Выборка 1'!T155-'Выборка 1'!S155)+('Выборка 1'!U155-'Выборка 1'!T155)+('Выборка 1'!V155-'Выборка 1'!U155)+('Выборка 1'!W155-'Выборка 1'!V155))/4000</f>
        <v>-1340</v>
      </c>
      <c r="H155" s="44">
        <f>(('Выборка 1'!Y155-'Выборка 1'!X155)+('Выборка 1'!Z155+'Выборка 1'!Y155)+('Выборка 1'!AA155-'Выборка 1'!Z155)+('Выборка 1'!AB155-'Выборка 1'!AA155))/4000</f>
        <v>0</v>
      </c>
      <c r="I155" s="44">
        <f>(('Выборка 1'!AD155-'Выборка 1'!AC155)+('Выборка 1'!AE155-'Выборка 1'!AD155)+('Выборка 1'!AF155-'Выборка 1'!AE155)+('Выборка 1'!AG155-'Выборка 1'!AF155))/4000</f>
        <v>0</v>
      </c>
      <c r="J155" s="44">
        <f>(('Выборка 1'!AI155-'Выборка 1'!AH155)+('Выборка 1'!AJ155-'Выборка 1'!AI155)+('Выборка 1'!AK155-'Выборка 1'!AJ155)+('Выборка 1'!AL155-'Выборка 1'!AK155))/4000</f>
        <v>39578.5</v>
      </c>
      <c r="K155" s="17">
        <f>(('Выборка 1'!AN155-'Выборка 1'!AM155)+('Выборка 1'!AO155-'Выборка 1'!AN155)+('Выборка 1'!AP155-'Выборка 1'!AO155)+('Выборка 1'!AQ155-'Выборка 1'!AP155))/4000</f>
        <v>38958</v>
      </c>
      <c r="L155" s="44">
        <f>((('Выборка 1'!AS155+'Выборка 1'!AX155)-('Выборка 1'!AR155+'Выборка 1'!AW155))+(('Выборка 1'!AT155+'Выборка 1'!AY155)-('Выборка 1'!AS155+'Выборка 1'!AX155))+(('Выборка 1'!AU155+'Выборка 1'!AZ155)-('Выборка 1'!AT155+'Выборка 1'!AY155))+(('Выборка 1'!AV155+'Выборка 1'!BA155)-('Выборка 1'!AU155+'Выборка 1'!AZ155)))/4000</f>
        <v>49799</v>
      </c>
      <c r="M155" s="44">
        <f>(('Выборка 1'!BC155-'Выборка 1'!BB155)+('Выборка 1'!BD155-'Выборка 1'!BC155)+('Выборка 1'!BE155-'Выборка 1'!BD155)+('Выборка 1'!BF155-'Выборка 1'!BE155))/4000</f>
        <v>0</v>
      </c>
      <c r="N155" s="44">
        <f t="shared" si="2"/>
        <v>-10841</v>
      </c>
      <c r="O155" s="17">
        <f>((('Выборка 1'!BH155-'Выборка 1'!BM155)-('Выборка 1'!BG155-'Выборка 1'!BL155))+(('Выборка 1'!BI155-'Выборка 1'!BN155)-('Выборка 1'!BH155-'Выборка 1'!BM155))+(('Выборка 1'!BJ155-'Выборка 1'!BO155)-('Выборка 1'!BI155-'Выборка 1'!BN155))+(('Выборка 1'!BK155-'Выборка 1'!BP155)-('Выборка 1'!BJ155-'Выборка 1'!BO155)))/4000</f>
        <v>18</v>
      </c>
      <c r="P155" s="17">
        <f>(('Выборка 1'!BR155-'Выборка 1'!BQ155)+('Выборка 1'!BS155-'Выборка 1'!BR155)+('Выборка 1'!BT155-'Выборка 1'!BS155)+('Выборка 1'!BU155-'Выборка 1'!BT155))/4000</f>
        <v>-11578.5</v>
      </c>
    </row>
    <row r="156" spans="2:16" x14ac:dyDescent="0.25">
      <c r="B156" s="42">
        <f>('Выборка 1'!AL156+'Выборка 1'!AG156)/1000</f>
        <v>7119</v>
      </c>
      <c r="C156" s="17">
        <v>23</v>
      </c>
      <c r="D156" s="17">
        <f>(('Выборка 1'!E156-'Выборка 1'!D156)+('Выборка 1'!F156-'Выборка 1'!E156)+('Выборка 1'!G156-'Выборка 1'!F156)+('Выборка 1'!H156-'Выборка 1'!G156))/4000</f>
        <v>-48.5</v>
      </c>
      <c r="E156" s="44">
        <f>(('Выборка 1'!J156-'Выборка 1'!I156)+('Выборка 1'!K156-'Выборка 1'!J156)+('Выборка 1'!L156-'Выборка 1'!K156)+('Выборка 1'!M156-'Выборка 1'!L156))/4000</f>
        <v>-30.75</v>
      </c>
      <c r="F156" s="17">
        <f>(('Выборка 1'!O156-'Выборка 1'!N156)+('Выборка 1'!P156-'Выборка 1'!O156)+('Выборка 1'!Q156-'Выборка 1'!P156)+('Выборка 1'!R156-'Выборка 1'!Q156))/4000</f>
        <v>-1885.75</v>
      </c>
      <c r="G156" s="44">
        <f>(('Выборка 1'!T156-'Выборка 1'!S156)+('Выборка 1'!U156-'Выборка 1'!T156)+('Выборка 1'!V156-'Выборка 1'!U156)+('Выборка 1'!W156-'Выборка 1'!V156))/4000</f>
        <v>151.75</v>
      </c>
      <c r="H156" s="44">
        <f>(('Выборка 1'!Y156-'Выборка 1'!X156)+('Выборка 1'!Z156+'Выборка 1'!Y156)+('Выборка 1'!AA156-'Выборка 1'!Z156)+('Выборка 1'!AB156-'Выборка 1'!AA156))/4000</f>
        <v>0</v>
      </c>
      <c r="I156" s="44">
        <f>(('Выборка 1'!AD156-'Выборка 1'!AC156)+('Выборка 1'!AE156-'Выборка 1'!AD156)+('Выборка 1'!AF156-'Выборка 1'!AE156)+('Выборка 1'!AG156-'Выборка 1'!AF156))/4000</f>
        <v>0</v>
      </c>
      <c r="J156" s="44">
        <f>(('Выборка 1'!AI156-'Выборка 1'!AH156)+('Выборка 1'!AJ156-'Выборка 1'!AI156)+('Выборка 1'!AK156-'Выборка 1'!AJ156)+('Выборка 1'!AL156-'Выборка 1'!AK156))/4000</f>
        <v>21.5</v>
      </c>
      <c r="K156" s="17">
        <f>(('Выборка 1'!AN156-'Выборка 1'!AM156)+('Выборка 1'!AO156-'Выборка 1'!AN156)+('Выборка 1'!AP156-'Выборка 1'!AO156)+('Выборка 1'!AQ156-'Выборка 1'!AP156))/4000</f>
        <v>-3254.75</v>
      </c>
      <c r="L156" s="44">
        <f>((('Выборка 1'!AS156+'Выборка 1'!AX156)-('Выборка 1'!AR156+'Выборка 1'!AW156))+(('Выборка 1'!AT156+'Выборка 1'!AY156)-('Выборка 1'!AS156+'Выборка 1'!AX156))+(('Выборка 1'!AU156+'Выборка 1'!AZ156)-('Выборка 1'!AT156+'Выборка 1'!AY156))+(('Выборка 1'!AV156+'Выборка 1'!BA156)-('Выборка 1'!AU156+'Выборка 1'!AZ156)))/4000</f>
        <v>-2794</v>
      </c>
      <c r="M156" s="44">
        <f>(('Выборка 1'!BC156-'Выборка 1'!BB156)+('Выборка 1'!BD156-'Выборка 1'!BC156)+('Выборка 1'!BE156-'Выборка 1'!BD156)+('Выборка 1'!BF156-'Выборка 1'!BE156))/4000</f>
        <v>0</v>
      </c>
      <c r="N156" s="44">
        <f t="shared" si="2"/>
        <v>-460.75</v>
      </c>
      <c r="O156" s="17">
        <f>((('Выборка 1'!BH156-'Выборка 1'!BM156)-('Выборка 1'!BG156-'Выборка 1'!BL156))+(('Выборка 1'!BI156-'Выборка 1'!BN156)-('Выборка 1'!BH156-'Выборка 1'!BM156))+(('Выборка 1'!BJ156-'Выборка 1'!BO156)-('Выборка 1'!BI156-'Выборка 1'!BN156))+(('Выборка 1'!BK156-'Выборка 1'!BP156)-('Выборка 1'!BJ156-'Выборка 1'!BO156)))/4000</f>
        <v>160.75</v>
      </c>
      <c r="P156" s="17">
        <f>(('Выборка 1'!BR156-'Выборка 1'!BQ156)+('Выборка 1'!BS156-'Выборка 1'!BR156)+('Выборка 1'!BT156-'Выборка 1'!BS156)+('Выборка 1'!BU156-'Выборка 1'!BT156))/4000</f>
        <v>-240</v>
      </c>
    </row>
    <row r="157" spans="2:16" x14ac:dyDescent="0.25">
      <c r="B157" s="42">
        <f>('Выборка 1'!AL157+'Выборка 1'!AG157)/1000</f>
        <v>0</v>
      </c>
      <c r="C157" s="17">
        <v>32</v>
      </c>
      <c r="D157" s="17">
        <f>(('Выборка 1'!E157-'Выборка 1'!D157)+('Выборка 1'!F157-'Выборка 1'!E157)+('Выборка 1'!G157-'Выборка 1'!F157)+('Выборка 1'!H157-'Выборка 1'!G157))/4000</f>
        <v>-387.75</v>
      </c>
      <c r="E157" s="44">
        <f>(('Выборка 1'!J157-'Выборка 1'!I157)+('Выборка 1'!K157-'Выборка 1'!J157)+('Выборка 1'!L157-'Выборка 1'!K157)+('Выборка 1'!M157-'Выборка 1'!L157))/4000</f>
        <v>-62589.5</v>
      </c>
      <c r="F157" s="17">
        <f>(('Выборка 1'!O157-'Выборка 1'!N157)+('Выборка 1'!P157-'Выборка 1'!O157)+('Выборка 1'!Q157-'Выборка 1'!P157)+('Выборка 1'!R157-'Выборка 1'!Q157))/4000</f>
        <v>-13064.5</v>
      </c>
      <c r="G157" s="44">
        <f>(('Выборка 1'!T157-'Выборка 1'!S157)+('Выборка 1'!U157-'Выборка 1'!T157)+('Выборка 1'!V157-'Выборка 1'!U157)+('Выборка 1'!W157-'Выборка 1'!V157))/4000</f>
        <v>-1101</v>
      </c>
      <c r="H157" s="44">
        <f>(('Выборка 1'!Y157-'Выборка 1'!X157)+('Выборка 1'!Z157+'Выборка 1'!Y157)+('Выборка 1'!AA157-'Выборка 1'!Z157)+('Выборка 1'!AB157-'Выборка 1'!AA157))/4000</f>
        <v>0</v>
      </c>
      <c r="I157" s="44">
        <f>(('Выборка 1'!AD157-'Выборка 1'!AC157)+('Выборка 1'!AE157-'Выборка 1'!AD157)+('Выборка 1'!AF157-'Выборка 1'!AE157)+('Выборка 1'!AG157-'Выборка 1'!AF157))/4000</f>
        <v>-11258.75</v>
      </c>
      <c r="J157" s="44">
        <f>(('Выборка 1'!AI157-'Выборка 1'!AH157)+('Выборка 1'!AJ157-'Выборка 1'!AI157)+('Выборка 1'!AK157-'Выборка 1'!AJ157)+('Выборка 1'!AL157-'Выборка 1'!AK157))/4000</f>
        <v>-42545.25</v>
      </c>
      <c r="K157" s="17">
        <f>(('Выборка 1'!AN157-'Выборка 1'!AM157)+('Выборка 1'!AO157-'Выборка 1'!AN157)+('Выборка 1'!AP157-'Выборка 1'!AO157)+('Выборка 1'!AQ157-'Выборка 1'!AP157))/4000</f>
        <v>-79844</v>
      </c>
      <c r="L157" s="44">
        <f>((('Выборка 1'!AS157+'Выборка 1'!AX157)-('Выборка 1'!AR157+'Выборка 1'!AW157))+(('Выборка 1'!AT157+'Выборка 1'!AY157)-('Выборка 1'!AS157+'Выборка 1'!AX157))+(('Выборка 1'!AU157+'Выборка 1'!AZ157)-('Выборка 1'!AT157+'Выборка 1'!AY157))+(('Выборка 1'!AV157+'Выборка 1'!BA157)-('Выборка 1'!AU157+'Выборка 1'!AZ157)))/4000</f>
        <v>-76713.5</v>
      </c>
      <c r="M157" s="44">
        <f>(('Выборка 1'!BC157-'Выборка 1'!BB157)+('Выборка 1'!BD157-'Выборка 1'!BC157)+('Выборка 1'!BE157-'Выборка 1'!BD157)+('Выборка 1'!BF157-'Выборка 1'!BE157))/4000</f>
        <v>0</v>
      </c>
      <c r="N157" s="44">
        <f t="shared" si="2"/>
        <v>-3130.5</v>
      </c>
      <c r="O157" s="17">
        <f>((('Выборка 1'!BH157-'Выборка 1'!BM157)-('Выборка 1'!BG157-'Выборка 1'!BL157))+(('Выборка 1'!BI157-'Выборка 1'!BN157)-('Выборка 1'!BH157-'Выборка 1'!BM157))+(('Выборка 1'!BJ157-'Выборка 1'!BO157)-('Выборка 1'!BI157-'Выборка 1'!BN157))+(('Выборка 1'!BK157-'Выборка 1'!BP157)-('Выборка 1'!BJ157-'Выборка 1'!BO157)))/4000</f>
        <v>34.75</v>
      </c>
      <c r="P157" s="17">
        <f>(('Выборка 1'!BR157-'Выборка 1'!BQ157)+('Выборка 1'!BS157-'Выборка 1'!BR157)+('Выборка 1'!BT157-'Выборка 1'!BS157)+('Выборка 1'!BU157-'Выборка 1'!BT157))/4000</f>
        <v>-2285.75</v>
      </c>
    </row>
    <row r="158" spans="2:16" x14ac:dyDescent="0.25">
      <c r="B158" s="42">
        <f>('Выборка 1'!AL158+'Выборка 1'!AG158)/1000</f>
        <v>19257</v>
      </c>
      <c r="C158" s="17">
        <v>8</v>
      </c>
      <c r="D158" s="17">
        <f>(('Выборка 1'!E158-'Выборка 1'!D158)+('Выборка 1'!F158-'Выборка 1'!E158)+('Выборка 1'!G158-'Выборка 1'!F158)+('Выборка 1'!H158-'Выборка 1'!G158))/4000</f>
        <v>-3074.75</v>
      </c>
      <c r="E158" s="44">
        <f>(('Выборка 1'!J158-'Выборка 1'!I158)+('Выборка 1'!K158-'Выборка 1'!J158)+('Выборка 1'!L158-'Выборка 1'!K158)+('Выборка 1'!M158-'Выборка 1'!L158))/4000</f>
        <v>-1938</v>
      </c>
      <c r="F158" s="17">
        <f>(('Выборка 1'!O158-'Выборка 1'!N158)+('Выборка 1'!P158-'Выборка 1'!O158)+('Выборка 1'!Q158-'Выборка 1'!P158)+('Выборка 1'!R158-'Выборка 1'!Q158))/4000</f>
        <v>0</v>
      </c>
      <c r="G158" s="44">
        <f>(('Выборка 1'!T158-'Выборка 1'!S158)+('Выборка 1'!U158-'Выборка 1'!T158)+('Выборка 1'!V158-'Выборка 1'!U158)+('Выборка 1'!W158-'Выборка 1'!V158))/4000</f>
        <v>171</v>
      </c>
      <c r="H158" s="44">
        <f>(('Выборка 1'!Y158-'Выборка 1'!X158)+('Выборка 1'!Z158+'Выборка 1'!Y158)+('Выборка 1'!AA158-'Выборка 1'!Z158)+('Выборка 1'!AB158-'Выборка 1'!AA158))/4000</f>
        <v>-4921.75</v>
      </c>
      <c r="I158" s="44">
        <f>(('Выборка 1'!AD158-'Выборка 1'!AC158)+('Выборка 1'!AE158-'Выборка 1'!AD158)+('Выборка 1'!AF158-'Выборка 1'!AE158)+('Выборка 1'!AG158-'Выборка 1'!AF158))/4000</f>
        <v>0</v>
      </c>
      <c r="J158" s="44">
        <f>(('Выборка 1'!AI158-'Выборка 1'!AH158)+('Выборка 1'!AJ158-'Выборка 1'!AI158)+('Выборка 1'!AK158-'Выборка 1'!AJ158)+('Выборка 1'!AL158-'Выборка 1'!AK158))/4000</f>
        <v>2410.5</v>
      </c>
      <c r="K158" s="17">
        <f>(('Выборка 1'!AN158-'Выборка 1'!AM158)+('Выборка 1'!AO158-'Выборка 1'!AN158)+('Выборка 1'!AP158-'Выборка 1'!AO158)+('Выборка 1'!AQ158-'Выборка 1'!AP158))/4000</f>
        <v>-17405.25</v>
      </c>
      <c r="L158" s="44">
        <f>((('Выборка 1'!AS158+'Выборка 1'!AX158)-('Выборка 1'!AR158+'Выборка 1'!AW158))+(('Выборка 1'!AT158+'Выборка 1'!AY158)-('Выборка 1'!AS158+'Выборка 1'!AX158))+(('Выборка 1'!AU158+'Выборка 1'!AZ158)-('Выборка 1'!AT158+'Выборка 1'!AY158))+(('Выборка 1'!AV158+'Выборка 1'!BA158)-('Выборка 1'!AU158+'Выборка 1'!AZ158)))/4000</f>
        <v>-17231.5</v>
      </c>
      <c r="M158" s="44">
        <f>(('Выборка 1'!BC158-'Выборка 1'!BB158)+('Выборка 1'!BD158-'Выборка 1'!BC158)+('Выборка 1'!BE158-'Выборка 1'!BD158)+('Выборка 1'!BF158-'Выборка 1'!BE158))/4000</f>
        <v>0</v>
      </c>
      <c r="N158" s="44">
        <f t="shared" si="2"/>
        <v>-173.75</v>
      </c>
      <c r="O158" s="17">
        <f>((('Выборка 1'!BH158-'Выборка 1'!BM158)-('Выборка 1'!BG158-'Выборка 1'!BL158))+(('Выборка 1'!BI158-'Выборка 1'!BN158)-('Выборка 1'!BH158-'Выборка 1'!BM158))+(('Выборка 1'!BJ158-'Выборка 1'!BO158)-('Выборка 1'!BI158-'Выборка 1'!BN158))+(('Выборка 1'!BK158-'Выборка 1'!BP158)-('Выборка 1'!BJ158-'Выборка 1'!BO158)))/4000</f>
        <v>0</v>
      </c>
      <c r="P158" s="17">
        <f>(('Выборка 1'!BR158-'Выборка 1'!BQ158)+('Выборка 1'!BS158-'Выборка 1'!BR158)+('Выборка 1'!BT158-'Выборка 1'!BS158)+('Выборка 1'!BU158-'Выборка 1'!BT158))/4000</f>
        <v>-208.5</v>
      </c>
    </row>
    <row r="159" spans="2:16" x14ac:dyDescent="0.25">
      <c r="B159" s="42">
        <f>('Выборка 1'!AL159+'Выборка 1'!AG159)/1000</f>
        <v>0</v>
      </c>
      <c r="C159" s="17">
        <v>10</v>
      </c>
      <c r="D159" s="17">
        <f>(('Выборка 1'!E159-'Выборка 1'!D159)+('Выборка 1'!F159-'Выборка 1'!E159)+('Выборка 1'!G159-'Выборка 1'!F159)+('Выборка 1'!H159-'Выборка 1'!G159))/4000</f>
        <v>-834.25</v>
      </c>
      <c r="E159" s="44">
        <f>(('Выборка 1'!J159-'Выборка 1'!I159)+('Выборка 1'!K159-'Выборка 1'!J159)+('Выборка 1'!L159-'Выборка 1'!K159)+('Выборка 1'!M159-'Выборка 1'!L159))/4000</f>
        <v>-3775.5</v>
      </c>
      <c r="F159" s="17">
        <f>(('Выборка 1'!O159-'Выборка 1'!N159)+('Выборка 1'!P159-'Выборка 1'!O159)+('Выборка 1'!Q159-'Выборка 1'!P159)+('Выборка 1'!R159-'Выборка 1'!Q159))/4000</f>
        <v>-930.25</v>
      </c>
      <c r="G159" s="44">
        <f>(('Выборка 1'!T159-'Выборка 1'!S159)+('Выборка 1'!U159-'Выборка 1'!T159)+('Выборка 1'!V159-'Выборка 1'!U159)+('Выборка 1'!W159-'Выборка 1'!V159))/4000</f>
        <v>-17</v>
      </c>
      <c r="H159" s="44">
        <f>(('Выборка 1'!Y159-'Выборка 1'!X159)+('Выборка 1'!Z159+'Выборка 1'!Y159)+('Выборка 1'!AA159-'Выборка 1'!Z159)+('Выборка 1'!AB159-'Выборка 1'!AA159))/4000</f>
        <v>0</v>
      </c>
      <c r="I159" s="44">
        <f>(('Выборка 1'!AD159-'Выборка 1'!AC159)+('Выборка 1'!AE159-'Выборка 1'!AD159)+('Выборка 1'!AF159-'Выборка 1'!AE159)+('Выборка 1'!AG159-'Выборка 1'!AF159))/4000</f>
        <v>0</v>
      </c>
      <c r="J159" s="44">
        <f>(('Выборка 1'!AI159-'Выборка 1'!AH159)+('Выборка 1'!AJ159-'Выборка 1'!AI159)+('Выборка 1'!AK159-'Выборка 1'!AJ159)+('Выборка 1'!AL159-'Выборка 1'!AK159))/4000</f>
        <v>-118</v>
      </c>
      <c r="K159" s="17">
        <f>(('Выборка 1'!AN159-'Выборка 1'!AM159)+('Выборка 1'!AO159-'Выборка 1'!AN159)+('Выборка 1'!AP159-'Выборка 1'!AO159)+('Выборка 1'!AQ159-'Выборка 1'!AP159))/4000</f>
        <v>-11910.25</v>
      </c>
      <c r="L159" s="44">
        <f>((('Выборка 1'!AS159+'Выборка 1'!AX159)-('Выборка 1'!AR159+'Выборка 1'!AW159))+(('Выборка 1'!AT159+'Выборка 1'!AY159)-('Выборка 1'!AS159+'Выборка 1'!AX159))+(('Выборка 1'!AU159+'Выборка 1'!AZ159)-('Выборка 1'!AT159+'Выборка 1'!AY159))+(('Выборка 1'!AV159+'Выборка 1'!BA159)-('Выборка 1'!AU159+'Выборка 1'!AZ159)))/4000</f>
        <v>-11470.25</v>
      </c>
      <c r="M159" s="44">
        <f>(('Выборка 1'!BC159-'Выборка 1'!BB159)+('Выборка 1'!BD159-'Выборка 1'!BC159)+('Выборка 1'!BE159-'Выборка 1'!BD159)+('Выборка 1'!BF159-'Выборка 1'!BE159))/4000</f>
        <v>0</v>
      </c>
      <c r="N159" s="44">
        <f t="shared" si="2"/>
        <v>-440</v>
      </c>
      <c r="O159" s="17">
        <f>((('Выборка 1'!BH159-'Выборка 1'!BM159)-('Выборка 1'!BG159-'Выборка 1'!BL159))+(('Выборка 1'!BI159-'Выборка 1'!BN159)-('Выборка 1'!BH159-'Выборка 1'!BM159))+(('Выборка 1'!BJ159-'Выборка 1'!BO159)-('Выборка 1'!BI159-'Выборка 1'!BN159))+(('Выборка 1'!BK159-'Выборка 1'!BP159)-('Выборка 1'!BJ159-'Выборка 1'!BO159)))/4000</f>
        <v>366</v>
      </c>
      <c r="P159" s="17">
        <f>(('Выборка 1'!BR159-'Выборка 1'!BQ159)+('Выборка 1'!BS159-'Выборка 1'!BR159)+('Выборка 1'!BT159-'Выборка 1'!BS159)+('Выборка 1'!BU159-'Выборка 1'!BT159))/4000</f>
        <v>-59.25</v>
      </c>
    </row>
    <row r="160" spans="2:16" x14ac:dyDescent="0.25">
      <c r="B160" s="42">
        <f>('Выборка 1'!AL160+'Выборка 1'!AG160)/1000</f>
        <v>0</v>
      </c>
      <c r="C160" s="17">
        <v>28</v>
      </c>
      <c r="D160" s="17">
        <f>(('Выборка 1'!E160-'Выборка 1'!D160)+('Выборка 1'!F160-'Выборка 1'!E160)+('Выборка 1'!G160-'Выборка 1'!F160)+('Выборка 1'!H160-'Выборка 1'!G160))/4000</f>
        <v>0</v>
      </c>
      <c r="E160" s="44">
        <f>(('Выборка 1'!J160-'Выборка 1'!I160)+('Выборка 1'!K160-'Выборка 1'!J160)+('Выборка 1'!L160-'Выборка 1'!K160)+('Выборка 1'!M160-'Выборка 1'!L160))/4000</f>
        <v>0</v>
      </c>
      <c r="F160" s="17">
        <f>(('Выборка 1'!O160-'Выборка 1'!N160)+('Выборка 1'!P160-'Выборка 1'!O160)+('Выборка 1'!Q160-'Выборка 1'!P160)+('Выборка 1'!R160-'Выборка 1'!Q160))/4000</f>
        <v>0</v>
      </c>
      <c r="G160" s="44">
        <f>(('Выборка 1'!T160-'Выборка 1'!S160)+('Выборка 1'!U160-'Выборка 1'!T160)+('Выборка 1'!V160-'Выборка 1'!U160)+('Выборка 1'!W160-'Выборка 1'!V160))/4000</f>
        <v>0</v>
      </c>
      <c r="H160" s="44">
        <f>(('Выборка 1'!Y160-'Выборка 1'!X160)+('Выборка 1'!Z160+'Выборка 1'!Y160)+('Выборка 1'!AA160-'Выборка 1'!Z160)+('Выборка 1'!AB160-'Выборка 1'!AA160))/4000</f>
        <v>0</v>
      </c>
      <c r="I160" s="44">
        <f>(('Выборка 1'!AD160-'Выборка 1'!AC160)+('Выборка 1'!AE160-'Выборка 1'!AD160)+('Выборка 1'!AF160-'Выборка 1'!AE160)+('Выборка 1'!AG160-'Выборка 1'!AF160))/4000</f>
        <v>0</v>
      </c>
      <c r="J160" s="44">
        <f>(('Выборка 1'!AI160-'Выборка 1'!AH160)+('Выборка 1'!AJ160-'Выборка 1'!AI160)+('Выборка 1'!AK160-'Выборка 1'!AJ160)+('Выборка 1'!AL160-'Выборка 1'!AK160))/4000</f>
        <v>0</v>
      </c>
      <c r="K160" s="17">
        <f>(('Выборка 1'!AN160-'Выборка 1'!AM160)+('Выборка 1'!AO160-'Выборка 1'!AN160)+('Выборка 1'!AP160-'Выборка 1'!AO160)+('Выборка 1'!AQ160-'Выборка 1'!AP160))/4000</f>
        <v>0</v>
      </c>
      <c r="L160" s="44">
        <f>((('Выборка 1'!AS160+'Выборка 1'!AX160)-('Выборка 1'!AR160+'Выборка 1'!AW160))+(('Выборка 1'!AT160+'Выборка 1'!AY160)-('Выборка 1'!AS160+'Выборка 1'!AX160))+(('Выборка 1'!AU160+'Выборка 1'!AZ160)-('Выборка 1'!AT160+'Выборка 1'!AY160))+(('Выборка 1'!AV160+'Выборка 1'!BA160)-('Выборка 1'!AU160+'Выборка 1'!AZ160)))/4000</f>
        <v>0</v>
      </c>
      <c r="M160" s="44">
        <f>(('Выборка 1'!BC160-'Выборка 1'!BB160)+('Выборка 1'!BD160-'Выборка 1'!BC160)+('Выборка 1'!BE160-'Выборка 1'!BD160)+('Выборка 1'!BF160-'Выборка 1'!BE160))/4000</f>
        <v>0</v>
      </c>
      <c r="N160" s="44">
        <f t="shared" si="2"/>
        <v>0</v>
      </c>
      <c r="O160" s="17">
        <f>((('Выборка 1'!BH160-'Выборка 1'!BM160)-('Выборка 1'!BG160-'Выборка 1'!BL160))+(('Выборка 1'!BI160-'Выборка 1'!BN160)-('Выборка 1'!BH160-'Выборка 1'!BM160))+(('Выборка 1'!BJ160-'Выборка 1'!BO160)-('Выборка 1'!BI160-'Выборка 1'!BN160))+(('Выборка 1'!BK160-'Выборка 1'!BP160)-('Выборка 1'!BJ160-'Выборка 1'!BO160)))/4000</f>
        <v>0</v>
      </c>
      <c r="P160" s="17">
        <f>(('Выборка 1'!BR160-'Выборка 1'!BQ160)+('Выборка 1'!BS160-'Выборка 1'!BR160)+('Выборка 1'!BT160-'Выборка 1'!BS160)+('Выборка 1'!BU160-'Выборка 1'!BT160))/4000</f>
        <v>0</v>
      </c>
    </row>
    <row r="161" spans="2:16" x14ac:dyDescent="0.25">
      <c r="B161" s="42">
        <f>('Выборка 1'!AL161+'Выборка 1'!AG161)/1000</f>
        <v>49214</v>
      </c>
      <c r="C161" s="17">
        <v>6</v>
      </c>
      <c r="D161" s="17">
        <f>(('Выборка 1'!E161-'Выборка 1'!D161)+('Выборка 1'!F161-'Выборка 1'!E161)+('Выборка 1'!G161-'Выборка 1'!F161)+('Выборка 1'!H161-'Выборка 1'!G161))/4000</f>
        <v>0</v>
      </c>
      <c r="E161" s="44">
        <f>(('Выборка 1'!J161-'Выборка 1'!I161)+('Выборка 1'!K161-'Выборка 1'!J161)+('Выборка 1'!L161-'Выборка 1'!K161)+('Выборка 1'!M161-'Выборка 1'!L161))/4000</f>
        <v>-3892.75</v>
      </c>
      <c r="F161" s="17">
        <f>(('Выборка 1'!O161-'Выборка 1'!N161)+('Выборка 1'!P161-'Выборка 1'!O161)+('Выборка 1'!Q161-'Выборка 1'!P161)+('Выборка 1'!R161-'Выборка 1'!Q161))/4000</f>
        <v>-443</v>
      </c>
      <c r="G161" s="44">
        <f>(('Выборка 1'!T161-'Выборка 1'!S161)+('Выборка 1'!U161-'Выборка 1'!T161)+('Выборка 1'!V161-'Выборка 1'!U161)+('Выборка 1'!W161-'Выборка 1'!V161))/4000</f>
        <v>-73</v>
      </c>
      <c r="H161" s="44">
        <f>(('Выборка 1'!Y161-'Выборка 1'!X161)+('Выборка 1'!Z161+'Выборка 1'!Y161)+('Выборка 1'!AA161-'Выборка 1'!Z161)+('Выборка 1'!AB161-'Выборка 1'!AA161))/4000</f>
        <v>-11325.5</v>
      </c>
      <c r="I161" s="44">
        <f>(('Выборка 1'!AD161-'Выборка 1'!AC161)+('Выборка 1'!AE161-'Выборка 1'!AD161)+('Выборка 1'!AF161-'Выборка 1'!AE161)+('Выборка 1'!AG161-'Выборка 1'!AF161))/4000</f>
        <v>-1104</v>
      </c>
      <c r="J161" s="44">
        <f>(('Выборка 1'!AI161-'Выборка 1'!AH161)+('Выборка 1'!AJ161-'Выборка 1'!AI161)+('Выборка 1'!AK161-'Выборка 1'!AJ161)+('Выборка 1'!AL161-'Выборка 1'!AK161))/4000</f>
        <v>8244.5</v>
      </c>
      <c r="K161" s="17">
        <f>(('Выборка 1'!AN161-'Выборка 1'!AM161)+('Выборка 1'!AO161-'Выборка 1'!AN161)+('Выборка 1'!AP161-'Выборка 1'!AO161)+('Выборка 1'!AQ161-'Выборка 1'!AP161))/4000</f>
        <v>-55357</v>
      </c>
      <c r="L161" s="44">
        <f>((('Выборка 1'!AS161+'Выборка 1'!AX161)-('Выборка 1'!AR161+'Выборка 1'!AW161))+(('Выборка 1'!AT161+'Выборка 1'!AY161)-('Выборка 1'!AS161+'Выборка 1'!AX161))+(('Выборка 1'!AU161+'Выборка 1'!AZ161)-('Выборка 1'!AT161+'Выборка 1'!AY161))+(('Выборка 1'!AV161+'Выборка 1'!BA161)-('Выборка 1'!AU161+'Выборка 1'!AZ161)))/4000</f>
        <v>-43629.5</v>
      </c>
      <c r="M161" s="44">
        <f>(('Выборка 1'!BC161-'Выборка 1'!BB161)+('Выборка 1'!BD161-'Выборка 1'!BC161)+('Выборка 1'!BE161-'Выборка 1'!BD161)+('Выборка 1'!BF161-'Выборка 1'!BE161))/4000</f>
        <v>675.75</v>
      </c>
      <c r="N161" s="44">
        <f t="shared" si="2"/>
        <v>-12403.25</v>
      </c>
      <c r="O161" s="17">
        <f>((('Выборка 1'!BH161-'Выборка 1'!BM161)-('Выборка 1'!BG161-'Выборка 1'!BL161))+(('Выборка 1'!BI161-'Выборка 1'!BN161)-('Выборка 1'!BH161-'Выборка 1'!BM161))+(('Выборка 1'!BJ161-'Выборка 1'!BO161)-('Выборка 1'!BI161-'Выборка 1'!BN161))+(('Выборка 1'!BK161-'Выборка 1'!BP161)-('Выборка 1'!BJ161-'Выборка 1'!BO161)))/4000</f>
        <v>7</v>
      </c>
      <c r="P161" s="17">
        <f>(('Выборка 1'!BR161-'Выборка 1'!BQ161)+('Выборка 1'!BS161-'Выборка 1'!BR161)+('Выборка 1'!BT161-'Выборка 1'!BS161)+('Выборка 1'!BU161-'Выборка 1'!BT161))/4000</f>
        <v>-12209.25</v>
      </c>
    </row>
    <row r="162" spans="2:16" x14ac:dyDescent="0.25">
      <c r="B162" s="42">
        <f>('Выборка 1'!AL162+'Выборка 1'!AG162)/1000</f>
        <v>22915</v>
      </c>
      <c r="C162" s="17">
        <v>8</v>
      </c>
      <c r="D162" s="17">
        <f>(('Выборка 1'!E162-'Выборка 1'!D162)+('Выборка 1'!F162-'Выборка 1'!E162)+('Выборка 1'!G162-'Выборка 1'!F162)+('Выборка 1'!H162-'Выборка 1'!G162))/4000</f>
        <v>-1050.75</v>
      </c>
      <c r="E162" s="44">
        <f>(('Выборка 1'!J162-'Выборка 1'!I162)+('Выборка 1'!K162-'Выборка 1'!J162)+('Выборка 1'!L162-'Выборка 1'!K162)+('Выборка 1'!M162-'Выборка 1'!L162))/4000</f>
        <v>0</v>
      </c>
      <c r="F162" s="17">
        <f>(('Выборка 1'!O162-'Выборка 1'!N162)+('Выборка 1'!P162-'Выборка 1'!O162)+('Выборка 1'!Q162-'Выборка 1'!P162)+('Выборка 1'!R162-'Выборка 1'!Q162))/4000</f>
        <v>-1692</v>
      </c>
      <c r="G162" s="44">
        <f>(('Выборка 1'!T162-'Выборка 1'!S162)+('Выборка 1'!U162-'Выборка 1'!T162)+('Выборка 1'!V162-'Выборка 1'!U162)+('Выборка 1'!W162-'Выборка 1'!V162))/4000</f>
        <v>-60.5</v>
      </c>
      <c r="H162" s="44">
        <f>(('Выборка 1'!Y162-'Выборка 1'!X162)+('Выборка 1'!Z162+'Выборка 1'!Y162)+('Выборка 1'!AA162-'Выборка 1'!Z162)+('Выборка 1'!AB162-'Выборка 1'!AA162))/4000</f>
        <v>0</v>
      </c>
      <c r="I162" s="44">
        <f>(('Выборка 1'!AD162-'Выборка 1'!AC162)+('Выборка 1'!AE162-'Выборка 1'!AD162)+('Выборка 1'!AF162-'Выборка 1'!AE162)+('Выборка 1'!AG162-'Выборка 1'!AF162))/4000</f>
        <v>0</v>
      </c>
      <c r="J162" s="44">
        <f>(('Выборка 1'!AI162-'Выборка 1'!AH162)+('Выборка 1'!AJ162-'Выборка 1'!AI162)+('Выборка 1'!AK162-'Выборка 1'!AJ162)+('Выборка 1'!AL162-'Выборка 1'!AK162))/4000</f>
        <v>486.25</v>
      </c>
      <c r="K162" s="17">
        <f>(('Выборка 1'!AN162-'Выборка 1'!AM162)+('Выборка 1'!AO162-'Выборка 1'!AN162)+('Выборка 1'!AP162-'Выборка 1'!AO162)+('Выборка 1'!AQ162-'Выборка 1'!AP162))/4000</f>
        <v>-10366.25</v>
      </c>
      <c r="L162" s="44">
        <f>((('Выборка 1'!AS162+'Выборка 1'!AX162)-('Выборка 1'!AR162+'Выборка 1'!AW162))+(('Выборка 1'!AT162+'Выборка 1'!AY162)-('Выборка 1'!AS162+'Выборка 1'!AX162))+(('Выборка 1'!AU162+'Выборка 1'!AZ162)-('Выборка 1'!AT162+'Выборка 1'!AY162))+(('Выборка 1'!AV162+'Выборка 1'!BA162)-('Выборка 1'!AU162+'Выборка 1'!AZ162)))/4000</f>
        <v>-10307.25</v>
      </c>
      <c r="M162" s="44">
        <f>(('Выборка 1'!BC162-'Выборка 1'!BB162)+('Выборка 1'!BD162-'Выборка 1'!BC162)+('Выборка 1'!BE162-'Выборка 1'!BD162)+('Выборка 1'!BF162-'Выборка 1'!BE162))/4000</f>
        <v>0</v>
      </c>
      <c r="N162" s="44">
        <f t="shared" si="2"/>
        <v>-59</v>
      </c>
      <c r="O162" s="17">
        <f>((('Выборка 1'!BH162-'Выборка 1'!BM162)-('Выборка 1'!BG162-'Выборка 1'!BL162))+(('Выборка 1'!BI162-'Выборка 1'!BN162)-('Выборка 1'!BH162-'Выборка 1'!BM162))+(('Выборка 1'!BJ162-'Выборка 1'!BO162)-('Выборка 1'!BI162-'Выборка 1'!BN162))+(('Выборка 1'!BK162-'Выборка 1'!BP162)-('Выборка 1'!BJ162-'Выборка 1'!BO162)))/4000</f>
        <v>-117</v>
      </c>
      <c r="P162" s="17">
        <f>(('Выборка 1'!BR162-'Выборка 1'!BQ162)+('Выборка 1'!BS162-'Выборка 1'!BR162)+('Выборка 1'!BT162-'Выборка 1'!BS162)+('Выборка 1'!BU162-'Выборка 1'!BT162))/4000</f>
        <v>-114.5</v>
      </c>
    </row>
    <row r="163" spans="2:16" x14ac:dyDescent="0.25">
      <c r="B163" s="42">
        <f>('Выборка 1'!AL163+'Выборка 1'!AG163)/1000</f>
        <v>0</v>
      </c>
      <c r="C163" s="17">
        <v>19</v>
      </c>
      <c r="D163" s="17">
        <f>(('Выборка 1'!E163-'Выборка 1'!D163)+('Выборка 1'!F163-'Выборка 1'!E163)+('Выборка 1'!G163-'Выборка 1'!F163)+('Выборка 1'!H163-'Выборка 1'!G163))/4000</f>
        <v>0</v>
      </c>
      <c r="E163" s="44">
        <f>(('Выборка 1'!J163-'Выборка 1'!I163)+('Выборка 1'!K163-'Выборка 1'!J163)+('Выборка 1'!L163-'Выборка 1'!K163)+('Выборка 1'!M163-'Выборка 1'!L163))/4000</f>
        <v>0</v>
      </c>
      <c r="F163" s="17">
        <f>(('Выборка 1'!O163-'Выборка 1'!N163)+('Выборка 1'!P163-'Выборка 1'!O163)+('Выборка 1'!Q163-'Выборка 1'!P163)+('Выборка 1'!R163-'Выборка 1'!Q163))/4000</f>
        <v>-350</v>
      </c>
      <c r="G163" s="44">
        <f>(('Выборка 1'!T163-'Выборка 1'!S163)+('Выборка 1'!U163-'Выборка 1'!T163)+('Выборка 1'!V163-'Выборка 1'!U163)+('Выборка 1'!W163-'Выборка 1'!V163))/4000</f>
        <v>-5.5</v>
      </c>
      <c r="H163" s="44">
        <f>(('Выборка 1'!Y163-'Выборка 1'!X163)+('Выборка 1'!Z163+'Выборка 1'!Y163)+('Выборка 1'!AA163-'Выборка 1'!Z163)+('Выборка 1'!AB163-'Выборка 1'!AA163))/4000</f>
        <v>306.25</v>
      </c>
      <c r="I163" s="44">
        <f>(('Выборка 1'!AD163-'Выборка 1'!AC163)+('Выборка 1'!AE163-'Выборка 1'!AD163)+('Выборка 1'!AF163-'Выборка 1'!AE163)+('Выборка 1'!AG163-'Выборка 1'!AF163))/4000</f>
        <v>0</v>
      </c>
      <c r="J163" s="44">
        <f>(('Выборка 1'!AI163-'Выборка 1'!AH163)+('Выборка 1'!AJ163-'Выборка 1'!AI163)+('Выборка 1'!AK163-'Выборка 1'!AJ163)+('Выборка 1'!AL163-'Выборка 1'!AK163))/4000</f>
        <v>-695.5</v>
      </c>
      <c r="K163" s="17">
        <f>(('Выборка 1'!AN163-'Выборка 1'!AM163)+('Выборка 1'!AO163-'Выборка 1'!AN163)+('Выборка 1'!AP163-'Выборка 1'!AO163)+('Выборка 1'!AQ163-'Выборка 1'!AP163))/4000</f>
        <v>-190.75</v>
      </c>
      <c r="L163" s="44">
        <f>((('Выборка 1'!AS163+'Выборка 1'!AX163)-('Выборка 1'!AR163+'Выборка 1'!AW163))+(('Выборка 1'!AT163+'Выборка 1'!AY163)-('Выборка 1'!AS163+'Выборка 1'!AX163))+(('Выборка 1'!AU163+'Выборка 1'!AZ163)-('Выборка 1'!AT163+'Выборка 1'!AY163))+(('Выборка 1'!AV163+'Выборка 1'!BA163)-('Выборка 1'!AU163+'Выборка 1'!AZ163)))/4000</f>
        <v>-177.5</v>
      </c>
      <c r="M163" s="44">
        <f>(('Выборка 1'!BC163-'Выборка 1'!BB163)+('Выборка 1'!BD163-'Выборка 1'!BC163)+('Выборка 1'!BE163-'Выборка 1'!BD163)+('Выборка 1'!BF163-'Выборка 1'!BE163))/4000</f>
        <v>0</v>
      </c>
      <c r="N163" s="44">
        <f t="shared" si="2"/>
        <v>-13.25</v>
      </c>
      <c r="O163" s="17">
        <f>((('Выборка 1'!BH163-'Выборка 1'!BM163)-('Выборка 1'!BG163-'Выборка 1'!BL163))+(('Выборка 1'!BI163-'Выборка 1'!BN163)-('Выборка 1'!BH163-'Выборка 1'!BM163))+(('Выборка 1'!BJ163-'Выборка 1'!BO163)-('Выборка 1'!BI163-'Выборка 1'!BN163))+(('Выборка 1'!BK163-'Выборка 1'!BP163)-('Выборка 1'!BJ163-'Выборка 1'!BO163)))/4000</f>
        <v>-37.5</v>
      </c>
      <c r="P163" s="17">
        <f>(('Выборка 1'!BR163-'Выборка 1'!BQ163)+('Выборка 1'!BS163-'Выборка 1'!BR163)+('Выборка 1'!BT163-'Выборка 1'!BS163)+('Выборка 1'!BU163-'Выборка 1'!BT163))/4000</f>
        <v>-50.75</v>
      </c>
    </row>
    <row r="164" spans="2:16" x14ac:dyDescent="0.25">
      <c r="B164" s="42">
        <f>('Выборка 1'!AL164+'Выборка 1'!AG164)/1000</f>
        <v>0</v>
      </c>
      <c r="C164" s="17">
        <v>9</v>
      </c>
      <c r="D164" s="17">
        <f>(('Выборка 1'!E164-'Выборка 1'!D164)+('Выборка 1'!F164-'Выборка 1'!E164)+('Выборка 1'!G164-'Выборка 1'!F164)+('Выборка 1'!H164-'Выборка 1'!G164))/4000</f>
        <v>0</v>
      </c>
      <c r="E164" s="44">
        <f>(('Выборка 1'!J164-'Выборка 1'!I164)+('Выборка 1'!K164-'Выборка 1'!J164)+('Выборка 1'!L164-'Выборка 1'!K164)+('Выборка 1'!M164-'Выборка 1'!L164))/4000</f>
        <v>0</v>
      </c>
      <c r="F164" s="17">
        <f>(('Выборка 1'!O164-'Выборка 1'!N164)+('Выборка 1'!P164-'Выборка 1'!O164)+('Выборка 1'!Q164-'Выборка 1'!P164)+('Выборка 1'!R164-'Выборка 1'!Q164))/4000</f>
        <v>-1942.75</v>
      </c>
      <c r="G164" s="44">
        <f>(('Выборка 1'!T164-'Выборка 1'!S164)+('Выборка 1'!U164-'Выборка 1'!T164)+('Выборка 1'!V164-'Выборка 1'!U164)+('Выборка 1'!W164-'Выборка 1'!V164))/4000</f>
        <v>0</v>
      </c>
      <c r="H164" s="44">
        <f>(('Выборка 1'!Y164-'Выборка 1'!X164)+('Выборка 1'!Z164+'Выборка 1'!Y164)+('Выборка 1'!AA164-'Выборка 1'!Z164)+('Выборка 1'!AB164-'Выборка 1'!AA164))/4000</f>
        <v>0</v>
      </c>
      <c r="I164" s="44">
        <f>(('Выборка 1'!AD164-'Выборка 1'!AC164)+('Выборка 1'!AE164-'Выборка 1'!AD164)+('Выборка 1'!AF164-'Выборка 1'!AE164)+('Выборка 1'!AG164-'Выборка 1'!AF164))/4000</f>
        <v>0</v>
      </c>
      <c r="J164" s="44">
        <f>(('Выборка 1'!AI164-'Выборка 1'!AH164)+('Выборка 1'!AJ164-'Выборка 1'!AI164)+('Выборка 1'!AK164-'Выборка 1'!AJ164)+('Выборка 1'!AL164-'Выборка 1'!AK164))/4000</f>
        <v>-8898</v>
      </c>
      <c r="K164" s="17">
        <f>(('Выборка 1'!AN164-'Выборка 1'!AM164)+('Выборка 1'!AO164-'Выборка 1'!AN164)+('Выборка 1'!AP164-'Выборка 1'!AO164)+('Выборка 1'!AQ164-'Выборка 1'!AP164))/4000</f>
        <v>0</v>
      </c>
      <c r="L164" s="44">
        <f>((('Выборка 1'!AS164+'Выборка 1'!AX164)-('Выборка 1'!AR164+'Выборка 1'!AW164))+(('Выборка 1'!AT164+'Выборка 1'!AY164)-('Выборка 1'!AS164+'Выборка 1'!AX164))+(('Выборка 1'!AU164+'Выборка 1'!AZ164)-('Выборка 1'!AT164+'Выборка 1'!AY164))+(('Выборка 1'!AV164+'Выборка 1'!BA164)-('Выборка 1'!AU164+'Выборка 1'!AZ164)))/4000</f>
        <v>0</v>
      </c>
      <c r="M164" s="44">
        <f>(('Выборка 1'!BC164-'Выборка 1'!BB164)+('Выборка 1'!BD164-'Выборка 1'!BC164)+('Выборка 1'!BE164-'Выборка 1'!BD164)+('Выборка 1'!BF164-'Выборка 1'!BE164))/4000</f>
        <v>0</v>
      </c>
      <c r="N164" s="44">
        <f t="shared" si="2"/>
        <v>0</v>
      </c>
      <c r="O164" s="17">
        <f>((('Выборка 1'!BH164-'Выборка 1'!BM164)-('Выборка 1'!BG164-'Выборка 1'!BL164))+(('Выборка 1'!BI164-'Выборка 1'!BN164)-('Выборка 1'!BH164-'Выборка 1'!BM164))+(('Выборка 1'!BJ164-'Выборка 1'!BO164)-('Выборка 1'!BI164-'Выборка 1'!BN164))+(('Выборка 1'!BK164-'Выборка 1'!BP164)-('Выборка 1'!BJ164-'Выборка 1'!BO164)))/4000</f>
        <v>2148.75</v>
      </c>
      <c r="P164" s="17">
        <f>(('Выборка 1'!BR164-'Выборка 1'!BQ164)+('Выборка 1'!BS164-'Выборка 1'!BR164)+('Выборка 1'!BT164-'Выборка 1'!BS164)+('Выборка 1'!BU164-'Выборка 1'!BT164))/4000</f>
        <v>2148.75</v>
      </c>
    </row>
    <row r="165" spans="2:16" x14ac:dyDescent="0.25">
      <c r="B165" s="42">
        <f>('Выборка 1'!AL165+'Выборка 1'!AG165)/1000</f>
        <v>56075</v>
      </c>
      <c r="C165" s="17">
        <v>11</v>
      </c>
      <c r="D165" s="17">
        <f>(('Выборка 1'!E165-'Выборка 1'!D165)+('Выборка 1'!F165-'Выборка 1'!E165)+('Выборка 1'!G165-'Выборка 1'!F165)+('Выборка 1'!H165-'Выборка 1'!G165))/4000</f>
        <v>0</v>
      </c>
      <c r="E165" s="44">
        <f>(('Выборка 1'!J165-'Выборка 1'!I165)+('Выборка 1'!K165-'Выборка 1'!J165)+('Выборка 1'!L165-'Выборка 1'!K165)+('Выборка 1'!M165-'Выборка 1'!L165))/4000</f>
        <v>0</v>
      </c>
      <c r="F165" s="17">
        <f>(('Выборка 1'!O165-'Выборка 1'!N165)+('Выборка 1'!P165-'Выборка 1'!O165)+('Выборка 1'!Q165-'Выборка 1'!P165)+('Выборка 1'!R165-'Выборка 1'!Q165))/4000</f>
        <v>-4326.5</v>
      </c>
      <c r="G165" s="44">
        <f>(('Выборка 1'!T165-'Выборка 1'!S165)+('Выборка 1'!U165-'Выборка 1'!T165)+('Выборка 1'!V165-'Выборка 1'!U165)+('Выборка 1'!W165-'Выборка 1'!V165))/4000</f>
        <v>549.25</v>
      </c>
      <c r="H165" s="44">
        <f>(('Выборка 1'!Y165-'Выборка 1'!X165)+('Выборка 1'!Z165+'Выборка 1'!Y165)+('Выборка 1'!AA165-'Выборка 1'!Z165)+('Выборка 1'!AB165-'Выборка 1'!AA165))/4000</f>
        <v>-20170.75</v>
      </c>
      <c r="I165" s="44">
        <f>(('Выборка 1'!AD165-'Выборка 1'!AC165)+('Выборка 1'!AE165-'Выборка 1'!AD165)+('Выборка 1'!AF165-'Выборка 1'!AE165)+('Выборка 1'!AG165-'Выборка 1'!AF165))/4000</f>
        <v>0</v>
      </c>
      <c r="J165" s="44">
        <f>(('Выборка 1'!AI165-'Выборка 1'!AH165)+('Выборка 1'!AJ165-'Выборка 1'!AI165)+('Выборка 1'!AK165-'Выборка 1'!AJ165)+('Выборка 1'!AL165-'Выборка 1'!AK165))/4000</f>
        <v>-3286</v>
      </c>
      <c r="K165" s="17">
        <f>(('Выборка 1'!AN165-'Выборка 1'!AM165)+('Выборка 1'!AO165-'Выборка 1'!AN165)+('Выборка 1'!AP165-'Выборка 1'!AO165)+('Выборка 1'!AQ165-'Выборка 1'!AP165))/4000</f>
        <v>0</v>
      </c>
      <c r="L165" s="44">
        <f>((('Выборка 1'!AS165+'Выборка 1'!AX165)-('Выборка 1'!AR165+'Выборка 1'!AW165))+(('Выборка 1'!AT165+'Выборка 1'!AY165)-('Выборка 1'!AS165+'Выборка 1'!AX165))+(('Выборка 1'!AU165+'Выборка 1'!AZ165)-('Выборка 1'!AT165+'Выборка 1'!AY165))+(('Выборка 1'!AV165+'Выборка 1'!BA165)-('Выборка 1'!AU165+'Выборка 1'!AZ165)))/4000</f>
        <v>0</v>
      </c>
      <c r="M165" s="44">
        <f>(('Выборка 1'!BC165-'Выборка 1'!BB165)+('Выборка 1'!BD165-'Выборка 1'!BC165)+('Выборка 1'!BE165-'Выборка 1'!BD165)+('Выборка 1'!BF165-'Выборка 1'!BE165))/4000</f>
        <v>0</v>
      </c>
      <c r="N165" s="44">
        <f t="shared" si="2"/>
        <v>0</v>
      </c>
      <c r="O165" s="17">
        <f>((('Выборка 1'!BH165-'Выборка 1'!BM165)-('Выборка 1'!BG165-'Выборка 1'!BL165))+(('Выборка 1'!BI165-'Выборка 1'!BN165)-('Выборка 1'!BH165-'Выборка 1'!BM165))+(('Выборка 1'!BJ165-'Выборка 1'!BO165)-('Выборка 1'!BI165-'Выборка 1'!BN165))+(('Выборка 1'!BK165-'Выборка 1'!BP165)-('Выборка 1'!BJ165-'Выборка 1'!BO165)))/4000</f>
        <v>697.75</v>
      </c>
      <c r="P165" s="17">
        <f>(('Выборка 1'!BR165-'Выборка 1'!BQ165)+('Выборка 1'!BS165-'Выборка 1'!BR165)+('Выборка 1'!BT165-'Выборка 1'!BS165)+('Выборка 1'!BU165-'Выборка 1'!BT165))/4000</f>
        <v>695</v>
      </c>
    </row>
    <row r="166" spans="2:16" x14ac:dyDescent="0.25">
      <c r="B166" s="42">
        <f>('Выборка 1'!AL166+'Выборка 1'!AG166)/1000</f>
        <v>118953</v>
      </c>
      <c r="C166" s="17">
        <v>14</v>
      </c>
      <c r="D166" s="17">
        <f>(('Выборка 1'!E166-'Выборка 1'!D166)+('Выборка 1'!F166-'Выборка 1'!E166)+('Выборка 1'!G166-'Выборка 1'!F166)+('Выборка 1'!H166-'Выборка 1'!G166))/4000</f>
        <v>0</v>
      </c>
      <c r="E166" s="44">
        <f>(('Выборка 1'!J166-'Выборка 1'!I166)+('Выборка 1'!K166-'Выборка 1'!J166)+('Выборка 1'!L166-'Выборка 1'!K166)+('Выборка 1'!M166-'Выборка 1'!L166))/4000</f>
        <v>0</v>
      </c>
      <c r="F166" s="17">
        <f>(('Выборка 1'!O166-'Выборка 1'!N166)+('Выборка 1'!P166-'Выборка 1'!O166)+('Выборка 1'!Q166-'Выборка 1'!P166)+('Выборка 1'!R166-'Выборка 1'!Q166))/4000</f>
        <v>11192</v>
      </c>
      <c r="G166" s="44">
        <f>(('Выборка 1'!T166-'Выборка 1'!S166)+('Выборка 1'!U166-'Выборка 1'!T166)+('Выборка 1'!V166-'Выборка 1'!U166)+('Выборка 1'!W166-'Выборка 1'!V166))/4000</f>
        <v>-25</v>
      </c>
      <c r="H166" s="44">
        <f>(('Выборка 1'!Y166-'Выборка 1'!X166)+('Выборка 1'!Z166+'Выборка 1'!Y166)+('Выборка 1'!AA166-'Выборка 1'!Z166)+('Выборка 1'!AB166-'Выборка 1'!AA166))/4000</f>
        <v>-578.5</v>
      </c>
      <c r="I166" s="44">
        <f>(('Выборка 1'!AD166-'Выборка 1'!AC166)+('Выборка 1'!AE166-'Выборка 1'!AD166)+('Выборка 1'!AF166-'Выборка 1'!AE166)+('Выборка 1'!AG166-'Выборка 1'!AF166))/4000</f>
        <v>0</v>
      </c>
      <c r="J166" s="44">
        <f>(('Выборка 1'!AI166-'Выборка 1'!AH166)+('Выборка 1'!AJ166-'Выборка 1'!AI166)+('Выборка 1'!AK166-'Выборка 1'!AJ166)+('Выборка 1'!AL166-'Выборка 1'!AK166))/4000</f>
        <v>12325</v>
      </c>
      <c r="K166" s="17">
        <f>(('Выборка 1'!AN166-'Выборка 1'!AM166)+('Выборка 1'!AO166-'Выборка 1'!AN166)+('Выборка 1'!AP166-'Выборка 1'!AO166)+('Выборка 1'!AQ166-'Выборка 1'!AP166))/4000</f>
        <v>0</v>
      </c>
      <c r="L166" s="44">
        <f>((('Выборка 1'!AS166+'Выборка 1'!AX166)-('Выборка 1'!AR166+'Выборка 1'!AW166))+(('Выборка 1'!AT166+'Выборка 1'!AY166)-('Выборка 1'!AS166+'Выборка 1'!AX166))+(('Выборка 1'!AU166+'Выборка 1'!AZ166)-('Выборка 1'!AT166+'Выборка 1'!AY166))+(('Выборка 1'!AV166+'Выборка 1'!BA166)-('Выборка 1'!AU166+'Выборка 1'!AZ166)))/4000</f>
        <v>307.75</v>
      </c>
      <c r="M166" s="44">
        <f>(('Выборка 1'!BC166-'Выборка 1'!BB166)+('Выборка 1'!BD166-'Выборка 1'!BC166)+('Выборка 1'!BE166-'Выборка 1'!BD166)+('Выборка 1'!BF166-'Выборка 1'!BE166))/4000</f>
        <v>0</v>
      </c>
      <c r="N166" s="44">
        <f t="shared" si="2"/>
        <v>-307.75</v>
      </c>
      <c r="O166" s="17">
        <f>((('Выборка 1'!BH166-'Выборка 1'!BM166)-('Выборка 1'!BG166-'Выборка 1'!BL166))+(('Выборка 1'!BI166-'Выборка 1'!BN166)-('Выборка 1'!BH166-'Выборка 1'!BM166))+(('Выборка 1'!BJ166-'Выборка 1'!BO166)-('Выборка 1'!BI166-'Выборка 1'!BN166))+(('Выборка 1'!BK166-'Выборка 1'!BP166)-('Выборка 1'!BJ166-'Выборка 1'!BO166)))/4000</f>
        <v>-7</v>
      </c>
      <c r="P166" s="17">
        <f>(('Выборка 1'!BR166-'Выборка 1'!BQ166)+('Выборка 1'!BS166-'Выборка 1'!BR166)+('Выборка 1'!BT166-'Выборка 1'!BS166)+('Выборка 1'!BU166-'Выборка 1'!BT166))/4000</f>
        <v>-314.75</v>
      </c>
    </row>
    <row r="167" spans="2:16" x14ac:dyDescent="0.25">
      <c r="B167" s="42">
        <f>('Выборка 1'!AL167+'Выборка 1'!AG167)/1000</f>
        <v>73791</v>
      </c>
      <c r="C167" s="17">
        <v>17</v>
      </c>
      <c r="D167" s="17">
        <f>(('Выборка 1'!E167-'Выборка 1'!D167)+('Выборка 1'!F167-'Выборка 1'!E167)+('Выборка 1'!G167-'Выборка 1'!F167)+('Выборка 1'!H167-'Выборка 1'!G167))/4000</f>
        <v>-72.5</v>
      </c>
      <c r="E167" s="44">
        <f>(('Выборка 1'!J167-'Выборка 1'!I167)+('Выборка 1'!K167-'Выборка 1'!J167)+('Выборка 1'!L167-'Выборка 1'!K167)+('Выборка 1'!M167-'Выборка 1'!L167))/4000</f>
        <v>-189.75</v>
      </c>
      <c r="F167" s="17">
        <f>(('Выборка 1'!O167-'Выборка 1'!N167)+('Выборка 1'!P167-'Выборка 1'!O167)+('Выборка 1'!Q167-'Выборка 1'!P167)+('Выборка 1'!R167-'Выборка 1'!Q167))/4000</f>
        <v>5924.5</v>
      </c>
      <c r="G167" s="44">
        <f>(('Выборка 1'!T167-'Выборка 1'!S167)+('Выборка 1'!U167-'Выборка 1'!T167)+('Выборка 1'!V167-'Выборка 1'!U167)+('Выборка 1'!W167-'Выборка 1'!V167))/4000</f>
        <v>-1308.25</v>
      </c>
      <c r="H167" s="44">
        <f>(('Выборка 1'!Y167-'Выборка 1'!X167)+('Выборка 1'!Z167+'Выборка 1'!Y167)+('Выборка 1'!AA167-'Выборка 1'!Z167)+('Выборка 1'!AB167-'Выборка 1'!AA167))/4000</f>
        <v>16979.75</v>
      </c>
      <c r="I167" s="44">
        <f>(('Выборка 1'!AD167-'Выборка 1'!AC167)+('Выборка 1'!AE167-'Выборка 1'!AD167)+('Выборка 1'!AF167-'Выборка 1'!AE167)+('Выборка 1'!AG167-'Выборка 1'!AF167))/4000</f>
        <v>0</v>
      </c>
      <c r="J167" s="44">
        <f>(('Выборка 1'!AI167-'Выборка 1'!AH167)+('Выборка 1'!AJ167-'Выборка 1'!AI167)+('Выборка 1'!AK167-'Выборка 1'!AJ167)+('Выборка 1'!AL167-'Выборка 1'!AK167))/4000</f>
        <v>3028.5</v>
      </c>
      <c r="K167" s="17">
        <f>(('Выборка 1'!AN167-'Выборка 1'!AM167)+('Выборка 1'!AO167-'Выборка 1'!AN167)+('Выборка 1'!AP167-'Выборка 1'!AO167)+('Выборка 1'!AQ167-'Выборка 1'!AP167))/4000</f>
        <v>-10855.75</v>
      </c>
      <c r="L167" s="44">
        <f>((('Выборка 1'!AS167+'Выборка 1'!AX167)-('Выборка 1'!AR167+'Выборка 1'!AW167))+(('Выборка 1'!AT167+'Выборка 1'!AY167)-('Выборка 1'!AS167+'Выборка 1'!AX167))+(('Выборка 1'!AU167+'Выборка 1'!AZ167)-('Выборка 1'!AT167+'Выборка 1'!AY167))+(('Выборка 1'!AV167+'Выборка 1'!BA167)-('Выборка 1'!AU167+'Выборка 1'!AZ167)))/4000</f>
        <v>-10184.5</v>
      </c>
      <c r="M167" s="44">
        <f>(('Выборка 1'!BC167-'Выборка 1'!BB167)+('Выборка 1'!BD167-'Выборка 1'!BC167)+('Выборка 1'!BE167-'Выборка 1'!BD167)+('Выборка 1'!BF167-'Выборка 1'!BE167))/4000</f>
        <v>0</v>
      </c>
      <c r="N167" s="44">
        <f t="shared" si="2"/>
        <v>-671.25</v>
      </c>
      <c r="O167" s="17">
        <f>((('Выборка 1'!BH167-'Выборка 1'!BM167)-('Выборка 1'!BG167-'Выборка 1'!BL167))+(('Выборка 1'!BI167-'Выборка 1'!BN167)-('Выборка 1'!BH167-'Выборка 1'!BM167))+(('Выборка 1'!BJ167-'Выборка 1'!BO167)-('Выборка 1'!BI167-'Выборка 1'!BN167))+(('Выборка 1'!BK167-'Выборка 1'!BP167)-('Выборка 1'!BJ167-'Выборка 1'!BO167)))/4000</f>
        <v>4733</v>
      </c>
      <c r="P167" s="17">
        <f>(('Выборка 1'!BR167-'Выборка 1'!BQ167)+('Выборка 1'!BS167-'Выборка 1'!BR167)+('Выборка 1'!BT167-'Выборка 1'!BS167)+('Выборка 1'!BU167-'Выборка 1'!BT167))/4000</f>
        <v>4148</v>
      </c>
    </row>
    <row r="168" spans="2:16" x14ac:dyDescent="0.25">
      <c r="B168" s="42">
        <f>('Выборка 1'!AL168+'Выборка 1'!AG168)/1000</f>
        <v>712381</v>
      </c>
      <c r="C168" s="17">
        <v>11</v>
      </c>
      <c r="D168" s="17">
        <f>(('Выборка 1'!E168-'Выборка 1'!D168)+('Выборка 1'!F168-'Выборка 1'!E168)+('Выборка 1'!G168-'Выборка 1'!F168)+('Выборка 1'!H168-'Выборка 1'!G168))/4000</f>
        <v>-57346.5</v>
      </c>
      <c r="E168" s="44">
        <f>(('Выборка 1'!J168-'Выборка 1'!I168)+('Выборка 1'!K168-'Выборка 1'!J168)+('Выборка 1'!L168-'Выборка 1'!K168)+('Выборка 1'!M168-'Выборка 1'!L168))/4000</f>
        <v>2723.5</v>
      </c>
      <c r="F168" s="17">
        <f>(('Выборка 1'!O168-'Выборка 1'!N168)+('Выборка 1'!P168-'Выборка 1'!O168)+('Выборка 1'!Q168-'Выборка 1'!P168)+('Выборка 1'!R168-'Выборка 1'!Q168))/4000</f>
        <v>7828.5</v>
      </c>
      <c r="G168" s="44">
        <f>(('Выборка 1'!T168-'Выборка 1'!S168)+('Выборка 1'!U168-'Выборка 1'!T168)+('Выборка 1'!V168-'Выборка 1'!U168)+('Выборка 1'!W168-'Выборка 1'!V168))/4000</f>
        <v>-636.25</v>
      </c>
      <c r="H168" s="44">
        <f>(('Выборка 1'!Y168-'Выборка 1'!X168)+('Выборка 1'!Z168+'Выборка 1'!Y168)+('Выборка 1'!AA168-'Выборка 1'!Z168)+('Выборка 1'!AB168-'Выборка 1'!AA168))/4000</f>
        <v>-170089.5</v>
      </c>
      <c r="I168" s="44">
        <f>(('Выборка 1'!AD168-'Выборка 1'!AC168)+('Выборка 1'!AE168-'Выборка 1'!AD168)+('Выборка 1'!AF168-'Выборка 1'!AE168)+('Выборка 1'!AG168-'Выборка 1'!AF168))/4000</f>
        <v>-870.5</v>
      </c>
      <c r="J168" s="44">
        <f>(('Выборка 1'!AI168-'Выборка 1'!AH168)+('Выборка 1'!AJ168-'Выборка 1'!AI168)+('Выборка 1'!AK168-'Выборка 1'!AJ168)+('Выборка 1'!AL168-'Выборка 1'!AK168))/4000</f>
        <v>124696.75</v>
      </c>
      <c r="K168" s="17">
        <f>(('Выборка 1'!AN168-'Выборка 1'!AM168)+('Выборка 1'!AO168-'Выборка 1'!AN168)+('Выборка 1'!AP168-'Выборка 1'!AO168)+('Выборка 1'!AQ168-'Выборка 1'!AP168))/4000</f>
        <v>20033.5</v>
      </c>
      <c r="L168" s="44">
        <f>((('Выборка 1'!AS168+'Выборка 1'!AX168)-('Выборка 1'!AR168+'Выборка 1'!AW168))+(('Выборка 1'!AT168+'Выборка 1'!AY168)-('Выборка 1'!AS168+'Выборка 1'!AX168))+(('Выборка 1'!AU168+'Выборка 1'!AZ168)-('Выборка 1'!AT168+'Выборка 1'!AY168))+(('Выборка 1'!AV168+'Выборка 1'!BA168)-('Выборка 1'!AU168+'Выборка 1'!AZ168)))/4000</f>
        <v>18389.75</v>
      </c>
      <c r="M168" s="44">
        <f>(('Выборка 1'!BC168-'Выборка 1'!BB168)+('Выборка 1'!BD168-'Выборка 1'!BC168)+('Выборка 1'!BE168-'Выборка 1'!BD168)+('Выборка 1'!BF168-'Выборка 1'!BE168))/4000</f>
        <v>-1665</v>
      </c>
      <c r="N168" s="44">
        <f t="shared" si="2"/>
        <v>3308.75</v>
      </c>
      <c r="O168" s="17">
        <f>((('Выборка 1'!BH168-'Выборка 1'!BM168)-('Выборка 1'!BG168-'Выборка 1'!BL168))+(('Выборка 1'!BI168-'Выборка 1'!BN168)-('Выборка 1'!BH168-'Выборка 1'!BM168))+(('Выборка 1'!BJ168-'Выборка 1'!BO168)-('Выборка 1'!BI168-'Выборка 1'!BN168))+(('Выборка 1'!BK168-'Выборка 1'!BP168)-('Выборка 1'!BJ168-'Выборка 1'!BO168)))/4000</f>
        <v>-25809</v>
      </c>
      <c r="P168" s="17">
        <f>(('Выборка 1'!BR168-'Выборка 1'!BQ168)+('Выборка 1'!BS168-'Выборка 1'!BR168)+('Выборка 1'!BT168-'Выборка 1'!BS168)+('Выборка 1'!BU168-'Выборка 1'!BT168))/4000</f>
        <v>-11368.75</v>
      </c>
    </row>
    <row r="169" spans="2:16" x14ac:dyDescent="0.25">
      <c r="B169" s="42">
        <f>('Выборка 1'!AL169+'Выборка 1'!AG169)/1000</f>
        <v>813193</v>
      </c>
      <c r="C169" s="17">
        <v>14</v>
      </c>
      <c r="D169" s="17">
        <f>(('Выборка 1'!E169-'Выборка 1'!D169)+('Выборка 1'!F169-'Выборка 1'!E169)+('Выборка 1'!G169-'Выборка 1'!F169)+('Выборка 1'!H169-'Выборка 1'!G169))/4000</f>
        <v>-1342.5</v>
      </c>
      <c r="E169" s="44">
        <f>(('Выборка 1'!J169-'Выборка 1'!I169)+('Выборка 1'!K169-'Выборка 1'!J169)+('Выборка 1'!L169-'Выборка 1'!K169)+('Выборка 1'!M169-'Выборка 1'!L169))/4000</f>
        <v>-29324.75</v>
      </c>
      <c r="F169" s="17">
        <f>(('Выборка 1'!O169-'Выборка 1'!N169)+('Выборка 1'!P169-'Выборка 1'!O169)+('Выборка 1'!Q169-'Выборка 1'!P169)+('Выборка 1'!R169-'Выборка 1'!Q169))/4000</f>
        <v>84386.5</v>
      </c>
      <c r="G169" s="44">
        <f>(('Выборка 1'!T169-'Выборка 1'!S169)+('Выборка 1'!U169-'Выборка 1'!T169)+('Выборка 1'!V169-'Выборка 1'!U169)+('Выборка 1'!W169-'Выборка 1'!V169))/4000</f>
        <v>-1.25</v>
      </c>
      <c r="H169" s="44">
        <f>(('Выборка 1'!Y169-'Выборка 1'!X169)+('Выборка 1'!Z169+'Выборка 1'!Y169)+('Выборка 1'!AA169-'Выборка 1'!Z169)+('Выборка 1'!AB169-'Выборка 1'!AA169))/4000</f>
        <v>-6563</v>
      </c>
      <c r="I169" s="44">
        <f>(('Выборка 1'!AD169-'Выборка 1'!AC169)+('Выборка 1'!AE169-'Выборка 1'!AD169)+('Выборка 1'!AF169-'Выборка 1'!AE169)+('Выборка 1'!AG169-'Выборка 1'!AF169))/4000</f>
        <v>-78</v>
      </c>
      <c r="J169" s="44">
        <f>(('Выборка 1'!AI169-'Выборка 1'!AH169)+('Выборка 1'!AJ169-'Выборка 1'!AI169)+('Выборка 1'!AK169-'Выборка 1'!AJ169)+('Выборка 1'!AL169-'Выборка 1'!AK169))/4000</f>
        <v>128664.25</v>
      </c>
      <c r="K169" s="17">
        <f>(('Выборка 1'!AN169-'Выборка 1'!AM169)+('Выборка 1'!AO169-'Выборка 1'!AN169)+('Выборка 1'!AP169-'Выборка 1'!AO169)+('Выборка 1'!AQ169-'Выборка 1'!AP169))/4000</f>
        <v>-102660</v>
      </c>
      <c r="L169" s="44">
        <f>((('Выборка 1'!AS169+'Выборка 1'!AX169)-('Выборка 1'!AR169+'Выборка 1'!AW169))+(('Выборка 1'!AT169+'Выборка 1'!AY169)-('Выборка 1'!AS169+'Выборка 1'!AX169))+(('Выборка 1'!AU169+'Выборка 1'!AZ169)-('Выборка 1'!AT169+'Выборка 1'!AY169))+(('Выборка 1'!AV169+'Выборка 1'!BA169)-('Выборка 1'!AU169+'Выборка 1'!AZ169)))/4000</f>
        <v>-93563.25</v>
      </c>
      <c r="M169" s="44">
        <f>(('Выборка 1'!BC169-'Выборка 1'!BB169)+('Выборка 1'!BD169-'Выборка 1'!BC169)+('Выборка 1'!BE169-'Выборка 1'!BD169)+('Выборка 1'!BF169-'Выборка 1'!BE169))/4000</f>
        <v>-6847.75</v>
      </c>
      <c r="N169" s="44">
        <f t="shared" si="2"/>
        <v>-2249</v>
      </c>
      <c r="O169" s="17">
        <f>((('Выборка 1'!BH169-'Выборка 1'!BM169)-('Выборка 1'!BG169-'Выборка 1'!BL169))+(('Выборка 1'!BI169-'Выборка 1'!BN169)-('Выборка 1'!BH169-'Выборка 1'!BM169))+(('Выборка 1'!BJ169-'Выборка 1'!BO169)-('Выборка 1'!BI169-'Выборка 1'!BN169))+(('Выборка 1'!BK169-'Выборка 1'!BP169)-('Выборка 1'!BJ169-'Выборка 1'!BO169)))/4000</f>
        <v>411.75</v>
      </c>
      <c r="P169" s="17">
        <f>(('Выборка 1'!BR169-'Выборка 1'!BQ169)+('Выборка 1'!BS169-'Выборка 1'!BR169)+('Выборка 1'!BT169-'Выборка 1'!BS169)+('Выборка 1'!BU169-'Выборка 1'!BT169))/4000</f>
        <v>-1810.75</v>
      </c>
    </row>
    <row r="170" spans="2:16" x14ac:dyDescent="0.25">
      <c r="B170" s="42">
        <f>('Выборка 1'!AL170+'Выборка 1'!AG170)/1000</f>
        <v>7427916</v>
      </c>
      <c r="C170" s="17">
        <v>32</v>
      </c>
      <c r="D170" s="17">
        <f>(('Выборка 1'!E170-'Выборка 1'!D170)+('Выборка 1'!F170-'Выборка 1'!E170)+('Выборка 1'!G170-'Выборка 1'!F170)+('Выборка 1'!H170-'Выборка 1'!G170))/4000</f>
        <v>-144845.5</v>
      </c>
      <c r="E170" s="44">
        <f>(('Выборка 1'!J170-'Выборка 1'!I170)+('Выборка 1'!K170-'Выборка 1'!J170)+('Выборка 1'!L170-'Выборка 1'!K170)+('Выборка 1'!M170-'Выборка 1'!L170))/4000</f>
        <v>-416459.75</v>
      </c>
      <c r="F170" s="17">
        <f>(('Выборка 1'!O170-'Выборка 1'!N170)+('Выборка 1'!P170-'Выборка 1'!O170)+('Выборка 1'!Q170-'Выборка 1'!P170)+('Выборка 1'!R170-'Выборка 1'!Q170))/4000</f>
        <v>-928624.25</v>
      </c>
      <c r="G170" s="44">
        <f>(('Выборка 1'!T170-'Выборка 1'!S170)+('Выборка 1'!U170-'Выборка 1'!T170)+('Выборка 1'!V170-'Выборка 1'!U170)+('Выборка 1'!W170-'Выборка 1'!V170))/4000</f>
        <v>22882.25</v>
      </c>
      <c r="H170" s="44">
        <f>(('Выборка 1'!Y170-'Выборка 1'!X170)+('Выборка 1'!Z170+'Выборка 1'!Y170)+('Выборка 1'!AA170-'Выборка 1'!Z170)+('Выборка 1'!AB170-'Выборка 1'!AA170))/4000</f>
        <v>-1520807</v>
      </c>
      <c r="I170" s="44">
        <f>(('Выборка 1'!AD170-'Выборка 1'!AC170)+('Выборка 1'!AE170-'Выборка 1'!AD170)+('Выборка 1'!AF170-'Выборка 1'!AE170)+('Выборка 1'!AG170-'Выборка 1'!AF170))/4000</f>
        <v>1261528.5</v>
      </c>
      <c r="J170" s="44">
        <f>(('Выборка 1'!AI170-'Выборка 1'!AH170)+('Выборка 1'!AJ170-'Выборка 1'!AI170)+('Выборка 1'!AK170-'Выборка 1'!AJ170)+('Выборка 1'!AL170-'Выборка 1'!AK170))/4000</f>
        <v>-197903.75</v>
      </c>
      <c r="K170" s="17">
        <f>(('Выборка 1'!AN170-'Выборка 1'!AM170)+('Выборка 1'!AO170-'Выборка 1'!AN170)+('Выборка 1'!AP170-'Выборка 1'!AO170)+('Выборка 1'!AQ170-'Выборка 1'!AP170))/4000</f>
        <v>-1623495.75</v>
      </c>
      <c r="L170" s="44">
        <f>((('Выборка 1'!AS170+'Выборка 1'!AX170)-('Выборка 1'!AR170+'Выборка 1'!AW170))+(('Выборка 1'!AT170+'Выборка 1'!AY170)-('Выборка 1'!AS170+'Выборка 1'!AX170))+(('Выборка 1'!AU170+'Выборка 1'!AZ170)-('Выборка 1'!AT170+'Выборка 1'!AY170))+(('Выборка 1'!AV170+'Выборка 1'!BA170)-('Выборка 1'!AU170+'Выборка 1'!AZ170)))/4000</f>
        <v>-1230585.5</v>
      </c>
      <c r="M170" s="44">
        <f>(('Выборка 1'!BC170-'Выборка 1'!BB170)+('Выборка 1'!BD170-'Выборка 1'!BC170)+('Выборка 1'!BE170-'Выборка 1'!BD170)+('Выборка 1'!BF170-'Выборка 1'!BE170))/4000</f>
        <v>-79236</v>
      </c>
      <c r="N170" s="44">
        <f t="shared" si="2"/>
        <v>-313674.25</v>
      </c>
      <c r="O170" s="17">
        <f>((('Выборка 1'!BH170-'Выборка 1'!BM170)-('Выборка 1'!BG170-'Выборка 1'!BL170))+(('Выборка 1'!BI170-'Выборка 1'!BN170)-('Выборка 1'!BH170-'Выборка 1'!BM170))+(('Выборка 1'!BJ170-'Выборка 1'!BO170)-('Выборка 1'!BI170-'Выборка 1'!BN170))+(('Выборка 1'!BK170-'Выборка 1'!BP170)-('Выборка 1'!BJ170-'Выборка 1'!BO170)))/4000</f>
        <v>417484.5</v>
      </c>
      <c r="P170" s="17">
        <f>(('Выборка 1'!BR170-'Выборка 1'!BQ170)+('Выборка 1'!BS170-'Выборка 1'!BR170)+('Выборка 1'!BT170-'Выборка 1'!BS170)+('Выборка 1'!BU170-'Выборка 1'!BT170))/4000</f>
        <v>212337.75</v>
      </c>
    </row>
    <row r="171" spans="2:16" x14ac:dyDescent="0.25">
      <c r="B171" s="42">
        <f>('Выборка 1'!AL171+'Выборка 1'!AG171)/1000</f>
        <v>19387</v>
      </c>
      <c r="C171" s="17">
        <v>12</v>
      </c>
      <c r="D171" s="17">
        <f>(('Выборка 1'!E171-'Выборка 1'!D171)+('Выборка 1'!F171-'Выборка 1'!E171)+('Выборка 1'!G171-'Выборка 1'!F171)+('Выборка 1'!H171-'Выборка 1'!G171))/4000</f>
        <v>-71.5</v>
      </c>
      <c r="E171" s="44">
        <f>(('Выборка 1'!J171-'Выборка 1'!I171)+('Выборка 1'!K171-'Выборка 1'!J171)+('Выборка 1'!L171-'Выборка 1'!K171)+('Выборка 1'!M171-'Выборка 1'!L171))/4000</f>
        <v>294</v>
      </c>
      <c r="F171" s="17">
        <f>(('Выборка 1'!O171-'Выборка 1'!N171)+('Выборка 1'!P171-'Выборка 1'!O171)+('Выборка 1'!Q171-'Выборка 1'!P171)+('Выборка 1'!R171-'Выборка 1'!Q171))/4000</f>
        <v>1549.5</v>
      </c>
      <c r="G171" s="44">
        <f>(('Выборка 1'!T171-'Выборка 1'!S171)+('Выборка 1'!U171-'Выборка 1'!T171)+('Выборка 1'!V171-'Выборка 1'!U171)+('Выборка 1'!W171-'Выборка 1'!V171))/4000</f>
        <v>-75.5</v>
      </c>
      <c r="H171" s="44">
        <f>(('Выборка 1'!Y171-'Выборка 1'!X171)+('Выборка 1'!Z171+'Выборка 1'!Y171)+('Выборка 1'!AA171-'Выборка 1'!Z171)+('Выборка 1'!AB171-'Выборка 1'!AA171))/4000</f>
        <v>-13459.75</v>
      </c>
      <c r="I171" s="44">
        <f>(('Выборка 1'!AD171-'Выборка 1'!AC171)+('Выборка 1'!AE171-'Выборка 1'!AD171)+('Выборка 1'!AF171-'Выборка 1'!AE171)+('Выборка 1'!AG171-'Выборка 1'!AF171))/4000</f>
        <v>37.5</v>
      </c>
      <c r="J171" s="44">
        <f>(('Выборка 1'!AI171-'Выборка 1'!AH171)+('Выборка 1'!AJ171-'Выборка 1'!AI171)+('Выборка 1'!AK171-'Выборка 1'!AJ171)+('Выборка 1'!AL171-'Выборка 1'!AK171))/4000</f>
        <v>-809.25</v>
      </c>
      <c r="K171" s="17">
        <f>(('Выборка 1'!AN171-'Выборка 1'!AM171)+('Выборка 1'!AO171-'Выборка 1'!AN171)+('Выборка 1'!AP171-'Выборка 1'!AO171)+('Выборка 1'!AQ171-'Выборка 1'!AP171))/4000</f>
        <v>-15777.75</v>
      </c>
      <c r="L171" s="44">
        <f>((('Выборка 1'!AS171+'Выборка 1'!AX171)-('Выборка 1'!AR171+'Выборка 1'!AW171))+(('Выборка 1'!AT171+'Выборка 1'!AY171)-('Выборка 1'!AS171+'Выборка 1'!AX171))+(('Выборка 1'!AU171+'Выборка 1'!AZ171)-('Выборка 1'!AT171+'Выборка 1'!AY171))+(('Выборка 1'!AV171+'Выборка 1'!BA171)-('Выборка 1'!AU171+'Выборка 1'!AZ171)))/4000</f>
        <v>-13280.5</v>
      </c>
      <c r="M171" s="44">
        <f>(('Выборка 1'!BC171-'Выборка 1'!BB171)+('Выборка 1'!BD171-'Выборка 1'!BC171)+('Выборка 1'!BE171-'Выборка 1'!BD171)+('Выборка 1'!BF171-'Выборка 1'!BE171))/4000</f>
        <v>-2990.5</v>
      </c>
      <c r="N171" s="44">
        <f t="shared" si="2"/>
        <v>493.25</v>
      </c>
      <c r="O171" s="17">
        <f>((('Выборка 1'!BH171-'Выборка 1'!BM171)-('Выборка 1'!BG171-'Выборка 1'!BL171))+(('Выборка 1'!BI171-'Выборка 1'!BN171)-('Выборка 1'!BH171-'Выборка 1'!BM171))+(('Выборка 1'!BJ171-'Выборка 1'!BO171)-('Выборка 1'!BI171-'Выборка 1'!BN171))+(('Выборка 1'!BK171-'Выборка 1'!BP171)-('Выборка 1'!BJ171-'Выборка 1'!BO171)))/4000</f>
        <v>-523.75</v>
      </c>
      <c r="P171" s="17">
        <f>(('Выборка 1'!BR171-'Выборка 1'!BQ171)+('Выборка 1'!BS171-'Выборка 1'!BR171)+('Выборка 1'!BT171-'Выборка 1'!BS171)+('Выборка 1'!BU171-'Выборка 1'!BT171))/4000</f>
        <v>-30.25</v>
      </c>
    </row>
    <row r="172" spans="2:16" x14ac:dyDescent="0.25">
      <c r="B172" s="42">
        <f>('Выборка 1'!AL172+'Выборка 1'!AG172)/1000</f>
        <v>3832339</v>
      </c>
      <c r="C172" s="17">
        <v>22</v>
      </c>
      <c r="D172" s="17">
        <f>(('Выборка 1'!E172-'Выборка 1'!D172)+('Выборка 1'!F172-'Выборка 1'!E172)+('Выборка 1'!G172-'Выборка 1'!F172)+('Выборка 1'!H172-'Выборка 1'!G172))/4000</f>
        <v>-15427.75</v>
      </c>
      <c r="E172" s="44">
        <f>(('Выборка 1'!J172-'Выборка 1'!I172)+('Выборка 1'!K172-'Выборка 1'!J172)+('Выборка 1'!L172-'Выборка 1'!K172)+('Выборка 1'!M172-'Выборка 1'!L172))/4000</f>
        <v>0</v>
      </c>
      <c r="F172" s="17">
        <f>(('Выборка 1'!O172-'Выборка 1'!N172)+('Выборка 1'!P172-'Выборка 1'!O172)+('Выборка 1'!Q172-'Выборка 1'!P172)+('Выборка 1'!R172-'Выборка 1'!Q172))/4000</f>
        <v>-105600.25</v>
      </c>
      <c r="G172" s="44">
        <f>(('Выборка 1'!T172-'Выборка 1'!S172)+('Выборка 1'!U172-'Выборка 1'!T172)+('Выборка 1'!V172-'Выборка 1'!U172)+('Выборка 1'!W172-'Выборка 1'!V172))/4000</f>
        <v>98</v>
      </c>
      <c r="H172" s="44">
        <f>(('Выборка 1'!Y172-'Выборка 1'!X172)+('Выборка 1'!Z172+'Выборка 1'!Y172)+('Выборка 1'!AA172-'Выборка 1'!Z172)+('Выборка 1'!AB172-'Выборка 1'!AA172))/4000</f>
        <v>-2175389</v>
      </c>
      <c r="I172" s="44">
        <f>(('Выборка 1'!AD172-'Выборка 1'!AC172)+('Выборка 1'!AE172-'Выборка 1'!AD172)+('Выборка 1'!AF172-'Выборка 1'!AE172)+('Выборка 1'!AG172-'Выборка 1'!AF172))/4000</f>
        <v>-226316.75</v>
      </c>
      <c r="J172" s="44">
        <f>(('Выборка 1'!AI172-'Выборка 1'!AH172)+('Выборка 1'!AJ172-'Выборка 1'!AI172)+('Выборка 1'!AK172-'Выборка 1'!AJ172)+('Выборка 1'!AL172-'Выборка 1'!AK172))/4000</f>
        <v>-157519.75</v>
      </c>
      <c r="K172" s="17">
        <f>(('Выборка 1'!AN172-'Выборка 1'!AM172)+('Выборка 1'!AO172-'Выборка 1'!AN172)+('Выборка 1'!AP172-'Выборка 1'!AO172)+('Выборка 1'!AQ172-'Выборка 1'!AP172))/4000</f>
        <v>0</v>
      </c>
      <c r="L172" s="44">
        <f>((('Выборка 1'!AS172+'Выборка 1'!AX172)-('Выборка 1'!AR172+'Выборка 1'!AW172))+(('Выборка 1'!AT172+'Выборка 1'!AY172)-('Выборка 1'!AS172+'Выборка 1'!AX172))+(('Выборка 1'!AU172+'Выборка 1'!AZ172)-('Выборка 1'!AT172+'Выборка 1'!AY172))+(('Выборка 1'!AV172+'Выборка 1'!BA172)-('Выборка 1'!AU172+'Выборка 1'!AZ172)))/4000</f>
        <v>0</v>
      </c>
      <c r="M172" s="44">
        <f>(('Выборка 1'!BC172-'Выборка 1'!BB172)+('Выборка 1'!BD172-'Выборка 1'!BC172)+('Выборка 1'!BE172-'Выборка 1'!BD172)+('Выборка 1'!BF172-'Выборка 1'!BE172))/4000</f>
        <v>0</v>
      </c>
      <c r="N172" s="44">
        <f t="shared" si="2"/>
        <v>0</v>
      </c>
      <c r="O172" s="17">
        <f>((('Выборка 1'!BH172-'Выборка 1'!BM172)-('Выборка 1'!BG172-'Выборка 1'!BL172))+(('Выборка 1'!BI172-'Выборка 1'!BN172)-('Выборка 1'!BH172-'Выборка 1'!BM172))+(('Выборка 1'!BJ172-'Выборка 1'!BO172)-('Выборка 1'!BI172-'Выборка 1'!BN172))+(('Выборка 1'!BK172-'Выборка 1'!BP172)-('Выборка 1'!BJ172-'Выборка 1'!BO172)))/4000</f>
        <v>0</v>
      </c>
      <c r="P172" s="17">
        <f>(('Выборка 1'!BR172-'Выборка 1'!BQ172)+('Выборка 1'!BS172-'Выборка 1'!BR172)+('Выборка 1'!BT172-'Выборка 1'!BS172)+('Выборка 1'!BU172-'Выборка 1'!BT172))/4000</f>
        <v>0</v>
      </c>
    </row>
    <row r="173" spans="2:16" x14ac:dyDescent="0.25">
      <c r="B173" s="42">
        <f>('Выборка 1'!AL173+'Выборка 1'!AG173)/1000</f>
        <v>154823</v>
      </c>
      <c r="C173" s="17">
        <v>23</v>
      </c>
      <c r="D173" s="17">
        <f>(('Выборка 1'!E173-'Выборка 1'!D173)+('Выборка 1'!F173-'Выборка 1'!E173)+('Выборка 1'!G173-'Выборка 1'!F173)+('Выборка 1'!H173-'Выборка 1'!G173))/4000</f>
        <v>-21273</v>
      </c>
      <c r="E173" s="44">
        <f>(('Выборка 1'!J173-'Выборка 1'!I173)+('Выборка 1'!K173-'Выборка 1'!J173)+('Выборка 1'!L173-'Выборка 1'!K173)+('Выборка 1'!M173-'Выборка 1'!L173))/4000</f>
        <v>0</v>
      </c>
      <c r="F173" s="17">
        <f>(('Выборка 1'!O173-'Выборка 1'!N173)+('Выборка 1'!P173-'Выборка 1'!O173)+('Выборка 1'!Q173-'Выборка 1'!P173)+('Выборка 1'!R173-'Выборка 1'!Q173))/4000</f>
        <v>-1370</v>
      </c>
      <c r="G173" s="44">
        <f>(('Выборка 1'!T173-'Выборка 1'!S173)+('Выборка 1'!U173-'Выборка 1'!T173)+('Выборка 1'!V173-'Выборка 1'!U173)+('Выборка 1'!W173-'Выборка 1'!V173))/4000</f>
        <v>457.5</v>
      </c>
      <c r="H173" s="44">
        <f>(('Выборка 1'!Y173-'Выборка 1'!X173)+('Выборка 1'!Z173+'Выборка 1'!Y173)+('Выборка 1'!AA173-'Выборка 1'!Z173)+('Выборка 1'!AB173-'Выборка 1'!AA173))/4000</f>
        <v>-189340</v>
      </c>
      <c r="I173" s="44">
        <f>(('Выборка 1'!AD173-'Выборка 1'!AC173)+('Выборка 1'!AE173-'Выборка 1'!AD173)+('Выборка 1'!AF173-'Выборка 1'!AE173)+('Выборка 1'!AG173-'Выборка 1'!AF173))/4000</f>
        <v>0</v>
      </c>
      <c r="J173" s="44">
        <f>(('Выборка 1'!AI173-'Выборка 1'!AH173)+('Выборка 1'!AJ173-'Выборка 1'!AI173)+('Выборка 1'!AK173-'Выборка 1'!AJ173)+('Выборка 1'!AL173-'Выборка 1'!AK173))/4000</f>
        <v>-678.75</v>
      </c>
      <c r="K173" s="17">
        <f>(('Выборка 1'!AN173-'Выборка 1'!AM173)+('Выборка 1'!AO173-'Выборка 1'!AN173)+('Выборка 1'!AP173-'Выборка 1'!AO173)+('Выборка 1'!AQ173-'Выборка 1'!AP173))/4000</f>
        <v>437</v>
      </c>
      <c r="L173" s="44">
        <f>((('Выборка 1'!AS173+'Выборка 1'!AX173)-('Выборка 1'!AR173+'Выборка 1'!AW173))+(('Выборка 1'!AT173+'Выборка 1'!AY173)-('Выборка 1'!AS173+'Выборка 1'!AX173))+(('Выборка 1'!AU173+'Выборка 1'!AZ173)-('Выборка 1'!AT173+'Выборка 1'!AY173))+(('Выборка 1'!AV173+'Выборка 1'!BA173)-('Выборка 1'!AU173+'Выборка 1'!AZ173)))/4000</f>
        <v>0</v>
      </c>
      <c r="M173" s="44">
        <f>(('Выборка 1'!BC173-'Выборка 1'!BB173)+('Выборка 1'!BD173-'Выборка 1'!BC173)+('Выборка 1'!BE173-'Выборка 1'!BD173)+('Выборка 1'!BF173-'Выборка 1'!BE173))/4000</f>
        <v>361.5</v>
      </c>
      <c r="N173" s="44">
        <f t="shared" si="2"/>
        <v>75.5</v>
      </c>
      <c r="O173" s="17">
        <f>((('Выборка 1'!BH173-'Выборка 1'!BM173)-('Выборка 1'!BG173-'Выборка 1'!BL173))+(('Выборка 1'!BI173-'Выборка 1'!BN173)-('Выборка 1'!BH173-'Выборка 1'!BM173))+(('Выборка 1'!BJ173-'Выборка 1'!BO173)-('Выборка 1'!BI173-'Выборка 1'!BN173))+(('Выборка 1'!BK173-'Выборка 1'!BP173)-('Выборка 1'!BJ173-'Выборка 1'!BO173)))/4000</f>
        <v>52432.75</v>
      </c>
      <c r="P173" s="17">
        <f>(('Выборка 1'!BR173-'Выборка 1'!BQ173)+('Выборка 1'!BS173-'Выборка 1'!BR173)+('Выборка 1'!BT173-'Выборка 1'!BS173)+('Выборка 1'!BU173-'Выборка 1'!BT173))/4000</f>
        <v>52649.75</v>
      </c>
    </row>
    <row r="174" spans="2:16" x14ac:dyDescent="0.25">
      <c r="B174" s="42">
        <f>('Выборка 1'!AL174+'Выборка 1'!AG174)/1000</f>
        <v>1112640</v>
      </c>
      <c r="C174" s="17">
        <v>23</v>
      </c>
      <c r="D174" s="17">
        <f>(('Выборка 1'!E174-'Выборка 1'!D174)+('Выборка 1'!F174-'Выборка 1'!E174)+('Выборка 1'!G174-'Выборка 1'!F174)+('Выборка 1'!H174-'Выборка 1'!G174))/4000</f>
        <v>-21637</v>
      </c>
      <c r="E174" s="44">
        <f>(('Выборка 1'!J174-'Выборка 1'!I174)+('Выборка 1'!K174-'Выборка 1'!J174)+('Выборка 1'!L174-'Выборка 1'!K174)+('Выборка 1'!M174-'Выборка 1'!L174))/4000</f>
        <v>-2229.75</v>
      </c>
      <c r="F174" s="17">
        <f>(('Выборка 1'!O174-'Выборка 1'!N174)+('Выборка 1'!P174-'Выборка 1'!O174)+('Выборка 1'!Q174-'Выборка 1'!P174)+('Выборка 1'!R174-'Выборка 1'!Q174))/4000</f>
        <v>-45607</v>
      </c>
      <c r="G174" s="44">
        <f>(('Выборка 1'!T174-'Выборка 1'!S174)+('Выборка 1'!U174-'Выборка 1'!T174)+('Выборка 1'!V174-'Выборка 1'!U174)+('Выборка 1'!W174-'Выборка 1'!V174))/4000</f>
        <v>-4767.5</v>
      </c>
      <c r="H174" s="44">
        <f>(('Выборка 1'!Y174-'Выборка 1'!X174)+('Выборка 1'!Z174+'Выборка 1'!Y174)+('Выборка 1'!AA174-'Выборка 1'!Z174)+('Выборка 1'!AB174-'Выборка 1'!AA174))/4000</f>
        <v>-163333</v>
      </c>
      <c r="I174" s="44">
        <f>(('Выборка 1'!AD174-'Выборка 1'!AC174)+('Выборка 1'!AE174-'Выборка 1'!AD174)+('Выборка 1'!AF174-'Выборка 1'!AE174)+('Выборка 1'!AG174-'Выборка 1'!AF174))/4000</f>
        <v>35840</v>
      </c>
      <c r="J174" s="44">
        <f>(('Выборка 1'!AI174-'Выборка 1'!AH174)+('Выборка 1'!AJ174-'Выборка 1'!AI174)+('Выборка 1'!AK174-'Выборка 1'!AJ174)+('Выборка 1'!AL174-'Выборка 1'!AK174))/4000</f>
        <v>166953.5</v>
      </c>
      <c r="K174" s="17">
        <f>(('Выборка 1'!AN174-'Выборка 1'!AM174)+('Выборка 1'!AO174-'Выборка 1'!AN174)+('Выборка 1'!AP174-'Выборка 1'!AO174)+('Выборка 1'!AQ174-'Выборка 1'!AP174))/4000</f>
        <v>-163550.75</v>
      </c>
      <c r="L174" s="44">
        <f>((('Выборка 1'!AS174+'Выборка 1'!AX174)-('Выборка 1'!AR174+'Выборка 1'!AW174))+(('Выборка 1'!AT174+'Выборка 1'!AY174)-('Выборка 1'!AS174+'Выборка 1'!AX174))+(('Выборка 1'!AU174+'Выборка 1'!AZ174)-('Выборка 1'!AT174+'Выборка 1'!AY174))+(('Выборка 1'!AV174+'Выборка 1'!BA174)-('Выборка 1'!AU174+'Выборка 1'!AZ174)))/4000</f>
        <v>-162322.75</v>
      </c>
      <c r="M174" s="44">
        <f>(('Выборка 1'!BC174-'Выборка 1'!BB174)+('Выборка 1'!BD174-'Выборка 1'!BC174)+('Выборка 1'!BE174-'Выборка 1'!BD174)+('Выборка 1'!BF174-'Выборка 1'!BE174))/4000</f>
        <v>-891.75</v>
      </c>
      <c r="N174" s="44">
        <f t="shared" si="2"/>
        <v>-336.25</v>
      </c>
      <c r="O174" s="17">
        <f>((('Выборка 1'!BH174-'Выборка 1'!BM174)-('Выборка 1'!BG174-'Выборка 1'!BL174))+(('Выборка 1'!BI174-'Выборка 1'!BN174)-('Выборка 1'!BH174-'Выборка 1'!BM174))+(('Выборка 1'!BJ174-'Выборка 1'!BO174)-('Выборка 1'!BI174-'Выборка 1'!BN174))+(('Выборка 1'!BK174-'Выборка 1'!BP174)-('Выборка 1'!BJ174-'Выборка 1'!BO174)))/4000</f>
        <v>-20921.5</v>
      </c>
      <c r="P174" s="17">
        <f>(('Выборка 1'!BR174-'Выборка 1'!BQ174)+('Выборка 1'!BS174-'Выборка 1'!BR174)+('Выборка 1'!BT174-'Выборка 1'!BS174)+('Выборка 1'!BU174-'Выборка 1'!BT174))/4000</f>
        <v>-10785</v>
      </c>
    </row>
    <row r="175" spans="2:16" x14ac:dyDescent="0.25">
      <c r="B175" s="42">
        <f>('Выборка 1'!AL175+'Выборка 1'!AG175)/1000</f>
        <v>335830</v>
      </c>
      <c r="C175" s="17">
        <v>16</v>
      </c>
      <c r="D175" s="17">
        <f>(('Выборка 1'!E175-'Выборка 1'!D175)+('Выборка 1'!F175-'Выборка 1'!E175)+('Выборка 1'!G175-'Выборка 1'!F175)+('Выборка 1'!H175-'Выборка 1'!G175))/4000</f>
        <v>258.75</v>
      </c>
      <c r="E175" s="44">
        <f>(('Выборка 1'!J175-'Выборка 1'!I175)+('Выборка 1'!K175-'Выборка 1'!J175)+('Выборка 1'!L175-'Выборка 1'!K175)+('Выборка 1'!M175-'Выборка 1'!L175))/4000</f>
        <v>0</v>
      </c>
      <c r="F175" s="17">
        <f>(('Выборка 1'!O175-'Выборка 1'!N175)+('Выборка 1'!P175-'Выборка 1'!O175)+('Выборка 1'!Q175-'Выборка 1'!P175)+('Выборка 1'!R175-'Выборка 1'!Q175))/4000</f>
        <v>2375</v>
      </c>
      <c r="G175" s="44">
        <f>(('Выборка 1'!T175-'Выборка 1'!S175)+('Выборка 1'!U175-'Выборка 1'!T175)+('Выборка 1'!V175-'Выборка 1'!U175)+('Выборка 1'!W175-'Выборка 1'!V175))/4000</f>
        <v>1798.75</v>
      </c>
      <c r="H175" s="44">
        <f>(('Выборка 1'!Y175-'Выборка 1'!X175)+('Выборка 1'!Z175+'Выборка 1'!Y175)+('Выборка 1'!AA175-'Выборка 1'!Z175)+('Выборка 1'!AB175-'Выборка 1'!AA175))/4000</f>
        <v>0</v>
      </c>
      <c r="I175" s="44">
        <f>(('Выборка 1'!AD175-'Выборка 1'!AC175)+('Выборка 1'!AE175-'Выборка 1'!AD175)+('Выборка 1'!AF175-'Выборка 1'!AE175)+('Выборка 1'!AG175-'Выборка 1'!AF175))/4000</f>
        <v>0</v>
      </c>
      <c r="J175" s="44">
        <f>(('Выборка 1'!AI175-'Выборка 1'!AH175)+('Выборка 1'!AJ175-'Выборка 1'!AI175)+('Выборка 1'!AK175-'Выборка 1'!AJ175)+('Выборка 1'!AL175-'Выборка 1'!AK175))/4000</f>
        <v>83957.5</v>
      </c>
      <c r="K175" s="17">
        <f>(('Выборка 1'!AN175-'Выборка 1'!AM175)+('Выборка 1'!AO175-'Выборка 1'!AN175)+('Выборка 1'!AP175-'Выборка 1'!AO175)+('Выборка 1'!AQ175-'Выборка 1'!AP175))/4000</f>
        <v>549.25</v>
      </c>
      <c r="L175" s="44">
        <f>((('Выборка 1'!AS175+'Выборка 1'!AX175)-('Выборка 1'!AR175+'Выборка 1'!AW175))+(('Выборка 1'!AT175+'Выборка 1'!AY175)-('Выборка 1'!AS175+'Выборка 1'!AX175))+(('Выборка 1'!AU175+'Выборка 1'!AZ175)-('Выборка 1'!AT175+'Выборка 1'!AY175))+(('Выборка 1'!AV175+'Выборка 1'!BA175)-('Выборка 1'!AU175+'Выборка 1'!AZ175)))/4000</f>
        <v>4117</v>
      </c>
      <c r="M175" s="44">
        <f>(('Выборка 1'!BC175-'Выборка 1'!BB175)+('Выборка 1'!BD175-'Выборка 1'!BC175)+('Выборка 1'!BE175-'Выборка 1'!BD175)+('Выборка 1'!BF175-'Выборка 1'!BE175))/4000</f>
        <v>0</v>
      </c>
      <c r="N175" s="44">
        <f t="shared" si="2"/>
        <v>-3567.75</v>
      </c>
      <c r="O175" s="17">
        <f>((('Выборка 1'!BH175-'Выборка 1'!BM175)-('Выборка 1'!BG175-'Выборка 1'!BL175))+(('Выборка 1'!BI175-'Выборка 1'!BN175)-('Выборка 1'!BH175-'Выборка 1'!BM175))+(('Выборка 1'!BJ175-'Выборка 1'!BO175)-('Выборка 1'!BI175-'Выборка 1'!BN175))+(('Выборка 1'!BK175-'Выборка 1'!BP175)-('Выборка 1'!BJ175-'Выборка 1'!BO175)))/4000</f>
        <v>-232090.5</v>
      </c>
      <c r="P175" s="17">
        <f>(('Выборка 1'!BR175-'Выборка 1'!BQ175)+('Выборка 1'!BS175-'Выборка 1'!BR175)+('Выборка 1'!BT175-'Выборка 1'!BS175)+('Выборка 1'!BU175-'Выборка 1'!BT175))/4000</f>
        <v>-235658.25</v>
      </c>
    </row>
    <row r="176" spans="2:16" x14ac:dyDescent="0.25">
      <c r="B176" s="42">
        <f>('Выборка 1'!AL176+'Выборка 1'!AG176)/1000</f>
        <v>0</v>
      </c>
      <c r="C176" s="17">
        <v>14</v>
      </c>
      <c r="D176" s="17">
        <f>(('Выборка 1'!E176-'Выборка 1'!D176)+('Выборка 1'!F176-'Выборка 1'!E176)+('Выборка 1'!G176-'Выборка 1'!F176)+('Выборка 1'!H176-'Выборка 1'!G176))/4000</f>
        <v>-3149.5</v>
      </c>
      <c r="E176" s="44">
        <f>(('Выборка 1'!J176-'Выборка 1'!I176)+('Выборка 1'!K176-'Выборка 1'!J176)+('Выборка 1'!L176-'Выборка 1'!K176)+('Выборка 1'!M176-'Выборка 1'!L176))/4000</f>
        <v>-1148.5</v>
      </c>
      <c r="F176" s="17">
        <f>(('Выборка 1'!O176-'Выборка 1'!N176)+('Выборка 1'!P176-'Выборка 1'!O176)+('Выборка 1'!Q176-'Выборка 1'!P176)+('Выборка 1'!R176-'Выборка 1'!Q176))/4000</f>
        <v>-4863.25</v>
      </c>
      <c r="G176" s="44">
        <f>(('Выборка 1'!T176-'Выборка 1'!S176)+('Выборка 1'!U176-'Выборка 1'!T176)+('Выборка 1'!V176-'Выборка 1'!U176)+('Выборка 1'!W176-'Выборка 1'!V176))/4000</f>
        <v>-120.25</v>
      </c>
      <c r="H176" s="44">
        <f>(('Выборка 1'!Y176-'Выборка 1'!X176)+('Выборка 1'!Z176+'Выборка 1'!Y176)+('Выборка 1'!AA176-'Выборка 1'!Z176)+('Выборка 1'!AB176-'Выборка 1'!AA176))/4000</f>
        <v>-155032.25</v>
      </c>
      <c r="I176" s="44">
        <f>(('Выборка 1'!AD176-'Выборка 1'!AC176)+('Выборка 1'!AE176-'Выборка 1'!AD176)+('Выборка 1'!AF176-'Выборка 1'!AE176)+('Выборка 1'!AG176-'Выборка 1'!AF176))/4000</f>
        <v>0</v>
      </c>
      <c r="J176" s="44">
        <f>(('Выборка 1'!AI176-'Выборка 1'!AH176)+('Выборка 1'!AJ176-'Выборка 1'!AI176)+('Выборка 1'!AK176-'Выборка 1'!AJ176)+('Выборка 1'!AL176-'Выборка 1'!AK176))/4000</f>
        <v>-4829.75</v>
      </c>
      <c r="K176" s="17">
        <f>(('Выборка 1'!AN176-'Выборка 1'!AM176)+('Выборка 1'!AO176-'Выборка 1'!AN176)+('Выборка 1'!AP176-'Выборка 1'!AO176)+('Выборка 1'!AQ176-'Выборка 1'!AP176))/4000</f>
        <v>-17685.25</v>
      </c>
      <c r="L176" s="44">
        <f>((('Выборка 1'!AS176+'Выборка 1'!AX176)-('Выборка 1'!AR176+'Выборка 1'!AW176))+(('Выборка 1'!AT176+'Выборка 1'!AY176)-('Выборка 1'!AS176+'Выборка 1'!AX176))+(('Выборка 1'!AU176+'Выборка 1'!AZ176)-('Выборка 1'!AT176+'Выборка 1'!AY176))+(('Выборка 1'!AV176+'Выборка 1'!BA176)-('Выборка 1'!AU176+'Выборка 1'!AZ176)))/4000</f>
        <v>-13114.75</v>
      </c>
      <c r="M176" s="44">
        <f>(('Выборка 1'!BC176-'Выборка 1'!BB176)+('Выборка 1'!BD176-'Выборка 1'!BC176)+('Выборка 1'!BE176-'Выборка 1'!BD176)+('Выборка 1'!BF176-'Выборка 1'!BE176))/4000</f>
        <v>-5797</v>
      </c>
      <c r="N176" s="44">
        <f t="shared" si="2"/>
        <v>1226.5</v>
      </c>
      <c r="O176" s="17">
        <f>((('Выборка 1'!BH176-'Выборка 1'!BM176)-('Выборка 1'!BG176-'Выборка 1'!BL176))+(('Выборка 1'!BI176-'Выборка 1'!BN176)-('Выборка 1'!BH176-'Выборка 1'!BM176))+(('Выборка 1'!BJ176-'Выборка 1'!BO176)-('Выборка 1'!BI176-'Выборка 1'!BN176))+(('Выборка 1'!BK176-'Выборка 1'!BP176)-('Выборка 1'!BJ176-'Выборка 1'!BO176)))/4000</f>
        <v>-2009.25</v>
      </c>
      <c r="P176" s="17">
        <f>(('Выборка 1'!BR176-'Выборка 1'!BQ176)+('Выборка 1'!BS176-'Выборка 1'!BR176)+('Выборка 1'!BT176-'Выборка 1'!BS176)+('Выборка 1'!BU176-'Выборка 1'!BT176))/4000</f>
        <v>-571</v>
      </c>
    </row>
    <row r="177" spans="2:16" x14ac:dyDescent="0.25">
      <c r="B177" s="42">
        <f>('Выборка 1'!AL177+'Выборка 1'!AG177)/1000</f>
        <v>25389</v>
      </c>
      <c r="C177" s="17">
        <v>13</v>
      </c>
      <c r="D177" s="17">
        <f>(('Выборка 1'!E177-'Выборка 1'!D177)+('Выборка 1'!F177-'Выборка 1'!E177)+('Выборка 1'!G177-'Выборка 1'!F177)+('Выборка 1'!H177-'Выборка 1'!G177))/4000</f>
        <v>0</v>
      </c>
      <c r="E177" s="44">
        <f>(('Выборка 1'!J177-'Выборка 1'!I177)+('Выборка 1'!K177-'Выборка 1'!J177)+('Выборка 1'!L177-'Выборка 1'!K177)+('Выборка 1'!M177-'Выборка 1'!L177))/4000</f>
        <v>0</v>
      </c>
      <c r="F177" s="17">
        <f>(('Выборка 1'!O177-'Выборка 1'!N177)+('Выборка 1'!P177-'Выборка 1'!O177)+('Выборка 1'!Q177-'Выборка 1'!P177)+('Выборка 1'!R177-'Выборка 1'!Q177))/4000</f>
        <v>-7.5</v>
      </c>
      <c r="G177" s="44">
        <f>(('Выборка 1'!T177-'Выборка 1'!S177)+('Выборка 1'!U177-'Выборка 1'!T177)+('Выборка 1'!V177-'Выборка 1'!U177)+('Выборка 1'!W177-'Выборка 1'!V177))/4000</f>
        <v>-142.5</v>
      </c>
      <c r="H177" s="44">
        <f>(('Выборка 1'!Y177-'Выборка 1'!X177)+('Выборка 1'!Z177+'Выборка 1'!Y177)+('Выборка 1'!AA177-'Выборка 1'!Z177)+('Выборка 1'!AB177-'Выборка 1'!AA177))/4000</f>
        <v>-7214.5</v>
      </c>
      <c r="I177" s="44">
        <f>(('Выборка 1'!AD177-'Выборка 1'!AC177)+('Выборка 1'!AE177-'Выборка 1'!AD177)+('Выборка 1'!AF177-'Выборка 1'!AE177)+('Выборка 1'!AG177-'Выборка 1'!AF177))/4000</f>
        <v>0</v>
      </c>
      <c r="J177" s="44">
        <f>(('Выборка 1'!AI177-'Выборка 1'!AH177)+('Выборка 1'!AJ177-'Выборка 1'!AI177)+('Выборка 1'!AK177-'Выборка 1'!AJ177)+('Выборка 1'!AL177-'Выборка 1'!AK177))/4000</f>
        <v>-59.75</v>
      </c>
      <c r="K177" s="17">
        <f>(('Выборка 1'!AN177-'Выборка 1'!AM177)+('Выборка 1'!AO177-'Выборка 1'!AN177)+('Выборка 1'!AP177-'Выборка 1'!AO177)+('Выборка 1'!AQ177-'Выборка 1'!AP177))/4000</f>
        <v>0</v>
      </c>
      <c r="L177" s="44">
        <f>((('Выборка 1'!AS177+'Выборка 1'!AX177)-('Выборка 1'!AR177+'Выборка 1'!AW177))+(('Выборка 1'!AT177+'Выборка 1'!AY177)-('Выборка 1'!AS177+'Выборка 1'!AX177))+(('Выборка 1'!AU177+'Выборка 1'!AZ177)-('Выборка 1'!AT177+'Выборка 1'!AY177))+(('Выборка 1'!AV177+'Выборка 1'!BA177)-('Выборка 1'!AU177+'Выборка 1'!AZ177)))/4000</f>
        <v>-90</v>
      </c>
      <c r="M177" s="44">
        <f>(('Выборка 1'!BC177-'Выборка 1'!BB177)+('Выборка 1'!BD177-'Выборка 1'!BC177)+('Выборка 1'!BE177-'Выборка 1'!BD177)+('Выборка 1'!BF177-'Выборка 1'!BE177))/4000</f>
        <v>0</v>
      </c>
      <c r="N177" s="44">
        <f t="shared" si="2"/>
        <v>90</v>
      </c>
      <c r="O177" s="17">
        <f>((('Выборка 1'!BH177-'Выборка 1'!BM177)-('Выборка 1'!BG177-'Выборка 1'!BL177))+(('Выборка 1'!BI177-'Выборка 1'!BN177)-('Выборка 1'!BH177-'Выборка 1'!BM177))+(('Выборка 1'!BJ177-'Выборка 1'!BO177)-('Выборка 1'!BI177-'Выборка 1'!BN177))+(('Выборка 1'!BK177-'Выборка 1'!BP177)-('Выборка 1'!BJ177-'Выборка 1'!BO177)))/4000</f>
        <v>246.5</v>
      </c>
      <c r="P177" s="17">
        <f>(('Выборка 1'!BR177-'Выборка 1'!BQ177)+('Выборка 1'!BS177-'Выборка 1'!BR177)+('Выборка 1'!BT177-'Выборка 1'!BS177)+('Выборка 1'!BU177-'Выборка 1'!BT177))/4000</f>
        <v>356.75</v>
      </c>
    </row>
    <row r="178" spans="2:16" x14ac:dyDescent="0.25">
      <c r="B178" s="42">
        <f>('Выборка 1'!AL178+'Выборка 1'!AG178)/1000</f>
        <v>0</v>
      </c>
      <c r="C178" s="17">
        <v>23</v>
      </c>
      <c r="D178" s="17">
        <f>(('Выборка 1'!E178-'Выборка 1'!D178)+('Выборка 1'!F178-'Выборка 1'!E178)+('Выборка 1'!G178-'Выборка 1'!F178)+('Выборка 1'!H178-'Выборка 1'!G178))/4000</f>
        <v>0</v>
      </c>
      <c r="E178" s="44">
        <f>(('Выборка 1'!J178-'Выборка 1'!I178)+('Выборка 1'!K178-'Выборка 1'!J178)+('Выборка 1'!L178-'Выборка 1'!K178)+('Выборка 1'!M178-'Выборка 1'!L178))/4000</f>
        <v>0</v>
      </c>
      <c r="F178" s="17">
        <f>(('Выборка 1'!O178-'Выборка 1'!N178)+('Выборка 1'!P178-'Выборка 1'!O178)+('Выборка 1'!Q178-'Выборка 1'!P178)+('Выборка 1'!R178-'Выборка 1'!Q178))/4000</f>
        <v>0</v>
      </c>
      <c r="G178" s="44">
        <f>(('Выборка 1'!T178-'Выборка 1'!S178)+('Выборка 1'!U178-'Выборка 1'!T178)+('Выборка 1'!V178-'Выборка 1'!U178)+('Выборка 1'!W178-'Выборка 1'!V178))/4000</f>
        <v>0</v>
      </c>
      <c r="H178" s="44">
        <f>(('Выборка 1'!Y178-'Выборка 1'!X178)+('Выборка 1'!Z178+'Выборка 1'!Y178)+('Выборка 1'!AA178-'Выборка 1'!Z178)+('Выборка 1'!AB178-'Выборка 1'!AA178))/4000</f>
        <v>0</v>
      </c>
      <c r="I178" s="44">
        <f>(('Выборка 1'!AD178-'Выборка 1'!AC178)+('Выборка 1'!AE178-'Выборка 1'!AD178)+('Выборка 1'!AF178-'Выборка 1'!AE178)+('Выборка 1'!AG178-'Выборка 1'!AF178))/4000</f>
        <v>0</v>
      </c>
      <c r="J178" s="44">
        <f>(('Выборка 1'!AI178-'Выборка 1'!AH178)+('Выборка 1'!AJ178-'Выборка 1'!AI178)+('Выборка 1'!AK178-'Выборка 1'!AJ178)+('Выборка 1'!AL178-'Выборка 1'!AK178))/4000</f>
        <v>0</v>
      </c>
      <c r="K178" s="17">
        <f>(('Выборка 1'!AN178-'Выборка 1'!AM178)+('Выборка 1'!AO178-'Выборка 1'!AN178)+('Выборка 1'!AP178-'Выборка 1'!AO178)+('Выборка 1'!AQ178-'Выборка 1'!AP178))/4000</f>
        <v>0</v>
      </c>
      <c r="L178" s="44">
        <f>((('Выборка 1'!AS178+'Выборка 1'!AX178)-('Выборка 1'!AR178+'Выборка 1'!AW178))+(('Выборка 1'!AT178+'Выборка 1'!AY178)-('Выборка 1'!AS178+'Выборка 1'!AX178))+(('Выборка 1'!AU178+'Выборка 1'!AZ178)-('Выборка 1'!AT178+'Выборка 1'!AY178))+(('Выборка 1'!AV178+'Выборка 1'!BA178)-('Выборка 1'!AU178+'Выборка 1'!AZ178)))/4000</f>
        <v>0</v>
      </c>
      <c r="M178" s="44">
        <f>(('Выборка 1'!BC178-'Выборка 1'!BB178)+('Выборка 1'!BD178-'Выборка 1'!BC178)+('Выборка 1'!BE178-'Выборка 1'!BD178)+('Выборка 1'!BF178-'Выборка 1'!BE178))/4000</f>
        <v>0</v>
      </c>
      <c r="N178" s="44">
        <f t="shared" si="2"/>
        <v>0</v>
      </c>
      <c r="O178" s="17">
        <f>((('Выборка 1'!BH178-'Выборка 1'!BM178)-('Выборка 1'!BG178-'Выборка 1'!BL178))+(('Выборка 1'!BI178-'Выборка 1'!BN178)-('Выборка 1'!BH178-'Выборка 1'!BM178))+(('Выборка 1'!BJ178-'Выборка 1'!BO178)-('Выборка 1'!BI178-'Выборка 1'!BN178))+(('Выборка 1'!BK178-'Выборка 1'!BP178)-('Выборка 1'!BJ178-'Выборка 1'!BO178)))/4000</f>
        <v>0</v>
      </c>
      <c r="P178" s="17">
        <f>(('Выборка 1'!BR178-'Выборка 1'!BQ178)+('Выборка 1'!BS178-'Выборка 1'!BR178)+('Выборка 1'!BT178-'Выборка 1'!BS178)+('Выборка 1'!BU178-'Выборка 1'!BT178))/4000</f>
        <v>0</v>
      </c>
    </row>
    <row r="179" spans="2:16" x14ac:dyDescent="0.25">
      <c r="B179" s="42">
        <f>('Выборка 1'!AL179+'Выборка 1'!AG179)/1000</f>
        <v>315011</v>
      </c>
      <c r="C179" s="17">
        <v>15</v>
      </c>
      <c r="D179" s="17">
        <f>(('Выборка 1'!E179-'Выборка 1'!D179)+('Выборка 1'!F179-'Выборка 1'!E179)+('Выборка 1'!G179-'Выборка 1'!F179)+('Выборка 1'!H179-'Выборка 1'!G179))/4000</f>
        <v>62291</v>
      </c>
      <c r="E179" s="44">
        <f>(('Выборка 1'!J179-'Выборка 1'!I179)+('Выборка 1'!K179-'Выборка 1'!J179)+('Выборка 1'!L179-'Выборка 1'!K179)+('Выборка 1'!M179-'Выборка 1'!L179))/4000</f>
        <v>-804.25</v>
      </c>
      <c r="F179" s="17">
        <f>(('Выборка 1'!O179-'Выборка 1'!N179)+('Выборка 1'!P179-'Выборка 1'!O179)+('Выборка 1'!Q179-'Выборка 1'!P179)+('Выборка 1'!R179-'Выборка 1'!Q179))/4000</f>
        <v>22768.5</v>
      </c>
      <c r="G179" s="44">
        <f>(('Выборка 1'!T179-'Выборка 1'!S179)+('Выборка 1'!U179-'Выборка 1'!T179)+('Выборка 1'!V179-'Выборка 1'!U179)+('Выборка 1'!W179-'Выборка 1'!V179))/4000</f>
        <v>-26</v>
      </c>
      <c r="H179" s="44">
        <f>(('Выборка 1'!Y179-'Выборка 1'!X179)+('Выборка 1'!Z179+'Выборка 1'!Y179)+('Выборка 1'!AA179-'Выборка 1'!Z179)+('Выборка 1'!AB179-'Выборка 1'!AA179))/4000</f>
        <v>-32937.25</v>
      </c>
      <c r="I179" s="44">
        <f>(('Выборка 1'!AD179-'Выборка 1'!AC179)+('Выборка 1'!AE179-'Выборка 1'!AD179)+('Выборка 1'!AF179-'Выборка 1'!AE179)+('Выборка 1'!AG179-'Выборка 1'!AF179))/4000</f>
        <v>10</v>
      </c>
      <c r="J179" s="44">
        <f>(('Выборка 1'!AI179-'Выборка 1'!AH179)+('Выборка 1'!AJ179-'Выборка 1'!AI179)+('Выборка 1'!AK179-'Выборка 1'!AJ179)+('Выборка 1'!AL179-'Выборка 1'!AK179))/4000</f>
        <v>57035</v>
      </c>
      <c r="K179" s="17">
        <f>(('Выборка 1'!AN179-'Выборка 1'!AM179)+('Выборка 1'!AO179-'Выборка 1'!AN179)+('Выборка 1'!AP179-'Выборка 1'!AO179)+('Выборка 1'!AQ179-'Выборка 1'!AP179))/4000</f>
        <v>-17013.5</v>
      </c>
      <c r="L179" s="44">
        <f>((('Выборка 1'!AS179+'Выборка 1'!AX179)-('Выборка 1'!AR179+'Выборка 1'!AW179))+(('Выборка 1'!AT179+'Выборка 1'!AY179)-('Выборка 1'!AS179+'Выборка 1'!AX179))+(('Выборка 1'!AU179+'Выборка 1'!AZ179)-('Выборка 1'!AT179+'Выборка 1'!AY179))+(('Выборка 1'!AV179+'Выборка 1'!BA179)-('Выборка 1'!AU179+'Выборка 1'!AZ179)))/4000</f>
        <v>-9038.75</v>
      </c>
      <c r="M179" s="44">
        <f>(('Выборка 1'!BC179-'Выборка 1'!BB179)+('Выборка 1'!BD179-'Выборка 1'!BC179)+('Выборка 1'!BE179-'Выборка 1'!BD179)+('Выборка 1'!BF179-'Выборка 1'!BE179))/4000</f>
        <v>1783.75</v>
      </c>
      <c r="N179" s="44">
        <f t="shared" si="2"/>
        <v>-9758.5</v>
      </c>
      <c r="O179" s="17">
        <f>((('Выборка 1'!BH179-'Выборка 1'!BM179)-('Выборка 1'!BG179-'Выборка 1'!BL179))+(('Выборка 1'!BI179-'Выборка 1'!BN179)-('Выборка 1'!BH179-'Выборка 1'!BM179))+(('Выборка 1'!BJ179-'Выборка 1'!BO179)-('Выборка 1'!BI179-'Выборка 1'!BN179))+(('Выборка 1'!BK179-'Выборка 1'!BP179)-('Выборка 1'!BJ179-'Выборка 1'!BO179)))/4000</f>
        <v>-31349</v>
      </c>
      <c r="P179" s="17">
        <f>(('Выборка 1'!BR179-'Выборка 1'!BQ179)+('Выборка 1'!BS179-'Выборка 1'!BR179)+('Выборка 1'!BT179-'Выборка 1'!BS179)+('Выборка 1'!BU179-'Выборка 1'!BT179))/4000</f>
        <v>-43503.5</v>
      </c>
    </row>
    <row r="180" spans="2:16" x14ac:dyDescent="0.25">
      <c r="B180" s="42">
        <f>('Выборка 1'!AL180+'Выборка 1'!AG180)/1000</f>
        <v>0</v>
      </c>
      <c r="C180" s="17">
        <v>19</v>
      </c>
      <c r="D180" s="17">
        <f>(('Выборка 1'!E180-'Выборка 1'!D180)+('Выборка 1'!F180-'Выборка 1'!E180)+('Выборка 1'!G180-'Выборка 1'!F180)+('Выборка 1'!H180-'Выборка 1'!G180))/4000</f>
        <v>-12439.75</v>
      </c>
      <c r="E180" s="44">
        <f>(('Выборка 1'!J180-'Выборка 1'!I180)+('Выборка 1'!K180-'Выборка 1'!J180)+('Выборка 1'!L180-'Выборка 1'!K180)+('Выборка 1'!M180-'Выборка 1'!L180))/4000</f>
        <v>-246</v>
      </c>
      <c r="F180" s="17">
        <f>(('Выборка 1'!O180-'Выборка 1'!N180)+('Выборка 1'!P180-'Выборка 1'!O180)+('Выборка 1'!Q180-'Выборка 1'!P180)+('Выборка 1'!R180-'Выборка 1'!Q180))/4000</f>
        <v>-4240.25</v>
      </c>
      <c r="G180" s="44">
        <f>(('Выборка 1'!T180-'Выборка 1'!S180)+('Выборка 1'!U180-'Выборка 1'!T180)+('Выборка 1'!V180-'Выборка 1'!U180)+('Выборка 1'!W180-'Выборка 1'!V180))/4000</f>
        <v>0</v>
      </c>
      <c r="H180" s="44">
        <f>(('Выборка 1'!Y180-'Выборка 1'!X180)+('Выборка 1'!Z180+'Выборка 1'!Y180)+('Выборка 1'!AA180-'Выборка 1'!Z180)+('Выборка 1'!AB180-'Выборка 1'!AA180))/4000</f>
        <v>-14146.5</v>
      </c>
      <c r="I180" s="44">
        <f>(('Выборка 1'!AD180-'Выборка 1'!AC180)+('Выборка 1'!AE180-'Выборка 1'!AD180)+('Выборка 1'!AF180-'Выборка 1'!AE180)+('Выборка 1'!AG180-'Выборка 1'!AF180))/4000</f>
        <v>-703.25</v>
      </c>
      <c r="J180" s="44">
        <f>(('Выборка 1'!AI180-'Выборка 1'!AH180)+('Выборка 1'!AJ180-'Выборка 1'!AI180)+('Выборка 1'!AK180-'Выборка 1'!AJ180)+('Выборка 1'!AL180-'Выборка 1'!AK180))/4000</f>
        <v>-2073.75</v>
      </c>
      <c r="K180" s="17">
        <f>(('Выборка 1'!AN180-'Выборка 1'!AM180)+('Выборка 1'!AO180-'Выборка 1'!AN180)+('Выборка 1'!AP180-'Выборка 1'!AO180)+('Выборка 1'!AQ180-'Выборка 1'!AP180))/4000</f>
        <v>-958.5</v>
      </c>
      <c r="L180" s="44">
        <f>((('Выборка 1'!AS180+'Выборка 1'!AX180)-('Выборка 1'!AR180+'Выборка 1'!AW180))+(('Выборка 1'!AT180+'Выборка 1'!AY180)-('Выборка 1'!AS180+'Выборка 1'!AX180))+(('Выборка 1'!AU180+'Выборка 1'!AZ180)-('Выборка 1'!AT180+'Выборка 1'!AY180))+(('Выборка 1'!AV180+'Выборка 1'!BA180)-('Выборка 1'!AU180+'Выборка 1'!AZ180)))/4000</f>
        <v>0</v>
      </c>
      <c r="M180" s="44">
        <f>(('Выборка 1'!BC180-'Выборка 1'!BB180)+('Выборка 1'!BD180-'Выборка 1'!BC180)+('Выборка 1'!BE180-'Выборка 1'!BD180)+('Выборка 1'!BF180-'Выборка 1'!BE180))/4000</f>
        <v>-1101.25</v>
      </c>
      <c r="N180" s="44">
        <f t="shared" si="2"/>
        <v>142.75</v>
      </c>
      <c r="O180" s="17">
        <f>((('Выборка 1'!BH180-'Выборка 1'!BM180)-('Выборка 1'!BG180-'Выборка 1'!BL180))+(('Выборка 1'!BI180-'Выборка 1'!BN180)-('Выборка 1'!BH180-'Выборка 1'!BM180))+(('Выборка 1'!BJ180-'Выборка 1'!BO180)-('Выборка 1'!BI180-'Выборка 1'!BN180))+(('Выборка 1'!BK180-'Выборка 1'!BP180)-('Выборка 1'!BJ180-'Выборка 1'!BO180)))/4000</f>
        <v>-172.5</v>
      </c>
      <c r="P180" s="17">
        <f>(('Выборка 1'!BR180-'Выборка 1'!BQ180)+('Выборка 1'!BS180-'Выборка 1'!BR180)+('Выборка 1'!BT180-'Выборка 1'!BS180)+('Выборка 1'!BU180-'Выборка 1'!BT180))/4000</f>
        <v>-23.75</v>
      </c>
    </row>
    <row r="181" spans="2:16" x14ac:dyDescent="0.25">
      <c r="B181" s="42">
        <f>('Выборка 1'!AL181+'Выборка 1'!AG181)/1000</f>
        <v>0</v>
      </c>
      <c r="C181" s="17">
        <v>32</v>
      </c>
      <c r="D181" s="17">
        <f>(('Выборка 1'!E181-'Выборка 1'!D181)+('Выборка 1'!F181-'Выборка 1'!E181)+('Выборка 1'!G181-'Выборка 1'!F181)+('Выборка 1'!H181-'Выборка 1'!G181))/4000</f>
        <v>-12583</v>
      </c>
      <c r="E181" s="44">
        <f>(('Выборка 1'!J181-'Выборка 1'!I181)+('Выборка 1'!K181-'Выборка 1'!J181)+('Выборка 1'!L181-'Выборка 1'!K181)+('Выборка 1'!M181-'Выборка 1'!L181))/4000</f>
        <v>-14112.75</v>
      </c>
      <c r="F181" s="17">
        <f>(('Выборка 1'!O181-'Выборка 1'!N181)+('Выборка 1'!P181-'Выборка 1'!O181)+('Выборка 1'!Q181-'Выборка 1'!P181)+('Выборка 1'!R181-'Выборка 1'!Q181))/4000</f>
        <v>-44384.75</v>
      </c>
      <c r="G181" s="44">
        <f>(('Выборка 1'!T181-'Выборка 1'!S181)+('Выборка 1'!U181-'Выборка 1'!T181)+('Выборка 1'!V181-'Выборка 1'!U181)+('Выборка 1'!W181-'Выборка 1'!V181))/4000</f>
        <v>0</v>
      </c>
      <c r="H181" s="44">
        <f>(('Выборка 1'!Y181-'Выборка 1'!X181)+('Выборка 1'!Z181+'Выборка 1'!Y181)+('Выборка 1'!AA181-'Выборка 1'!Z181)+('Выборка 1'!AB181-'Выборка 1'!AA181))/4000</f>
        <v>-11441.25</v>
      </c>
      <c r="I181" s="44">
        <f>(('Выборка 1'!AD181-'Выборка 1'!AC181)+('Выборка 1'!AE181-'Выборка 1'!AD181)+('Выборка 1'!AF181-'Выборка 1'!AE181)+('Выборка 1'!AG181-'Выборка 1'!AF181))/4000</f>
        <v>0</v>
      </c>
      <c r="J181" s="44">
        <f>(('Выборка 1'!AI181-'Выборка 1'!AH181)+('Выборка 1'!AJ181-'Выборка 1'!AI181)+('Выборка 1'!AK181-'Выборка 1'!AJ181)+('Выборка 1'!AL181-'Выборка 1'!AK181))/4000</f>
        <v>-37839.25</v>
      </c>
      <c r="K181" s="17">
        <f>(('Выборка 1'!AN181-'Выборка 1'!AM181)+('Выборка 1'!AO181-'Выборка 1'!AN181)+('Выборка 1'!AP181-'Выборка 1'!AO181)+('Выборка 1'!AQ181-'Выборка 1'!AP181))/4000</f>
        <v>-13425.25</v>
      </c>
      <c r="L181" s="44">
        <f>((('Выборка 1'!AS181+'Выборка 1'!AX181)-('Выборка 1'!AR181+'Выборка 1'!AW181))+(('Выборка 1'!AT181+'Выборка 1'!AY181)-('Выборка 1'!AS181+'Выборка 1'!AX181))+(('Выборка 1'!AU181+'Выборка 1'!AZ181)-('Выборка 1'!AT181+'Выборка 1'!AY181))+(('Выборка 1'!AV181+'Выборка 1'!BA181)-('Выборка 1'!AU181+'Выборка 1'!AZ181)))/4000</f>
        <v>-14370.75</v>
      </c>
      <c r="M181" s="44">
        <f>(('Выборка 1'!BC181-'Выборка 1'!BB181)+('Выборка 1'!BD181-'Выборка 1'!BC181)+('Выборка 1'!BE181-'Выборка 1'!BD181)+('Выборка 1'!BF181-'Выборка 1'!BE181))/4000</f>
        <v>-1478.25</v>
      </c>
      <c r="N181" s="44">
        <f t="shared" si="2"/>
        <v>2423.75</v>
      </c>
      <c r="O181" s="17">
        <f>((('Выборка 1'!BH181-'Выборка 1'!BM181)-('Выборка 1'!BG181-'Выборка 1'!BL181))+(('Выборка 1'!BI181-'Выборка 1'!BN181)-('Выборка 1'!BH181-'Выборка 1'!BM181))+(('Выборка 1'!BJ181-'Выборка 1'!BO181)-('Выборка 1'!BI181-'Выборка 1'!BN181))+(('Выборка 1'!BK181-'Выборка 1'!BP181)-('Выборка 1'!BJ181-'Выборка 1'!BO181)))/4000</f>
        <v>-1931</v>
      </c>
      <c r="P181" s="17">
        <f>(('Выборка 1'!BR181-'Выборка 1'!BQ181)+('Выборка 1'!BS181-'Выборка 1'!BR181)+('Выборка 1'!BT181-'Выборка 1'!BS181)+('Выборка 1'!BU181-'Выборка 1'!BT181))/4000</f>
        <v>647.25</v>
      </c>
    </row>
    <row r="182" spans="2:16" x14ac:dyDescent="0.25">
      <c r="B182" s="42">
        <f>('Выборка 1'!AL182+'Выборка 1'!AG182)/1000</f>
        <v>6554</v>
      </c>
      <c r="C182" s="17">
        <v>17</v>
      </c>
      <c r="D182" s="17">
        <f>(('Выборка 1'!E182-'Выборка 1'!D182)+('Выборка 1'!F182-'Выборка 1'!E182)+('Выборка 1'!G182-'Выборка 1'!F182)+('Выборка 1'!H182-'Выборка 1'!G182))/4000</f>
        <v>-5</v>
      </c>
      <c r="E182" s="44">
        <f>(('Выборка 1'!J182-'Выборка 1'!I182)+('Выборка 1'!K182-'Выборка 1'!J182)+('Выборка 1'!L182-'Выборка 1'!K182)+('Выборка 1'!M182-'Выборка 1'!L182))/4000</f>
        <v>1002</v>
      </c>
      <c r="F182" s="17">
        <f>(('Выборка 1'!O182-'Выборка 1'!N182)+('Выборка 1'!P182-'Выборка 1'!O182)+('Выборка 1'!Q182-'Выборка 1'!P182)+('Выборка 1'!R182-'Выборка 1'!Q182))/4000</f>
        <v>4134.75</v>
      </c>
      <c r="G182" s="44">
        <f>(('Выборка 1'!T182-'Выборка 1'!S182)+('Выборка 1'!U182-'Выборка 1'!T182)+('Выборка 1'!V182-'Выборка 1'!U182)+('Выборка 1'!W182-'Выборка 1'!V182))/4000</f>
        <v>-4.25</v>
      </c>
      <c r="H182" s="44">
        <f>(('Выборка 1'!Y182-'Выборка 1'!X182)+('Выборка 1'!Z182+'Выборка 1'!Y182)+('Выборка 1'!AA182-'Выборка 1'!Z182)+('Выборка 1'!AB182-'Выборка 1'!AA182))/4000</f>
        <v>3622</v>
      </c>
      <c r="I182" s="44">
        <f>(('Выборка 1'!AD182-'Выборка 1'!AC182)+('Выборка 1'!AE182-'Выборка 1'!AD182)+('Выборка 1'!AF182-'Выборка 1'!AE182)+('Выборка 1'!AG182-'Выборка 1'!AF182))/4000</f>
        <v>-5</v>
      </c>
      <c r="J182" s="44">
        <f>(('Выборка 1'!AI182-'Выборка 1'!AH182)+('Выборка 1'!AJ182-'Выборка 1'!AI182)+('Выборка 1'!AK182-'Выборка 1'!AJ182)+('Выборка 1'!AL182-'Выборка 1'!AK182))/4000</f>
        <v>1498</v>
      </c>
      <c r="K182" s="17">
        <f>(('Выборка 1'!AN182-'Выборка 1'!AM182)+('Выборка 1'!AO182-'Выборка 1'!AN182)+('Выборка 1'!AP182-'Выборка 1'!AO182)+('Выборка 1'!AQ182-'Выборка 1'!AP182))/4000</f>
        <v>-5056</v>
      </c>
      <c r="L182" s="44">
        <f>((('Выборка 1'!AS182+'Выборка 1'!AX182)-('Выборка 1'!AR182+'Выборка 1'!AW182))+(('Выборка 1'!AT182+'Выборка 1'!AY182)-('Выборка 1'!AS182+'Выборка 1'!AX182))+(('Выборка 1'!AU182+'Выборка 1'!AZ182)-('Выборка 1'!AT182+'Выборка 1'!AY182))+(('Выборка 1'!AV182+'Выборка 1'!BA182)-('Выборка 1'!AU182+'Выборка 1'!AZ182)))/4000</f>
        <v>-4313.5</v>
      </c>
      <c r="M182" s="44">
        <f>(('Выборка 1'!BC182-'Выборка 1'!BB182)+('Выборка 1'!BD182-'Выборка 1'!BC182)+('Выборка 1'!BE182-'Выборка 1'!BD182)+('Выборка 1'!BF182-'Выборка 1'!BE182))/4000</f>
        <v>-659.75</v>
      </c>
      <c r="N182" s="44">
        <f t="shared" si="2"/>
        <v>-82.75</v>
      </c>
      <c r="O182" s="17">
        <f>((('Выборка 1'!BH182-'Выборка 1'!BM182)-('Выборка 1'!BG182-'Выборка 1'!BL182))+(('Выборка 1'!BI182-'Выборка 1'!BN182)-('Выборка 1'!BH182-'Выборка 1'!BM182))+(('Выборка 1'!BJ182-'Выборка 1'!BO182)-('Выборка 1'!BI182-'Выборка 1'!BN182))+(('Выборка 1'!BK182-'Выборка 1'!BP182)-('Выборка 1'!BJ182-'Выборка 1'!BO182)))/4000</f>
        <v>5.5</v>
      </c>
      <c r="P182" s="17">
        <f>(('Выборка 1'!BR182-'Выборка 1'!BQ182)+('Выборка 1'!BS182-'Выборка 1'!BR182)+('Выборка 1'!BT182-'Выборка 1'!BS182)+('Выборка 1'!BU182-'Выборка 1'!BT182))/4000</f>
        <v>-61.75</v>
      </c>
    </row>
    <row r="183" spans="2:16" x14ac:dyDescent="0.25">
      <c r="B183" s="42">
        <f>('Выборка 1'!AL183+'Выборка 1'!AG183)/1000</f>
        <v>206330</v>
      </c>
      <c r="C183" s="17">
        <v>20</v>
      </c>
      <c r="D183" s="17">
        <f>(('Выборка 1'!E183-'Выборка 1'!D183)+('Выборка 1'!F183-'Выборка 1'!E183)+('Выборка 1'!G183-'Выборка 1'!F183)+('Выборка 1'!H183-'Выборка 1'!G183))/4000</f>
        <v>-40615</v>
      </c>
      <c r="E183" s="44">
        <f>(('Выборка 1'!J183-'Выборка 1'!I183)+('Выборка 1'!K183-'Выборка 1'!J183)+('Выборка 1'!L183-'Выборка 1'!K183)+('Выборка 1'!M183-'Выборка 1'!L183))/4000</f>
        <v>-2212.5</v>
      </c>
      <c r="F183" s="17">
        <f>(('Выборка 1'!O183-'Выборка 1'!N183)+('Выборка 1'!P183-'Выборка 1'!O183)+('Выборка 1'!Q183-'Выборка 1'!P183)+('Выборка 1'!R183-'Выборка 1'!Q183))/4000</f>
        <v>-20841.25</v>
      </c>
      <c r="G183" s="44">
        <f>(('Выборка 1'!T183-'Выборка 1'!S183)+('Выборка 1'!U183-'Выборка 1'!T183)+('Выборка 1'!V183-'Выборка 1'!U183)+('Выборка 1'!W183-'Выборка 1'!V183))/4000</f>
        <v>-1812</v>
      </c>
      <c r="H183" s="44">
        <f>(('Выборка 1'!Y183-'Выборка 1'!X183)+('Выборка 1'!Z183+'Выборка 1'!Y183)+('Выборка 1'!AA183-'Выборка 1'!Z183)+('Выборка 1'!AB183-'Выборка 1'!AA183))/4000</f>
        <v>-111036.5</v>
      </c>
      <c r="I183" s="44">
        <f>(('Выборка 1'!AD183-'Выборка 1'!AC183)+('Выборка 1'!AE183-'Выборка 1'!AD183)+('Выборка 1'!AF183-'Выборка 1'!AE183)+('Выборка 1'!AG183-'Выборка 1'!AF183))/4000</f>
        <v>-251.75</v>
      </c>
      <c r="J183" s="44">
        <f>(('Выборка 1'!AI183-'Выборка 1'!AH183)+('Выборка 1'!AJ183-'Выборка 1'!AI183)+('Выборка 1'!AK183-'Выборка 1'!AJ183)+('Выборка 1'!AL183-'Выборка 1'!AK183))/4000</f>
        <v>-60679.5</v>
      </c>
      <c r="K183" s="17">
        <f>(('Выборка 1'!AN183-'Выборка 1'!AM183)+('Выборка 1'!AO183-'Выборка 1'!AN183)+('Выборка 1'!AP183-'Выборка 1'!AO183)+('Выборка 1'!AQ183-'Выборка 1'!AP183))/4000</f>
        <v>-24091.75</v>
      </c>
      <c r="L183" s="44">
        <f>((('Выборка 1'!AS183+'Выборка 1'!AX183)-('Выборка 1'!AR183+'Выборка 1'!AW183))+(('Выборка 1'!AT183+'Выборка 1'!AY183)-('Выборка 1'!AS183+'Выборка 1'!AX183))+(('Выборка 1'!AU183+'Выборка 1'!AZ183)-('Выборка 1'!AT183+'Выборка 1'!AY183))+(('Выборка 1'!AV183+'Выборка 1'!BA183)-('Выборка 1'!AU183+'Выборка 1'!AZ183)))/4000</f>
        <v>-42087.5</v>
      </c>
      <c r="M183" s="44">
        <f>(('Выборка 1'!BC183-'Выборка 1'!BB183)+('Выборка 1'!BD183-'Выборка 1'!BC183)+('Выборка 1'!BE183-'Выборка 1'!BD183)+('Выборка 1'!BF183-'Выборка 1'!BE183))/4000</f>
        <v>-4310.25</v>
      </c>
      <c r="N183" s="44">
        <f t="shared" si="2"/>
        <v>22306</v>
      </c>
      <c r="O183" s="17">
        <f>((('Выборка 1'!BH183-'Выборка 1'!BM183)-('Выборка 1'!BG183-'Выборка 1'!BL183))+(('Выборка 1'!BI183-'Выборка 1'!BN183)-('Выборка 1'!BH183-'Выборка 1'!BM183))+(('Выборка 1'!BJ183-'Выборка 1'!BO183)-('Выборка 1'!BI183-'Выборка 1'!BN183))+(('Выборка 1'!BK183-'Выборка 1'!BP183)-('Выборка 1'!BJ183-'Выборка 1'!BO183)))/4000</f>
        <v>-3546.25</v>
      </c>
      <c r="P183" s="17">
        <f>(('Выборка 1'!BR183-'Выборка 1'!BQ183)+('Выборка 1'!BS183-'Выборка 1'!BR183)+('Выборка 1'!BT183-'Выборка 1'!BS183)+('Выборка 1'!BU183-'Выборка 1'!BT183))/4000</f>
        <v>18731.25</v>
      </c>
    </row>
    <row r="184" spans="2:16" x14ac:dyDescent="0.25">
      <c r="B184" s="42">
        <f>('Выборка 1'!AL184+'Выборка 1'!AG184)/1000</f>
        <v>145210</v>
      </c>
      <c r="C184" s="17">
        <v>11</v>
      </c>
      <c r="D184" s="17">
        <f>(('Выборка 1'!E184-'Выборка 1'!D184)+('Выборка 1'!F184-'Выборка 1'!E184)+('Выборка 1'!G184-'Выборка 1'!F184)+('Выборка 1'!H184-'Выборка 1'!G184))/4000</f>
        <v>28801.5</v>
      </c>
      <c r="E184" s="44">
        <f>(('Выборка 1'!J184-'Выборка 1'!I184)+('Выборка 1'!K184-'Выборка 1'!J184)+('Выборка 1'!L184-'Выборка 1'!K184)+('Выборка 1'!M184-'Выборка 1'!L184))/4000</f>
        <v>-430.25</v>
      </c>
      <c r="F184" s="17">
        <f>(('Выборка 1'!O184-'Выборка 1'!N184)+('Выборка 1'!P184-'Выборка 1'!O184)+('Выборка 1'!Q184-'Выборка 1'!P184)+('Выборка 1'!R184-'Выборка 1'!Q184))/4000</f>
        <v>5624.75</v>
      </c>
      <c r="G184" s="44">
        <f>(('Выборка 1'!T184-'Выборка 1'!S184)+('Выборка 1'!U184-'Выборка 1'!T184)+('Выборка 1'!V184-'Выборка 1'!U184)+('Выборка 1'!W184-'Выборка 1'!V184))/4000</f>
        <v>1542.5</v>
      </c>
      <c r="H184" s="44">
        <f>(('Выборка 1'!Y184-'Выборка 1'!X184)+('Выборка 1'!Z184+'Выборка 1'!Y184)+('Выборка 1'!AA184-'Выборка 1'!Z184)+('Выборка 1'!AB184-'Выборка 1'!AA184))/4000</f>
        <v>-217.25</v>
      </c>
      <c r="I184" s="44">
        <f>(('Выборка 1'!AD184-'Выборка 1'!AC184)+('Выборка 1'!AE184-'Выборка 1'!AD184)+('Выборка 1'!AF184-'Выборка 1'!AE184)+('Выборка 1'!AG184-'Выборка 1'!AF184))/4000</f>
        <v>0</v>
      </c>
      <c r="J184" s="44">
        <f>(('Выборка 1'!AI184-'Выборка 1'!AH184)+('Выборка 1'!AJ184-'Выборка 1'!AI184)+('Выборка 1'!AK184-'Выборка 1'!AJ184)+('Выборка 1'!AL184-'Выборка 1'!AK184))/4000</f>
        <v>20991.75</v>
      </c>
      <c r="K184" s="17">
        <f>(('Выборка 1'!AN184-'Выборка 1'!AM184)+('Выборка 1'!AO184-'Выборка 1'!AN184)+('Выборка 1'!AP184-'Выборка 1'!AO184)+('Выборка 1'!AQ184-'Выборка 1'!AP184))/4000</f>
        <v>16045.5</v>
      </c>
      <c r="L184" s="44">
        <f>((('Выборка 1'!AS184+'Выборка 1'!AX184)-('Выборка 1'!AR184+'Выборка 1'!AW184))+(('Выборка 1'!AT184+'Выборка 1'!AY184)-('Выборка 1'!AS184+'Выборка 1'!AX184))+(('Выборка 1'!AU184+'Выборка 1'!AZ184)-('Выборка 1'!AT184+'Выборка 1'!AY184))+(('Выборка 1'!AV184+'Выборка 1'!BA184)-('Выборка 1'!AU184+'Выборка 1'!AZ184)))/4000</f>
        <v>13953.5</v>
      </c>
      <c r="M184" s="44">
        <f>(('Выборка 1'!BC184-'Выборка 1'!BB184)+('Выборка 1'!BD184-'Выборка 1'!BC184)+('Выборка 1'!BE184-'Выборка 1'!BD184)+('Выборка 1'!BF184-'Выборка 1'!BE184))/4000</f>
        <v>-1281.25</v>
      </c>
      <c r="N184" s="44">
        <f t="shared" si="2"/>
        <v>3373.25</v>
      </c>
      <c r="O184" s="17">
        <f>((('Выборка 1'!BH184-'Выборка 1'!BM184)-('Выборка 1'!BG184-'Выборка 1'!BL184))+(('Выборка 1'!BI184-'Выборка 1'!BN184)-('Выборка 1'!BH184-'Выборка 1'!BM184))+(('Выборка 1'!BJ184-'Выборка 1'!BO184)-('Выборка 1'!BI184-'Выборка 1'!BN184))+(('Выборка 1'!BK184-'Выборка 1'!BP184)-('Выборка 1'!BJ184-'Выборка 1'!BO184)))/4000</f>
        <v>369.75</v>
      </c>
      <c r="P184" s="17">
        <f>(('Выборка 1'!BR184-'Выборка 1'!BQ184)+('Выборка 1'!BS184-'Выборка 1'!BR184)+('Выборка 1'!BT184-'Выборка 1'!BS184)+('Выборка 1'!BU184-'Выборка 1'!BT184))/4000</f>
        <v>3743</v>
      </c>
    </row>
    <row r="185" spans="2:16" x14ac:dyDescent="0.25">
      <c r="B185" s="42">
        <f>('Выборка 1'!AL185+'Выборка 1'!AG185)/1000</f>
        <v>0</v>
      </c>
      <c r="C185" s="17">
        <v>11</v>
      </c>
      <c r="D185" s="17">
        <f>(('Выборка 1'!E185-'Выборка 1'!D185)+('Выборка 1'!F185-'Выборка 1'!E185)+('Выборка 1'!G185-'Выборка 1'!F185)+('Выборка 1'!H185-'Выборка 1'!G185))/4000</f>
        <v>-6948.5</v>
      </c>
      <c r="E185" s="44">
        <f>(('Выборка 1'!J185-'Выборка 1'!I185)+('Выборка 1'!K185-'Выборка 1'!J185)+('Выборка 1'!L185-'Выборка 1'!K185)+('Выборка 1'!M185-'Выборка 1'!L185))/4000</f>
        <v>0</v>
      </c>
      <c r="F185" s="17">
        <f>(('Выборка 1'!O185-'Выборка 1'!N185)+('Выборка 1'!P185-'Выборка 1'!O185)+('Выборка 1'!Q185-'Выборка 1'!P185)+('Выборка 1'!R185-'Выборка 1'!Q185))/4000</f>
        <v>-8302.5</v>
      </c>
      <c r="G185" s="44">
        <f>(('Выборка 1'!T185-'Выборка 1'!S185)+('Выборка 1'!U185-'Выборка 1'!T185)+('Выборка 1'!V185-'Выборка 1'!U185)+('Выборка 1'!W185-'Выборка 1'!V185))/4000</f>
        <v>-83.25</v>
      </c>
      <c r="H185" s="44">
        <f>(('Выборка 1'!Y185-'Выборка 1'!X185)+('Выборка 1'!Z185+'Выборка 1'!Y185)+('Выборка 1'!AA185-'Выборка 1'!Z185)+('Выборка 1'!AB185-'Выборка 1'!AA185))/4000</f>
        <v>968.25</v>
      </c>
      <c r="I185" s="44">
        <f>(('Выборка 1'!AD185-'Выборка 1'!AC185)+('Выборка 1'!AE185-'Выборка 1'!AD185)+('Выборка 1'!AF185-'Выборка 1'!AE185)+('Выборка 1'!AG185-'Выборка 1'!AF185))/4000</f>
        <v>0</v>
      </c>
      <c r="J185" s="44">
        <f>(('Выборка 1'!AI185-'Выборка 1'!AH185)+('Выборка 1'!AJ185-'Выборка 1'!AI185)+('Выборка 1'!AK185-'Выборка 1'!AJ185)+('Выборка 1'!AL185-'Выборка 1'!AK185))/4000</f>
        <v>-5715.25</v>
      </c>
      <c r="K185" s="17">
        <f>(('Выборка 1'!AN185-'Выборка 1'!AM185)+('Выборка 1'!AO185-'Выборка 1'!AN185)+('Выборка 1'!AP185-'Выборка 1'!AO185)+('Выборка 1'!AQ185-'Выборка 1'!AP185))/4000</f>
        <v>-3100.75</v>
      </c>
      <c r="L185" s="44">
        <f>((('Выборка 1'!AS185+'Выборка 1'!AX185)-('Выборка 1'!AR185+'Выборка 1'!AW185))+(('Выборка 1'!AT185+'Выборка 1'!AY185)-('Выборка 1'!AS185+'Выборка 1'!AX185))+(('Выборка 1'!AU185+'Выборка 1'!AZ185)-('Выборка 1'!AT185+'Выборка 1'!AY185))+(('Выборка 1'!AV185+'Выборка 1'!BA185)-('Выборка 1'!AU185+'Выборка 1'!AZ185)))/4000</f>
        <v>-4612.5</v>
      </c>
      <c r="M185" s="44">
        <f>(('Выборка 1'!BC185-'Выборка 1'!BB185)+('Выборка 1'!BD185-'Выборка 1'!BC185)+('Выборка 1'!BE185-'Выборка 1'!BD185)+('Выборка 1'!BF185-'Выборка 1'!BE185))/4000</f>
        <v>-532.5</v>
      </c>
      <c r="N185" s="44">
        <f t="shared" si="2"/>
        <v>2044.25</v>
      </c>
      <c r="O185" s="17">
        <f>((('Выборка 1'!BH185-'Выборка 1'!BM185)-('Выборка 1'!BG185-'Выборка 1'!BL185))+(('Выборка 1'!BI185-'Выборка 1'!BN185)-('Выборка 1'!BH185-'Выборка 1'!BM185))+(('Выборка 1'!BJ185-'Выборка 1'!BO185)-('Выборка 1'!BI185-'Выборка 1'!BN185))+(('Выборка 1'!BK185-'Выборка 1'!BP185)-('Выборка 1'!BJ185-'Выборка 1'!BO185)))/4000</f>
        <v>0</v>
      </c>
      <c r="P185" s="17">
        <f>(('Выборка 1'!BR185-'Выборка 1'!BQ185)+('Выборка 1'!BS185-'Выборка 1'!BR185)+('Выборка 1'!BT185-'Выборка 1'!BS185)+('Выборка 1'!BU185-'Выборка 1'!BT185))/4000</f>
        <v>2044.25</v>
      </c>
    </row>
    <row r="186" spans="2:16" x14ac:dyDescent="0.25">
      <c r="B186" s="42">
        <f>('Выборка 1'!AL186+'Выборка 1'!AG186)/1000</f>
        <v>0</v>
      </c>
      <c r="C186" s="17">
        <v>11</v>
      </c>
      <c r="D186" s="17">
        <f>(('Выборка 1'!E186-'Выборка 1'!D186)+('Выборка 1'!F186-'Выборка 1'!E186)+('Выборка 1'!G186-'Выборка 1'!F186)+('Выборка 1'!H186-'Выборка 1'!G186))/4000</f>
        <v>-1039.25</v>
      </c>
      <c r="E186" s="44">
        <f>(('Выборка 1'!J186-'Выборка 1'!I186)+('Выборка 1'!K186-'Выборка 1'!J186)+('Выборка 1'!L186-'Выборка 1'!K186)+('Выборка 1'!M186-'Выборка 1'!L186))/4000</f>
        <v>-2673.5</v>
      </c>
      <c r="F186" s="17">
        <f>(('Выборка 1'!O186-'Выборка 1'!N186)+('Выборка 1'!P186-'Выборка 1'!O186)+('Выборка 1'!Q186-'Выборка 1'!P186)+('Выборка 1'!R186-'Выборка 1'!Q186))/4000</f>
        <v>-1310</v>
      </c>
      <c r="G186" s="44">
        <f>(('Выборка 1'!T186-'Выборка 1'!S186)+('Выборка 1'!U186-'Выборка 1'!T186)+('Выборка 1'!V186-'Выборка 1'!U186)+('Выборка 1'!W186-'Выборка 1'!V186))/4000</f>
        <v>-1</v>
      </c>
      <c r="H186" s="44">
        <f>(('Выборка 1'!Y186-'Выборка 1'!X186)+('Выборка 1'!Z186+'Выборка 1'!Y186)+('Выборка 1'!AA186-'Выборка 1'!Z186)+('Выборка 1'!AB186-'Выборка 1'!AA186))/4000</f>
        <v>-669.75</v>
      </c>
      <c r="I186" s="44">
        <f>(('Выборка 1'!AD186-'Выборка 1'!AC186)+('Выборка 1'!AE186-'Выборка 1'!AD186)+('Выборка 1'!AF186-'Выборка 1'!AE186)+('Выборка 1'!AG186-'Выборка 1'!AF186))/4000</f>
        <v>0</v>
      </c>
      <c r="J186" s="44">
        <f>(('Выборка 1'!AI186-'Выборка 1'!AH186)+('Выборка 1'!AJ186-'Выборка 1'!AI186)+('Выборка 1'!AK186-'Выборка 1'!AJ186)+('Выборка 1'!AL186-'Выборка 1'!AK186))/4000</f>
        <v>-5028.75</v>
      </c>
      <c r="K186" s="17">
        <f>(('Выборка 1'!AN186-'Выборка 1'!AM186)+('Выборка 1'!AO186-'Выборка 1'!AN186)+('Выборка 1'!AP186-'Выборка 1'!AO186)+('Выборка 1'!AQ186-'Выборка 1'!AP186))/4000</f>
        <v>-3162.75</v>
      </c>
      <c r="L186" s="44">
        <f>((('Выборка 1'!AS186+'Выборка 1'!AX186)-('Выборка 1'!AR186+'Выборка 1'!AW186))+(('Выборка 1'!AT186+'Выборка 1'!AY186)-('Выборка 1'!AS186+'Выборка 1'!AX186))+(('Выборка 1'!AU186+'Выборка 1'!AZ186)-('Выборка 1'!AT186+'Выборка 1'!AY186))+(('Выборка 1'!AV186+'Выборка 1'!BA186)-('Выборка 1'!AU186+'Выборка 1'!AZ186)))/4000</f>
        <v>-2330.25</v>
      </c>
      <c r="M186" s="44">
        <f>(('Выборка 1'!BC186-'Выборка 1'!BB186)+('Выборка 1'!BD186-'Выборка 1'!BC186)+('Выборка 1'!BE186-'Выборка 1'!BD186)+('Выборка 1'!BF186-'Выборка 1'!BE186))/4000</f>
        <v>-902.25</v>
      </c>
      <c r="N186" s="44">
        <f t="shared" si="2"/>
        <v>69.75</v>
      </c>
      <c r="O186" s="17">
        <f>((('Выборка 1'!BH186-'Выборка 1'!BM186)-('Выборка 1'!BG186-'Выборка 1'!BL186))+(('Выборка 1'!BI186-'Выборка 1'!BN186)-('Выборка 1'!BH186-'Выборка 1'!BM186))+(('Выборка 1'!BJ186-'Выборка 1'!BO186)-('Выборка 1'!BI186-'Выборка 1'!BN186))+(('Выборка 1'!BK186-'Выборка 1'!BP186)-('Выборка 1'!BJ186-'Выборка 1'!BO186)))/4000</f>
        <v>238.5</v>
      </c>
      <c r="P186" s="17">
        <f>(('Выборка 1'!BR186-'Выборка 1'!BQ186)+('Выборка 1'!BS186-'Выборка 1'!BR186)+('Выборка 1'!BT186-'Выборка 1'!BS186)+('Выборка 1'!BU186-'Выборка 1'!BT186))/4000</f>
        <v>320.25</v>
      </c>
    </row>
    <row r="187" spans="2:16" x14ac:dyDescent="0.25">
      <c r="B187" s="42">
        <f>('Выборка 1'!AL187+'Выборка 1'!AG187)/1000</f>
        <v>400476</v>
      </c>
      <c r="C187" s="17">
        <v>11</v>
      </c>
      <c r="D187" s="17">
        <f>(('Выборка 1'!E187-'Выборка 1'!D187)+('Выборка 1'!F187-'Выборка 1'!E187)+('Выборка 1'!G187-'Выборка 1'!F187)+('Выборка 1'!H187-'Выборка 1'!G187))/4000</f>
        <v>-3570.25</v>
      </c>
      <c r="E187" s="44">
        <f>(('Выборка 1'!J187-'Выборка 1'!I187)+('Выборка 1'!K187-'Выборка 1'!J187)+('Выборка 1'!L187-'Выборка 1'!K187)+('Выборка 1'!M187-'Выборка 1'!L187))/4000</f>
        <v>-316.75</v>
      </c>
      <c r="F187" s="17">
        <f>(('Выборка 1'!O187-'Выборка 1'!N187)+('Выборка 1'!P187-'Выборка 1'!O187)+('Выборка 1'!Q187-'Выборка 1'!P187)+('Выборка 1'!R187-'Выборка 1'!Q187))/4000</f>
        <v>-70341.75</v>
      </c>
      <c r="G187" s="44">
        <f>(('Выборка 1'!T187-'Выборка 1'!S187)+('Выборка 1'!U187-'Выборка 1'!T187)+('Выборка 1'!V187-'Выборка 1'!U187)+('Выборка 1'!W187-'Выборка 1'!V187))/4000</f>
        <v>3687.75</v>
      </c>
      <c r="H187" s="44">
        <f>(('Выборка 1'!Y187-'Выборка 1'!X187)+('Выборка 1'!Z187+'Выборка 1'!Y187)+('Выборка 1'!AA187-'Выборка 1'!Z187)+('Выборка 1'!AB187-'Выборка 1'!AA187))/4000</f>
        <v>-110387.25</v>
      </c>
      <c r="I187" s="44">
        <f>(('Выборка 1'!AD187-'Выборка 1'!AC187)+('Выборка 1'!AE187-'Выборка 1'!AD187)+('Выборка 1'!AF187-'Выборка 1'!AE187)+('Выборка 1'!AG187-'Выборка 1'!AF187))/4000</f>
        <v>0</v>
      </c>
      <c r="J187" s="44">
        <f>(('Выборка 1'!AI187-'Выборка 1'!AH187)+('Выборка 1'!AJ187-'Выборка 1'!AI187)+('Выборка 1'!AK187-'Выборка 1'!AJ187)+('Выборка 1'!AL187-'Выборка 1'!AK187))/4000</f>
        <v>-33638</v>
      </c>
      <c r="K187" s="17">
        <f>(('Выборка 1'!AN187-'Выборка 1'!AM187)+('Выборка 1'!AO187-'Выборка 1'!AN187)+('Выборка 1'!AP187-'Выборка 1'!AO187)+('Выборка 1'!AQ187-'Выборка 1'!AP187))/4000</f>
        <v>-109946.25</v>
      </c>
      <c r="L187" s="44">
        <f>((('Выборка 1'!AS187+'Выборка 1'!AX187)-('Выборка 1'!AR187+'Выборка 1'!AW187))+(('Выборка 1'!AT187+'Выборка 1'!AY187)-('Выборка 1'!AS187+'Выборка 1'!AX187))+(('Выборка 1'!AU187+'Выборка 1'!AZ187)-('Выборка 1'!AT187+'Выборка 1'!AY187))+(('Выборка 1'!AV187+'Выборка 1'!BA187)-('Выборка 1'!AU187+'Выборка 1'!AZ187)))/4000</f>
        <v>-45421</v>
      </c>
      <c r="M187" s="44">
        <f>(('Выборка 1'!BC187-'Выборка 1'!BB187)+('Выборка 1'!BD187-'Выборка 1'!BC187)+('Выборка 1'!BE187-'Выборка 1'!BD187)+('Выборка 1'!BF187-'Выборка 1'!BE187))/4000</f>
        <v>-11083.25</v>
      </c>
      <c r="N187" s="44">
        <f t="shared" si="2"/>
        <v>-53442</v>
      </c>
      <c r="O187" s="17">
        <f>((('Выборка 1'!BH187-'Выборка 1'!BM187)-('Выборка 1'!BG187-'Выборка 1'!BL187))+(('Выборка 1'!BI187-'Выборка 1'!BN187)-('Выборка 1'!BH187-'Выборка 1'!BM187))+(('Выборка 1'!BJ187-'Выборка 1'!BO187)-('Выборка 1'!BI187-'Выборка 1'!BN187))+(('Выборка 1'!BK187-'Выборка 1'!BP187)-('Выборка 1'!BJ187-'Выборка 1'!BO187)))/4000</f>
        <v>-184.5</v>
      </c>
      <c r="P187" s="17">
        <f>(('Выборка 1'!BR187-'Выборка 1'!BQ187)+('Выборка 1'!BS187-'Выборка 1'!BR187)+('Выборка 1'!BT187-'Выборка 1'!BS187)+('Выборка 1'!BU187-'Выборка 1'!BT187))/4000</f>
        <v>-53430.25</v>
      </c>
    </row>
    <row r="188" spans="2:16" x14ac:dyDescent="0.25">
      <c r="B188" s="42">
        <f>('Выборка 1'!AL188+'Выборка 1'!AG188)/1000</f>
        <v>140761</v>
      </c>
      <c r="C188" s="17">
        <v>23</v>
      </c>
      <c r="D188" s="17">
        <f>(('Выборка 1'!E188-'Выборка 1'!D188)+('Выборка 1'!F188-'Выборка 1'!E188)+('Выборка 1'!G188-'Выборка 1'!F188)+('Выборка 1'!H188-'Выборка 1'!G188))/4000</f>
        <v>0</v>
      </c>
      <c r="E188" s="44">
        <f>(('Выборка 1'!J188-'Выборка 1'!I188)+('Выборка 1'!K188-'Выборка 1'!J188)+('Выборка 1'!L188-'Выборка 1'!K188)+('Выборка 1'!M188-'Выборка 1'!L188))/4000</f>
        <v>0</v>
      </c>
      <c r="F188" s="17">
        <f>(('Выборка 1'!O188-'Выборка 1'!N188)+('Выборка 1'!P188-'Выборка 1'!O188)+('Выборка 1'!Q188-'Выборка 1'!P188)+('Выборка 1'!R188-'Выборка 1'!Q188))/4000</f>
        <v>-28930.5</v>
      </c>
      <c r="G188" s="44">
        <f>(('Выборка 1'!T188-'Выборка 1'!S188)+('Выборка 1'!U188-'Выборка 1'!T188)+('Выборка 1'!V188-'Выборка 1'!U188)+('Выборка 1'!W188-'Выборка 1'!V188))/4000</f>
        <v>-1757.75</v>
      </c>
      <c r="H188" s="44">
        <f>(('Выборка 1'!Y188-'Выборка 1'!X188)+('Выборка 1'!Z188+'Выборка 1'!Y188)+('Выборка 1'!AA188-'Выборка 1'!Z188)+('Выборка 1'!AB188-'Выборка 1'!AA188))/4000</f>
        <v>-116273.75</v>
      </c>
      <c r="I188" s="44">
        <f>(('Выборка 1'!AD188-'Выборка 1'!AC188)+('Выборка 1'!AE188-'Выборка 1'!AD188)+('Выборка 1'!AF188-'Выборка 1'!AE188)+('Выборка 1'!AG188-'Выборка 1'!AF188))/4000</f>
        <v>0</v>
      </c>
      <c r="J188" s="44">
        <f>(('Выборка 1'!AI188-'Выборка 1'!AH188)+('Выборка 1'!AJ188-'Выборка 1'!AI188)+('Выборка 1'!AK188-'Выборка 1'!AJ188)+('Выборка 1'!AL188-'Выборка 1'!AK188))/4000</f>
        <v>-66.5</v>
      </c>
      <c r="K188" s="17">
        <f>(('Выборка 1'!AN188-'Выборка 1'!AM188)+('Выборка 1'!AO188-'Выборка 1'!AN188)+('Выборка 1'!AP188-'Выборка 1'!AO188)+('Выборка 1'!AQ188-'Выборка 1'!AP188))/4000</f>
        <v>-1691.5</v>
      </c>
      <c r="L188" s="44">
        <f>((('Выборка 1'!AS188+'Выборка 1'!AX188)-('Выборка 1'!AR188+'Выборка 1'!AW188))+(('Выборка 1'!AT188+'Выборка 1'!AY188)-('Выборка 1'!AS188+'Выборка 1'!AX188))+(('Выборка 1'!AU188+'Выборка 1'!AZ188)-('Выборка 1'!AT188+'Выборка 1'!AY188))+(('Выборка 1'!AV188+'Выборка 1'!BA188)-('Выборка 1'!AU188+'Выборка 1'!AZ188)))/4000</f>
        <v>0</v>
      </c>
      <c r="M188" s="44">
        <f>(('Выборка 1'!BC188-'Выборка 1'!BB188)+('Выборка 1'!BD188-'Выборка 1'!BC188)+('Выборка 1'!BE188-'Выборка 1'!BD188)+('Выборка 1'!BF188-'Выборка 1'!BE188))/4000</f>
        <v>-912.25</v>
      </c>
      <c r="N188" s="44">
        <f t="shared" si="2"/>
        <v>-779.25</v>
      </c>
      <c r="O188" s="17">
        <f>((('Выборка 1'!BH188-'Выборка 1'!BM188)-('Выборка 1'!BG188-'Выборка 1'!BL188))+(('Выборка 1'!BI188-'Выборка 1'!BN188)-('Выборка 1'!BH188-'Выборка 1'!BM188))+(('Выборка 1'!BJ188-'Выборка 1'!BO188)-('Выборка 1'!BI188-'Выборка 1'!BN188))+(('Выборка 1'!BK188-'Выборка 1'!BP188)-('Выборка 1'!BJ188-'Выборка 1'!BO188)))/4000</f>
        <v>-4870</v>
      </c>
      <c r="P188" s="17">
        <f>(('Выборка 1'!BR188-'Выборка 1'!BQ188)+('Выборка 1'!BS188-'Выборка 1'!BR188)+('Выборка 1'!BT188-'Выборка 1'!BS188)+('Выборка 1'!BU188-'Выборка 1'!BT188))/4000</f>
        <v>-5649.25</v>
      </c>
    </row>
    <row r="189" spans="2:16" x14ac:dyDescent="0.25">
      <c r="B189" s="42">
        <f>('Выборка 1'!AL189+'Выборка 1'!AG189)/1000</f>
        <v>0</v>
      </c>
      <c r="C189" s="17">
        <v>14</v>
      </c>
      <c r="D189" s="17">
        <f>(('Выборка 1'!E189-'Выборка 1'!D189)+('Выборка 1'!F189-'Выборка 1'!E189)+('Выборка 1'!G189-'Выборка 1'!F189)+('Выборка 1'!H189-'Выборка 1'!G189))/4000</f>
        <v>0</v>
      </c>
      <c r="E189" s="44">
        <f>(('Выборка 1'!J189-'Выборка 1'!I189)+('Выборка 1'!K189-'Выборка 1'!J189)+('Выборка 1'!L189-'Выборка 1'!K189)+('Выборка 1'!M189-'Выборка 1'!L189))/4000</f>
        <v>0</v>
      </c>
      <c r="F189" s="17">
        <f>(('Выборка 1'!O189-'Выборка 1'!N189)+('Выборка 1'!P189-'Выборка 1'!O189)+('Выборка 1'!Q189-'Выборка 1'!P189)+('Выборка 1'!R189-'Выборка 1'!Q189))/4000</f>
        <v>0</v>
      </c>
      <c r="G189" s="44">
        <f>(('Выборка 1'!T189-'Выборка 1'!S189)+('Выборка 1'!U189-'Выборка 1'!T189)+('Выборка 1'!V189-'Выборка 1'!U189)+('Выборка 1'!W189-'Выборка 1'!V189))/4000</f>
        <v>0</v>
      </c>
      <c r="H189" s="44">
        <f>(('Выборка 1'!Y189-'Выборка 1'!X189)+('Выборка 1'!Z189+'Выборка 1'!Y189)+('Выборка 1'!AA189-'Выборка 1'!Z189)+('Выборка 1'!AB189-'Выборка 1'!AA189))/4000</f>
        <v>0</v>
      </c>
      <c r="I189" s="44">
        <f>(('Выборка 1'!AD189-'Выборка 1'!AC189)+('Выборка 1'!AE189-'Выборка 1'!AD189)+('Выборка 1'!AF189-'Выборка 1'!AE189)+('Выборка 1'!AG189-'Выборка 1'!AF189))/4000</f>
        <v>0</v>
      </c>
      <c r="J189" s="44">
        <f>(('Выборка 1'!AI189-'Выборка 1'!AH189)+('Выборка 1'!AJ189-'Выборка 1'!AI189)+('Выборка 1'!AK189-'Выборка 1'!AJ189)+('Выборка 1'!AL189-'Выборка 1'!AK189))/4000</f>
        <v>0</v>
      </c>
      <c r="K189" s="17">
        <f>(('Выборка 1'!AN189-'Выборка 1'!AM189)+('Выборка 1'!AO189-'Выборка 1'!AN189)+('Выборка 1'!AP189-'Выборка 1'!AO189)+('Выборка 1'!AQ189-'Выборка 1'!AP189))/4000</f>
        <v>0</v>
      </c>
      <c r="L189" s="44">
        <f>((('Выборка 1'!AS189+'Выборка 1'!AX189)-('Выборка 1'!AR189+'Выборка 1'!AW189))+(('Выборка 1'!AT189+'Выборка 1'!AY189)-('Выборка 1'!AS189+'Выборка 1'!AX189))+(('Выборка 1'!AU189+'Выборка 1'!AZ189)-('Выборка 1'!AT189+'Выборка 1'!AY189))+(('Выборка 1'!AV189+'Выборка 1'!BA189)-('Выборка 1'!AU189+'Выборка 1'!AZ189)))/4000</f>
        <v>0</v>
      </c>
      <c r="M189" s="44">
        <f>(('Выборка 1'!BC189-'Выборка 1'!BB189)+('Выборка 1'!BD189-'Выборка 1'!BC189)+('Выборка 1'!BE189-'Выборка 1'!BD189)+('Выборка 1'!BF189-'Выборка 1'!BE189))/4000</f>
        <v>0</v>
      </c>
      <c r="N189" s="44">
        <f t="shared" si="2"/>
        <v>0</v>
      </c>
      <c r="O189" s="17">
        <f>((('Выборка 1'!BH189-'Выборка 1'!BM189)-('Выборка 1'!BG189-'Выборка 1'!BL189))+(('Выборка 1'!BI189-'Выборка 1'!BN189)-('Выборка 1'!BH189-'Выборка 1'!BM189))+(('Выборка 1'!BJ189-'Выборка 1'!BO189)-('Выборка 1'!BI189-'Выборка 1'!BN189))+(('Выборка 1'!BK189-'Выборка 1'!BP189)-('Выборка 1'!BJ189-'Выборка 1'!BO189)))/4000</f>
        <v>0</v>
      </c>
      <c r="P189" s="17">
        <f>(('Выборка 1'!BR189-'Выборка 1'!BQ189)+('Выборка 1'!BS189-'Выборка 1'!BR189)+('Выборка 1'!BT189-'Выборка 1'!BS189)+('Выборка 1'!BU189-'Выборка 1'!BT189))/4000</f>
        <v>0</v>
      </c>
    </row>
    <row r="190" spans="2:16" x14ac:dyDescent="0.25">
      <c r="B190" s="42">
        <f>('Выборка 1'!AL190+'Выборка 1'!AG190)/1000</f>
        <v>4245</v>
      </c>
      <c r="C190" s="17">
        <v>20</v>
      </c>
      <c r="D190" s="17">
        <f>(('Выборка 1'!E190-'Выборка 1'!D190)+('Выборка 1'!F190-'Выборка 1'!E190)+('Выборка 1'!G190-'Выборка 1'!F190)+('Выборка 1'!H190-'Выборка 1'!G190))/4000</f>
        <v>0.25</v>
      </c>
      <c r="E190" s="44">
        <f>(('Выборка 1'!J190-'Выборка 1'!I190)+('Выборка 1'!K190-'Выборка 1'!J190)+('Выборка 1'!L190-'Выборка 1'!K190)+('Выборка 1'!M190-'Выборка 1'!L190))/4000</f>
        <v>0</v>
      </c>
      <c r="F190" s="17">
        <f>(('Выборка 1'!O190-'Выборка 1'!N190)+('Выборка 1'!P190-'Выборка 1'!O190)+('Выборка 1'!Q190-'Выборка 1'!P190)+('Выборка 1'!R190-'Выборка 1'!Q190))/4000</f>
        <v>-408.75</v>
      </c>
      <c r="G190" s="44">
        <f>(('Выборка 1'!T190-'Выборка 1'!S190)+('Выборка 1'!U190-'Выборка 1'!T190)+('Выборка 1'!V190-'Выборка 1'!U190)+('Выборка 1'!W190-'Выборка 1'!V190))/4000</f>
        <v>-71.75</v>
      </c>
      <c r="H190" s="44">
        <f>(('Выборка 1'!Y190-'Выборка 1'!X190)+('Выборка 1'!Z190+'Выборка 1'!Y190)+('Выборка 1'!AA190-'Выборка 1'!Z190)+('Выборка 1'!AB190-'Выборка 1'!AA190))/4000</f>
        <v>0</v>
      </c>
      <c r="I190" s="44">
        <f>(('Выборка 1'!AD190-'Выборка 1'!AC190)+('Выборка 1'!AE190-'Выборка 1'!AD190)+('Выборка 1'!AF190-'Выборка 1'!AE190)+('Выборка 1'!AG190-'Выборка 1'!AF190))/4000</f>
        <v>9.5</v>
      </c>
      <c r="J190" s="44">
        <f>(('Выборка 1'!AI190-'Выборка 1'!AH190)+('Выборка 1'!AJ190-'Выборка 1'!AI190)+('Выборка 1'!AK190-'Выборка 1'!AJ190)+('Выборка 1'!AL190-'Выборка 1'!AK190))/4000</f>
        <v>-54.25</v>
      </c>
      <c r="K190" s="17">
        <f>(('Выборка 1'!AN190-'Выборка 1'!AM190)+('Выборка 1'!AO190-'Выборка 1'!AN190)+('Выборка 1'!AP190-'Выборка 1'!AO190)+('Выборка 1'!AQ190-'Выборка 1'!AP190))/4000</f>
        <v>-253.25</v>
      </c>
      <c r="L190" s="44">
        <f>((('Выборка 1'!AS190+'Выборка 1'!AX190)-('Выборка 1'!AR190+'Выборка 1'!AW190))+(('Выборка 1'!AT190+'Выборка 1'!AY190)-('Выборка 1'!AS190+'Выборка 1'!AX190))+(('Выборка 1'!AU190+'Выборка 1'!AZ190)-('Выборка 1'!AT190+'Выборка 1'!AY190))+(('Выборка 1'!AV190+'Выборка 1'!BA190)-('Выборка 1'!AU190+'Выборка 1'!AZ190)))/4000</f>
        <v>-181</v>
      </c>
      <c r="M190" s="44">
        <f>(('Выборка 1'!BC190-'Выборка 1'!BB190)+('Выборка 1'!BD190-'Выборка 1'!BC190)+('Выборка 1'!BE190-'Выборка 1'!BD190)+('Выборка 1'!BF190-'Выборка 1'!BE190))/4000</f>
        <v>0</v>
      </c>
      <c r="N190" s="44">
        <f t="shared" si="2"/>
        <v>-72.25</v>
      </c>
      <c r="O190" s="17">
        <f>((('Выборка 1'!BH190-'Выборка 1'!BM190)-('Выборка 1'!BG190-'Выборка 1'!BL190))+(('Выборка 1'!BI190-'Выборка 1'!BN190)-('Выборка 1'!BH190-'Выборка 1'!BM190))+(('Выборка 1'!BJ190-'Выборка 1'!BO190)-('Выборка 1'!BI190-'Выборка 1'!BN190))+(('Выборка 1'!BK190-'Выборка 1'!BP190)-('Выборка 1'!BJ190-'Выборка 1'!BO190)))/4000</f>
        <v>60.25</v>
      </c>
      <c r="P190" s="17">
        <f>(('Выборка 1'!BR190-'Выборка 1'!BQ190)+('Выборка 1'!BS190-'Выборка 1'!BR190)+('Выборка 1'!BT190-'Выборка 1'!BS190)+('Выборка 1'!BU190-'Выборка 1'!BT190))/4000</f>
        <v>-7.25</v>
      </c>
    </row>
    <row r="191" spans="2:16" x14ac:dyDescent="0.25">
      <c r="B191" s="42">
        <f>('Выборка 1'!AL191+'Выборка 1'!AG191)/1000</f>
        <v>44314</v>
      </c>
      <c r="C191" s="17">
        <v>14</v>
      </c>
      <c r="D191" s="17">
        <f>(('Выборка 1'!E191-'Выборка 1'!D191)+('Выборка 1'!F191-'Выборка 1'!E191)+('Выборка 1'!G191-'Выборка 1'!F191)+('Выборка 1'!H191-'Выборка 1'!G191))/4000</f>
        <v>-192.25</v>
      </c>
      <c r="E191" s="44">
        <f>(('Выборка 1'!J191-'Выборка 1'!I191)+('Выборка 1'!K191-'Выборка 1'!J191)+('Выборка 1'!L191-'Выборка 1'!K191)+('Выборка 1'!M191-'Выборка 1'!L191))/4000</f>
        <v>0</v>
      </c>
      <c r="F191" s="17">
        <f>(('Выборка 1'!O191-'Выборка 1'!N191)+('Выборка 1'!P191-'Выборка 1'!O191)+('Выборка 1'!Q191-'Выборка 1'!P191)+('Выборка 1'!R191-'Выборка 1'!Q191))/4000</f>
        <v>-4972</v>
      </c>
      <c r="G191" s="44">
        <f>(('Выборка 1'!T191-'Выборка 1'!S191)+('Выборка 1'!U191-'Выборка 1'!T191)+('Выборка 1'!V191-'Выборка 1'!U191)+('Выборка 1'!W191-'Выборка 1'!V191))/4000</f>
        <v>0</v>
      </c>
      <c r="H191" s="44">
        <f>(('Выборка 1'!Y191-'Выборка 1'!X191)+('Выборка 1'!Z191+'Выборка 1'!Y191)+('Выборка 1'!AA191-'Выборка 1'!Z191)+('Выборка 1'!AB191-'Выборка 1'!AA191))/4000</f>
        <v>-18314.75</v>
      </c>
      <c r="I191" s="44">
        <f>(('Выборка 1'!AD191-'Выборка 1'!AC191)+('Выборка 1'!AE191-'Выборка 1'!AD191)+('Выборка 1'!AF191-'Выборка 1'!AE191)+('Выборка 1'!AG191-'Выборка 1'!AF191))/4000</f>
        <v>-86.5</v>
      </c>
      <c r="J191" s="44">
        <f>(('Выборка 1'!AI191-'Выборка 1'!AH191)+('Выборка 1'!AJ191-'Выборка 1'!AI191)+('Выборка 1'!AK191-'Выборка 1'!AJ191)+('Выборка 1'!AL191-'Выборка 1'!AK191))/4000</f>
        <v>-1928.75</v>
      </c>
      <c r="K191" s="17">
        <f>(('Выборка 1'!AN191-'Выборка 1'!AM191)+('Выборка 1'!AO191-'Выборка 1'!AN191)+('Выборка 1'!AP191-'Выборка 1'!AO191)+('Выборка 1'!AQ191-'Выборка 1'!AP191))/4000</f>
        <v>-21620.25</v>
      </c>
      <c r="L191" s="44">
        <f>((('Выборка 1'!AS191+'Выборка 1'!AX191)-('Выборка 1'!AR191+'Выборка 1'!AW191))+(('Выборка 1'!AT191+'Выборка 1'!AY191)-('Выборка 1'!AS191+'Выборка 1'!AX191))+(('Выборка 1'!AU191+'Выборка 1'!AZ191)-('Выборка 1'!AT191+'Выборка 1'!AY191))+(('Выборка 1'!AV191+'Выборка 1'!BA191)-('Выборка 1'!AU191+'Выборка 1'!AZ191)))/4000</f>
        <v>-23363.25</v>
      </c>
      <c r="M191" s="44">
        <f>(('Выборка 1'!BC191-'Выборка 1'!BB191)+('Выборка 1'!BD191-'Выборка 1'!BC191)+('Выборка 1'!BE191-'Выборка 1'!BD191)+('Выборка 1'!BF191-'Выборка 1'!BE191))/4000</f>
        <v>-3171</v>
      </c>
      <c r="N191" s="44">
        <f t="shared" si="2"/>
        <v>4914</v>
      </c>
      <c r="O191" s="17">
        <f>((('Выборка 1'!BH191-'Выборка 1'!BM191)-('Выборка 1'!BG191-'Выборка 1'!BL191))+(('Выборка 1'!BI191-'Выборка 1'!BN191)-('Выборка 1'!BH191-'Выборка 1'!BM191))+(('Выборка 1'!BJ191-'Выборка 1'!BO191)-('Выборка 1'!BI191-'Выборка 1'!BN191))+(('Выборка 1'!BK191-'Выборка 1'!BP191)-('Выборка 1'!BJ191-'Выборка 1'!BO191)))/4000</f>
        <v>9878</v>
      </c>
      <c r="P191" s="17">
        <f>(('Выборка 1'!BR191-'Выборка 1'!BQ191)+('Выборка 1'!BS191-'Выборка 1'!BR191)+('Выборка 1'!BT191-'Выборка 1'!BS191)+('Выборка 1'!BU191-'Выборка 1'!BT191))/4000</f>
        <v>14810</v>
      </c>
    </row>
    <row r="192" spans="2:16" x14ac:dyDescent="0.25">
      <c r="B192" s="42">
        <f>('Выборка 1'!AL192+'Выборка 1'!AG192)/1000</f>
        <v>0</v>
      </c>
      <c r="C192" s="17">
        <v>28</v>
      </c>
      <c r="D192" s="17">
        <f>(('Выборка 1'!E192-'Выборка 1'!D192)+('Выборка 1'!F192-'Выборка 1'!E192)+('Выборка 1'!G192-'Выборка 1'!F192)+('Выборка 1'!H192-'Выборка 1'!G192))/4000</f>
        <v>0</v>
      </c>
      <c r="E192" s="44">
        <f>(('Выборка 1'!J192-'Выборка 1'!I192)+('Выборка 1'!K192-'Выборка 1'!J192)+('Выборка 1'!L192-'Выборка 1'!K192)+('Выборка 1'!M192-'Выборка 1'!L192))/4000</f>
        <v>0</v>
      </c>
      <c r="F192" s="17">
        <f>(('Выборка 1'!O192-'Выборка 1'!N192)+('Выборка 1'!P192-'Выборка 1'!O192)+('Выборка 1'!Q192-'Выборка 1'!P192)+('Выборка 1'!R192-'Выборка 1'!Q192))/4000</f>
        <v>-5545.25</v>
      </c>
      <c r="G192" s="44">
        <f>(('Выборка 1'!T192-'Выборка 1'!S192)+('Выборка 1'!U192-'Выборка 1'!T192)+('Выборка 1'!V192-'Выборка 1'!U192)+('Выборка 1'!W192-'Выборка 1'!V192))/4000</f>
        <v>0</v>
      </c>
      <c r="H192" s="44">
        <f>(('Выборка 1'!Y192-'Выборка 1'!X192)+('Выборка 1'!Z192+'Выборка 1'!Y192)+('Выборка 1'!AA192-'Выборка 1'!Z192)+('Выборка 1'!AB192-'Выборка 1'!AA192))/4000</f>
        <v>-5626.5</v>
      </c>
      <c r="I192" s="44">
        <f>(('Выборка 1'!AD192-'Выборка 1'!AC192)+('Выборка 1'!AE192-'Выборка 1'!AD192)+('Выборка 1'!AF192-'Выборка 1'!AE192)+('Выборка 1'!AG192-'Выборка 1'!AF192))/4000</f>
        <v>0</v>
      </c>
      <c r="J192" s="44">
        <f>(('Выборка 1'!AI192-'Выборка 1'!AH192)+('Выборка 1'!AJ192-'Выборка 1'!AI192)+('Выборка 1'!AK192-'Выборка 1'!AJ192)+('Выборка 1'!AL192-'Выборка 1'!AK192))/4000</f>
        <v>-2152.25</v>
      </c>
      <c r="K192" s="17">
        <f>(('Выборка 1'!AN192-'Выборка 1'!AM192)+('Выборка 1'!AO192-'Выборка 1'!AN192)+('Выборка 1'!AP192-'Выборка 1'!AO192)+('Выборка 1'!AQ192-'Выборка 1'!AP192))/4000</f>
        <v>-53.25</v>
      </c>
      <c r="L192" s="44">
        <f>((('Выборка 1'!AS192+'Выборка 1'!AX192)-('Выборка 1'!AR192+'Выборка 1'!AW192))+(('Выборка 1'!AT192+'Выборка 1'!AY192)-('Выборка 1'!AS192+'Выборка 1'!AX192))+(('Выборка 1'!AU192+'Выборка 1'!AZ192)-('Выборка 1'!AT192+'Выборка 1'!AY192))+(('Выборка 1'!AV192+'Выборка 1'!BA192)-('Выборка 1'!AU192+'Выборка 1'!AZ192)))/4000</f>
        <v>-157.5</v>
      </c>
      <c r="M192" s="44">
        <f>(('Выборка 1'!BC192-'Выборка 1'!BB192)+('Выборка 1'!BD192-'Выборка 1'!BC192)+('Выборка 1'!BE192-'Выборка 1'!BD192)+('Выборка 1'!BF192-'Выборка 1'!BE192))/4000</f>
        <v>0</v>
      </c>
      <c r="N192" s="44">
        <f t="shared" si="2"/>
        <v>104.25</v>
      </c>
      <c r="O192" s="17">
        <f>((('Выборка 1'!BH192-'Выборка 1'!BM192)-('Выборка 1'!BG192-'Выборка 1'!BL192))+(('Выборка 1'!BI192-'Выборка 1'!BN192)-('Выборка 1'!BH192-'Выборка 1'!BM192))+(('Выборка 1'!BJ192-'Выборка 1'!BO192)-('Выборка 1'!BI192-'Выборка 1'!BN192))+(('Выборка 1'!BK192-'Выборка 1'!BP192)-('Выборка 1'!BJ192-'Выборка 1'!BO192)))/4000</f>
        <v>1264</v>
      </c>
      <c r="P192" s="17">
        <f>(('Выборка 1'!BR192-'Выборка 1'!BQ192)+('Выборка 1'!BS192-'Выборка 1'!BR192)+('Выборка 1'!BT192-'Выборка 1'!BS192)+('Выборка 1'!BU192-'Выборка 1'!BT192))/4000</f>
        <v>1302.5</v>
      </c>
    </row>
    <row r="193" spans="2:16" x14ac:dyDescent="0.25">
      <c r="B193" s="42">
        <f>('Выборка 1'!AL193+'Выборка 1'!AG193)/1000</f>
        <v>18591</v>
      </c>
      <c r="C193" s="17">
        <v>6</v>
      </c>
      <c r="D193" s="17">
        <f>(('Выборка 1'!E193-'Выборка 1'!D193)+('Выборка 1'!F193-'Выборка 1'!E193)+('Выборка 1'!G193-'Выборка 1'!F193)+('Выборка 1'!H193-'Выборка 1'!G193))/4000</f>
        <v>-173.25</v>
      </c>
      <c r="E193" s="44">
        <f>(('Выборка 1'!J193-'Выборка 1'!I193)+('Выборка 1'!K193-'Выборка 1'!J193)+('Выборка 1'!L193-'Выборка 1'!K193)+('Выборка 1'!M193-'Выборка 1'!L193))/4000</f>
        <v>-78.75</v>
      </c>
      <c r="F193" s="17">
        <f>(('Выборка 1'!O193-'Выборка 1'!N193)+('Выборка 1'!P193-'Выборка 1'!O193)+('Выборка 1'!Q193-'Выборка 1'!P193)+('Выборка 1'!R193-'Выборка 1'!Q193))/4000</f>
        <v>-937.25</v>
      </c>
      <c r="G193" s="44">
        <f>(('Выборка 1'!T193-'Выборка 1'!S193)+('Выборка 1'!U193-'Выборка 1'!T193)+('Выборка 1'!V193-'Выборка 1'!U193)+('Выборка 1'!W193-'Выборка 1'!V193))/4000</f>
        <v>-161.25</v>
      </c>
      <c r="H193" s="44">
        <f>(('Выборка 1'!Y193-'Выборка 1'!X193)+('Выборка 1'!Z193+'Выборка 1'!Y193)+('Выборка 1'!AA193-'Выборка 1'!Z193)+('Выборка 1'!AB193-'Выборка 1'!AA193))/4000</f>
        <v>-6755.5</v>
      </c>
      <c r="I193" s="44">
        <f>(('Выборка 1'!AD193-'Выборка 1'!AC193)+('Выборка 1'!AE193-'Выборка 1'!AD193)+('Выборка 1'!AF193-'Выборка 1'!AE193)+('Выборка 1'!AG193-'Выборка 1'!AF193))/4000</f>
        <v>0</v>
      </c>
      <c r="J193" s="44">
        <f>(('Выборка 1'!AI193-'Выборка 1'!AH193)+('Выборка 1'!AJ193-'Выборка 1'!AI193)+('Выборка 1'!AK193-'Выборка 1'!AJ193)+('Выборка 1'!AL193-'Выборка 1'!AK193))/4000</f>
        <v>1531</v>
      </c>
      <c r="K193" s="17">
        <f>(('Выборка 1'!AN193-'Выборка 1'!AM193)+('Выборка 1'!AO193-'Выборка 1'!AN193)+('Выборка 1'!AP193-'Выборка 1'!AO193)+('Выборка 1'!AQ193-'Выборка 1'!AP193))/4000</f>
        <v>-10425.25</v>
      </c>
      <c r="L193" s="44">
        <f>((('Выборка 1'!AS193+'Выборка 1'!AX193)-('Выборка 1'!AR193+'Выборка 1'!AW193))+(('Выборка 1'!AT193+'Выборка 1'!AY193)-('Выборка 1'!AS193+'Выборка 1'!AX193))+(('Выборка 1'!AU193+'Выборка 1'!AZ193)-('Выборка 1'!AT193+'Выборка 1'!AY193))+(('Выборка 1'!AV193+'Выборка 1'!BA193)-('Выборка 1'!AU193+'Выборка 1'!AZ193)))/4000</f>
        <v>-10775.5</v>
      </c>
      <c r="M193" s="44">
        <f>(('Выборка 1'!BC193-'Выборка 1'!BB193)+('Выборка 1'!BD193-'Выборка 1'!BC193)+('Выборка 1'!BE193-'Выборка 1'!BD193)+('Выборка 1'!BF193-'Выборка 1'!BE193))/4000</f>
        <v>0</v>
      </c>
      <c r="N193" s="44">
        <f t="shared" si="2"/>
        <v>350.25</v>
      </c>
      <c r="O193" s="17">
        <f>((('Выборка 1'!BH193-'Выборка 1'!BM193)-('Выборка 1'!BG193-'Выборка 1'!BL193))+(('Выборка 1'!BI193-'Выборка 1'!BN193)-('Выборка 1'!BH193-'Выборка 1'!BM193))+(('Выборка 1'!BJ193-'Выборка 1'!BO193)-('Выборка 1'!BI193-'Выборка 1'!BN193))+(('Выборка 1'!BK193-'Выборка 1'!BP193)-('Выборка 1'!BJ193-'Выборка 1'!BO193)))/4000</f>
        <v>-1112</v>
      </c>
      <c r="P193" s="17">
        <f>(('Выборка 1'!BR193-'Выборка 1'!BQ193)+('Выборка 1'!BS193-'Выборка 1'!BR193)+('Выборка 1'!BT193-'Выборка 1'!BS193)+('Выборка 1'!BU193-'Выборка 1'!BT193))/4000</f>
        <v>-822</v>
      </c>
    </row>
    <row r="194" spans="2:16" x14ac:dyDescent="0.25">
      <c r="B194" s="42">
        <f>('Выборка 1'!AL194+'Выборка 1'!AG194)/1000</f>
        <v>0</v>
      </c>
      <c r="C194" s="17">
        <v>6</v>
      </c>
      <c r="D194" s="17">
        <f>(('Выборка 1'!E194-'Выборка 1'!D194)+('Выборка 1'!F194-'Выборка 1'!E194)+('Выборка 1'!G194-'Выборка 1'!F194)+('Выборка 1'!H194-'Выборка 1'!G194))/4000</f>
        <v>0</v>
      </c>
      <c r="E194" s="44">
        <f>(('Выборка 1'!J194-'Выборка 1'!I194)+('Выборка 1'!K194-'Выборка 1'!J194)+('Выборка 1'!L194-'Выборка 1'!K194)+('Выборка 1'!M194-'Выборка 1'!L194))/4000</f>
        <v>0</v>
      </c>
      <c r="F194" s="17">
        <f>(('Выборка 1'!O194-'Выборка 1'!N194)+('Выборка 1'!P194-'Выборка 1'!O194)+('Выборка 1'!Q194-'Выборка 1'!P194)+('Выборка 1'!R194-'Выборка 1'!Q194))/4000</f>
        <v>0</v>
      </c>
      <c r="G194" s="44">
        <f>(('Выборка 1'!T194-'Выборка 1'!S194)+('Выборка 1'!U194-'Выборка 1'!T194)+('Выборка 1'!V194-'Выборка 1'!U194)+('Выборка 1'!W194-'Выборка 1'!V194))/4000</f>
        <v>0</v>
      </c>
      <c r="H194" s="44">
        <f>(('Выборка 1'!Y194-'Выборка 1'!X194)+('Выборка 1'!Z194+'Выборка 1'!Y194)+('Выборка 1'!AA194-'Выборка 1'!Z194)+('Выборка 1'!AB194-'Выборка 1'!AA194))/4000</f>
        <v>0</v>
      </c>
      <c r="I194" s="44">
        <f>(('Выборка 1'!AD194-'Выборка 1'!AC194)+('Выборка 1'!AE194-'Выборка 1'!AD194)+('Выборка 1'!AF194-'Выборка 1'!AE194)+('Выборка 1'!AG194-'Выборка 1'!AF194))/4000</f>
        <v>0</v>
      </c>
      <c r="J194" s="44">
        <f>(('Выборка 1'!AI194-'Выборка 1'!AH194)+('Выборка 1'!AJ194-'Выборка 1'!AI194)+('Выборка 1'!AK194-'Выборка 1'!AJ194)+('Выборка 1'!AL194-'Выборка 1'!AK194))/4000</f>
        <v>0</v>
      </c>
      <c r="K194" s="17">
        <f>(('Выборка 1'!AN194-'Выборка 1'!AM194)+('Выборка 1'!AO194-'Выборка 1'!AN194)+('Выборка 1'!AP194-'Выборка 1'!AO194)+('Выборка 1'!AQ194-'Выборка 1'!AP194))/4000</f>
        <v>0</v>
      </c>
      <c r="L194" s="44">
        <f>((('Выборка 1'!AS194+'Выборка 1'!AX194)-('Выборка 1'!AR194+'Выборка 1'!AW194))+(('Выборка 1'!AT194+'Выборка 1'!AY194)-('Выборка 1'!AS194+'Выборка 1'!AX194))+(('Выборка 1'!AU194+'Выборка 1'!AZ194)-('Выборка 1'!AT194+'Выборка 1'!AY194))+(('Выборка 1'!AV194+'Выборка 1'!BA194)-('Выборка 1'!AU194+'Выборка 1'!AZ194)))/4000</f>
        <v>0</v>
      </c>
      <c r="M194" s="44">
        <f>(('Выборка 1'!BC194-'Выборка 1'!BB194)+('Выборка 1'!BD194-'Выборка 1'!BC194)+('Выборка 1'!BE194-'Выборка 1'!BD194)+('Выборка 1'!BF194-'Выборка 1'!BE194))/4000</f>
        <v>0</v>
      </c>
      <c r="N194" s="44">
        <f t="shared" si="2"/>
        <v>0</v>
      </c>
      <c r="O194" s="17">
        <f>((('Выборка 1'!BH194-'Выборка 1'!BM194)-('Выборка 1'!BG194-'Выборка 1'!BL194))+(('Выборка 1'!BI194-'Выборка 1'!BN194)-('Выборка 1'!BH194-'Выборка 1'!BM194))+(('Выборка 1'!BJ194-'Выборка 1'!BO194)-('Выборка 1'!BI194-'Выборка 1'!BN194))+(('Выборка 1'!BK194-'Выборка 1'!BP194)-('Выборка 1'!BJ194-'Выборка 1'!BO194)))/4000</f>
        <v>0</v>
      </c>
      <c r="P194" s="17">
        <f>(('Выборка 1'!BR194-'Выборка 1'!BQ194)+('Выборка 1'!BS194-'Выборка 1'!BR194)+('Выборка 1'!BT194-'Выборка 1'!BS194)+('Выборка 1'!BU194-'Выборка 1'!BT194))/4000</f>
        <v>0</v>
      </c>
    </row>
    <row r="195" spans="2:16" x14ac:dyDescent="0.25">
      <c r="B195" s="42">
        <f>('Выборка 1'!AL195+'Выборка 1'!AG195)/1000</f>
        <v>106192</v>
      </c>
      <c r="C195" s="17">
        <v>30</v>
      </c>
      <c r="D195" s="17">
        <f>(('Выборка 1'!E195-'Выборка 1'!D195)+('Выборка 1'!F195-'Выборка 1'!E195)+('Выборка 1'!G195-'Выборка 1'!F195)+('Выборка 1'!H195-'Выборка 1'!G195))/4000</f>
        <v>-11061.75</v>
      </c>
      <c r="E195" s="44">
        <f>(('Выборка 1'!J195-'Выборка 1'!I195)+('Выборка 1'!K195-'Выборка 1'!J195)+('Выборка 1'!L195-'Выборка 1'!K195)+('Выборка 1'!M195-'Выборка 1'!L195))/4000</f>
        <v>-20963.25</v>
      </c>
      <c r="F195" s="17">
        <f>(('Выборка 1'!O195-'Выборка 1'!N195)+('Выборка 1'!P195-'Выборка 1'!O195)+('Выборка 1'!Q195-'Выборка 1'!P195)+('Выборка 1'!R195-'Выборка 1'!Q195))/4000</f>
        <v>492.75</v>
      </c>
      <c r="G195" s="44">
        <f>(('Выборка 1'!T195-'Выборка 1'!S195)+('Выборка 1'!U195-'Выборка 1'!T195)+('Выборка 1'!V195-'Выборка 1'!U195)+('Выборка 1'!W195-'Выборка 1'!V195))/4000</f>
        <v>14</v>
      </c>
      <c r="H195" s="44">
        <f>(('Выборка 1'!Y195-'Выборка 1'!X195)+('Выборка 1'!Z195+'Выборка 1'!Y195)+('Выборка 1'!AA195-'Выборка 1'!Z195)+('Выборка 1'!AB195-'Выборка 1'!AA195))/4000</f>
        <v>-18336.75</v>
      </c>
      <c r="I195" s="44">
        <f>(('Выборка 1'!AD195-'Выборка 1'!AC195)+('Выборка 1'!AE195-'Выборка 1'!AD195)+('Выборка 1'!AF195-'Выборка 1'!AE195)+('Выборка 1'!AG195-'Выборка 1'!AF195))/4000</f>
        <v>6.75</v>
      </c>
      <c r="J195" s="44">
        <f>(('Выборка 1'!AI195-'Выборка 1'!AH195)+('Выборка 1'!AJ195-'Выборка 1'!AI195)+('Выборка 1'!AK195-'Выборка 1'!AJ195)+('Выборка 1'!AL195-'Выборка 1'!AK195))/4000</f>
        <v>3158.5</v>
      </c>
      <c r="K195" s="17">
        <f>(('Выборка 1'!AN195-'Выборка 1'!AM195)+('Выборка 1'!AO195-'Выборка 1'!AN195)+('Выборка 1'!AP195-'Выборка 1'!AO195)+('Выборка 1'!AQ195-'Выборка 1'!AP195))/4000</f>
        <v>-6442.5</v>
      </c>
      <c r="L195" s="44">
        <f>((('Выборка 1'!AS195+'Выборка 1'!AX195)-('Выборка 1'!AR195+'Выборка 1'!AW195))+(('Выборка 1'!AT195+'Выборка 1'!AY195)-('Выборка 1'!AS195+'Выборка 1'!AX195))+(('Выборка 1'!AU195+'Выборка 1'!AZ195)-('Выборка 1'!AT195+'Выборка 1'!AY195))+(('Выборка 1'!AV195+'Выборка 1'!BA195)-('Выборка 1'!AU195+'Выборка 1'!AZ195)))/4000</f>
        <v>-10810.75</v>
      </c>
      <c r="M195" s="44">
        <f>(('Выборка 1'!BC195-'Выборка 1'!BB195)+('Выборка 1'!BD195-'Выборка 1'!BC195)+('Выборка 1'!BE195-'Выборка 1'!BD195)+('Выборка 1'!BF195-'Выборка 1'!BE195))/4000</f>
        <v>0</v>
      </c>
      <c r="N195" s="44">
        <f t="shared" ref="N195:N253" si="3">K195-L195-M195</f>
        <v>4368.25</v>
      </c>
      <c r="O195" s="17">
        <f>((('Выборка 1'!BH195-'Выборка 1'!BM195)-('Выборка 1'!BG195-'Выборка 1'!BL195))+(('Выборка 1'!BI195-'Выборка 1'!BN195)-('Выборка 1'!BH195-'Выборка 1'!BM195))+(('Выборка 1'!BJ195-'Выборка 1'!BO195)-('Выборка 1'!BI195-'Выборка 1'!BN195))+(('Выборка 1'!BK195-'Выборка 1'!BP195)-('Выборка 1'!BJ195-'Выборка 1'!BO195)))/4000</f>
        <v>-2071</v>
      </c>
      <c r="P195" s="17">
        <f>(('Выборка 1'!BR195-'Выборка 1'!BQ195)+('Выборка 1'!BS195-'Выборка 1'!BR195)+('Выборка 1'!BT195-'Выборка 1'!BS195)+('Выборка 1'!BU195-'Выборка 1'!BT195))/4000</f>
        <v>2321</v>
      </c>
    </row>
    <row r="196" spans="2:16" x14ac:dyDescent="0.25">
      <c r="B196" s="42">
        <f>('Выборка 1'!AL196+'Выборка 1'!AG196)/1000</f>
        <v>315206</v>
      </c>
      <c r="C196" s="17">
        <v>19</v>
      </c>
      <c r="D196" s="17">
        <f>(('Выборка 1'!E196-'Выборка 1'!D196)+('Выборка 1'!F196-'Выборка 1'!E196)+('Выборка 1'!G196-'Выборка 1'!F196)+('Выборка 1'!H196-'Выборка 1'!G196))/4000</f>
        <v>-973.5</v>
      </c>
      <c r="E196" s="44">
        <f>(('Выборка 1'!J196-'Выборка 1'!I196)+('Выборка 1'!K196-'Выборка 1'!J196)+('Выборка 1'!L196-'Выборка 1'!K196)+('Выборка 1'!M196-'Выборка 1'!L196))/4000</f>
        <v>-10850</v>
      </c>
      <c r="F196" s="17">
        <f>(('Выборка 1'!O196-'Выборка 1'!N196)+('Выборка 1'!P196-'Выборка 1'!O196)+('Выборка 1'!Q196-'Выборка 1'!P196)+('Выборка 1'!R196-'Выборка 1'!Q196))/4000</f>
        <v>-5843</v>
      </c>
      <c r="G196" s="44">
        <f>(('Выборка 1'!T196-'Выборка 1'!S196)+('Выборка 1'!U196-'Выборка 1'!T196)+('Выборка 1'!V196-'Выборка 1'!U196)+('Выборка 1'!W196-'Выборка 1'!V196))/4000</f>
        <v>-1</v>
      </c>
      <c r="H196" s="44">
        <f>(('Выборка 1'!Y196-'Выборка 1'!X196)+('Выборка 1'!Z196+'Выборка 1'!Y196)+('Выборка 1'!AA196-'Выборка 1'!Z196)+('Выборка 1'!AB196-'Выборка 1'!AA196))/4000</f>
        <v>10796.5</v>
      </c>
      <c r="I196" s="44">
        <f>(('Выборка 1'!AD196-'Выборка 1'!AC196)+('Выборка 1'!AE196-'Выборка 1'!AD196)+('Выборка 1'!AF196-'Выборка 1'!AE196)+('Выборка 1'!AG196-'Выборка 1'!AF196))/4000</f>
        <v>-8441.25</v>
      </c>
      <c r="J196" s="44">
        <f>(('Выборка 1'!AI196-'Выборка 1'!AH196)+('Выборка 1'!AJ196-'Выборка 1'!AI196)+('Выборка 1'!AK196-'Выборка 1'!AJ196)+('Выборка 1'!AL196-'Выборка 1'!AK196))/4000</f>
        <v>51001.75</v>
      </c>
      <c r="K196" s="17">
        <f>(('Выборка 1'!AN196-'Выборка 1'!AM196)+('Выборка 1'!AO196-'Выборка 1'!AN196)+('Выборка 1'!AP196-'Выборка 1'!AO196)+('Выборка 1'!AQ196-'Выборка 1'!AP196))/4000</f>
        <v>-14377</v>
      </c>
      <c r="L196" s="44">
        <f>((('Выборка 1'!AS196+'Выборка 1'!AX196)-('Выборка 1'!AR196+'Выборка 1'!AW196))+(('Выборка 1'!AT196+'Выборка 1'!AY196)-('Выборка 1'!AS196+'Выборка 1'!AX196))+(('Выборка 1'!AU196+'Выборка 1'!AZ196)-('Выборка 1'!AT196+'Выборка 1'!AY196))+(('Выборка 1'!AV196+'Выборка 1'!BA196)-('Выборка 1'!AU196+'Выборка 1'!AZ196)))/4000</f>
        <v>-15695.25</v>
      </c>
      <c r="M196" s="44">
        <f>(('Выборка 1'!BC196-'Выборка 1'!BB196)+('Выборка 1'!BD196-'Выборка 1'!BC196)+('Выборка 1'!BE196-'Выборка 1'!BD196)+('Выборка 1'!BF196-'Выборка 1'!BE196))/4000</f>
        <v>0</v>
      </c>
      <c r="N196" s="44">
        <f t="shared" si="3"/>
        <v>1318.25</v>
      </c>
      <c r="O196" s="17">
        <f>((('Выборка 1'!BH196-'Выборка 1'!BM196)-('Выборка 1'!BG196-'Выборка 1'!BL196))+(('Выборка 1'!BI196-'Выборка 1'!BN196)-('Выборка 1'!BH196-'Выборка 1'!BM196))+(('Выборка 1'!BJ196-'Выборка 1'!BO196)-('Выборка 1'!BI196-'Выборка 1'!BN196))+(('Выборка 1'!BK196-'Выборка 1'!BP196)-('Выборка 1'!BJ196-'Выборка 1'!BO196)))/4000</f>
        <v>265.75</v>
      </c>
      <c r="P196" s="17">
        <f>(('Выборка 1'!BR196-'Выборка 1'!BQ196)+('Выборка 1'!BS196-'Выборка 1'!BR196)+('Выборка 1'!BT196-'Выборка 1'!BS196)+('Выборка 1'!BU196-'Выборка 1'!BT196))/4000</f>
        <v>1791.25</v>
      </c>
    </row>
    <row r="197" spans="2:16" x14ac:dyDescent="0.25">
      <c r="B197" s="42">
        <f>('Выборка 1'!AL197+'Выборка 1'!AG197)/1000</f>
        <v>206953</v>
      </c>
      <c r="C197" s="17">
        <v>33</v>
      </c>
      <c r="D197" s="17">
        <f>(('Выборка 1'!E197-'Выборка 1'!D197)+('Выборка 1'!F197-'Выборка 1'!E197)+('Выборка 1'!G197-'Выборка 1'!F197)+('Выборка 1'!H197-'Выборка 1'!G197))/4000</f>
        <v>-29587.75</v>
      </c>
      <c r="E197" s="44">
        <f>(('Выборка 1'!J197-'Выборка 1'!I197)+('Выборка 1'!K197-'Выборка 1'!J197)+('Выборка 1'!L197-'Выборка 1'!K197)+('Выборка 1'!M197-'Выборка 1'!L197))/4000</f>
        <v>-4487.25</v>
      </c>
      <c r="F197" s="17">
        <f>(('Выборка 1'!O197-'Выборка 1'!N197)+('Выборка 1'!P197-'Выборка 1'!O197)+('Выборка 1'!Q197-'Выборка 1'!P197)+('Выборка 1'!R197-'Выборка 1'!Q197))/4000</f>
        <v>-864</v>
      </c>
      <c r="G197" s="44">
        <f>(('Выборка 1'!T197-'Выборка 1'!S197)+('Выборка 1'!U197-'Выборка 1'!T197)+('Выборка 1'!V197-'Выборка 1'!U197)+('Выборка 1'!W197-'Выборка 1'!V197))/4000</f>
        <v>4484.5</v>
      </c>
      <c r="H197" s="44">
        <f>(('Выборка 1'!Y197-'Выборка 1'!X197)+('Выборка 1'!Z197+'Выборка 1'!Y197)+('Выборка 1'!AA197-'Выборка 1'!Z197)+('Выборка 1'!AB197-'Выборка 1'!AA197))/4000</f>
        <v>-110428.25</v>
      </c>
      <c r="I197" s="44">
        <f>(('Выборка 1'!AD197-'Выборка 1'!AC197)+('Выборка 1'!AE197-'Выборка 1'!AD197)+('Выборка 1'!AF197-'Выборка 1'!AE197)+('Выборка 1'!AG197-'Выборка 1'!AF197))/4000</f>
        <v>1467.25</v>
      </c>
      <c r="J197" s="44">
        <f>(('Выборка 1'!AI197-'Выборка 1'!AH197)+('Выборка 1'!AJ197-'Выборка 1'!AI197)+('Выборка 1'!AK197-'Выборка 1'!AJ197)+('Выборка 1'!AL197-'Выборка 1'!AK197))/4000</f>
        <v>13910</v>
      </c>
      <c r="K197" s="17">
        <f>(('Выборка 1'!AN197-'Выборка 1'!AM197)+('Выборка 1'!AO197-'Выборка 1'!AN197)+('Выборка 1'!AP197-'Выборка 1'!AO197)+('Выборка 1'!AQ197-'Выборка 1'!AP197))/4000</f>
        <v>-17138.5</v>
      </c>
      <c r="L197" s="44">
        <f>((('Выборка 1'!AS197+'Выборка 1'!AX197)-('Выборка 1'!AR197+'Выборка 1'!AW197))+(('Выборка 1'!AT197+'Выборка 1'!AY197)-('Выборка 1'!AS197+'Выборка 1'!AX197))+(('Выборка 1'!AU197+'Выборка 1'!AZ197)-('Выборка 1'!AT197+'Выборка 1'!AY197))+(('Выборка 1'!AV197+'Выборка 1'!BA197)-('Выборка 1'!AU197+'Выборка 1'!AZ197)))/4000</f>
        <v>-20937</v>
      </c>
      <c r="M197" s="44">
        <f>(('Выборка 1'!BC197-'Выборка 1'!BB197)+('Выборка 1'!BD197-'Выборка 1'!BC197)+('Выборка 1'!BE197-'Выборка 1'!BD197)+('Выборка 1'!BF197-'Выборка 1'!BE197))/4000</f>
        <v>0</v>
      </c>
      <c r="N197" s="44">
        <f t="shared" si="3"/>
        <v>3798.5</v>
      </c>
      <c r="O197" s="17">
        <f>((('Выборка 1'!BH197-'Выборка 1'!BM197)-('Выборка 1'!BG197-'Выборка 1'!BL197))+(('Выборка 1'!BI197-'Выборка 1'!BN197)-('Выборка 1'!BH197-'Выборка 1'!BM197))+(('Выборка 1'!BJ197-'Выборка 1'!BO197)-('Выборка 1'!BI197-'Выборка 1'!BN197))+(('Выборка 1'!BK197-'Выборка 1'!BP197)-('Выборка 1'!BJ197-'Выборка 1'!BO197)))/4000</f>
        <v>-1374</v>
      </c>
      <c r="P197" s="17">
        <f>(('Выборка 1'!BR197-'Выборка 1'!BQ197)+('Выборка 1'!BS197-'Выборка 1'!BR197)+('Выборка 1'!BT197-'Выборка 1'!BS197)+('Выборка 1'!BU197-'Выборка 1'!BT197))/4000</f>
        <v>5662.25</v>
      </c>
    </row>
    <row r="198" spans="2:16" x14ac:dyDescent="0.25">
      <c r="B198" s="42">
        <f>('Выборка 1'!AL198+'Выборка 1'!AG198)/1000</f>
        <v>6268</v>
      </c>
      <c r="C198" s="17">
        <v>15</v>
      </c>
      <c r="D198" s="17">
        <f>(('Выборка 1'!E198-'Выборка 1'!D198)+('Выборка 1'!F198-'Выборка 1'!E198)+('Выборка 1'!G198-'Выборка 1'!F198)+('Выборка 1'!H198-'Выборка 1'!G198))/4000</f>
        <v>0</v>
      </c>
      <c r="E198" s="44">
        <f>(('Выборка 1'!J198-'Выборка 1'!I198)+('Выборка 1'!K198-'Выборка 1'!J198)+('Выборка 1'!L198-'Выборка 1'!K198)+('Выборка 1'!M198-'Выборка 1'!L198))/4000</f>
        <v>0</v>
      </c>
      <c r="F198" s="17">
        <f>(('Выборка 1'!O198-'Выборка 1'!N198)+('Выборка 1'!P198-'Выборка 1'!O198)+('Выборка 1'!Q198-'Выборка 1'!P198)+('Выборка 1'!R198-'Выборка 1'!Q198))/4000</f>
        <v>58</v>
      </c>
      <c r="G198" s="44">
        <f>(('Выборка 1'!T198-'Выборка 1'!S198)+('Выборка 1'!U198-'Выборка 1'!T198)+('Выборка 1'!V198-'Выборка 1'!U198)+('Выборка 1'!W198-'Выборка 1'!V198))/4000</f>
        <v>-383.75</v>
      </c>
      <c r="H198" s="44">
        <f>(('Выборка 1'!Y198-'Выборка 1'!X198)+('Выборка 1'!Z198+'Выборка 1'!Y198)+('Выборка 1'!AA198-'Выборка 1'!Z198)+('Выборка 1'!AB198-'Выборка 1'!AA198))/4000</f>
        <v>-2214</v>
      </c>
      <c r="I198" s="44">
        <f>(('Выборка 1'!AD198-'Выборка 1'!AC198)+('Выборка 1'!AE198-'Выборка 1'!AD198)+('Выборка 1'!AF198-'Выборка 1'!AE198)+('Выборка 1'!AG198-'Выборка 1'!AF198))/4000</f>
        <v>0</v>
      </c>
      <c r="J198" s="44">
        <f>(('Выборка 1'!AI198-'Выборка 1'!AH198)+('Выборка 1'!AJ198-'Выборка 1'!AI198)+('Выборка 1'!AK198-'Выборка 1'!AJ198)+('Выборка 1'!AL198-'Выборка 1'!AK198))/4000</f>
        <v>1341.25</v>
      </c>
      <c r="K198" s="17">
        <f>(('Выборка 1'!AN198-'Выборка 1'!AM198)+('Выборка 1'!AO198-'Выборка 1'!AN198)+('Выборка 1'!AP198-'Выборка 1'!AO198)+('Выборка 1'!AQ198-'Выборка 1'!AP198))/4000</f>
        <v>0</v>
      </c>
      <c r="L198" s="44">
        <f>((('Выборка 1'!AS198+'Выборка 1'!AX198)-('Выборка 1'!AR198+'Выборка 1'!AW198))+(('Выборка 1'!AT198+'Выборка 1'!AY198)-('Выборка 1'!AS198+'Выборка 1'!AX198))+(('Выборка 1'!AU198+'Выборка 1'!AZ198)-('Выборка 1'!AT198+'Выборка 1'!AY198))+(('Выборка 1'!AV198+'Выборка 1'!BA198)-('Выборка 1'!AU198+'Выборка 1'!AZ198)))/4000</f>
        <v>0</v>
      </c>
      <c r="M198" s="44">
        <f>(('Выборка 1'!BC198-'Выборка 1'!BB198)+('Выборка 1'!BD198-'Выборка 1'!BC198)+('Выборка 1'!BE198-'Выборка 1'!BD198)+('Выборка 1'!BF198-'Выборка 1'!BE198))/4000</f>
        <v>-31</v>
      </c>
      <c r="N198" s="44">
        <f t="shared" si="3"/>
        <v>31</v>
      </c>
      <c r="O198" s="17">
        <f>((('Выборка 1'!BH198-'Выборка 1'!BM198)-('Выборка 1'!BG198-'Выборка 1'!BL198))+(('Выборка 1'!BI198-'Выборка 1'!BN198)-('Выборка 1'!BH198-'Выборка 1'!BM198))+(('Выборка 1'!BJ198-'Выборка 1'!BO198)-('Выборка 1'!BI198-'Выборка 1'!BN198))+(('Выборка 1'!BK198-'Выборка 1'!BP198)-('Выборка 1'!BJ198-'Выборка 1'!BO198)))/4000</f>
        <v>-866.5</v>
      </c>
      <c r="P198" s="17">
        <f>(('Выборка 1'!BR198-'Выборка 1'!BQ198)+('Выборка 1'!BS198-'Выборка 1'!BR198)+('Выборка 1'!BT198-'Выборка 1'!BS198)+('Выборка 1'!BU198-'Выборка 1'!BT198))/4000</f>
        <v>-719.5</v>
      </c>
    </row>
    <row r="199" spans="2:16" x14ac:dyDescent="0.25">
      <c r="B199" s="42">
        <f>('Выборка 1'!AL199+'Выборка 1'!AG199)/1000</f>
        <v>200169</v>
      </c>
      <c r="C199" s="17">
        <v>13</v>
      </c>
      <c r="D199" s="17">
        <f>(('Выборка 1'!E199-'Выборка 1'!D199)+('Выборка 1'!F199-'Выборка 1'!E199)+('Выборка 1'!G199-'Выборка 1'!F199)+('Выборка 1'!H199-'Выборка 1'!G199))/4000</f>
        <v>-2188</v>
      </c>
      <c r="E199" s="44">
        <f>(('Выборка 1'!J199-'Выборка 1'!I199)+('Выборка 1'!K199-'Выборка 1'!J199)+('Выборка 1'!L199-'Выборка 1'!K199)+('Выборка 1'!M199-'Выборка 1'!L199))/4000</f>
        <v>8557.25</v>
      </c>
      <c r="F199" s="17">
        <f>(('Выборка 1'!O199-'Выборка 1'!N199)+('Выборка 1'!P199-'Выборка 1'!O199)+('Выборка 1'!Q199-'Выборка 1'!P199)+('Выборка 1'!R199-'Выборка 1'!Q199))/4000</f>
        <v>45455.25</v>
      </c>
      <c r="G199" s="44">
        <f>(('Выборка 1'!T199-'Выборка 1'!S199)+('Выборка 1'!U199-'Выборка 1'!T199)+('Выборка 1'!V199-'Выборка 1'!U199)+('Выборка 1'!W199-'Выборка 1'!V199))/4000</f>
        <v>253.75</v>
      </c>
      <c r="H199" s="44">
        <f>(('Выборка 1'!Y199-'Выборка 1'!X199)+('Выборка 1'!Z199+'Выборка 1'!Y199)+('Выборка 1'!AA199-'Выборка 1'!Z199)+('Выборка 1'!AB199-'Выборка 1'!AA199))/4000</f>
        <v>0</v>
      </c>
      <c r="I199" s="44">
        <f>(('Выборка 1'!AD199-'Выборка 1'!AC199)+('Выборка 1'!AE199-'Выборка 1'!AD199)+('Выборка 1'!AF199-'Выборка 1'!AE199)+('Выборка 1'!AG199-'Выборка 1'!AF199))/4000</f>
        <v>172.25</v>
      </c>
      <c r="J199" s="44">
        <f>(('Выборка 1'!AI199-'Выборка 1'!AH199)+('Выборка 1'!AJ199-'Выборка 1'!AI199)+('Выборка 1'!AK199-'Выборка 1'!AJ199)+('Выборка 1'!AL199-'Выборка 1'!AK199))/4000</f>
        <v>48034</v>
      </c>
      <c r="K199" s="17">
        <f>(('Выборка 1'!AN199-'Выборка 1'!AM199)+('Выборка 1'!AO199-'Выборка 1'!AN199)+('Выборка 1'!AP199-'Выборка 1'!AO199)+('Выборка 1'!AQ199-'Выборка 1'!AP199))/4000</f>
        <v>-15456.25</v>
      </c>
      <c r="L199" s="44">
        <f>((('Выборка 1'!AS199+'Выборка 1'!AX199)-('Выборка 1'!AR199+'Выборка 1'!AW199))+(('Выборка 1'!AT199+'Выборка 1'!AY199)-('Выборка 1'!AS199+'Выборка 1'!AX199))+(('Выборка 1'!AU199+'Выборка 1'!AZ199)-('Выборка 1'!AT199+'Выборка 1'!AY199))+(('Выборка 1'!AV199+'Выборка 1'!BA199)-('Выборка 1'!AU199+'Выборка 1'!AZ199)))/4000</f>
        <v>-18258.25</v>
      </c>
      <c r="M199" s="44">
        <f>(('Выборка 1'!BC199-'Выборка 1'!BB199)+('Выборка 1'!BD199-'Выборка 1'!BC199)+('Выборка 1'!BE199-'Выборка 1'!BD199)+('Выборка 1'!BF199-'Выборка 1'!BE199))/4000</f>
        <v>0</v>
      </c>
      <c r="N199" s="44">
        <f t="shared" si="3"/>
        <v>2802</v>
      </c>
      <c r="O199" s="17">
        <f>((('Выборка 1'!BH199-'Выборка 1'!BM199)-('Выборка 1'!BG199-'Выборка 1'!BL199))+(('Выборка 1'!BI199-'Выборка 1'!BN199)-('Выборка 1'!BH199-'Выборка 1'!BM199))+(('Выборка 1'!BJ199-'Выборка 1'!BO199)-('Выборка 1'!BI199-'Выборка 1'!BN199))+(('Выборка 1'!BK199-'Выборка 1'!BP199)-('Выборка 1'!BJ199-'Выборка 1'!BO199)))/4000</f>
        <v>-4092.75</v>
      </c>
      <c r="P199" s="17">
        <f>(('Выборка 1'!BR199-'Выборка 1'!BQ199)+('Выборка 1'!BS199-'Выборка 1'!BR199)+('Выборка 1'!BT199-'Выборка 1'!BS199)+('Выборка 1'!BU199-'Выборка 1'!BT199))/4000</f>
        <v>-1031.5</v>
      </c>
    </row>
    <row r="200" spans="2:16" x14ac:dyDescent="0.25">
      <c r="B200" s="42">
        <f>('Выборка 1'!AL200+'Выборка 1'!AG200)/1000</f>
        <v>0</v>
      </c>
      <c r="C200" s="17">
        <v>13</v>
      </c>
      <c r="D200" s="17">
        <f>(('Выборка 1'!E200-'Выборка 1'!D200)+('Выборка 1'!F200-'Выборка 1'!E200)+('Выборка 1'!G200-'Выборка 1'!F200)+('Выборка 1'!H200-'Выборка 1'!G200))/4000</f>
        <v>-8886</v>
      </c>
      <c r="E200" s="44">
        <f>(('Выборка 1'!J200-'Выборка 1'!I200)+('Выборка 1'!K200-'Выборка 1'!J200)+('Выборка 1'!L200-'Выборка 1'!K200)+('Выборка 1'!M200-'Выборка 1'!L200))/4000</f>
        <v>-142.25</v>
      </c>
      <c r="F200" s="17">
        <f>(('Выборка 1'!O200-'Выборка 1'!N200)+('Выборка 1'!P200-'Выборка 1'!O200)+('Выборка 1'!Q200-'Выборка 1'!P200)+('Выборка 1'!R200-'Выборка 1'!Q200))/4000</f>
        <v>-1834.25</v>
      </c>
      <c r="G200" s="44">
        <f>(('Выборка 1'!T200-'Выборка 1'!S200)+('Выборка 1'!U200-'Выборка 1'!T200)+('Выборка 1'!V200-'Выборка 1'!U200)+('Выборка 1'!W200-'Выборка 1'!V200))/4000</f>
        <v>-0.25</v>
      </c>
      <c r="H200" s="44">
        <f>(('Выборка 1'!Y200-'Выборка 1'!X200)+('Выборка 1'!Z200+'Выборка 1'!Y200)+('Выборка 1'!AA200-'Выборка 1'!Z200)+('Выборка 1'!AB200-'Выборка 1'!AA200))/4000</f>
        <v>-24.25</v>
      </c>
      <c r="I200" s="44">
        <f>(('Выборка 1'!AD200-'Выборка 1'!AC200)+('Выборка 1'!AE200-'Выборка 1'!AD200)+('Выборка 1'!AF200-'Выборка 1'!AE200)+('Выборка 1'!AG200-'Выборка 1'!AF200))/4000</f>
        <v>-0.25</v>
      </c>
      <c r="J200" s="44">
        <f>(('Выборка 1'!AI200-'Выборка 1'!AH200)+('Выборка 1'!AJ200-'Выборка 1'!AI200)+('Выборка 1'!AK200-'Выборка 1'!AJ200)+('Выборка 1'!AL200-'Выборка 1'!AK200))/4000</f>
        <v>-3128.25</v>
      </c>
      <c r="K200" s="17">
        <f>(('Выборка 1'!AN200-'Выборка 1'!AM200)+('Выборка 1'!AO200-'Выборка 1'!AN200)+('Выборка 1'!AP200-'Выборка 1'!AO200)+('Выборка 1'!AQ200-'Выборка 1'!AP200))/4000</f>
        <v>-4871.75</v>
      </c>
      <c r="L200" s="44">
        <f>((('Выборка 1'!AS200+'Выборка 1'!AX200)-('Выборка 1'!AR200+'Выборка 1'!AW200))+(('Выборка 1'!AT200+'Выборка 1'!AY200)-('Выборка 1'!AS200+'Выборка 1'!AX200))+(('Выборка 1'!AU200+'Выборка 1'!AZ200)-('Выборка 1'!AT200+'Выборка 1'!AY200))+(('Выборка 1'!AV200+'Выборка 1'!BA200)-('Выборка 1'!AU200+'Выборка 1'!AZ200)))/4000</f>
        <v>-4759.75</v>
      </c>
      <c r="M200" s="44">
        <f>(('Выборка 1'!BC200-'Выборка 1'!BB200)+('Выборка 1'!BD200-'Выборка 1'!BC200)+('Выборка 1'!BE200-'Выборка 1'!BD200)+('Выборка 1'!BF200-'Выборка 1'!BE200))/4000</f>
        <v>0</v>
      </c>
      <c r="N200" s="44">
        <f t="shared" si="3"/>
        <v>-112</v>
      </c>
      <c r="O200" s="17">
        <f>((('Выборка 1'!BH200-'Выборка 1'!BM200)-('Выборка 1'!BG200-'Выборка 1'!BL200))+(('Выборка 1'!BI200-'Выборка 1'!BN200)-('Выборка 1'!BH200-'Выборка 1'!BM200))+(('Выборка 1'!BJ200-'Выборка 1'!BO200)-('Выборка 1'!BI200-'Выборка 1'!BN200))+(('Выборка 1'!BK200-'Выборка 1'!BP200)-('Выборка 1'!BJ200-'Выборка 1'!BO200)))/4000</f>
        <v>-18.5</v>
      </c>
      <c r="P200" s="17">
        <f>(('Выборка 1'!BR200-'Выборка 1'!BQ200)+('Выборка 1'!BS200-'Выборка 1'!BR200)+('Выборка 1'!BT200-'Выборка 1'!BS200)+('Выборка 1'!BU200-'Выборка 1'!BT200))/4000</f>
        <v>-123.75</v>
      </c>
    </row>
    <row r="201" spans="2:16" x14ac:dyDescent="0.25">
      <c r="B201" s="42">
        <f>('Выборка 1'!AL201+'Выборка 1'!AG201)/1000</f>
        <v>3715</v>
      </c>
      <c r="C201" s="17">
        <v>19</v>
      </c>
      <c r="D201" s="17">
        <f>(('Выборка 1'!E201-'Выборка 1'!D201)+('Выборка 1'!F201-'Выборка 1'!E201)+('Выборка 1'!G201-'Выборка 1'!F201)+('Выборка 1'!H201-'Выборка 1'!G201))/4000</f>
        <v>0</v>
      </c>
      <c r="E201" s="44">
        <f>(('Выборка 1'!J201-'Выборка 1'!I201)+('Выборка 1'!K201-'Выборка 1'!J201)+('Выборка 1'!L201-'Выборка 1'!K201)+('Выборка 1'!M201-'Выборка 1'!L201))/4000</f>
        <v>-487.25</v>
      </c>
      <c r="F201" s="17">
        <f>(('Выборка 1'!O201-'Выборка 1'!N201)+('Выборка 1'!P201-'Выборка 1'!O201)+('Выборка 1'!Q201-'Выборка 1'!P201)+('Выборка 1'!R201-'Выборка 1'!Q201))/4000</f>
        <v>0</v>
      </c>
      <c r="G201" s="44">
        <f>(('Выборка 1'!T201-'Выборка 1'!S201)+('Выборка 1'!U201-'Выборка 1'!T201)+('Выборка 1'!V201-'Выборка 1'!U201)+('Выборка 1'!W201-'Выборка 1'!V201))/4000</f>
        <v>-28.75</v>
      </c>
      <c r="H201" s="44">
        <f>(('Выборка 1'!Y201-'Выборка 1'!X201)+('Выборка 1'!Z201+'Выборка 1'!Y201)+('Выборка 1'!AA201-'Выборка 1'!Z201)+('Выборка 1'!AB201-'Выборка 1'!AA201))/4000</f>
        <v>3122.5</v>
      </c>
      <c r="I201" s="44">
        <f>(('Выборка 1'!AD201-'Выборка 1'!AC201)+('Выборка 1'!AE201-'Выборка 1'!AD201)+('Выборка 1'!AF201-'Выборка 1'!AE201)+('Выборка 1'!AG201-'Выборка 1'!AF201))/4000</f>
        <v>-250</v>
      </c>
      <c r="J201" s="44">
        <f>(('Выборка 1'!AI201-'Выборка 1'!AH201)+('Выборка 1'!AJ201-'Выборка 1'!AI201)+('Выборка 1'!AK201-'Выборка 1'!AJ201)+('Выборка 1'!AL201-'Выборка 1'!AK201))/4000</f>
        <v>736.75</v>
      </c>
      <c r="K201" s="17">
        <f>(('Выборка 1'!AN201-'Выборка 1'!AM201)+('Выборка 1'!AO201-'Выборка 1'!AN201)+('Выборка 1'!AP201-'Выборка 1'!AO201)+('Выборка 1'!AQ201-'Выборка 1'!AP201))/4000</f>
        <v>-1807.25</v>
      </c>
      <c r="L201" s="44">
        <f>((('Выборка 1'!AS201+'Выборка 1'!AX201)-('Выборка 1'!AR201+'Выборка 1'!AW201))+(('Выборка 1'!AT201+'Выборка 1'!AY201)-('Выборка 1'!AS201+'Выборка 1'!AX201))+(('Выборка 1'!AU201+'Выборка 1'!AZ201)-('Выборка 1'!AT201+'Выборка 1'!AY201))+(('Выборка 1'!AV201+'Выборка 1'!BA201)-('Выборка 1'!AU201+'Выборка 1'!AZ201)))/4000</f>
        <v>-2157.5</v>
      </c>
      <c r="M201" s="44">
        <f>(('Выборка 1'!BC201-'Выборка 1'!BB201)+('Выборка 1'!BD201-'Выборка 1'!BC201)+('Выборка 1'!BE201-'Выборка 1'!BD201)+('Выборка 1'!BF201-'Выборка 1'!BE201))/4000</f>
        <v>0</v>
      </c>
      <c r="N201" s="44">
        <f t="shared" si="3"/>
        <v>350.25</v>
      </c>
      <c r="O201" s="17">
        <f>((('Выборка 1'!BH201-'Выборка 1'!BM201)-('Выборка 1'!BG201-'Выборка 1'!BL201))+(('Выборка 1'!BI201-'Выборка 1'!BN201)-('Выборка 1'!BH201-'Выборка 1'!BM201))+(('Выборка 1'!BJ201-'Выборка 1'!BO201)-('Выборка 1'!BI201-'Выборка 1'!BN201))+(('Выборка 1'!BK201-'Выборка 1'!BP201)-('Выборка 1'!BJ201-'Выборка 1'!BO201)))/4000</f>
        <v>-115</v>
      </c>
      <c r="P201" s="17">
        <f>(('Выборка 1'!BR201-'Выборка 1'!BQ201)+('Выборка 1'!BS201-'Выборка 1'!BR201)+('Выборка 1'!BT201-'Выборка 1'!BS201)+('Выборка 1'!BU201-'Выборка 1'!BT201))/4000</f>
        <v>253.25</v>
      </c>
    </row>
    <row r="202" spans="2:16" x14ac:dyDescent="0.25">
      <c r="B202" s="42">
        <f>('Выборка 1'!AL202+'Выборка 1'!AG202)/1000</f>
        <v>0</v>
      </c>
      <c r="C202" s="17">
        <v>19</v>
      </c>
      <c r="D202" s="17">
        <f>(('Выборка 1'!E202-'Выборка 1'!D202)+('Выборка 1'!F202-'Выборка 1'!E202)+('Выборка 1'!G202-'Выборка 1'!F202)+('Выборка 1'!H202-'Выборка 1'!G202))/4000</f>
        <v>0</v>
      </c>
      <c r="E202" s="44">
        <f>(('Выборка 1'!J202-'Выборка 1'!I202)+('Выборка 1'!K202-'Выборка 1'!J202)+('Выборка 1'!L202-'Выборка 1'!K202)+('Выборка 1'!M202-'Выборка 1'!L202))/4000</f>
        <v>0</v>
      </c>
      <c r="F202" s="17">
        <f>(('Выборка 1'!O202-'Выборка 1'!N202)+('Выборка 1'!P202-'Выборка 1'!O202)+('Выборка 1'!Q202-'Выборка 1'!P202)+('Выборка 1'!R202-'Выборка 1'!Q202))/4000</f>
        <v>0</v>
      </c>
      <c r="G202" s="44">
        <f>(('Выборка 1'!T202-'Выборка 1'!S202)+('Выборка 1'!U202-'Выборка 1'!T202)+('Выборка 1'!V202-'Выборка 1'!U202)+('Выборка 1'!W202-'Выборка 1'!V202))/4000</f>
        <v>-0.25</v>
      </c>
      <c r="H202" s="44">
        <f>(('Выборка 1'!Y202-'Выборка 1'!X202)+('Выборка 1'!Z202+'Выборка 1'!Y202)+('Выборка 1'!AA202-'Выборка 1'!Z202)+('Выборка 1'!AB202-'Выборка 1'!AA202))/4000</f>
        <v>200.75</v>
      </c>
      <c r="I202" s="44">
        <f>(('Выборка 1'!AD202-'Выборка 1'!AC202)+('Выборка 1'!AE202-'Выборка 1'!AD202)+('Выборка 1'!AF202-'Выборка 1'!AE202)+('Выборка 1'!AG202-'Выборка 1'!AF202))/4000</f>
        <v>0</v>
      </c>
      <c r="J202" s="44">
        <f>(('Выборка 1'!AI202-'Выборка 1'!AH202)+('Выборка 1'!AJ202-'Выборка 1'!AI202)+('Выборка 1'!AK202-'Выборка 1'!AJ202)+('Выборка 1'!AL202-'Выборка 1'!AK202))/4000</f>
        <v>-198.5</v>
      </c>
      <c r="K202" s="17">
        <f>(('Выборка 1'!AN202-'Выборка 1'!AM202)+('Выборка 1'!AO202-'Выборка 1'!AN202)+('Выборка 1'!AP202-'Выборка 1'!AO202)+('Выборка 1'!AQ202-'Выборка 1'!AP202))/4000</f>
        <v>0</v>
      </c>
      <c r="L202" s="44">
        <f>((('Выборка 1'!AS202+'Выборка 1'!AX202)-('Выборка 1'!AR202+'Выборка 1'!AW202))+(('Выборка 1'!AT202+'Выборка 1'!AY202)-('Выборка 1'!AS202+'Выборка 1'!AX202))+(('Выборка 1'!AU202+'Выборка 1'!AZ202)-('Выборка 1'!AT202+'Выборка 1'!AY202))+(('Выборка 1'!AV202+'Выборка 1'!BA202)-('Выборка 1'!AU202+'Выборка 1'!AZ202)))/4000</f>
        <v>0</v>
      </c>
      <c r="M202" s="44">
        <f>(('Выборка 1'!BC202-'Выборка 1'!BB202)+('Выборка 1'!BD202-'Выборка 1'!BC202)+('Выборка 1'!BE202-'Выборка 1'!BD202)+('Выборка 1'!BF202-'Выборка 1'!BE202))/4000</f>
        <v>0</v>
      </c>
      <c r="N202" s="44">
        <f t="shared" si="3"/>
        <v>0</v>
      </c>
      <c r="O202" s="17">
        <f>((('Выборка 1'!BH202-'Выборка 1'!BM202)-('Выборка 1'!BG202-'Выборка 1'!BL202))+(('Выборка 1'!BI202-'Выборка 1'!BN202)-('Выборка 1'!BH202-'Выборка 1'!BM202))+(('Выборка 1'!BJ202-'Выборка 1'!BO202)-('Выборка 1'!BI202-'Выборка 1'!BN202))+(('Выборка 1'!BK202-'Выборка 1'!BP202)-('Выборка 1'!BJ202-'Выборка 1'!BO202)))/4000</f>
        <v>0</v>
      </c>
      <c r="P202" s="17">
        <f>(('Выборка 1'!BR202-'Выборка 1'!BQ202)+('Выборка 1'!BS202-'Выборка 1'!BR202)+('Выборка 1'!BT202-'Выборка 1'!BS202)+('Выборка 1'!BU202-'Выборка 1'!BT202))/4000</f>
        <v>0</v>
      </c>
    </row>
    <row r="203" spans="2:16" x14ac:dyDescent="0.25">
      <c r="B203" s="42">
        <f>('Выборка 1'!AL203+'Выборка 1'!AG203)/1000</f>
        <v>0</v>
      </c>
      <c r="C203" s="17">
        <v>18</v>
      </c>
      <c r="D203" s="17">
        <f>(('Выборка 1'!E203-'Выборка 1'!D203)+('Выборка 1'!F203-'Выборка 1'!E203)+('Выборка 1'!G203-'Выборка 1'!F203)+('Выборка 1'!H203-'Выборка 1'!G203))/4000</f>
        <v>0</v>
      </c>
      <c r="E203" s="44">
        <f>(('Выборка 1'!J203-'Выборка 1'!I203)+('Выборка 1'!K203-'Выборка 1'!J203)+('Выборка 1'!L203-'Выборка 1'!K203)+('Выборка 1'!M203-'Выборка 1'!L203))/4000</f>
        <v>0</v>
      </c>
      <c r="F203" s="17">
        <f>(('Выборка 1'!O203-'Выборка 1'!N203)+('Выборка 1'!P203-'Выборка 1'!O203)+('Выборка 1'!Q203-'Выборка 1'!P203)+('Выборка 1'!R203-'Выборка 1'!Q203))/4000</f>
        <v>0</v>
      </c>
      <c r="G203" s="44">
        <f>(('Выборка 1'!T203-'Выборка 1'!S203)+('Выборка 1'!U203-'Выборка 1'!T203)+('Выборка 1'!V203-'Выборка 1'!U203)+('Выборка 1'!W203-'Выборка 1'!V203))/4000</f>
        <v>0</v>
      </c>
      <c r="H203" s="44">
        <f>(('Выборка 1'!Y203-'Выборка 1'!X203)+('Выборка 1'!Z203+'Выборка 1'!Y203)+('Выборка 1'!AA203-'Выборка 1'!Z203)+('Выборка 1'!AB203-'Выборка 1'!AA203))/4000</f>
        <v>0</v>
      </c>
      <c r="I203" s="44">
        <f>(('Выборка 1'!AD203-'Выборка 1'!AC203)+('Выборка 1'!AE203-'Выборка 1'!AD203)+('Выборка 1'!AF203-'Выборка 1'!AE203)+('Выборка 1'!AG203-'Выборка 1'!AF203))/4000</f>
        <v>0</v>
      </c>
      <c r="J203" s="44">
        <f>(('Выборка 1'!AI203-'Выборка 1'!AH203)+('Выборка 1'!AJ203-'Выборка 1'!AI203)+('Выборка 1'!AK203-'Выборка 1'!AJ203)+('Выборка 1'!AL203-'Выборка 1'!AK203))/4000</f>
        <v>0</v>
      </c>
      <c r="K203" s="17">
        <f>(('Выборка 1'!AN203-'Выборка 1'!AM203)+('Выборка 1'!AO203-'Выборка 1'!AN203)+('Выборка 1'!AP203-'Выборка 1'!AO203)+('Выборка 1'!AQ203-'Выборка 1'!AP203))/4000</f>
        <v>0</v>
      </c>
      <c r="L203" s="44">
        <f>((('Выборка 1'!AS203+'Выборка 1'!AX203)-('Выборка 1'!AR203+'Выборка 1'!AW203))+(('Выборка 1'!AT203+'Выборка 1'!AY203)-('Выборка 1'!AS203+'Выборка 1'!AX203))+(('Выборка 1'!AU203+'Выборка 1'!AZ203)-('Выборка 1'!AT203+'Выборка 1'!AY203))+(('Выборка 1'!AV203+'Выборка 1'!BA203)-('Выборка 1'!AU203+'Выборка 1'!AZ203)))/4000</f>
        <v>0</v>
      </c>
      <c r="M203" s="44">
        <f>(('Выборка 1'!BC203-'Выборка 1'!BB203)+('Выборка 1'!BD203-'Выборка 1'!BC203)+('Выборка 1'!BE203-'Выборка 1'!BD203)+('Выборка 1'!BF203-'Выборка 1'!BE203))/4000</f>
        <v>0</v>
      </c>
      <c r="N203" s="44">
        <f t="shared" si="3"/>
        <v>0</v>
      </c>
      <c r="O203" s="17">
        <f>((('Выборка 1'!BH203-'Выборка 1'!BM203)-('Выборка 1'!BG203-'Выборка 1'!BL203))+(('Выборка 1'!BI203-'Выборка 1'!BN203)-('Выборка 1'!BH203-'Выборка 1'!BM203))+(('Выборка 1'!BJ203-'Выборка 1'!BO203)-('Выборка 1'!BI203-'Выборка 1'!BN203))+(('Выборка 1'!BK203-'Выборка 1'!BP203)-('Выборка 1'!BJ203-'Выборка 1'!BO203)))/4000</f>
        <v>0</v>
      </c>
      <c r="P203" s="17">
        <f>(('Выборка 1'!BR203-'Выборка 1'!BQ203)+('Выборка 1'!BS203-'Выборка 1'!BR203)+('Выборка 1'!BT203-'Выборка 1'!BS203)+('Выборка 1'!BU203-'Выборка 1'!BT203))/4000</f>
        <v>0</v>
      </c>
    </row>
    <row r="204" spans="2:16" x14ac:dyDescent="0.25">
      <c r="B204" s="42">
        <f>('Выборка 1'!AL204+'Выборка 1'!AG204)/1000</f>
        <v>533336</v>
      </c>
      <c r="C204" s="17">
        <v>18</v>
      </c>
      <c r="D204" s="17">
        <f>(('Выборка 1'!E204-'Выборка 1'!D204)+('Выборка 1'!F204-'Выборка 1'!E204)+('Выборка 1'!G204-'Выборка 1'!F204)+('Выборка 1'!H204-'Выборка 1'!G204))/4000</f>
        <v>-1742.5</v>
      </c>
      <c r="E204" s="44">
        <f>(('Выборка 1'!J204-'Выборка 1'!I204)+('Выборка 1'!K204-'Выборка 1'!J204)+('Выборка 1'!L204-'Выборка 1'!K204)+('Выборка 1'!M204-'Выборка 1'!L204))/4000</f>
        <v>-43905.25</v>
      </c>
      <c r="F204" s="17">
        <f>(('Выборка 1'!O204-'Выборка 1'!N204)+('Выборка 1'!P204-'Выборка 1'!O204)+('Выборка 1'!Q204-'Выборка 1'!P204)+('Выборка 1'!R204-'Выборка 1'!Q204))/4000</f>
        <v>-70301.75</v>
      </c>
      <c r="G204" s="44">
        <f>(('Выборка 1'!T204-'Выборка 1'!S204)+('Выборка 1'!U204-'Выборка 1'!T204)+('Выборка 1'!V204-'Выборка 1'!U204)+('Выборка 1'!W204-'Выборка 1'!V204))/4000</f>
        <v>12526.75</v>
      </c>
      <c r="H204" s="44">
        <f>(('Выборка 1'!Y204-'Выборка 1'!X204)+('Выборка 1'!Z204+'Выборка 1'!Y204)+('Выборка 1'!AA204-'Выборка 1'!Z204)+('Выборка 1'!AB204-'Выборка 1'!AA204))/4000</f>
        <v>-109111</v>
      </c>
      <c r="I204" s="44">
        <f>(('Выборка 1'!AD204-'Выборка 1'!AC204)+('Выборка 1'!AE204-'Выборка 1'!AD204)+('Выборка 1'!AF204-'Выборка 1'!AE204)+('Выборка 1'!AG204-'Выборка 1'!AF204))/4000</f>
        <v>34281.75</v>
      </c>
      <c r="J204" s="44">
        <f>(('Выборка 1'!AI204-'Выборка 1'!AH204)+('Выборка 1'!AJ204-'Выборка 1'!AI204)+('Выборка 1'!AK204-'Выборка 1'!AJ204)+('Выборка 1'!AL204-'Выборка 1'!AK204))/4000</f>
        <v>39419.25</v>
      </c>
      <c r="K204" s="17">
        <f>(('Выборка 1'!AN204-'Выборка 1'!AM204)+('Выборка 1'!AO204-'Выборка 1'!AN204)+('Выборка 1'!AP204-'Выборка 1'!AO204)+('Выборка 1'!AQ204-'Выборка 1'!AP204))/4000</f>
        <v>-273178.75</v>
      </c>
      <c r="L204" s="44">
        <f>((('Выборка 1'!AS204+'Выборка 1'!AX204)-('Выборка 1'!AR204+'Выборка 1'!AW204))+(('Выборка 1'!AT204+'Выборка 1'!AY204)-('Выборка 1'!AS204+'Выборка 1'!AX204))+(('Выборка 1'!AU204+'Выборка 1'!AZ204)-('Выборка 1'!AT204+'Выборка 1'!AY204))+(('Выборка 1'!AV204+'Выборка 1'!BA204)-('Выборка 1'!AU204+'Выборка 1'!AZ204)))/4000</f>
        <v>-230140.25</v>
      </c>
      <c r="M204" s="44">
        <f>(('Выборка 1'!BC204-'Выборка 1'!BB204)+('Выборка 1'!BD204-'Выборка 1'!BC204)+('Выборка 1'!BE204-'Выборка 1'!BD204)+('Выборка 1'!BF204-'Выборка 1'!BE204))/4000</f>
        <v>-2634.25</v>
      </c>
      <c r="N204" s="44">
        <f t="shared" si="3"/>
        <v>-40404.25</v>
      </c>
      <c r="O204" s="17">
        <f>((('Выборка 1'!BH204-'Выборка 1'!BM204)-('Выборка 1'!BG204-'Выборка 1'!BL204))+(('Выборка 1'!BI204-'Выборка 1'!BN204)-('Выборка 1'!BH204-'Выборка 1'!BM204))+(('Выборка 1'!BJ204-'Выборка 1'!BO204)-('Выборка 1'!BI204-'Выборка 1'!BN204))+(('Выборка 1'!BK204-'Выборка 1'!BP204)-('Выборка 1'!BJ204-'Выборка 1'!BO204)))/4000</f>
        <v>-264450.5</v>
      </c>
      <c r="P204" s="17">
        <f>(('Выборка 1'!BR204-'Выборка 1'!BQ204)+('Выборка 1'!BS204-'Выборка 1'!BR204)+('Выборка 1'!BT204-'Выборка 1'!BS204)+('Выборка 1'!BU204-'Выборка 1'!BT204))/4000</f>
        <v>-302126</v>
      </c>
    </row>
    <row r="205" spans="2:16" x14ac:dyDescent="0.25">
      <c r="B205" s="42">
        <f>('Выборка 1'!AL205+'Выборка 1'!AG205)/1000</f>
        <v>0</v>
      </c>
      <c r="C205" s="17">
        <v>6</v>
      </c>
      <c r="D205" s="17">
        <f>(('Выборка 1'!E205-'Выборка 1'!D205)+('Выборка 1'!F205-'Выборка 1'!E205)+('Выборка 1'!G205-'Выборка 1'!F205)+('Выборка 1'!H205-'Выборка 1'!G205))/4000</f>
        <v>-2225.75</v>
      </c>
      <c r="E205" s="44">
        <f>(('Выборка 1'!J205-'Выборка 1'!I205)+('Выборка 1'!K205-'Выборка 1'!J205)+('Выборка 1'!L205-'Выборка 1'!K205)+('Выборка 1'!M205-'Выборка 1'!L205))/4000</f>
        <v>-10425</v>
      </c>
      <c r="F205" s="17">
        <f>(('Выборка 1'!O205-'Выборка 1'!N205)+('Выборка 1'!P205-'Выборка 1'!O205)+('Выборка 1'!Q205-'Выборка 1'!P205)+('Выборка 1'!R205-'Выборка 1'!Q205))/4000</f>
        <v>-1420.25</v>
      </c>
      <c r="G205" s="44">
        <f>(('Выборка 1'!T205-'Выборка 1'!S205)+('Выборка 1'!U205-'Выборка 1'!T205)+('Выборка 1'!V205-'Выборка 1'!U205)+('Выборка 1'!W205-'Выборка 1'!V205))/4000</f>
        <v>-256</v>
      </c>
      <c r="H205" s="44">
        <f>(('Выборка 1'!Y205-'Выборка 1'!X205)+('Выборка 1'!Z205+'Выборка 1'!Y205)+('Выборка 1'!AA205-'Выборка 1'!Z205)+('Выборка 1'!AB205-'Выборка 1'!AA205))/4000</f>
        <v>2339.25</v>
      </c>
      <c r="I205" s="44">
        <f>(('Выборка 1'!AD205-'Выборка 1'!AC205)+('Выборка 1'!AE205-'Выборка 1'!AD205)+('Выборка 1'!AF205-'Выборка 1'!AE205)+('Выборка 1'!AG205-'Выборка 1'!AF205))/4000</f>
        <v>-925</v>
      </c>
      <c r="J205" s="44">
        <f>(('Выборка 1'!AI205-'Выборка 1'!AH205)+('Выборка 1'!AJ205-'Выборка 1'!AI205)+('Выборка 1'!AK205-'Выборка 1'!AJ205)+('Выборка 1'!AL205-'Выборка 1'!AK205))/4000</f>
        <v>-12635</v>
      </c>
      <c r="K205" s="17">
        <f>(('Выборка 1'!AN205-'Выборка 1'!AM205)+('Выборка 1'!AO205-'Выборка 1'!AN205)+('Выборка 1'!AP205-'Выборка 1'!AO205)+('Выборка 1'!AQ205-'Выборка 1'!AP205))/4000</f>
        <v>-20812.5</v>
      </c>
      <c r="L205" s="44">
        <f>((('Выборка 1'!AS205+'Выборка 1'!AX205)-('Выборка 1'!AR205+'Выборка 1'!AW205))+(('Выборка 1'!AT205+'Выборка 1'!AY205)-('Выборка 1'!AS205+'Выборка 1'!AX205))+(('Выборка 1'!AU205+'Выборка 1'!AZ205)-('Выборка 1'!AT205+'Выборка 1'!AY205))+(('Выборка 1'!AV205+'Выборка 1'!BA205)-('Выборка 1'!AU205+'Выборка 1'!AZ205)))/4000</f>
        <v>-16518</v>
      </c>
      <c r="M205" s="44">
        <f>(('Выборка 1'!BC205-'Выборка 1'!BB205)+('Выборка 1'!BD205-'Выборка 1'!BC205)+('Выборка 1'!BE205-'Выборка 1'!BD205)+('Выборка 1'!BF205-'Выборка 1'!BE205))/4000</f>
        <v>-3304.75</v>
      </c>
      <c r="N205" s="44">
        <f t="shared" si="3"/>
        <v>-989.75</v>
      </c>
      <c r="O205" s="17">
        <f>((('Выборка 1'!BH205-'Выборка 1'!BM205)-('Выборка 1'!BG205-'Выборка 1'!BL205))+(('Выборка 1'!BI205-'Выборка 1'!BN205)-('Выборка 1'!BH205-'Выборка 1'!BM205))+(('Выборка 1'!BJ205-'Выборка 1'!BO205)-('Выборка 1'!BI205-'Выборка 1'!BN205))+(('Выборка 1'!BK205-'Выборка 1'!BP205)-('Выборка 1'!BJ205-'Выборка 1'!BO205)))/4000</f>
        <v>-336.5</v>
      </c>
      <c r="P205" s="17">
        <f>(('Выборка 1'!BR205-'Выборка 1'!BQ205)+('Выборка 1'!BS205-'Выборка 1'!BR205)+('Выборка 1'!BT205-'Выборка 1'!BS205)+('Выборка 1'!BU205-'Выборка 1'!BT205))/4000</f>
        <v>-1160</v>
      </c>
    </row>
    <row r="206" spans="2:16" x14ac:dyDescent="0.25">
      <c r="B206" s="42">
        <f>('Выборка 1'!AL206+'Выборка 1'!AG206)/1000</f>
        <v>566554</v>
      </c>
      <c r="C206" s="17">
        <v>33</v>
      </c>
      <c r="D206" s="17">
        <f>(('Выборка 1'!E206-'Выборка 1'!D206)+('Выборка 1'!F206-'Выборка 1'!E206)+('Выборка 1'!G206-'Выборка 1'!F206)+('Выборка 1'!H206-'Выборка 1'!G206))/4000</f>
        <v>-14583</v>
      </c>
      <c r="E206" s="44">
        <f>(('Выборка 1'!J206-'Выборка 1'!I206)+('Выборка 1'!K206-'Выборка 1'!J206)+('Выборка 1'!L206-'Выборка 1'!K206)+('Выборка 1'!M206-'Выборка 1'!L206))/4000</f>
        <v>-1534.75</v>
      </c>
      <c r="F206" s="17">
        <f>(('Выборка 1'!O206-'Выборка 1'!N206)+('Выборка 1'!P206-'Выборка 1'!O206)+('Выборка 1'!Q206-'Выборка 1'!P206)+('Выборка 1'!R206-'Выборка 1'!Q206))/4000</f>
        <v>-28778</v>
      </c>
      <c r="G206" s="44">
        <f>(('Выборка 1'!T206-'Выборка 1'!S206)+('Выборка 1'!U206-'Выборка 1'!T206)+('Выборка 1'!V206-'Выборка 1'!U206)+('Выборка 1'!W206-'Выборка 1'!V206))/4000</f>
        <v>-2610.75</v>
      </c>
      <c r="H206" s="44">
        <f>(('Выборка 1'!Y206-'Выборка 1'!X206)+('Выборка 1'!Z206+'Выборка 1'!Y206)+('Выборка 1'!AA206-'Выборка 1'!Z206)+('Выборка 1'!AB206-'Выборка 1'!AA206))/4000</f>
        <v>-1013902</v>
      </c>
      <c r="I206" s="44">
        <f>(('Выборка 1'!AD206-'Выборка 1'!AC206)+('Выборка 1'!AE206-'Выборка 1'!AD206)+('Выборка 1'!AF206-'Выборка 1'!AE206)+('Выборка 1'!AG206-'Выборка 1'!AF206))/4000</f>
        <v>0</v>
      </c>
      <c r="J206" s="44">
        <f>(('Выборка 1'!AI206-'Выборка 1'!AH206)+('Выборка 1'!AJ206-'Выборка 1'!AI206)+('Выборка 1'!AK206-'Выборка 1'!AJ206)+('Выборка 1'!AL206-'Выборка 1'!AK206))/4000</f>
        <v>24283.75</v>
      </c>
      <c r="K206" s="17">
        <f>(('Выборка 1'!AN206-'Выборка 1'!AM206)+('Выборка 1'!AO206-'Выборка 1'!AN206)+('Выборка 1'!AP206-'Выборка 1'!AO206)+('Выборка 1'!AQ206-'Выборка 1'!AP206))/4000</f>
        <v>-36.5</v>
      </c>
      <c r="L206" s="44">
        <f>((('Выборка 1'!AS206+'Выборка 1'!AX206)-('Выборка 1'!AR206+'Выборка 1'!AW206))+(('Выборка 1'!AT206+'Выборка 1'!AY206)-('Выборка 1'!AS206+'Выборка 1'!AX206))+(('Выборка 1'!AU206+'Выборка 1'!AZ206)-('Выборка 1'!AT206+'Выборка 1'!AY206))+(('Выборка 1'!AV206+'Выборка 1'!BA206)-('Выборка 1'!AU206+'Выборка 1'!AZ206)))/4000</f>
        <v>-1710</v>
      </c>
      <c r="M206" s="44">
        <f>(('Выборка 1'!BC206-'Выборка 1'!BB206)+('Выборка 1'!BD206-'Выборка 1'!BC206)+('Выборка 1'!BE206-'Выборка 1'!BD206)+('Выборка 1'!BF206-'Выборка 1'!BE206))/4000</f>
        <v>-731.5</v>
      </c>
      <c r="N206" s="44">
        <f t="shared" si="3"/>
        <v>2405</v>
      </c>
      <c r="O206" s="17">
        <f>((('Выборка 1'!BH206-'Выборка 1'!BM206)-('Выборка 1'!BG206-'Выборка 1'!BL206))+(('Выборка 1'!BI206-'Выборка 1'!BN206)-('Выборка 1'!BH206-'Выборка 1'!BM206))+(('Выборка 1'!BJ206-'Выборка 1'!BO206)-('Выборка 1'!BI206-'Выборка 1'!BN206))+(('Выборка 1'!BK206-'Выборка 1'!BP206)-('Выборка 1'!BJ206-'Выборка 1'!BO206)))/4000</f>
        <v>-274.75</v>
      </c>
      <c r="P206" s="17">
        <f>(('Выборка 1'!BR206-'Выборка 1'!BQ206)+('Выборка 1'!BS206-'Выборка 1'!BR206)+('Выборка 1'!BT206-'Выборка 1'!BS206)+('Выборка 1'!BU206-'Выборка 1'!BT206))/4000</f>
        <v>4157.5</v>
      </c>
    </row>
    <row r="207" spans="2:16" x14ac:dyDescent="0.25">
      <c r="B207" s="42">
        <f>('Выборка 1'!AL207+'Выборка 1'!AG207)/1000</f>
        <v>719913</v>
      </c>
      <c r="C207" s="17">
        <v>25</v>
      </c>
      <c r="D207" s="17">
        <f>(('Выборка 1'!E207-'Выборка 1'!D207)+('Выборка 1'!F207-'Выборка 1'!E207)+('Выборка 1'!G207-'Выборка 1'!F207)+('Выборка 1'!H207-'Выборка 1'!G207))/4000</f>
        <v>-820</v>
      </c>
      <c r="E207" s="44">
        <f>(('Выборка 1'!J207-'Выборка 1'!I207)+('Выборка 1'!K207-'Выборка 1'!J207)+('Выборка 1'!L207-'Выборка 1'!K207)+('Выборка 1'!M207-'Выборка 1'!L207))/4000</f>
        <v>0</v>
      </c>
      <c r="F207" s="17">
        <f>(('Выборка 1'!O207-'Выборка 1'!N207)+('Выборка 1'!P207-'Выборка 1'!O207)+('Выборка 1'!Q207-'Выборка 1'!P207)+('Выборка 1'!R207-'Выборка 1'!Q207))/4000</f>
        <v>-57493.5</v>
      </c>
      <c r="G207" s="44">
        <f>(('Выборка 1'!T207-'Выборка 1'!S207)+('Выборка 1'!U207-'Выборка 1'!T207)+('Выборка 1'!V207-'Выборка 1'!U207)+('Выборка 1'!W207-'Выборка 1'!V207))/4000</f>
        <v>5474.75</v>
      </c>
      <c r="H207" s="44">
        <f>(('Выборка 1'!Y207-'Выборка 1'!X207)+('Выборка 1'!Z207+'Выборка 1'!Y207)+('Выборка 1'!AA207-'Выборка 1'!Z207)+('Выборка 1'!AB207-'Выборка 1'!AA207))/4000</f>
        <v>-333577.5</v>
      </c>
      <c r="I207" s="44">
        <f>(('Выборка 1'!AD207-'Выборка 1'!AC207)+('Выборка 1'!AE207-'Выборка 1'!AD207)+('Выборка 1'!AF207-'Выборка 1'!AE207)+('Выборка 1'!AG207-'Выборка 1'!AF207))/4000</f>
        <v>0</v>
      </c>
      <c r="J207" s="44">
        <f>(('Выборка 1'!AI207-'Выборка 1'!AH207)+('Выборка 1'!AJ207-'Выборка 1'!AI207)+('Выборка 1'!AK207-'Выборка 1'!AJ207)+('Выборка 1'!AL207-'Выборка 1'!AK207))/4000</f>
        <v>-33868</v>
      </c>
      <c r="K207" s="17">
        <f>(('Выборка 1'!AN207-'Выборка 1'!AM207)+('Выборка 1'!AO207-'Выборка 1'!AN207)+('Выборка 1'!AP207-'Выборка 1'!AO207)+('Выборка 1'!AQ207-'Выборка 1'!AP207))/4000</f>
        <v>-5527.75</v>
      </c>
      <c r="L207" s="44">
        <f>((('Выборка 1'!AS207+'Выборка 1'!AX207)-('Выборка 1'!AR207+'Выборка 1'!AW207))+(('Выборка 1'!AT207+'Выборка 1'!AY207)-('Выборка 1'!AS207+'Выборка 1'!AX207))+(('Выборка 1'!AU207+'Выборка 1'!AZ207)-('Выборка 1'!AT207+'Выборка 1'!AY207))+(('Выборка 1'!AV207+'Выборка 1'!BA207)-('Выборка 1'!AU207+'Выборка 1'!AZ207)))/4000</f>
        <v>-1074.5</v>
      </c>
      <c r="M207" s="44">
        <f>(('Выборка 1'!BC207-'Выборка 1'!BB207)+('Выборка 1'!BD207-'Выборка 1'!BC207)+('Выборка 1'!BE207-'Выборка 1'!BD207)+('Выборка 1'!BF207-'Выборка 1'!BE207))/4000</f>
        <v>-2840.25</v>
      </c>
      <c r="N207" s="44">
        <f t="shared" si="3"/>
        <v>-1613</v>
      </c>
      <c r="O207" s="17">
        <f>((('Выборка 1'!BH207-'Выборка 1'!BM207)-('Выборка 1'!BG207-'Выборка 1'!BL207))+(('Выборка 1'!BI207-'Выборка 1'!BN207)-('Выборка 1'!BH207-'Выборка 1'!BM207))+(('Выборка 1'!BJ207-'Выборка 1'!BO207)-('Выборка 1'!BI207-'Выборка 1'!BN207))+(('Выборка 1'!BK207-'Выборка 1'!BP207)-('Выборка 1'!BJ207-'Выборка 1'!BO207)))/4000</f>
        <v>1864</v>
      </c>
      <c r="P207" s="17">
        <f>(('Выборка 1'!BR207-'Выборка 1'!BQ207)+('Выборка 1'!BS207-'Выборка 1'!BR207)+('Выборка 1'!BT207-'Выборка 1'!BS207)+('Выборка 1'!BU207-'Выборка 1'!BT207))/4000</f>
        <v>44.5</v>
      </c>
    </row>
    <row r="208" spans="2:16" x14ac:dyDescent="0.25">
      <c r="B208" s="42">
        <f>('Выборка 1'!AL208+'Выборка 1'!AG208)/1000</f>
        <v>117038</v>
      </c>
      <c r="C208" s="17">
        <v>18</v>
      </c>
      <c r="D208" s="17">
        <f>(('Выборка 1'!E208-'Выборка 1'!D208)+('Выборка 1'!F208-'Выборка 1'!E208)+('Выборка 1'!G208-'Выборка 1'!F208)+('Выборка 1'!H208-'Выборка 1'!G208))/4000</f>
        <v>-9290.25</v>
      </c>
      <c r="E208" s="44">
        <f>(('Выборка 1'!J208-'Выборка 1'!I208)+('Выборка 1'!K208-'Выборка 1'!J208)+('Выборка 1'!L208-'Выборка 1'!K208)+('Выборка 1'!M208-'Выборка 1'!L208))/4000</f>
        <v>-5476.25</v>
      </c>
      <c r="F208" s="17">
        <f>(('Выборка 1'!O208-'Выборка 1'!N208)+('Выборка 1'!P208-'Выборка 1'!O208)+('Выборка 1'!Q208-'Выборка 1'!P208)+('Выборка 1'!R208-'Выборка 1'!Q208))/4000</f>
        <v>9512.5</v>
      </c>
      <c r="G208" s="44">
        <f>(('Выборка 1'!T208-'Выборка 1'!S208)+('Выборка 1'!U208-'Выборка 1'!T208)+('Выборка 1'!V208-'Выборка 1'!U208)+('Выборка 1'!W208-'Выборка 1'!V208))/4000</f>
        <v>2728.5</v>
      </c>
      <c r="H208" s="44">
        <f>(('Выборка 1'!Y208-'Выборка 1'!X208)+('Выборка 1'!Z208+'Выборка 1'!Y208)+('Выборка 1'!AA208-'Выборка 1'!Z208)+('Выборка 1'!AB208-'Выборка 1'!AA208))/4000</f>
        <v>-62053.75</v>
      </c>
      <c r="I208" s="44">
        <f>(('Выборка 1'!AD208-'Выборка 1'!AC208)+('Выборка 1'!AE208-'Выборка 1'!AD208)+('Выборка 1'!AF208-'Выборка 1'!AE208)+('Выборка 1'!AG208-'Выборка 1'!AF208))/4000</f>
        <v>-5053.5</v>
      </c>
      <c r="J208" s="44">
        <f>(('Выборка 1'!AI208-'Выборка 1'!AH208)+('Выборка 1'!AJ208-'Выборка 1'!AI208)+('Выборка 1'!AK208-'Выборка 1'!AJ208)+('Выборка 1'!AL208-'Выборка 1'!AK208))/4000</f>
        <v>-14176.5</v>
      </c>
      <c r="K208" s="17">
        <f>(('Выборка 1'!AN208-'Выборка 1'!AM208)+('Выборка 1'!AO208-'Выборка 1'!AN208)+('Выборка 1'!AP208-'Выборка 1'!AO208)+('Выборка 1'!AQ208-'Выборка 1'!AP208))/4000</f>
        <v>-15904.5</v>
      </c>
      <c r="L208" s="44">
        <f>((('Выборка 1'!AS208+'Выборка 1'!AX208)-('Выборка 1'!AR208+'Выборка 1'!AW208))+(('Выборка 1'!AT208+'Выборка 1'!AY208)-('Выборка 1'!AS208+'Выборка 1'!AX208))+(('Выборка 1'!AU208+'Выборка 1'!AZ208)-('Выборка 1'!AT208+'Выборка 1'!AY208))+(('Выборка 1'!AV208+'Выборка 1'!BA208)-('Выборка 1'!AU208+'Выборка 1'!AZ208)))/4000</f>
        <v>-19078.5</v>
      </c>
      <c r="M208" s="44">
        <f>(('Выборка 1'!BC208-'Выборка 1'!BB208)+('Выборка 1'!BD208-'Выборка 1'!BC208)+('Выборка 1'!BE208-'Выборка 1'!BD208)+('Выборка 1'!BF208-'Выборка 1'!BE208))/4000</f>
        <v>-509.25</v>
      </c>
      <c r="N208" s="44">
        <f t="shared" si="3"/>
        <v>3683.25</v>
      </c>
      <c r="O208" s="17">
        <f>((('Выборка 1'!BH208-'Выборка 1'!BM208)-('Выборка 1'!BG208-'Выборка 1'!BL208))+(('Выборка 1'!BI208-'Выборка 1'!BN208)-('Выборка 1'!BH208-'Выборка 1'!BM208))+(('Выборка 1'!BJ208-'Выборка 1'!BO208)-('Выборка 1'!BI208-'Выборка 1'!BN208))+(('Выборка 1'!BK208-'Выборка 1'!BP208)-('Выборка 1'!BJ208-'Выборка 1'!BO208)))/4000</f>
        <v>867.25</v>
      </c>
      <c r="P208" s="17">
        <f>(('Выборка 1'!BR208-'Выборка 1'!BQ208)+('Выборка 1'!BS208-'Выборка 1'!BR208)+('Выборка 1'!BT208-'Выборка 1'!BS208)+('Выборка 1'!BU208-'Выборка 1'!BT208))/4000</f>
        <v>6932</v>
      </c>
    </row>
    <row r="209" spans="2:16" x14ac:dyDescent="0.25">
      <c r="B209" s="42">
        <f>('Выборка 1'!AL209+'Выборка 1'!AG209)/1000</f>
        <v>0</v>
      </c>
      <c r="C209" s="17">
        <v>12</v>
      </c>
      <c r="D209" s="17">
        <f>(('Выборка 1'!E209-'Выборка 1'!D209)+('Выборка 1'!F209-'Выборка 1'!E209)+('Выборка 1'!G209-'Выборка 1'!F209)+('Выборка 1'!H209-'Выборка 1'!G209))/4000</f>
        <v>0</v>
      </c>
      <c r="E209" s="44">
        <f>(('Выборка 1'!J209-'Выборка 1'!I209)+('Выборка 1'!K209-'Выборка 1'!J209)+('Выборка 1'!L209-'Выборка 1'!K209)+('Выборка 1'!M209-'Выборка 1'!L209))/4000</f>
        <v>0</v>
      </c>
      <c r="F209" s="17">
        <f>(('Выборка 1'!O209-'Выборка 1'!N209)+('Выборка 1'!P209-'Выборка 1'!O209)+('Выборка 1'!Q209-'Выборка 1'!P209)+('Выборка 1'!R209-'Выборка 1'!Q209))/4000</f>
        <v>0</v>
      </c>
      <c r="G209" s="44">
        <f>(('Выборка 1'!T209-'Выборка 1'!S209)+('Выборка 1'!U209-'Выборка 1'!T209)+('Выборка 1'!V209-'Выборка 1'!U209)+('Выборка 1'!W209-'Выборка 1'!V209))/4000</f>
        <v>0</v>
      </c>
      <c r="H209" s="44">
        <f>(('Выборка 1'!Y209-'Выборка 1'!X209)+('Выборка 1'!Z209+'Выборка 1'!Y209)+('Выборка 1'!AA209-'Выборка 1'!Z209)+('Выборка 1'!AB209-'Выборка 1'!AA209))/4000</f>
        <v>0</v>
      </c>
      <c r="I209" s="44">
        <f>(('Выборка 1'!AD209-'Выборка 1'!AC209)+('Выборка 1'!AE209-'Выборка 1'!AD209)+('Выборка 1'!AF209-'Выборка 1'!AE209)+('Выборка 1'!AG209-'Выборка 1'!AF209))/4000</f>
        <v>0</v>
      </c>
      <c r="J209" s="44">
        <f>(('Выборка 1'!AI209-'Выборка 1'!AH209)+('Выборка 1'!AJ209-'Выборка 1'!AI209)+('Выборка 1'!AK209-'Выборка 1'!AJ209)+('Выборка 1'!AL209-'Выборка 1'!AK209))/4000</f>
        <v>0</v>
      </c>
      <c r="K209" s="17">
        <f>(('Выборка 1'!AN209-'Выборка 1'!AM209)+('Выборка 1'!AO209-'Выборка 1'!AN209)+('Выборка 1'!AP209-'Выборка 1'!AO209)+('Выборка 1'!AQ209-'Выборка 1'!AP209))/4000</f>
        <v>0</v>
      </c>
      <c r="L209" s="44">
        <f>((('Выборка 1'!AS209+'Выборка 1'!AX209)-('Выборка 1'!AR209+'Выборка 1'!AW209))+(('Выборка 1'!AT209+'Выборка 1'!AY209)-('Выборка 1'!AS209+'Выборка 1'!AX209))+(('Выборка 1'!AU209+'Выборка 1'!AZ209)-('Выборка 1'!AT209+'Выборка 1'!AY209))+(('Выборка 1'!AV209+'Выборка 1'!BA209)-('Выборка 1'!AU209+'Выборка 1'!AZ209)))/4000</f>
        <v>0</v>
      </c>
      <c r="M209" s="44">
        <f>(('Выборка 1'!BC209-'Выборка 1'!BB209)+('Выборка 1'!BD209-'Выборка 1'!BC209)+('Выборка 1'!BE209-'Выборка 1'!BD209)+('Выборка 1'!BF209-'Выборка 1'!BE209))/4000</f>
        <v>0</v>
      </c>
      <c r="N209" s="44">
        <f t="shared" si="3"/>
        <v>0</v>
      </c>
      <c r="O209" s="17">
        <f>((('Выборка 1'!BH209-'Выборка 1'!BM209)-('Выборка 1'!BG209-'Выборка 1'!BL209))+(('Выборка 1'!BI209-'Выборка 1'!BN209)-('Выборка 1'!BH209-'Выборка 1'!BM209))+(('Выборка 1'!BJ209-'Выборка 1'!BO209)-('Выборка 1'!BI209-'Выборка 1'!BN209))+(('Выборка 1'!BK209-'Выборка 1'!BP209)-('Выборка 1'!BJ209-'Выборка 1'!BO209)))/4000</f>
        <v>0</v>
      </c>
      <c r="P209" s="17">
        <f>(('Выборка 1'!BR209-'Выборка 1'!BQ209)+('Выборка 1'!BS209-'Выборка 1'!BR209)+('Выборка 1'!BT209-'Выборка 1'!BS209)+('Выборка 1'!BU209-'Выборка 1'!BT209))/4000</f>
        <v>0</v>
      </c>
    </row>
    <row r="210" spans="2:16" x14ac:dyDescent="0.25">
      <c r="B210" s="42">
        <f>('Выборка 1'!AL210+'Выборка 1'!AG210)/1000</f>
        <v>2235</v>
      </c>
      <c r="C210" s="17">
        <v>16</v>
      </c>
      <c r="D210" s="17">
        <f>(('Выборка 1'!E210-'Выборка 1'!D210)+('Выборка 1'!F210-'Выборка 1'!E210)+('Выборка 1'!G210-'Выборка 1'!F210)+('Выборка 1'!H210-'Выборка 1'!G210))/4000</f>
        <v>-5848.25</v>
      </c>
      <c r="E210" s="44">
        <f>(('Выборка 1'!J210-'Выборка 1'!I210)+('Выборка 1'!K210-'Выборка 1'!J210)+('Выборка 1'!L210-'Выборка 1'!K210)+('Выборка 1'!M210-'Выборка 1'!L210))/4000</f>
        <v>0</v>
      </c>
      <c r="F210" s="17">
        <f>(('Выборка 1'!O210-'Выборка 1'!N210)+('Выборка 1'!P210-'Выборка 1'!O210)+('Выборка 1'!Q210-'Выборка 1'!P210)+('Выборка 1'!R210-'Выборка 1'!Q210))/4000</f>
        <v>3440.25</v>
      </c>
      <c r="G210" s="44">
        <f>(('Выборка 1'!T210-'Выборка 1'!S210)+('Выборка 1'!U210-'Выборка 1'!T210)+('Выборка 1'!V210-'Выборка 1'!U210)+('Выборка 1'!W210-'Выборка 1'!V210))/4000</f>
        <v>-876.5</v>
      </c>
      <c r="H210" s="44">
        <f>(('Выборка 1'!Y210-'Выборка 1'!X210)+('Выборка 1'!Z210+'Выборка 1'!Y210)+('Выборка 1'!AA210-'Выборка 1'!Z210)+('Выборка 1'!AB210-'Выборка 1'!AA210))/4000</f>
        <v>0</v>
      </c>
      <c r="I210" s="44">
        <f>(('Выборка 1'!AD210-'Выборка 1'!AC210)+('Выборка 1'!AE210-'Выборка 1'!AD210)+('Выборка 1'!AF210-'Выборка 1'!AE210)+('Выборка 1'!AG210-'Выборка 1'!AF210))/4000</f>
        <v>-641.75</v>
      </c>
      <c r="J210" s="44">
        <f>(('Выборка 1'!AI210-'Выборка 1'!AH210)+('Выборка 1'!AJ210-'Выборка 1'!AI210)+('Выборка 1'!AK210-'Выборка 1'!AJ210)+('Выборка 1'!AL210-'Выборка 1'!AK210))/4000</f>
        <v>-472.25</v>
      </c>
      <c r="K210" s="17">
        <f>(('Выборка 1'!AN210-'Выборка 1'!AM210)+('Выборка 1'!AO210-'Выборка 1'!AN210)+('Выборка 1'!AP210-'Выборка 1'!AO210)+('Выборка 1'!AQ210-'Выборка 1'!AP210))/4000</f>
        <v>-157.75</v>
      </c>
      <c r="L210" s="44">
        <f>((('Выборка 1'!AS210+'Выборка 1'!AX210)-('Выборка 1'!AR210+'Выборка 1'!AW210))+(('Выборка 1'!AT210+'Выборка 1'!AY210)-('Выборка 1'!AS210+'Выборка 1'!AX210))+(('Выборка 1'!AU210+'Выборка 1'!AZ210)-('Выборка 1'!AT210+'Выборка 1'!AY210))+(('Выборка 1'!AV210+'Выборка 1'!BA210)-('Выборка 1'!AU210+'Выборка 1'!AZ210)))/4000</f>
        <v>-848</v>
      </c>
      <c r="M210" s="44">
        <f>(('Выборка 1'!BC210-'Выборка 1'!BB210)+('Выборка 1'!BD210-'Выборка 1'!BC210)+('Выборка 1'!BE210-'Выборка 1'!BD210)+('Выборка 1'!BF210-'Выборка 1'!BE210))/4000</f>
        <v>0</v>
      </c>
      <c r="N210" s="44">
        <f t="shared" si="3"/>
        <v>690.25</v>
      </c>
      <c r="O210" s="17">
        <f>((('Выборка 1'!BH210-'Выборка 1'!BM210)-('Выборка 1'!BG210-'Выборка 1'!BL210))+(('Выборка 1'!BI210-'Выборка 1'!BN210)-('Выборка 1'!BH210-'Выборка 1'!BM210))+(('Выборка 1'!BJ210-'Выборка 1'!BO210)-('Выборка 1'!BI210-'Выборка 1'!BN210))+(('Выборка 1'!BK210-'Выборка 1'!BP210)-('Выборка 1'!BJ210-'Выборка 1'!BO210)))/4000</f>
        <v>-76.5</v>
      </c>
      <c r="P210" s="17">
        <f>(('Выборка 1'!BR210-'Выборка 1'!BQ210)+('Выборка 1'!BS210-'Выборка 1'!BR210)+('Выборка 1'!BT210-'Выборка 1'!BS210)+('Выборка 1'!BU210-'Выборка 1'!BT210))/4000</f>
        <v>622</v>
      </c>
    </row>
    <row r="211" spans="2:16" x14ac:dyDescent="0.25">
      <c r="B211" s="42">
        <f>('Выборка 1'!AL211+'Выборка 1'!AG211)/1000</f>
        <v>344329</v>
      </c>
      <c r="C211" s="17">
        <v>11</v>
      </c>
      <c r="D211" s="17">
        <f>(('Выборка 1'!E211-'Выборка 1'!D211)+('Выборка 1'!F211-'Выборка 1'!E211)+('Выборка 1'!G211-'Выборка 1'!F211)+('Выборка 1'!H211-'Выборка 1'!G211))/4000</f>
        <v>-62013.5</v>
      </c>
      <c r="E211" s="44">
        <f>(('Выборка 1'!J211-'Выборка 1'!I211)+('Выборка 1'!K211-'Выборка 1'!J211)+('Выборка 1'!L211-'Выборка 1'!K211)+('Выборка 1'!M211-'Выборка 1'!L211))/4000</f>
        <v>0</v>
      </c>
      <c r="F211" s="17">
        <f>(('Выборка 1'!O211-'Выборка 1'!N211)+('Выборка 1'!P211-'Выборка 1'!O211)+('Выборка 1'!Q211-'Выборка 1'!P211)+('Выборка 1'!R211-'Выборка 1'!Q211))/4000</f>
        <v>-11812.75</v>
      </c>
      <c r="G211" s="44">
        <f>(('Выборка 1'!T211-'Выборка 1'!S211)+('Выборка 1'!U211-'Выборка 1'!T211)+('Выборка 1'!V211-'Выборка 1'!U211)+('Выборка 1'!W211-'Выборка 1'!V211))/4000</f>
        <v>0</v>
      </c>
      <c r="H211" s="44">
        <f>(('Выборка 1'!Y211-'Выборка 1'!X211)+('Выборка 1'!Z211+'Выборка 1'!Y211)+('Выборка 1'!AA211-'Выборка 1'!Z211)+('Выборка 1'!AB211-'Выборка 1'!AA211))/4000</f>
        <v>-433896.25</v>
      </c>
      <c r="I211" s="44">
        <f>(('Выборка 1'!AD211-'Выборка 1'!AC211)+('Выборка 1'!AE211-'Выборка 1'!AD211)+('Выборка 1'!AF211-'Выборка 1'!AE211)+('Выборка 1'!AG211-'Выборка 1'!AF211))/4000</f>
        <v>-750</v>
      </c>
      <c r="J211" s="44">
        <f>(('Выборка 1'!AI211-'Выборка 1'!AH211)+('Выборка 1'!AJ211-'Выборка 1'!AI211)+('Выборка 1'!AK211-'Выборка 1'!AJ211)+('Выборка 1'!AL211-'Выборка 1'!AK211))/4000</f>
        <v>-61410</v>
      </c>
      <c r="K211" s="17">
        <f>(('Выборка 1'!AN211-'Выборка 1'!AM211)+('Выборка 1'!AO211-'Выборка 1'!AN211)+('Выборка 1'!AP211-'Выборка 1'!AO211)+('Выборка 1'!AQ211-'Выборка 1'!AP211))/4000</f>
        <v>0</v>
      </c>
      <c r="L211" s="44">
        <f>((('Выборка 1'!AS211+'Выборка 1'!AX211)-('Выборка 1'!AR211+'Выборка 1'!AW211))+(('Выборка 1'!AT211+'Выборка 1'!AY211)-('Выборка 1'!AS211+'Выборка 1'!AX211))+(('Выборка 1'!AU211+'Выборка 1'!AZ211)-('Выборка 1'!AT211+'Выборка 1'!AY211))+(('Выборка 1'!AV211+'Выборка 1'!BA211)-('Выборка 1'!AU211+'Выборка 1'!AZ211)))/4000</f>
        <v>0</v>
      </c>
      <c r="M211" s="44">
        <f>(('Выборка 1'!BC211-'Выборка 1'!BB211)+('Выборка 1'!BD211-'Выборка 1'!BC211)+('Выборка 1'!BE211-'Выборка 1'!BD211)+('Выборка 1'!BF211-'Выборка 1'!BE211))/4000</f>
        <v>0</v>
      </c>
      <c r="N211" s="44">
        <f t="shared" si="3"/>
        <v>0</v>
      </c>
      <c r="O211" s="17">
        <f>((('Выборка 1'!BH211-'Выборка 1'!BM211)-('Выборка 1'!BG211-'Выборка 1'!BL211))+(('Выборка 1'!BI211-'Выборка 1'!BN211)-('Выборка 1'!BH211-'Выборка 1'!BM211))+(('Выборка 1'!BJ211-'Выборка 1'!BO211)-('Выборка 1'!BI211-'Выборка 1'!BN211))+(('Выборка 1'!BK211-'Выборка 1'!BP211)-('Выборка 1'!BJ211-'Выборка 1'!BO211)))/4000</f>
        <v>8923.75</v>
      </c>
      <c r="P211" s="17">
        <f>(('Выборка 1'!BR211-'Выборка 1'!BQ211)+('Выборка 1'!BS211-'Выборка 1'!BR211)+('Выборка 1'!BT211-'Выборка 1'!BS211)+('Выборка 1'!BU211-'Выборка 1'!BT211))/4000</f>
        <v>8923.75</v>
      </c>
    </row>
    <row r="212" spans="2:16" x14ac:dyDescent="0.25">
      <c r="B212" s="42">
        <f>('Выборка 1'!AL212+'Выборка 1'!AG212)/1000</f>
        <v>488859</v>
      </c>
      <c r="C212" s="17">
        <v>18</v>
      </c>
      <c r="D212" s="17">
        <f>(('Выборка 1'!E212-'Выборка 1'!D212)+('Выборка 1'!F212-'Выборка 1'!E212)+('Выборка 1'!G212-'Выборка 1'!F212)+('Выборка 1'!H212-'Выборка 1'!G212))/4000</f>
        <v>-21984</v>
      </c>
      <c r="E212" s="44">
        <f>(('Выборка 1'!J212-'Выборка 1'!I212)+('Выборка 1'!K212-'Выборка 1'!J212)+('Выборка 1'!L212-'Выборка 1'!K212)+('Выборка 1'!M212-'Выборка 1'!L212))/4000</f>
        <v>234</v>
      </c>
      <c r="F212" s="17">
        <f>(('Выборка 1'!O212-'Выборка 1'!N212)+('Выборка 1'!P212-'Выборка 1'!O212)+('Выборка 1'!Q212-'Выборка 1'!P212)+('Выборка 1'!R212-'Выборка 1'!Q212))/4000</f>
        <v>-12215</v>
      </c>
      <c r="G212" s="44">
        <f>(('Выборка 1'!T212-'Выборка 1'!S212)+('Выборка 1'!U212-'Выборка 1'!T212)+('Выборка 1'!V212-'Выборка 1'!U212)+('Выборка 1'!W212-'Выборка 1'!V212))/4000</f>
        <v>5237.25</v>
      </c>
      <c r="H212" s="44">
        <f>(('Выборка 1'!Y212-'Выборка 1'!X212)+('Выборка 1'!Z212+'Выборка 1'!Y212)+('Выборка 1'!AA212-'Выборка 1'!Z212)+('Выборка 1'!AB212-'Выборка 1'!AA212))/4000</f>
        <v>-98454.75</v>
      </c>
      <c r="I212" s="44">
        <f>(('Выборка 1'!AD212-'Выборка 1'!AC212)+('Выборка 1'!AE212-'Выборка 1'!AD212)+('Выборка 1'!AF212-'Выборка 1'!AE212)+('Выборка 1'!AG212-'Выборка 1'!AF212))/4000</f>
        <v>0</v>
      </c>
      <c r="J212" s="44">
        <f>(('Выборка 1'!AI212-'Выборка 1'!AH212)+('Выборка 1'!AJ212-'Выборка 1'!AI212)+('Выборка 1'!AK212-'Выборка 1'!AJ212)+('Выборка 1'!AL212-'Выборка 1'!AK212))/4000</f>
        <v>6466.25</v>
      </c>
      <c r="K212" s="17">
        <f>(('Выборка 1'!AN212-'Выборка 1'!AM212)+('Выборка 1'!AO212-'Выборка 1'!AN212)+('Выборка 1'!AP212-'Выборка 1'!AO212)+('Выборка 1'!AQ212-'Выборка 1'!AP212))/4000</f>
        <v>-555.25</v>
      </c>
      <c r="L212" s="44">
        <f>((('Выборка 1'!AS212+'Выборка 1'!AX212)-('Выборка 1'!AR212+'Выборка 1'!AW212))+(('Выборка 1'!AT212+'Выборка 1'!AY212)-('Выборка 1'!AS212+'Выборка 1'!AX212))+(('Выборка 1'!AU212+'Выборка 1'!AZ212)-('Выборка 1'!AT212+'Выборка 1'!AY212))+(('Выборка 1'!AV212+'Выборка 1'!BA212)-('Выборка 1'!AU212+'Выборка 1'!AZ212)))/4000</f>
        <v>-790.5</v>
      </c>
      <c r="M212" s="44">
        <f>(('Выборка 1'!BC212-'Выборка 1'!BB212)+('Выборка 1'!BD212-'Выборка 1'!BC212)+('Выборка 1'!BE212-'Выборка 1'!BD212)+('Выборка 1'!BF212-'Выборка 1'!BE212))/4000</f>
        <v>-1101</v>
      </c>
      <c r="N212" s="44">
        <f t="shared" si="3"/>
        <v>1336.25</v>
      </c>
      <c r="O212" s="17">
        <f>((('Выборка 1'!BH212-'Выборка 1'!BM212)-('Выборка 1'!BG212-'Выборка 1'!BL212))+(('Выборка 1'!BI212-'Выборка 1'!BN212)-('Выборка 1'!BH212-'Выборка 1'!BM212))+(('Выборка 1'!BJ212-'Выборка 1'!BO212)-('Выборка 1'!BI212-'Выборка 1'!BN212))+(('Выборка 1'!BK212-'Выборка 1'!BP212)-('Выборка 1'!BJ212-'Выборка 1'!BO212)))/4000</f>
        <v>-18905.5</v>
      </c>
      <c r="P212" s="17">
        <f>(('Выборка 1'!BR212-'Выборка 1'!BQ212)+('Выборка 1'!BS212-'Выборка 1'!BR212)+('Выборка 1'!BT212-'Выборка 1'!BS212)+('Выборка 1'!BU212-'Выборка 1'!BT212))/4000</f>
        <v>-17569.25</v>
      </c>
    </row>
    <row r="213" spans="2:16" x14ac:dyDescent="0.25">
      <c r="B213" s="42">
        <f>('Выборка 1'!AL213+'Выборка 1'!AG213)/1000</f>
        <v>0</v>
      </c>
      <c r="C213" s="17">
        <v>10</v>
      </c>
      <c r="D213" s="17">
        <f>(('Выборка 1'!E213-'Выборка 1'!D213)+('Выборка 1'!F213-'Выборка 1'!E213)+('Выборка 1'!G213-'Выборка 1'!F213)+('Выборка 1'!H213-'Выборка 1'!G213))/4000</f>
        <v>0</v>
      </c>
      <c r="E213" s="44">
        <f>(('Выборка 1'!J213-'Выборка 1'!I213)+('Выборка 1'!K213-'Выборка 1'!J213)+('Выборка 1'!L213-'Выборка 1'!K213)+('Выборка 1'!M213-'Выборка 1'!L213))/4000</f>
        <v>-405</v>
      </c>
      <c r="F213" s="17">
        <f>(('Выборка 1'!O213-'Выборка 1'!N213)+('Выборка 1'!P213-'Выборка 1'!O213)+('Выборка 1'!Q213-'Выборка 1'!P213)+('Выборка 1'!R213-'Выборка 1'!Q213))/4000</f>
        <v>-6089</v>
      </c>
      <c r="G213" s="44">
        <f>(('Выборка 1'!T213-'Выборка 1'!S213)+('Выборка 1'!U213-'Выборка 1'!T213)+('Выборка 1'!V213-'Выборка 1'!U213)+('Выборка 1'!W213-'Выборка 1'!V213))/4000</f>
        <v>-0.75</v>
      </c>
      <c r="H213" s="44">
        <f>(('Выборка 1'!Y213-'Выборка 1'!X213)+('Выборка 1'!Z213+'Выборка 1'!Y213)+('Выборка 1'!AA213-'Выборка 1'!Z213)+('Выборка 1'!AB213-'Выборка 1'!AA213))/4000</f>
        <v>-487.75</v>
      </c>
      <c r="I213" s="44">
        <f>(('Выборка 1'!AD213-'Выборка 1'!AC213)+('Выборка 1'!AE213-'Выборка 1'!AD213)+('Выборка 1'!AF213-'Выборка 1'!AE213)+('Выборка 1'!AG213-'Выборка 1'!AF213))/4000</f>
        <v>-78.75</v>
      </c>
      <c r="J213" s="44">
        <f>(('Выборка 1'!AI213-'Выборка 1'!AH213)+('Выборка 1'!AJ213-'Выборка 1'!AI213)+('Выборка 1'!AK213-'Выборка 1'!AJ213)+('Выборка 1'!AL213-'Выборка 1'!AK213))/4000</f>
        <v>-5950.75</v>
      </c>
      <c r="K213" s="17">
        <f>(('Выборка 1'!AN213-'Выборка 1'!AM213)+('Выборка 1'!AO213-'Выборка 1'!AN213)+('Выборка 1'!AP213-'Выборка 1'!AO213)+('Выборка 1'!AQ213-'Выборка 1'!AP213))/4000</f>
        <v>-6645</v>
      </c>
      <c r="L213" s="44">
        <f>((('Выборка 1'!AS213+'Выборка 1'!AX213)-('Выборка 1'!AR213+'Выборка 1'!AW213))+(('Выборка 1'!AT213+'Выборка 1'!AY213)-('Выборка 1'!AS213+'Выборка 1'!AX213))+(('Выборка 1'!AU213+'Выборка 1'!AZ213)-('Выборка 1'!AT213+'Выборка 1'!AY213))+(('Выборка 1'!AV213+'Выборка 1'!BA213)-('Выборка 1'!AU213+'Выборка 1'!AZ213)))/4000</f>
        <v>-6590.25</v>
      </c>
      <c r="M213" s="44">
        <f>(('Выборка 1'!BC213-'Выборка 1'!BB213)+('Выборка 1'!BD213-'Выборка 1'!BC213)+('Выборка 1'!BE213-'Выборка 1'!BD213)+('Выборка 1'!BF213-'Выборка 1'!BE213))/4000</f>
        <v>-27.25</v>
      </c>
      <c r="N213" s="44">
        <f t="shared" si="3"/>
        <v>-27.5</v>
      </c>
      <c r="O213" s="17">
        <f>((('Выборка 1'!BH213-'Выборка 1'!BM213)-('Выборка 1'!BG213-'Выборка 1'!BL213))+(('Выборка 1'!BI213-'Выборка 1'!BN213)-('Выборка 1'!BH213-'Выборка 1'!BM213))+(('Выборка 1'!BJ213-'Выборка 1'!BO213)-('Выборка 1'!BI213-'Выборка 1'!BN213))+(('Выборка 1'!BK213-'Выборка 1'!BP213)-('Выборка 1'!BJ213-'Выборка 1'!BO213)))/4000</f>
        <v>8.25</v>
      </c>
      <c r="P213" s="17">
        <f>(('Выборка 1'!BR213-'Выборка 1'!BQ213)+('Выборка 1'!BS213-'Выборка 1'!BR213)+('Выборка 1'!BT213-'Выборка 1'!BS213)+('Выборка 1'!BU213-'Выборка 1'!BT213))/4000</f>
        <v>-15.5</v>
      </c>
    </row>
    <row r="214" spans="2:16" x14ac:dyDescent="0.25">
      <c r="B214" s="42">
        <f>('Выборка 1'!AL214+'Выборка 1'!AG214)/1000</f>
        <v>0</v>
      </c>
      <c r="C214" s="17">
        <v>16</v>
      </c>
      <c r="D214" s="17">
        <f>(('Выборка 1'!E214-'Выборка 1'!D214)+('Выборка 1'!F214-'Выборка 1'!E214)+('Выборка 1'!G214-'Выборка 1'!F214)+('Выборка 1'!H214-'Выборка 1'!G214))/4000</f>
        <v>0</v>
      </c>
      <c r="E214" s="44">
        <f>(('Выборка 1'!J214-'Выборка 1'!I214)+('Выборка 1'!K214-'Выборка 1'!J214)+('Выборка 1'!L214-'Выборка 1'!K214)+('Выборка 1'!M214-'Выборка 1'!L214))/4000</f>
        <v>0</v>
      </c>
      <c r="F214" s="17">
        <f>(('Выборка 1'!O214-'Выборка 1'!N214)+('Выборка 1'!P214-'Выборка 1'!O214)+('Выборка 1'!Q214-'Выборка 1'!P214)+('Выборка 1'!R214-'Выборка 1'!Q214))/4000</f>
        <v>0</v>
      </c>
      <c r="G214" s="44">
        <f>(('Выборка 1'!T214-'Выборка 1'!S214)+('Выборка 1'!U214-'Выборка 1'!T214)+('Выборка 1'!V214-'Выборка 1'!U214)+('Выборка 1'!W214-'Выборка 1'!V214))/4000</f>
        <v>0</v>
      </c>
      <c r="H214" s="44">
        <f>(('Выборка 1'!Y214-'Выборка 1'!X214)+('Выборка 1'!Z214+'Выборка 1'!Y214)+('Выборка 1'!AA214-'Выборка 1'!Z214)+('Выборка 1'!AB214-'Выборка 1'!AA214))/4000</f>
        <v>0</v>
      </c>
      <c r="I214" s="44">
        <f>(('Выборка 1'!AD214-'Выборка 1'!AC214)+('Выборка 1'!AE214-'Выборка 1'!AD214)+('Выборка 1'!AF214-'Выборка 1'!AE214)+('Выборка 1'!AG214-'Выборка 1'!AF214))/4000</f>
        <v>0</v>
      </c>
      <c r="J214" s="44">
        <f>(('Выборка 1'!AI214-'Выборка 1'!AH214)+('Выборка 1'!AJ214-'Выборка 1'!AI214)+('Выборка 1'!AK214-'Выборка 1'!AJ214)+('Выборка 1'!AL214-'Выборка 1'!AK214))/4000</f>
        <v>0</v>
      </c>
      <c r="K214" s="17">
        <f>(('Выборка 1'!AN214-'Выборка 1'!AM214)+('Выборка 1'!AO214-'Выборка 1'!AN214)+('Выборка 1'!AP214-'Выборка 1'!AO214)+('Выборка 1'!AQ214-'Выборка 1'!AP214))/4000</f>
        <v>0</v>
      </c>
      <c r="L214" s="44">
        <f>((('Выборка 1'!AS214+'Выборка 1'!AX214)-('Выборка 1'!AR214+'Выборка 1'!AW214))+(('Выборка 1'!AT214+'Выборка 1'!AY214)-('Выборка 1'!AS214+'Выборка 1'!AX214))+(('Выборка 1'!AU214+'Выборка 1'!AZ214)-('Выборка 1'!AT214+'Выборка 1'!AY214))+(('Выборка 1'!AV214+'Выборка 1'!BA214)-('Выборка 1'!AU214+'Выборка 1'!AZ214)))/4000</f>
        <v>0</v>
      </c>
      <c r="M214" s="44">
        <f>(('Выборка 1'!BC214-'Выборка 1'!BB214)+('Выборка 1'!BD214-'Выборка 1'!BC214)+('Выборка 1'!BE214-'Выборка 1'!BD214)+('Выборка 1'!BF214-'Выборка 1'!BE214))/4000</f>
        <v>0</v>
      </c>
      <c r="N214" s="44">
        <f t="shared" si="3"/>
        <v>0</v>
      </c>
      <c r="O214" s="17">
        <f>((('Выборка 1'!BH214-'Выборка 1'!BM214)-('Выборка 1'!BG214-'Выборка 1'!BL214))+(('Выборка 1'!BI214-'Выборка 1'!BN214)-('Выборка 1'!BH214-'Выборка 1'!BM214))+(('Выборка 1'!BJ214-'Выборка 1'!BO214)-('Выборка 1'!BI214-'Выборка 1'!BN214))+(('Выборка 1'!BK214-'Выборка 1'!BP214)-('Выборка 1'!BJ214-'Выборка 1'!BO214)))/4000</f>
        <v>0</v>
      </c>
      <c r="P214" s="17">
        <f>(('Выборка 1'!BR214-'Выборка 1'!BQ214)+('Выборка 1'!BS214-'Выборка 1'!BR214)+('Выборка 1'!BT214-'Выборка 1'!BS214)+('Выборка 1'!BU214-'Выборка 1'!BT214))/4000</f>
        <v>0</v>
      </c>
    </row>
    <row r="215" spans="2:16" x14ac:dyDescent="0.25">
      <c r="B215" s="42">
        <f>('Выборка 1'!AL215+'Выборка 1'!AG215)/1000</f>
        <v>0</v>
      </c>
      <c r="C215" s="17">
        <v>9</v>
      </c>
      <c r="D215" s="17">
        <f>(('Выборка 1'!E215-'Выборка 1'!D215)+('Выборка 1'!F215-'Выборка 1'!E215)+('Выборка 1'!G215-'Выборка 1'!F215)+('Выборка 1'!H215-'Выборка 1'!G215))/4000</f>
        <v>0</v>
      </c>
      <c r="E215" s="44">
        <f>(('Выборка 1'!J215-'Выборка 1'!I215)+('Выборка 1'!K215-'Выборка 1'!J215)+('Выборка 1'!L215-'Выборка 1'!K215)+('Выборка 1'!M215-'Выборка 1'!L215))/4000</f>
        <v>0</v>
      </c>
      <c r="F215" s="17">
        <f>(('Выборка 1'!O215-'Выборка 1'!N215)+('Выборка 1'!P215-'Выборка 1'!O215)+('Выборка 1'!Q215-'Выборка 1'!P215)+('Выборка 1'!R215-'Выборка 1'!Q215))/4000</f>
        <v>-458.25</v>
      </c>
      <c r="G215" s="44">
        <f>(('Выборка 1'!T215-'Выборка 1'!S215)+('Выборка 1'!U215-'Выборка 1'!T215)+('Выборка 1'!V215-'Выборка 1'!U215)+('Выборка 1'!W215-'Выборка 1'!V215))/4000</f>
        <v>-119</v>
      </c>
      <c r="H215" s="44">
        <f>(('Выборка 1'!Y215-'Выборка 1'!X215)+('Выборка 1'!Z215+'Выборка 1'!Y215)+('Выборка 1'!AA215-'Выборка 1'!Z215)+('Выборка 1'!AB215-'Выборка 1'!AA215))/4000</f>
        <v>1924.5</v>
      </c>
      <c r="I215" s="44">
        <f>(('Выборка 1'!AD215-'Выборка 1'!AC215)+('Выборка 1'!AE215-'Выборка 1'!AD215)+('Выборка 1'!AF215-'Выборка 1'!AE215)+('Выборка 1'!AG215-'Выборка 1'!AF215))/4000</f>
        <v>0</v>
      </c>
      <c r="J215" s="44">
        <f>(('Выборка 1'!AI215-'Выборка 1'!AH215)+('Выборка 1'!AJ215-'Выборка 1'!AI215)+('Выборка 1'!AK215-'Выборка 1'!AJ215)+('Выборка 1'!AL215-'Выборка 1'!AK215))/4000</f>
        <v>-135.75</v>
      </c>
      <c r="K215" s="17">
        <f>(('Выборка 1'!AN215-'Выборка 1'!AM215)+('Выборка 1'!AO215-'Выборка 1'!AN215)+('Выборка 1'!AP215-'Выборка 1'!AO215)+('Выборка 1'!AQ215-'Выборка 1'!AP215))/4000</f>
        <v>-2903.5</v>
      </c>
      <c r="L215" s="44">
        <f>((('Выборка 1'!AS215+'Выборка 1'!AX215)-('Выборка 1'!AR215+'Выборка 1'!AW215))+(('Выборка 1'!AT215+'Выборка 1'!AY215)-('Выборка 1'!AS215+'Выборка 1'!AX215))+(('Выборка 1'!AU215+'Выборка 1'!AZ215)-('Выборка 1'!AT215+'Выборка 1'!AY215))+(('Выборка 1'!AV215+'Выборка 1'!BA215)-('Выборка 1'!AU215+'Выборка 1'!AZ215)))/4000</f>
        <v>0</v>
      </c>
      <c r="M215" s="44">
        <f>(('Выборка 1'!BC215-'Выборка 1'!BB215)+('Выборка 1'!BD215-'Выборка 1'!BC215)+('Выборка 1'!BE215-'Выборка 1'!BD215)+('Выборка 1'!BF215-'Выборка 1'!BE215))/4000</f>
        <v>-2774</v>
      </c>
      <c r="N215" s="44">
        <f t="shared" si="3"/>
        <v>-129.5</v>
      </c>
      <c r="O215" s="17">
        <f>((('Выборка 1'!BH215-'Выборка 1'!BM215)-('Выборка 1'!BG215-'Выборка 1'!BL215))+(('Выборка 1'!BI215-'Выборка 1'!BN215)-('Выборка 1'!BH215-'Выборка 1'!BM215))+(('Выборка 1'!BJ215-'Выборка 1'!BO215)-('Выборка 1'!BI215-'Выборка 1'!BN215))+(('Выборка 1'!BK215-'Выборка 1'!BP215)-('Выборка 1'!BJ215-'Выборка 1'!BO215)))/4000</f>
        <v>10.25</v>
      </c>
      <c r="P215" s="17">
        <f>(('Выборка 1'!BR215-'Выборка 1'!BQ215)+('Выборка 1'!BS215-'Выборка 1'!BR215)+('Выборка 1'!BT215-'Выборка 1'!BS215)+('Выборка 1'!BU215-'Выборка 1'!BT215))/4000</f>
        <v>46.75</v>
      </c>
    </row>
    <row r="216" spans="2:16" x14ac:dyDescent="0.25">
      <c r="B216" s="42">
        <f>('Выборка 1'!AL216+'Выборка 1'!AG216)/1000</f>
        <v>0</v>
      </c>
      <c r="C216" s="17">
        <v>18</v>
      </c>
      <c r="D216" s="17">
        <f>(('Выборка 1'!E216-'Выборка 1'!D216)+('Выборка 1'!F216-'Выборка 1'!E216)+('Выборка 1'!G216-'Выборка 1'!F216)+('Выборка 1'!H216-'Выборка 1'!G216))/4000</f>
        <v>0</v>
      </c>
      <c r="E216" s="44">
        <f>(('Выборка 1'!J216-'Выборка 1'!I216)+('Выборка 1'!K216-'Выборка 1'!J216)+('Выборка 1'!L216-'Выборка 1'!K216)+('Выборка 1'!M216-'Выборка 1'!L216))/4000</f>
        <v>0</v>
      </c>
      <c r="F216" s="17">
        <f>(('Выборка 1'!O216-'Выборка 1'!N216)+('Выборка 1'!P216-'Выборка 1'!O216)+('Выборка 1'!Q216-'Выборка 1'!P216)+('Выборка 1'!R216-'Выборка 1'!Q216))/4000</f>
        <v>0</v>
      </c>
      <c r="G216" s="44">
        <f>(('Выборка 1'!T216-'Выборка 1'!S216)+('Выборка 1'!U216-'Выборка 1'!T216)+('Выборка 1'!V216-'Выборка 1'!U216)+('Выборка 1'!W216-'Выборка 1'!V216))/4000</f>
        <v>0</v>
      </c>
      <c r="H216" s="44">
        <f>(('Выборка 1'!Y216-'Выборка 1'!X216)+('Выборка 1'!Z216+'Выборка 1'!Y216)+('Выборка 1'!AA216-'Выборка 1'!Z216)+('Выборка 1'!AB216-'Выборка 1'!AA216))/4000</f>
        <v>0</v>
      </c>
      <c r="I216" s="44">
        <f>(('Выборка 1'!AD216-'Выборка 1'!AC216)+('Выборка 1'!AE216-'Выборка 1'!AD216)+('Выборка 1'!AF216-'Выборка 1'!AE216)+('Выборка 1'!AG216-'Выборка 1'!AF216))/4000</f>
        <v>0</v>
      </c>
      <c r="J216" s="44">
        <f>(('Выборка 1'!AI216-'Выборка 1'!AH216)+('Выборка 1'!AJ216-'Выборка 1'!AI216)+('Выборка 1'!AK216-'Выборка 1'!AJ216)+('Выборка 1'!AL216-'Выборка 1'!AK216))/4000</f>
        <v>0</v>
      </c>
      <c r="K216" s="17">
        <f>(('Выборка 1'!AN216-'Выборка 1'!AM216)+('Выборка 1'!AO216-'Выборка 1'!AN216)+('Выборка 1'!AP216-'Выборка 1'!AO216)+('Выборка 1'!AQ216-'Выборка 1'!AP216))/4000</f>
        <v>0</v>
      </c>
      <c r="L216" s="44">
        <f>((('Выборка 1'!AS216+'Выборка 1'!AX216)-('Выборка 1'!AR216+'Выборка 1'!AW216))+(('Выборка 1'!AT216+'Выборка 1'!AY216)-('Выборка 1'!AS216+'Выборка 1'!AX216))+(('Выборка 1'!AU216+'Выборка 1'!AZ216)-('Выборка 1'!AT216+'Выборка 1'!AY216))+(('Выборка 1'!AV216+'Выборка 1'!BA216)-('Выборка 1'!AU216+'Выборка 1'!AZ216)))/4000</f>
        <v>0</v>
      </c>
      <c r="M216" s="44">
        <f>(('Выборка 1'!BC216-'Выборка 1'!BB216)+('Выборка 1'!BD216-'Выборка 1'!BC216)+('Выборка 1'!BE216-'Выборка 1'!BD216)+('Выборка 1'!BF216-'Выборка 1'!BE216))/4000</f>
        <v>0</v>
      </c>
      <c r="N216" s="44">
        <f t="shared" si="3"/>
        <v>0</v>
      </c>
      <c r="O216" s="17">
        <f>((('Выборка 1'!BH216-'Выборка 1'!BM216)-('Выборка 1'!BG216-'Выборка 1'!BL216))+(('Выборка 1'!BI216-'Выборка 1'!BN216)-('Выборка 1'!BH216-'Выборка 1'!BM216))+(('Выборка 1'!BJ216-'Выборка 1'!BO216)-('Выборка 1'!BI216-'Выборка 1'!BN216))+(('Выборка 1'!BK216-'Выборка 1'!BP216)-('Выборка 1'!BJ216-'Выборка 1'!BO216)))/4000</f>
        <v>0</v>
      </c>
      <c r="P216" s="17">
        <f>(('Выборка 1'!BR216-'Выборка 1'!BQ216)+('Выборка 1'!BS216-'Выборка 1'!BR216)+('Выборка 1'!BT216-'Выборка 1'!BS216)+('Выборка 1'!BU216-'Выборка 1'!BT216))/4000</f>
        <v>0</v>
      </c>
    </row>
    <row r="217" spans="2:16" x14ac:dyDescent="0.25">
      <c r="B217" s="42">
        <f>('Выборка 1'!AL217+'Выборка 1'!AG217)/1000</f>
        <v>0</v>
      </c>
      <c r="C217" s="17">
        <v>8</v>
      </c>
      <c r="D217" s="17">
        <f>(('Выборка 1'!E217-'Выборка 1'!D217)+('Выборка 1'!F217-'Выборка 1'!E217)+('Выборка 1'!G217-'Выборка 1'!F217)+('Выборка 1'!H217-'Выборка 1'!G217))/4000</f>
        <v>0</v>
      </c>
      <c r="E217" s="44">
        <f>(('Выборка 1'!J217-'Выборка 1'!I217)+('Выборка 1'!K217-'Выборка 1'!J217)+('Выборка 1'!L217-'Выборка 1'!K217)+('Выборка 1'!M217-'Выборка 1'!L217))/4000</f>
        <v>0</v>
      </c>
      <c r="F217" s="17">
        <f>(('Выборка 1'!O217-'Выборка 1'!N217)+('Выборка 1'!P217-'Выборка 1'!O217)+('Выборка 1'!Q217-'Выборка 1'!P217)+('Выборка 1'!R217-'Выборка 1'!Q217))/4000</f>
        <v>2500</v>
      </c>
      <c r="G217" s="44">
        <f>(('Выборка 1'!T217-'Выборка 1'!S217)+('Выборка 1'!U217-'Выборка 1'!T217)+('Выборка 1'!V217-'Выборка 1'!U217)+('Выборка 1'!W217-'Выборка 1'!V217))/4000</f>
        <v>0</v>
      </c>
      <c r="H217" s="44">
        <f>(('Выборка 1'!Y217-'Выборка 1'!X217)+('Выборка 1'!Z217+'Выборка 1'!Y217)+('Выборка 1'!AA217-'Выборка 1'!Z217)+('Выборка 1'!AB217-'Выборка 1'!AA217))/4000</f>
        <v>0</v>
      </c>
      <c r="I217" s="44">
        <f>(('Выборка 1'!AD217-'Выборка 1'!AC217)+('Выборка 1'!AE217-'Выборка 1'!AD217)+('Выборка 1'!AF217-'Выборка 1'!AE217)+('Выборка 1'!AG217-'Выборка 1'!AF217))/4000</f>
        <v>0</v>
      </c>
      <c r="J217" s="44">
        <f>(('Выборка 1'!AI217-'Выборка 1'!AH217)+('Выборка 1'!AJ217-'Выборка 1'!AI217)+('Выборка 1'!AK217-'Выборка 1'!AJ217)+('Выборка 1'!AL217-'Выборка 1'!AK217))/4000</f>
        <v>0</v>
      </c>
      <c r="K217" s="17">
        <f>(('Выборка 1'!AN217-'Выборка 1'!AM217)+('Выборка 1'!AO217-'Выборка 1'!AN217)+('Выборка 1'!AP217-'Выборка 1'!AO217)+('Выборка 1'!AQ217-'Выборка 1'!AP217))/4000</f>
        <v>0</v>
      </c>
      <c r="L217" s="44">
        <f>((('Выборка 1'!AS217+'Выборка 1'!AX217)-('Выборка 1'!AR217+'Выборка 1'!AW217))+(('Выборка 1'!AT217+'Выборка 1'!AY217)-('Выборка 1'!AS217+'Выборка 1'!AX217))+(('Выборка 1'!AU217+'Выборка 1'!AZ217)-('Выборка 1'!AT217+'Выборка 1'!AY217))+(('Выборка 1'!AV217+'Выборка 1'!BA217)-('Выборка 1'!AU217+'Выборка 1'!AZ217)))/4000</f>
        <v>0</v>
      </c>
      <c r="M217" s="44">
        <f>(('Выборка 1'!BC217-'Выборка 1'!BB217)+('Выборка 1'!BD217-'Выборка 1'!BC217)+('Выборка 1'!BE217-'Выборка 1'!BD217)+('Выборка 1'!BF217-'Выборка 1'!BE217))/4000</f>
        <v>0</v>
      </c>
      <c r="N217" s="44">
        <f t="shared" si="3"/>
        <v>0</v>
      </c>
      <c r="O217" s="17">
        <f>((('Выборка 1'!BH217-'Выборка 1'!BM217)-('Выборка 1'!BG217-'Выборка 1'!BL217))+(('Выборка 1'!BI217-'Выборка 1'!BN217)-('Выборка 1'!BH217-'Выборка 1'!BM217))+(('Выборка 1'!BJ217-'Выборка 1'!BO217)-('Выборка 1'!BI217-'Выборка 1'!BN217))+(('Выборка 1'!BK217-'Выборка 1'!BP217)-('Выборка 1'!BJ217-'Выборка 1'!BO217)))/4000</f>
        <v>0</v>
      </c>
      <c r="P217" s="17">
        <f>(('Выборка 1'!BR217-'Выборка 1'!BQ217)+('Выборка 1'!BS217-'Выборка 1'!BR217)+('Выборка 1'!BT217-'Выборка 1'!BS217)+('Выборка 1'!BU217-'Выборка 1'!BT217))/4000</f>
        <v>0</v>
      </c>
    </row>
    <row r="218" spans="2:16" x14ac:dyDescent="0.25">
      <c r="B218" s="42">
        <f>('Выборка 1'!AL218+'Выборка 1'!AG218)/1000</f>
        <v>0</v>
      </c>
      <c r="C218" s="17">
        <v>12</v>
      </c>
      <c r="D218" s="17">
        <f>(('Выборка 1'!E218-'Выборка 1'!D218)+('Выборка 1'!F218-'Выборка 1'!E218)+('Выборка 1'!G218-'Выборка 1'!F218)+('Выборка 1'!H218-'Выборка 1'!G218))/4000</f>
        <v>0</v>
      </c>
      <c r="E218" s="44">
        <f>(('Выборка 1'!J218-'Выборка 1'!I218)+('Выборка 1'!K218-'Выборка 1'!J218)+('Выборка 1'!L218-'Выборка 1'!K218)+('Выборка 1'!M218-'Выборка 1'!L218))/4000</f>
        <v>-1476.75</v>
      </c>
      <c r="F218" s="17">
        <f>(('Выборка 1'!O218-'Выборка 1'!N218)+('Выборка 1'!P218-'Выборка 1'!O218)+('Выборка 1'!Q218-'Выборка 1'!P218)+('Выборка 1'!R218-'Выборка 1'!Q218))/4000</f>
        <v>-6013.75</v>
      </c>
      <c r="G218" s="44">
        <f>(('Выборка 1'!T218-'Выборка 1'!S218)+('Выборка 1'!U218-'Выборка 1'!T218)+('Выборка 1'!V218-'Выборка 1'!U218)+('Выборка 1'!W218-'Выборка 1'!V218))/4000</f>
        <v>-6</v>
      </c>
      <c r="H218" s="44">
        <f>(('Выборка 1'!Y218-'Выборка 1'!X218)+('Выборка 1'!Z218+'Выборка 1'!Y218)+('Выборка 1'!AA218-'Выборка 1'!Z218)+('Выборка 1'!AB218-'Выборка 1'!AA218))/4000</f>
        <v>-28450</v>
      </c>
      <c r="I218" s="44">
        <f>(('Выборка 1'!AD218-'Выборка 1'!AC218)+('Выборка 1'!AE218-'Выборка 1'!AD218)+('Выборка 1'!AF218-'Выборка 1'!AE218)+('Выборка 1'!AG218-'Выборка 1'!AF218))/4000</f>
        <v>-6986.5</v>
      </c>
      <c r="J218" s="44">
        <f>(('Выборка 1'!AI218-'Выборка 1'!AH218)+('Выборка 1'!AJ218-'Выборка 1'!AI218)+('Выборка 1'!AK218-'Выборка 1'!AJ218)+('Выборка 1'!AL218-'Выборка 1'!AK218))/4000</f>
        <v>-12184.25</v>
      </c>
      <c r="K218" s="17">
        <f>(('Выборка 1'!AN218-'Выборка 1'!AM218)+('Выборка 1'!AO218-'Выборка 1'!AN218)+('Выборка 1'!AP218-'Выборка 1'!AO218)+('Выборка 1'!AQ218-'Выборка 1'!AP218))/4000</f>
        <v>-1762.5</v>
      </c>
      <c r="L218" s="44">
        <f>((('Выборка 1'!AS218+'Выборка 1'!AX218)-('Выборка 1'!AR218+'Выборка 1'!AW218))+(('Выборка 1'!AT218+'Выборка 1'!AY218)-('Выборка 1'!AS218+'Выборка 1'!AX218))+(('Выборка 1'!AU218+'Выборка 1'!AZ218)-('Выборка 1'!AT218+'Выборка 1'!AY218))+(('Выборка 1'!AV218+'Выборка 1'!BA218)-('Выборка 1'!AU218+'Выборка 1'!AZ218)))/4000</f>
        <v>-1235.25</v>
      </c>
      <c r="M218" s="44">
        <f>(('Выборка 1'!BC218-'Выборка 1'!BB218)+('Выборка 1'!BD218-'Выборка 1'!BC218)+('Выборка 1'!BE218-'Выборка 1'!BD218)+('Выборка 1'!BF218-'Выборка 1'!BE218))/4000</f>
        <v>-1249</v>
      </c>
      <c r="N218" s="44">
        <f t="shared" si="3"/>
        <v>721.75</v>
      </c>
      <c r="O218" s="17">
        <f>((('Выборка 1'!BH218-'Выборка 1'!BM218)-('Выборка 1'!BG218-'Выборка 1'!BL218))+(('Выборка 1'!BI218-'Выборка 1'!BN218)-('Выборка 1'!BH218-'Выборка 1'!BM218))+(('Выборка 1'!BJ218-'Выборка 1'!BO218)-('Выборка 1'!BI218-'Выборка 1'!BN218))+(('Выборка 1'!BK218-'Выборка 1'!BP218)-('Выборка 1'!BJ218-'Выборка 1'!BO218)))/4000</f>
        <v>1259.75</v>
      </c>
      <c r="P218" s="17">
        <f>(('Выборка 1'!BR218-'Выборка 1'!BQ218)+('Выборка 1'!BS218-'Выборка 1'!BR218)+('Выборка 1'!BT218-'Выборка 1'!BS218)+('Выборка 1'!BU218-'Выборка 1'!BT218))/4000</f>
        <v>1660.75</v>
      </c>
    </row>
    <row r="219" spans="2:16" x14ac:dyDescent="0.25">
      <c r="B219" s="42">
        <f>('Выборка 1'!AL219+'Выборка 1'!AG219)/1000</f>
        <v>2121965</v>
      </c>
      <c r="C219" s="17">
        <v>22</v>
      </c>
      <c r="D219" s="17">
        <f>(('Выборка 1'!E219-'Выборка 1'!D219)+('Выборка 1'!F219-'Выборка 1'!E219)+('Выборка 1'!G219-'Выборка 1'!F219)+('Выборка 1'!H219-'Выборка 1'!G219))/4000</f>
        <v>-19997.5</v>
      </c>
      <c r="E219" s="44">
        <f>(('Выборка 1'!J219-'Выборка 1'!I219)+('Выборка 1'!K219-'Выборка 1'!J219)+('Выборка 1'!L219-'Выборка 1'!K219)+('Выборка 1'!M219-'Выборка 1'!L219))/4000</f>
        <v>-263601</v>
      </c>
      <c r="F219" s="17">
        <f>(('Выборка 1'!O219-'Выборка 1'!N219)+('Выборка 1'!P219-'Выборка 1'!O219)+('Выборка 1'!Q219-'Выборка 1'!P219)+('Выборка 1'!R219-'Выборка 1'!Q219))/4000</f>
        <v>-392161</v>
      </c>
      <c r="G219" s="44">
        <f>(('Выборка 1'!T219-'Выборка 1'!S219)+('Выборка 1'!U219-'Выборка 1'!T219)+('Выборка 1'!V219-'Выборка 1'!U219)+('Выборка 1'!W219-'Выборка 1'!V219))/4000</f>
        <v>58684.75</v>
      </c>
      <c r="H219" s="44">
        <f>(('Выборка 1'!Y219-'Выборка 1'!X219)+('Выборка 1'!Z219+'Выборка 1'!Y219)+('Выборка 1'!AA219-'Выборка 1'!Z219)+('Выборка 1'!AB219-'Выборка 1'!AA219))/4000</f>
        <v>-374178.25</v>
      </c>
      <c r="I219" s="44">
        <f>(('Выборка 1'!AD219-'Выборка 1'!AC219)+('Выборка 1'!AE219-'Выборка 1'!AD219)+('Выборка 1'!AF219-'Выборка 1'!AE219)+('Выборка 1'!AG219-'Выборка 1'!AF219))/4000</f>
        <v>0</v>
      </c>
      <c r="J219" s="44">
        <f>(('Выборка 1'!AI219-'Выборка 1'!AH219)+('Выборка 1'!AJ219-'Выборка 1'!AI219)+('Выборка 1'!AK219-'Выборка 1'!AJ219)+('Выборка 1'!AL219-'Выборка 1'!AK219))/4000</f>
        <v>-2488673.5</v>
      </c>
      <c r="K219" s="17">
        <f>(('Выборка 1'!AN219-'Выборка 1'!AM219)+('Выборка 1'!AO219-'Выборка 1'!AN219)+('Выборка 1'!AP219-'Выборка 1'!AO219)+('Выборка 1'!AQ219-'Выборка 1'!AP219))/4000</f>
        <v>-919418</v>
      </c>
      <c r="L219" s="44">
        <f>((('Выборка 1'!AS219+'Выборка 1'!AX219)-('Выборка 1'!AR219+'Выборка 1'!AW219))+(('Выборка 1'!AT219+'Выборка 1'!AY219)-('Выборка 1'!AS219+'Выборка 1'!AX219))+(('Выборка 1'!AU219+'Выборка 1'!AZ219)-('Выборка 1'!AT219+'Выборка 1'!AY219))+(('Выборка 1'!AV219+'Выборка 1'!BA219)-('Выборка 1'!AU219+'Выборка 1'!AZ219)))/4000</f>
        <v>-904939.5</v>
      </c>
      <c r="M219" s="44">
        <f>(('Выборка 1'!BC219-'Выборка 1'!BB219)+('Выборка 1'!BD219-'Выборка 1'!BC219)+('Выборка 1'!BE219-'Выборка 1'!BD219)+('Выборка 1'!BF219-'Выборка 1'!BE219))/4000</f>
        <v>-50584</v>
      </c>
      <c r="N219" s="44">
        <f t="shared" si="3"/>
        <v>36105.5</v>
      </c>
      <c r="O219" s="17">
        <f>((('Выборка 1'!BH219-'Выборка 1'!BM219)-('Выборка 1'!BG219-'Выборка 1'!BL219))+(('Выборка 1'!BI219-'Выборка 1'!BN219)-('Выборка 1'!BH219-'Выборка 1'!BM219))+(('Выборка 1'!BJ219-'Выборка 1'!BO219)-('Выборка 1'!BI219-'Выборка 1'!BN219))+(('Выборка 1'!BK219-'Выборка 1'!BP219)-('Выборка 1'!BJ219-'Выборка 1'!BO219)))/4000</f>
        <v>-337328.25</v>
      </c>
      <c r="P219" s="17">
        <f>(('Выборка 1'!BR219-'Выборка 1'!BQ219)+('Выборка 1'!BS219-'Выборка 1'!BR219)+('Выборка 1'!BT219-'Выборка 1'!BS219)+('Выборка 1'!BU219-'Выборка 1'!BT219))/4000</f>
        <v>-294897.5</v>
      </c>
    </row>
    <row r="220" spans="2:16" x14ac:dyDescent="0.25">
      <c r="B220" s="42">
        <f>('Выборка 1'!AL220+'Выборка 1'!AG220)/1000</f>
        <v>326462</v>
      </c>
      <c r="C220" s="17">
        <v>31</v>
      </c>
      <c r="D220" s="17">
        <f>(('Выборка 1'!E220-'Выборка 1'!D220)+('Выборка 1'!F220-'Выборка 1'!E220)+('Выборка 1'!G220-'Выборка 1'!F220)+('Выборка 1'!H220-'Выборка 1'!G220))/4000</f>
        <v>-120093.25</v>
      </c>
      <c r="E220" s="44">
        <f>(('Выборка 1'!J220-'Выборка 1'!I220)+('Выборка 1'!K220-'Выборка 1'!J220)+('Выборка 1'!L220-'Выборка 1'!K220)+('Выборка 1'!M220-'Выборка 1'!L220))/4000</f>
        <v>-11266.75</v>
      </c>
      <c r="F220" s="17">
        <f>(('Выборка 1'!O220-'Выборка 1'!N220)+('Выборка 1'!P220-'Выборка 1'!O220)+('Выборка 1'!Q220-'Выборка 1'!P220)+('Выборка 1'!R220-'Выборка 1'!Q220))/4000</f>
        <v>-21530.75</v>
      </c>
      <c r="G220" s="44">
        <f>(('Выборка 1'!T220-'Выборка 1'!S220)+('Выборка 1'!U220-'Выборка 1'!T220)+('Выборка 1'!V220-'Выборка 1'!U220)+('Выборка 1'!W220-'Выборка 1'!V220))/4000</f>
        <v>557</v>
      </c>
      <c r="H220" s="44">
        <f>(('Выборка 1'!Y220-'Выборка 1'!X220)+('Выборка 1'!Z220+'Выборка 1'!Y220)+('Выборка 1'!AA220-'Выборка 1'!Z220)+('Выборка 1'!AB220-'Выборка 1'!AA220))/4000</f>
        <v>-899624.75</v>
      </c>
      <c r="I220" s="44">
        <f>(('Выборка 1'!AD220-'Выборка 1'!AC220)+('Выборка 1'!AE220-'Выборка 1'!AD220)+('Выборка 1'!AF220-'Выборка 1'!AE220)+('Выборка 1'!AG220-'Выборка 1'!AF220))/4000</f>
        <v>-68289.5</v>
      </c>
      <c r="J220" s="44">
        <f>(('Выборка 1'!AI220-'Выборка 1'!AH220)+('Выборка 1'!AJ220-'Выборка 1'!AI220)+('Выборка 1'!AK220-'Выборка 1'!AJ220)+('Выборка 1'!AL220-'Выборка 1'!AK220))/4000</f>
        <v>-202624</v>
      </c>
      <c r="K220" s="17">
        <f>(('Выборка 1'!AN220-'Выборка 1'!AM220)+('Выборка 1'!AO220-'Выборка 1'!AN220)+('Выборка 1'!AP220-'Выборка 1'!AO220)+('Выборка 1'!AQ220-'Выборка 1'!AP220))/4000</f>
        <v>2685.5</v>
      </c>
      <c r="L220" s="44">
        <f>((('Выборка 1'!AS220+'Выборка 1'!AX220)-('Выборка 1'!AR220+'Выборка 1'!AW220))+(('Выборка 1'!AT220+'Выборка 1'!AY220)-('Выборка 1'!AS220+'Выборка 1'!AX220))+(('Выборка 1'!AU220+'Выборка 1'!AZ220)-('Выборка 1'!AT220+'Выборка 1'!AY220))+(('Выборка 1'!AV220+'Выборка 1'!BA220)-('Выборка 1'!AU220+'Выборка 1'!AZ220)))/4000</f>
        <v>0</v>
      </c>
      <c r="M220" s="44">
        <f>(('Выборка 1'!BC220-'Выборка 1'!BB220)+('Выборка 1'!BD220-'Выборка 1'!BC220)+('Выборка 1'!BE220-'Выборка 1'!BD220)+('Выборка 1'!BF220-'Выборка 1'!BE220))/4000</f>
        <v>-14365.5</v>
      </c>
      <c r="N220" s="44">
        <f t="shared" si="3"/>
        <v>17051</v>
      </c>
      <c r="O220" s="17">
        <f>((('Выборка 1'!BH220-'Выборка 1'!BM220)-('Выборка 1'!BG220-'Выборка 1'!BL220))+(('Выборка 1'!BI220-'Выборка 1'!BN220)-('Выборка 1'!BH220-'Выборка 1'!BM220))+(('Выборка 1'!BJ220-'Выборка 1'!BO220)-('Выборка 1'!BI220-'Выборка 1'!BN220))+(('Выборка 1'!BK220-'Выборка 1'!BP220)-('Выборка 1'!BJ220-'Выборка 1'!BO220)))/4000</f>
        <v>10969.75</v>
      </c>
      <c r="P220" s="17">
        <f>(('Выборка 1'!BR220-'Выборка 1'!BQ220)+('Выборка 1'!BS220-'Выборка 1'!BR220)+('Выборка 1'!BT220-'Выборка 1'!BS220)+('Выборка 1'!BU220-'Выборка 1'!BT220))/4000</f>
        <v>35950.25</v>
      </c>
    </row>
    <row r="221" spans="2:16" x14ac:dyDescent="0.25">
      <c r="B221" s="42">
        <f>('Выборка 1'!AL221+'Выборка 1'!AG221)/1000</f>
        <v>857653</v>
      </c>
      <c r="C221" s="17">
        <v>22</v>
      </c>
      <c r="D221" s="17">
        <f>(('Выборка 1'!E221-'Выборка 1'!D221)+('Выборка 1'!F221-'Выборка 1'!E221)+('Выборка 1'!G221-'Выборка 1'!F221)+('Выборка 1'!H221-'Выборка 1'!G221))/4000</f>
        <v>-9110.25</v>
      </c>
      <c r="E221" s="44">
        <f>(('Выборка 1'!J221-'Выборка 1'!I221)+('Выборка 1'!K221-'Выборка 1'!J221)+('Выборка 1'!L221-'Выборка 1'!K221)+('Выборка 1'!M221-'Выборка 1'!L221))/4000</f>
        <v>-83677.75</v>
      </c>
      <c r="F221" s="17">
        <f>(('Выборка 1'!O221-'Выборка 1'!N221)+('Выборка 1'!P221-'Выборка 1'!O221)+('Выборка 1'!Q221-'Выборка 1'!P221)+('Выборка 1'!R221-'Выборка 1'!Q221))/4000</f>
        <v>-181069.25</v>
      </c>
      <c r="G221" s="44">
        <f>(('Выборка 1'!T221-'Выборка 1'!S221)+('Выборка 1'!U221-'Выборка 1'!T221)+('Выборка 1'!V221-'Выборка 1'!U221)+('Выборка 1'!W221-'Выборка 1'!V221))/4000</f>
        <v>-21593.5</v>
      </c>
      <c r="H221" s="44">
        <f>(('Выборка 1'!Y221-'Выборка 1'!X221)+('Выборка 1'!Z221+'Выборка 1'!Y221)+('Выборка 1'!AA221-'Выборка 1'!Z221)+('Выборка 1'!AB221-'Выборка 1'!AA221))/4000</f>
        <v>-200897.75</v>
      </c>
      <c r="I221" s="44">
        <f>(('Выборка 1'!AD221-'Выборка 1'!AC221)+('Выборка 1'!AE221-'Выборка 1'!AD221)+('Выборка 1'!AF221-'Выборка 1'!AE221)+('Выборка 1'!AG221-'Выборка 1'!AF221))/4000</f>
        <v>0</v>
      </c>
      <c r="J221" s="44">
        <f>(('Выборка 1'!AI221-'Выборка 1'!AH221)+('Выборка 1'!AJ221-'Выборка 1'!AI221)+('Выборка 1'!AK221-'Выборка 1'!AJ221)+('Выборка 1'!AL221-'Выборка 1'!AK221))/4000</f>
        <v>-121957.75</v>
      </c>
      <c r="K221" s="17">
        <f>(('Выборка 1'!AN221-'Выборка 1'!AM221)+('Выборка 1'!AO221-'Выборка 1'!AN221)+('Выборка 1'!AP221-'Выборка 1'!AO221)+('Выборка 1'!AQ221-'Выборка 1'!AP221))/4000</f>
        <v>-858956.5</v>
      </c>
      <c r="L221" s="44">
        <f>((('Выборка 1'!AS221+'Выборка 1'!AX221)-('Выборка 1'!AR221+'Выборка 1'!AW221))+(('Выборка 1'!AT221+'Выборка 1'!AY221)-('Выборка 1'!AS221+'Выборка 1'!AX221))+(('Выборка 1'!AU221+'Выборка 1'!AZ221)-('Выборка 1'!AT221+'Выборка 1'!AY221))+(('Выборка 1'!AV221+'Выборка 1'!BA221)-('Выборка 1'!AU221+'Выборка 1'!AZ221)))/4000</f>
        <v>-887204.5</v>
      </c>
      <c r="M221" s="44">
        <f>(('Выборка 1'!BC221-'Выборка 1'!BB221)+('Выборка 1'!BD221-'Выборка 1'!BC221)+('Выборка 1'!BE221-'Выборка 1'!BD221)+('Выборка 1'!BF221-'Выборка 1'!BE221))/4000</f>
        <v>0</v>
      </c>
      <c r="N221" s="44">
        <f t="shared" si="3"/>
        <v>28248</v>
      </c>
      <c r="O221" s="17">
        <f>((('Выборка 1'!BH221-'Выборка 1'!BM221)-('Выборка 1'!BG221-'Выборка 1'!BL221))+(('Выборка 1'!BI221-'Выборка 1'!BN221)-('Выборка 1'!BH221-'Выборка 1'!BM221))+(('Выборка 1'!BJ221-'Выборка 1'!BO221)-('Выборка 1'!BI221-'Выборка 1'!BN221))+(('Выборка 1'!BK221-'Выборка 1'!BP221)-('Выборка 1'!BJ221-'Выборка 1'!BO221)))/4000</f>
        <v>1650.5</v>
      </c>
      <c r="P221" s="17">
        <f>(('Выборка 1'!BR221-'Выборка 1'!BQ221)+('Выборка 1'!BS221-'Выборка 1'!BR221)+('Выборка 1'!BT221-'Выборка 1'!BS221)+('Выборка 1'!BU221-'Выборка 1'!BT221))/4000</f>
        <v>21708.25</v>
      </c>
    </row>
    <row r="222" spans="2:16" x14ac:dyDescent="0.25">
      <c r="B222" s="42">
        <f>('Выборка 1'!AL222+'Выборка 1'!AG222)/1000</f>
        <v>0</v>
      </c>
      <c r="C222" s="17">
        <v>11</v>
      </c>
      <c r="D222" s="17">
        <f>(('Выборка 1'!E222-'Выборка 1'!D222)+('Выборка 1'!F222-'Выборка 1'!E222)+('Выборка 1'!G222-'Выборка 1'!F222)+('Выборка 1'!H222-'Выборка 1'!G222))/4000</f>
        <v>54256.25</v>
      </c>
      <c r="E222" s="44">
        <f>(('Выборка 1'!J222-'Выборка 1'!I222)+('Выборка 1'!K222-'Выборка 1'!J222)+('Выборка 1'!L222-'Выборка 1'!K222)+('Выборка 1'!M222-'Выборка 1'!L222))/4000</f>
        <v>-11635.5</v>
      </c>
      <c r="F222" s="17">
        <f>(('Выборка 1'!O222-'Выборка 1'!N222)+('Выборка 1'!P222-'Выборка 1'!O222)+('Выборка 1'!Q222-'Выборка 1'!P222)+('Выборка 1'!R222-'Выборка 1'!Q222))/4000</f>
        <v>-72310.5</v>
      </c>
      <c r="G222" s="44">
        <f>(('Выборка 1'!T222-'Выборка 1'!S222)+('Выборка 1'!U222-'Выборка 1'!T222)+('Выборка 1'!V222-'Выборка 1'!U222)+('Выборка 1'!W222-'Выборка 1'!V222))/4000</f>
        <v>-2519</v>
      </c>
      <c r="H222" s="44">
        <f>(('Выборка 1'!Y222-'Выборка 1'!X222)+('Выборка 1'!Z222+'Выборка 1'!Y222)+('Выборка 1'!AA222-'Выборка 1'!Z222)+('Выборка 1'!AB222-'Выборка 1'!AA222))/4000</f>
        <v>-1194.5</v>
      </c>
      <c r="I222" s="44">
        <f>(('Выборка 1'!AD222-'Выборка 1'!AC222)+('Выборка 1'!AE222-'Выборка 1'!AD222)+('Выборка 1'!AF222-'Выборка 1'!AE222)+('Выборка 1'!AG222-'Выборка 1'!AF222))/4000</f>
        <v>-90229</v>
      </c>
      <c r="J222" s="44">
        <f>(('Выборка 1'!AI222-'Выборка 1'!AH222)+('Выборка 1'!AJ222-'Выборка 1'!AI222)+('Выборка 1'!AK222-'Выборка 1'!AJ222)+('Выборка 1'!AL222-'Выборка 1'!AK222))/4000</f>
        <v>-153504.25</v>
      </c>
      <c r="K222" s="17">
        <f>(('Выборка 1'!AN222-'Выборка 1'!AM222)+('Выборка 1'!AO222-'Выборка 1'!AN222)+('Выборка 1'!AP222-'Выборка 1'!AO222)+('Выборка 1'!AQ222-'Выборка 1'!AP222))/4000</f>
        <v>-263201.75</v>
      </c>
      <c r="L222" s="44">
        <f>((('Выборка 1'!AS222+'Выборка 1'!AX222)-('Выборка 1'!AR222+'Выборка 1'!AW222))+(('Выборка 1'!AT222+'Выборка 1'!AY222)-('Выборка 1'!AS222+'Выборка 1'!AX222))+(('Выборка 1'!AU222+'Выборка 1'!AZ222)-('Выборка 1'!AT222+'Выборка 1'!AY222))+(('Выборка 1'!AV222+'Выборка 1'!BA222)-('Выборка 1'!AU222+'Выборка 1'!AZ222)))/4000</f>
        <v>-222673</v>
      </c>
      <c r="M222" s="44">
        <f>(('Выборка 1'!BC222-'Выборка 1'!BB222)+('Выборка 1'!BD222-'Выборка 1'!BC222)+('Выборка 1'!BE222-'Выборка 1'!BD222)+('Выборка 1'!BF222-'Выборка 1'!BE222))/4000</f>
        <v>-10558.75</v>
      </c>
      <c r="N222" s="44">
        <f t="shared" si="3"/>
        <v>-29970</v>
      </c>
      <c r="O222" s="17">
        <f>((('Выборка 1'!BH222-'Выборка 1'!BM222)-('Выборка 1'!BG222-'Выборка 1'!BL222))+(('Выборка 1'!BI222-'Выборка 1'!BN222)-('Выборка 1'!BH222-'Выборка 1'!BM222))+(('Выборка 1'!BJ222-'Выборка 1'!BO222)-('Выборка 1'!BI222-'Выборка 1'!BN222))+(('Выборка 1'!BK222-'Выборка 1'!BP222)-('Выборка 1'!BJ222-'Выборка 1'!BO222)))/4000</f>
        <v>49260.5</v>
      </c>
      <c r="P222" s="17">
        <f>(('Выборка 1'!BR222-'Выборка 1'!BQ222)+('Выборка 1'!BS222-'Выборка 1'!BR222)+('Выборка 1'!BT222-'Выборка 1'!BS222)+('Выборка 1'!BU222-'Выборка 1'!BT222))/4000</f>
        <v>15836.25</v>
      </c>
    </row>
    <row r="223" spans="2:16" x14ac:dyDescent="0.25">
      <c r="B223" s="42">
        <f>('Выборка 1'!AL223+'Выборка 1'!AG223)/1000</f>
        <v>0</v>
      </c>
      <c r="C223" s="17">
        <v>8</v>
      </c>
      <c r="D223" s="17">
        <f>(('Выборка 1'!E223-'Выборка 1'!D223)+('Выборка 1'!F223-'Выборка 1'!E223)+('Выборка 1'!G223-'Выборка 1'!F223)+('Выборка 1'!H223-'Выборка 1'!G223))/4000</f>
        <v>-3187.25</v>
      </c>
      <c r="E223" s="44">
        <f>(('Выборка 1'!J223-'Выборка 1'!I223)+('Выборка 1'!K223-'Выборка 1'!J223)+('Выборка 1'!L223-'Выборка 1'!K223)+('Выборка 1'!M223-'Выборка 1'!L223))/4000</f>
        <v>-3690.25</v>
      </c>
      <c r="F223" s="17">
        <f>(('Выборка 1'!O223-'Выборка 1'!N223)+('Выборка 1'!P223-'Выборка 1'!O223)+('Выборка 1'!Q223-'Выборка 1'!P223)+('Выборка 1'!R223-'Выборка 1'!Q223))/4000</f>
        <v>-5778.5</v>
      </c>
      <c r="G223" s="44">
        <f>(('Выборка 1'!T223-'Выборка 1'!S223)+('Выборка 1'!U223-'Выборка 1'!T223)+('Выборка 1'!V223-'Выборка 1'!U223)+('Выборка 1'!W223-'Выборка 1'!V223))/4000</f>
        <v>-7.5</v>
      </c>
      <c r="H223" s="44">
        <f>(('Выборка 1'!Y223-'Выборка 1'!X223)+('Выборка 1'!Z223+'Выборка 1'!Y223)+('Выборка 1'!AA223-'Выборка 1'!Z223)+('Выборка 1'!AB223-'Выборка 1'!AA223))/4000</f>
        <v>0</v>
      </c>
      <c r="I223" s="44">
        <f>(('Выборка 1'!AD223-'Выборка 1'!AC223)+('Выборка 1'!AE223-'Выборка 1'!AD223)+('Выборка 1'!AF223-'Выборка 1'!AE223)+('Выборка 1'!AG223-'Выборка 1'!AF223))/4000</f>
        <v>-2313.5</v>
      </c>
      <c r="J223" s="44">
        <f>(('Выборка 1'!AI223-'Выборка 1'!AH223)+('Выборка 1'!AJ223-'Выборка 1'!AI223)+('Выборка 1'!AK223-'Выборка 1'!AJ223)+('Выборка 1'!AL223-'Выборка 1'!AK223))/4000</f>
        <v>-6693.75</v>
      </c>
      <c r="K223" s="17">
        <f>(('Выборка 1'!AN223-'Выборка 1'!AM223)+('Выборка 1'!AO223-'Выборка 1'!AN223)+('Выборка 1'!AP223-'Выборка 1'!AO223)+('Выборка 1'!AQ223-'Выборка 1'!AP223))/4000</f>
        <v>-6912</v>
      </c>
      <c r="L223" s="44">
        <f>((('Выборка 1'!AS223+'Выборка 1'!AX223)-('Выборка 1'!AR223+'Выборка 1'!AW223))+(('Выборка 1'!AT223+'Выборка 1'!AY223)-('Выборка 1'!AS223+'Выборка 1'!AX223))+(('Выборка 1'!AU223+'Выборка 1'!AZ223)-('Выборка 1'!AT223+'Выборка 1'!AY223))+(('Выборка 1'!AV223+'Выборка 1'!BA223)-('Выборка 1'!AU223+'Выборка 1'!AZ223)))/4000</f>
        <v>-7578.25</v>
      </c>
      <c r="M223" s="44">
        <f>(('Выборка 1'!BC223-'Выборка 1'!BB223)+('Выборка 1'!BD223-'Выборка 1'!BC223)+('Выборка 1'!BE223-'Выборка 1'!BD223)+('Выборка 1'!BF223-'Выборка 1'!BE223))/4000</f>
        <v>0</v>
      </c>
      <c r="N223" s="44">
        <f t="shared" si="3"/>
        <v>666.25</v>
      </c>
      <c r="O223" s="17">
        <f>((('Выборка 1'!BH223-'Выборка 1'!BM223)-('Выборка 1'!BG223-'Выборка 1'!BL223))+(('Выборка 1'!BI223-'Выборка 1'!BN223)-('Выборка 1'!BH223-'Выборка 1'!BM223))+(('Выборка 1'!BJ223-'Выборка 1'!BO223)-('Выборка 1'!BI223-'Выборка 1'!BN223))+(('Выборка 1'!BK223-'Выборка 1'!BP223)-('Выборка 1'!BJ223-'Выборка 1'!BO223)))/4000</f>
        <v>-1133.5</v>
      </c>
      <c r="P223" s="17">
        <f>(('Выборка 1'!BR223-'Выборка 1'!BQ223)+('Выборка 1'!BS223-'Выборка 1'!BR223)+('Выборка 1'!BT223-'Выборка 1'!BS223)+('Выборка 1'!BU223-'Выборка 1'!BT223))/4000</f>
        <v>-113.5</v>
      </c>
    </row>
    <row r="224" spans="2:16" x14ac:dyDescent="0.25">
      <c r="B224" s="42">
        <f>('Выборка 1'!AL224+'Выборка 1'!AG224)/1000</f>
        <v>0</v>
      </c>
      <c r="C224" s="17">
        <v>16</v>
      </c>
      <c r="D224" s="17">
        <f>(('Выборка 1'!E224-'Выборка 1'!D224)+('Выборка 1'!F224-'Выборка 1'!E224)+('Выборка 1'!G224-'Выборка 1'!F224)+('Выборка 1'!H224-'Выборка 1'!G224))/4000</f>
        <v>0</v>
      </c>
      <c r="E224" s="44">
        <f>(('Выборка 1'!J224-'Выборка 1'!I224)+('Выборка 1'!K224-'Выборка 1'!J224)+('Выборка 1'!L224-'Выборка 1'!K224)+('Выборка 1'!M224-'Выборка 1'!L224))/4000</f>
        <v>0</v>
      </c>
      <c r="F224" s="17">
        <f>(('Выборка 1'!O224-'Выборка 1'!N224)+('Выборка 1'!P224-'Выборка 1'!O224)+('Выборка 1'!Q224-'Выборка 1'!P224)+('Выборка 1'!R224-'Выборка 1'!Q224))/4000</f>
        <v>0</v>
      </c>
      <c r="G224" s="44">
        <f>(('Выборка 1'!T224-'Выборка 1'!S224)+('Выборка 1'!U224-'Выборка 1'!T224)+('Выборка 1'!V224-'Выборка 1'!U224)+('Выборка 1'!W224-'Выборка 1'!V224))/4000</f>
        <v>0</v>
      </c>
      <c r="H224" s="44">
        <f>(('Выборка 1'!Y224-'Выборка 1'!X224)+('Выборка 1'!Z224+'Выборка 1'!Y224)+('Выборка 1'!AA224-'Выборка 1'!Z224)+('Выборка 1'!AB224-'Выборка 1'!AA224))/4000</f>
        <v>0</v>
      </c>
      <c r="I224" s="44">
        <f>(('Выборка 1'!AD224-'Выборка 1'!AC224)+('Выборка 1'!AE224-'Выборка 1'!AD224)+('Выборка 1'!AF224-'Выборка 1'!AE224)+('Выборка 1'!AG224-'Выборка 1'!AF224))/4000</f>
        <v>0</v>
      </c>
      <c r="J224" s="44">
        <f>(('Выборка 1'!AI224-'Выборка 1'!AH224)+('Выборка 1'!AJ224-'Выборка 1'!AI224)+('Выборка 1'!AK224-'Выборка 1'!AJ224)+('Выборка 1'!AL224-'Выборка 1'!AK224))/4000</f>
        <v>0</v>
      </c>
      <c r="K224" s="17">
        <f>(('Выборка 1'!AN224-'Выборка 1'!AM224)+('Выборка 1'!AO224-'Выборка 1'!AN224)+('Выборка 1'!AP224-'Выборка 1'!AO224)+('Выборка 1'!AQ224-'Выборка 1'!AP224))/4000</f>
        <v>0</v>
      </c>
      <c r="L224" s="44">
        <f>((('Выборка 1'!AS224+'Выборка 1'!AX224)-('Выборка 1'!AR224+'Выборка 1'!AW224))+(('Выборка 1'!AT224+'Выборка 1'!AY224)-('Выборка 1'!AS224+'Выборка 1'!AX224))+(('Выборка 1'!AU224+'Выборка 1'!AZ224)-('Выборка 1'!AT224+'Выборка 1'!AY224))+(('Выборка 1'!AV224+'Выборка 1'!BA224)-('Выборка 1'!AU224+'Выборка 1'!AZ224)))/4000</f>
        <v>0</v>
      </c>
      <c r="M224" s="44">
        <f>(('Выборка 1'!BC224-'Выборка 1'!BB224)+('Выборка 1'!BD224-'Выборка 1'!BC224)+('Выборка 1'!BE224-'Выборка 1'!BD224)+('Выборка 1'!BF224-'Выборка 1'!BE224))/4000</f>
        <v>0</v>
      </c>
      <c r="N224" s="44">
        <f t="shared" si="3"/>
        <v>0</v>
      </c>
      <c r="O224" s="17">
        <f>((('Выборка 1'!BH224-'Выборка 1'!BM224)-('Выборка 1'!BG224-'Выборка 1'!BL224))+(('Выборка 1'!BI224-'Выборка 1'!BN224)-('Выборка 1'!BH224-'Выборка 1'!BM224))+(('Выборка 1'!BJ224-'Выборка 1'!BO224)-('Выборка 1'!BI224-'Выборка 1'!BN224))+(('Выборка 1'!BK224-'Выборка 1'!BP224)-('Выборка 1'!BJ224-'Выборка 1'!BO224)))/4000</f>
        <v>0</v>
      </c>
      <c r="P224" s="17">
        <f>(('Выборка 1'!BR224-'Выборка 1'!BQ224)+('Выборка 1'!BS224-'Выборка 1'!BR224)+('Выборка 1'!BT224-'Выборка 1'!BS224)+('Выборка 1'!BU224-'Выборка 1'!BT224))/4000</f>
        <v>0</v>
      </c>
    </row>
    <row r="225" spans="2:16" x14ac:dyDescent="0.25">
      <c r="B225" s="42">
        <f>('Выборка 1'!AL225+'Выборка 1'!AG225)/1000</f>
        <v>0</v>
      </c>
      <c r="C225" s="17">
        <v>32</v>
      </c>
      <c r="D225" s="17">
        <f>(('Выборка 1'!E225-'Выборка 1'!D225)+('Выборка 1'!F225-'Выборка 1'!E225)+('Выборка 1'!G225-'Выборка 1'!F225)+('Выборка 1'!H225-'Выборка 1'!G225))/4000</f>
        <v>-49582.5</v>
      </c>
      <c r="E225" s="44">
        <f>(('Выборка 1'!J225-'Выборка 1'!I225)+('Выборка 1'!K225-'Выборка 1'!J225)+('Выборка 1'!L225-'Выборка 1'!K225)+('Выборка 1'!M225-'Выборка 1'!L225))/4000</f>
        <v>-847140.5</v>
      </c>
      <c r="F225" s="17">
        <f>(('Выборка 1'!O225-'Выборка 1'!N225)+('Выборка 1'!P225-'Выборка 1'!O225)+('Выборка 1'!Q225-'Выборка 1'!P225)+('Выборка 1'!R225-'Выборка 1'!Q225))/4000</f>
        <v>-3714470.5</v>
      </c>
      <c r="G225" s="44">
        <f>(('Выборка 1'!T225-'Выборка 1'!S225)+('Выборка 1'!U225-'Выборка 1'!T225)+('Выборка 1'!V225-'Выборка 1'!U225)+('Выборка 1'!W225-'Выборка 1'!V225))/4000</f>
        <v>-11056</v>
      </c>
      <c r="H225" s="44">
        <f>(('Выборка 1'!Y225-'Выборка 1'!X225)+('Выборка 1'!Z225+'Выборка 1'!Y225)+('Выборка 1'!AA225-'Выборка 1'!Z225)+('Выборка 1'!AB225-'Выборка 1'!AA225))/4000</f>
        <v>299250.25</v>
      </c>
      <c r="I225" s="44">
        <f>(('Выборка 1'!AD225-'Выборка 1'!AC225)+('Выборка 1'!AE225-'Выборка 1'!AD225)+('Выборка 1'!AF225-'Выборка 1'!AE225)+('Выборка 1'!AG225-'Выборка 1'!AF225))/4000</f>
        <v>-582693.75</v>
      </c>
      <c r="J225" s="44">
        <f>(('Выборка 1'!AI225-'Выборка 1'!AH225)+('Выборка 1'!AJ225-'Выборка 1'!AI225)+('Выборка 1'!AK225-'Выборка 1'!AJ225)+('Выборка 1'!AL225-'Выборка 1'!AK225))/4000</f>
        <v>-3900685.5</v>
      </c>
      <c r="K225" s="17">
        <f>(('Выборка 1'!AN225-'Выборка 1'!AM225)+('Выборка 1'!AO225-'Выборка 1'!AN225)+('Выборка 1'!AP225-'Выборка 1'!AO225)+('Выборка 1'!AQ225-'Выборка 1'!AP225))/4000</f>
        <v>-1381926.5</v>
      </c>
      <c r="L225" s="44">
        <f>((('Выборка 1'!AS225+'Выборка 1'!AX225)-('Выборка 1'!AR225+'Выборка 1'!AW225))+(('Выборка 1'!AT225+'Выборка 1'!AY225)-('Выборка 1'!AS225+'Выборка 1'!AX225))+(('Выборка 1'!AU225+'Выборка 1'!AZ225)-('Выборка 1'!AT225+'Выборка 1'!AY225))+(('Выборка 1'!AV225+'Выборка 1'!BA225)-('Выборка 1'!AU225+'Выборка 1'!AZ225)))/4000</f>
        <v>-1306429.75</v>
      </c>
      <c r="M225" s="44">
        <f>(('Выборка 1'!BC225-'Выборка 1'!BB225)+('Выборка 1'!BD225-'Выборка 1'!BC225)+('Выборка 1'!BE225-'Выборка 1'!BD225)+('Выборка 1'!BF225-'Выборка 1'!BE225))/4000</f>
        <v>0</v>
      </c>
      <c r="N225" s="44">
        <f t="shared" si="3"/>
        <v>-75496.75</v>
      </c>
      <c r="O225" s="17">
        <f>((('Выборка 1'!BH225-'Выборка 1'!BM225)-('Выборка 1'!BG225-'Выборка 1'!BL225))+(('Выборка 1'!BI225-'Выборка 1'!BN225)-('Выборка 1'!BH225-'Выборка 1'!BM225))+(('Выборка 1'!BJ225-'Выборка 1'!BO225)-('Выборка 1'!BI225-'Выборка 1'!BN225))+(('Выборка 1'!BK225-'Выборка 1'!BP225)-('Выборка 1'!BJ225-'Выборка 1'!BO225)))/4000</f>
        <v>18771.25</v>
      </c>
      <c r="P225" s="17">
        <f>(('Выборка 1'!BR225-'Выборка 1'!BQ225)+('Выборка 1'!BS225-'Выборка 1'!BR225)+('Выборка 1'!BT225-'Выборка 1'!BS225)+('Выборка 1'!BU225-'Выборка 1'!BT225))/4000</f>
        <v>-6783.25</v>
      </c>
    </row>
    <row r="226" spans="2:16" x14ac:dyDescent="0.25">
      <c r="B226" s="42">
        <f>('Выборка 1'!AL226+'Выборка 1'!AG226)/1000</f>
        <v>1891841</v>
      </c>
      <c r="C226" s="17">
        <v>19</v>
      </c>
      <c r="D226" s="17">
        <f>(('Выборка 1'!E226-'Выборка 1'!D226)+('Выборка 1'!F226-'Выборка 1'!E226)+('Выборка 1'!G226-'Выборка 1'!F226)+('Выборка 1'!H226-'Выборка 1'!G226))/4000</f>
        <v>-14276.5</v>
      </c>
      <c r="E226" s="44">
        <f>(('Выборка 1'!J226-'Выборка 1'!I226)+('Выборка 1'!K226-'Выборка 1'!J226)+('Выборка 1'!L226-'Выборка 1'!K226)+('Выборка 1'!M226-'Выборка 1'!L226))/4000</f>
        <v>0</v>
      </c>
      <c r="F226" s="17">
        <f>(('Выборка 1'!O226-'Выборка 1'!N226)+('Выборка 1'!P226-'Выборка 1'!O226)+('Выборка 1'!Q226-'Выборка 1'!P226)+('Выборка 1'!R226-'Выборка 1'!Q226))/4000</f>
        <v>-415</v>
      </c>
      <c r="G226" s="44">
        <f>(('Выборка 1'!T226-'Выборка 1'!S226)+('Выборка 1'!U226-'Выборка 1'!T226)+('Выборка 1'!V226-'Выборка 1'!U226)+('Выборка 1'!W226-'Выборка 1'!V226))/4000</f>
        <v>1974</v>
      </c>
      <c r="H226" s="44">
        <f>(('Выборка 1'!Y226-'Выборка 1'!X226)+('Выборка 1'!Z226+'Выборка 1'!Y226)+('Выборка 1'!AA226-'Выборка 1'!Z226)+('Выборка 1'!AB226-'Выборка 1'!AA226))/4000</f>
        <v>-372439</v>
      </c>
      <c r="I226" s="44">
        <f>(('Выборка 1'!AD226-'Выборка 1'!AC226)+('Выборка 1'!AE226-'Выборка 1'!AD226)+('Выборка 1'!AF226-'Выборка 1'!AE226)+('Выборка 1'!AG226-'Выборка 1'!AF226))/4000</f>
        <v>-92</v>
      </c>
      <c r="J226" s="44">
        <f>(('Выборка 1'!AI226-'Выборка 1'!AH226)+('Выборка 1'!AJ226-'Выборка 1'!AI226)+('Выборка 1'!AK226-'Выборка 1'!AJ226)+('Выборка 1'!AL226-'Выборка 1'!AK226))/4000</f>
        <v>-1506</v>
      </c>
      <c r="K226" s="17">
        <f>(('Выборка 1'!AN226-'Выборка 1'!AM226)+('Выборка 1'!AO226-'Выборка 1'!AN226)+('Выборка 1'!AP226-'Выборка 1'!AO226)+('Выборка 1'!AQ226-'Выборка 1'!AP226))/4000</f>
        <v>0</v>
      </c>
      <c r="L226" s="44">
        <f>((('Выборка 1'!AS226+'Выборка 1'!AX226)-('Выборка 1'!AR226+'Выборка 1'!AW226))+(('Выборка 1'!AT226+'Выборка 1'!AY226)-('Выборка 1'!AS226+'Выборка 1'!AX226))+(('Выборка 1'!AU226+'Выборка 1'!AZ226)-('Выборка 1'!AT226+'Выборка 1'!AY226))+(('Выборка 1'!AV226+'Выборка 1'!BA226)-('Выборка 1'!AU226+'Выборка 1'!AZ226)))/4000</f>
        <v>364</v>
      </c>
      <c r="M226" s="44">
        <f>(('Выборка 1'!BC226-'Выборка 1'!BB226)+('Выборка 1'!BD226-'Выборка 1'!BC226)+('Выборка 1'!BE226-'Выборка 1'!BD226)+('Выборка 1'!BF226-'Выборка 1'!BE226))/4000</f>
        <v>-1162.75</v>
      </c>
      <c r="N226" s="44">
        <f t="shared" si="3"/>
        <v>798.75</v>
      </c>
      <c r="O226" s="17">
        <f>((('Выборка 1'!BH226-'Выборка 1'!BM226)-('Выборка 1'!BG226-'Выборка 1'!BL226))+(('Выборка 1'!BI226-'Выборка 1'!BN226)-('Выборка 1'!BH226-'Выборка 1'!BM226))+(('Выборка 1'!BJ226-'Выборка 1'!BO226)-('Выборка 1'!BI226-'Выборка 1'!BN226))+(('Выборка 1'!BK226-'Выборка 1'!BP226)-('Выборка 1'!BJ226-'Выборка 1'!BO226)))/4000</f>
        <v>385609.75</v>
      </c>
      <c r="P226" s="17">
        <f>(('Выборка 1'!BR226-'Выборка 1'!BQ226)+('Выборка 1'!BS226-'Выборка 1'!BR226)+('Выборка 1'!BT226-'Выборка 1'!BS226)+('Выборка 1'!BU226-'Выборка 1'!BT226))/4000</f>
        <v>386408.5</v>
      </c>
    </row>
    <row r="227" spans="2:16" x14ac:dyDescent="0.25">
      <c r="B227" s="42">
        <f>('Выборка 1'!AL227+'Выборка 1'!AG227)/1000</f>
        <v>304914</v>
      </c>
      <c r="C227" s="17">
        <v>13</v>
      </c>
      <c r="D227" s="17">
        <f>(('Выборка 1'!E227-'Выборка 1'!D227)+('Выборка 1'!F227-'Выборка 1'!E227)+('Выборка 1'!G227-'Выборка 1'!F227)+('Выборка 1'!H227-'Выборка 1'!G227))/4000</f>
        <v>18131</v>
      </c>
      <c r="E227" s="44">
        <f>(('Выборка 1'!J227-'Выборка 1'!I227)+('Выборка 1'!K227-'Выборка 1'!J227)+('Выборка 1'!L227-'Выборка 1'!K227)+('Выборка 1'!M227-'Выборка 1'!L227))/4000</f>
        <v>0</v>
      </c>
      <c r="F227" s="17">
        <f>(('Выборка 1'!O227-'Выборка 1'!N227)+('Выборка 1'!P227-'Выборка 1'!O227)+('Выборка 1'!Q227-'Выборка 1'!P227)+('Выборка 1'!R227-'Выборка 1'!Q227))/4000</f>
        <v>-2503.25</v>
      </c>
      <c r="G227" s="44">
        <f>(('Выборка 1'!T227-'Выборка 1'!S227)+('Выборка 1'!U227-'Выборка 1'!T227)+('Выборка 1'!V227-'Выборка 1'!U227)+('Выборка 1'!W227-'Выборка 1'!V227))/4000</f>
        <v>102</v>
      </c>
      <c r="H227" s="44">
        <f>(('Выборка 1'!Y227-'Выборка 1'!X227)+('Выборка 1'!Z227+'Выборка 1'!Y227)+('Выборка 1'!AA227-'Выборка 1'!Z227)+('Выборка 1'!AB227-'Выборка 1'!AA227))/4000</f>
        <v>-101007</v>
      </c>
      <c r="I227" s="44">
        <f>(('Выборка 1'!AD227-'Выборка 1'!AC227)+('Выборка 1'!AE227-'Выборка 1'!AD227)+('Выборка 1'!AF227-'Выборка 1'!AE227)+('Выборка 1'!AG227-'Выборка 1'!AF227))/4000</f>
        <v>-1652</v>
      </c>
      <c r="J227" s="44">
        <f>(('Выборка 1'!AI227-'Выборка 1'!AH227)+('Выборка 1'!AJ227-'Выборка 1'!AI227)+('Выборка 1'!AK227-'Выборка 1'!AJ227)+('Выборка 1'!AL227-'Выборка 1'!AK227))/4000</f>
        <v>-395.5</v>
      </c>
      <c r="K227" s="17">
        <f>(('Выборка 1'!AN227-'Выборка 1'!AM227)+('Выборка 1'!AO227-'Выборка 1'!AN227)+('Выборка 1'!AP227-'Выборка 1'!AO227)+('Выборка 1'!AQ227-'Выборка 1'!AP227))/4000</f>
        <v>0</v>
      </c>
      <c r="L227" s="44">
        <f>((('Выборка 1'!AS227+'Выборка 1'!AX227)-('Выборка 1'!AR227+'Выборка 1'!AW227))+(('Выборка 1'!AT227+'Выборка 1'!AY227)-('Выборка 1'!AS227+'Выборка 1'!AX227))+(('Выборка 1'!AU227+'Выборка 1'!AZ227)-('Выборка 1'!AT227+'Выборка 1'!AY227))+(('Выборка 1'!AV227+'Выборка 1'!BA227)-('Выборка 1'!AU227+'Выборка 1'!AZ227)))/4000</f>
        <v>0</v>
      </c>
      <c r="M227" s="44">
        <f>(('Выборка 1'!BC227-'Выборка 1'!BB227)+('Выборка 1'!BD227-'Выборка 1'!BC227)+('Выборка 1'!BE227-'Выборка 1'!BD227)+('Выборка 1'!BF227-'Выборка 1'!BE227))/4000</f>
        <v>-791.75</v>
      </c>
      <c r="N227" s="44">
        <f t="shared" si="3"/>
        <v>791.75</v>
      </c>
      <c r="O227" s="17">
        <f>((('Выборка 1'!BH227-'Выборка 1'!BM227)-('Выборка 1'!BG227-'Выборка 1'!BL227))+(('Выборка 1'!BI227-'Выборка 1'!BN227)-('Выборка 1'!BH227-'Выборка 1'!BM227))+(('Выборка 1'!BJ227-'Выборка 1'!BO227)-('Выборка 1'!BI227-'Выборка 1'!BN227))+(('Выборка 1'!BK227-'Выборка 1'!BP227)-('Выборка 1'!BJ227-'Выборка 1'!BO227)))/4000</f>
        <v>18472.5</v>
      </c>
      <c r="P227" s="17">
        <f>(('Выборка 1'!BR227-'Выборка 1'!BQ227)+('Выборка 1'!BS227-'Выборка 1'!BR227)+('Выборка 1'!BT227-'Выборка 1'!BS227)+('Выборка 1'!BU227-'Выборка 1'!BT227))/4000</f>
        <v>19183.75</v>
      </c>
    </row>
    <row r="228" spans="2:16" x14ac:dyDescent="0.25">
      <c r="B228" s="42">
        <f>('Выборка 1'!AL228+'Выборка 1'!AG228)/1000</f>
        <v>1870</v>
      </c>
      <c r="C228" s="17">
        <v>23</v>
      </c>
      <c r="D228" s="17">
        <f>(('Выборка 1'!E228-'Выборка 1'!D228)+('Выборка 1'!F228-'Выборка 1'!E228)+('Выборка 1'!G228-'Выборка 1'!F228)+('Выборка 1'!H228-'Выборка 1'!G228))/4000</f>
        <v>-19.5</v>
      </c>
      <c r="E228" s="44">
        <f>(('Выборка 1'!J228-'Выборка 1'!I228)+('Выборка 1'!K228-'Выборка 1'!J228)+('Выборка 1'!L228-'Выборка 1'!K228)+('Выборка 1'!M228-'Выборка 1'!L228))/4000</f>
        <v>14.25</v>
      </c>
      <c r="F228" s="17">
        <f>(('Выборка 1'!O228-'Выборка 1'!N228)+('Выборка 1'!P228-'Выборка 1'!O228)+('Выборка 1'!Q228-'Выборка 1'!P228)+('Выборка 1'!R228-'Выборка 1'!Q228))/4000</f>
        <v>3144</v>
      </c>
      <c r="G228" s="44">
        <f>(('Выборка 1'!T228-'Выборка 1'!S228)+('Выборка 1'!U228-'Выборка 1'!T228)+('Выборка 1'!V228-'Выборка 1'!U228)+('Выборка 1'!W228-'Выборка 1'!V228))/4000</f>
        <v>112.25</v>
      </c>
      <c r="H228" s="44">
        <f>(('Выборка 1'!Y228-'Выборка 1'!X228)+('Выборка 1'!Z228+'Выборка 1'!Y228)+('Выборка 1'!AA228-'Выборка 1'!Z228)+('Выборка 1'!AB228-'Выборка 1'!AA228))/4000</f>
        <v>0</v>
      </c>
      <c r="I228" s="44">
        <f>(('Выборка 1'!AD228-'Выборка 1'!AC228)+('Выборка 1'!AE228-'Выборка 1'!AD228)+('Выборка 1'!AF228-'Выборка 1'!AE228)+('Выборка 1'!AG228-'Выборка 1'!AF228))/4000</f>
        <v>0</v>
      </c>
      <c r="J228" s="44">
        <f>(('Выборка 1'!AI228-'Выборка 1'!AH228)+('Выборка 1'!AJ228-'Выборка 1'!AI228)+('Выборка 1'!AK228-'Выборка 1'!AJ228)+('Выборка 1'!AL228-'Выборка 1'!AK228))/4000</f>
        <v>416.5</v>
      </c>
      <c r="K228" s="17">
        <f>(('Выборка 1'!AN228-'Выборка 1'!AM228)+('Выборка 1'!AO228-'Выборка 1'!AN228)+('Выборка 1'!AP228-'Выборка 1'!AO228)+('Выборка 1'!AQ228-'Выборка 1'!AP228))/4000</f>
        <v>-1270.5</v>
      </c>
      <c r="L228" s="44">
        <f>((('Выборка 1'!AS228+'Выборка 1'!AX228)-('Выборка 1'!AR228+'Выборка 1'!AW228))+(('Выборка 1'!AT228+'Выборка 1'!AY228)-('Выборка 1'!AS228+'Выборка 1'!AX228))+(('Выборка 1'!AU228+'Выборка 1'!AZ228)-('Выборка 1'!AT228+'Выборка 1'!AY228))+(('Выборка 1'!AV228+'Выборка 1'!BA228)-('Выборка 1'!AU228+'Выборка 1'!AZ228)))/4000</f>
        <v>-736</v>
      </c>
      <c r="M228" s="44">
        <f>(('Выборка 1'!BC228-'Выборка 1'!BB228)+('Выборка 1'!BD228-'Выборка 1'!BC228)+('Выборка 1'!BE228-'Выборка 1'!BD228)+('Выборка 1'!BF228-'Выборка 1'!BE228))/4000</f>
        <v>0</v>
      </c>
      <c r="N228" s="44">
        <f t="shared" si="3"/>
        <v>-534.5</v>
      </c>
      <c r="O228" s="17">
        <f>((('Выборка 1'!BH228-'Выборка 1'!BM228)-('Выборка 1'!BG228-'Выборка 1'!BL228))+(('Выборка 1'!BI228-'Выборка 1'!BN228)-('Выборка 1'!BH228-'Выборка 1'!BM228))+(('Выборка 1'!BJ228-'Выборка 1'!BO228)-('Выборка 1'!BI228-'Выборка 1'!BN228))+(('Выборка 1'!BK228-'Выборка 1'!BP228)-('Выборка 1'!BJ228-'Выборка 1'!BO228)))/4000</f>
        <v>10.25</v>
      </c>
      <c r="P228" s="17">
        <f>(('Выборка 1'!BR228-'Выборка 1'!BQ228)+('Выборка 1'!BS228-'Выборка 1'!BR228)+('Выборка 1'!BT228-'Выборка 1'!BS228)+('Выборка 1'!BU228-'Выборка 1'!BT228))/4000</f>
        <v>-6170.75</v>
      </c>
    </row>
    <row r="229" spans="2:16" x14ac:dyDescent="0.25">
      <c r="B229" s="42">
        <f>('Выборка 1'!AL229+'Выборка 1'!AG229)/1000</f>
        <v>179183</v>
      </c>
      <c r="C229" s="17">
        <v>29</v>
      </c>
      <c r="D229" s="17">
        <f>(('Выборка 1'!E229-'Выборка 1'!D229)+('Выборка 1'!F229-'Выборка 1'!E229)+('Выборка 1'!G229-'Выборка 1'!F229)+('Выборка 1'!H229-'Выборка 1'!G229))/4000</f>
        <v>-5568</v>
      </c>
      <c r="E229" s="44">
        <f>(('Выборка 1'!J229-'Выборка 1'!I229)+('Выборка 1'!K229-'Выборка 1'!J229)+('Выборка 1'!L229-'Выборка 1'!K229)+('Выборка 1'!M229-'Выборка 1'!L229))/4000</f>
        <v>-104448.5</v>
      </c>
      <c r="F229" s="17">
        <f>(('Выборка 1'!O229-'Выборка 1'!N229)+('Выборка 1'!P229-'Выборка 1'!O229)+('Выборка 1'!Q229-'Выборка 1'!P229)+('Выборка 1'!R229-'Выборка 1'!Q229))/4000</f>
        <v>-13989.5</v>
      </c>
      <c r="G229" s="44">
        <f>(('Выборка 1'!T229-'Выборка 1'!S229)+('Выборка 1'!U229-'Выборка 1'!T229)+('Выборка 1'!V229-'Выборка 1'!U229)+('Выборка 1'!W229-'Выборка 1'!V229))/4000</f>
        <v>-2284</v>
      </c>
      <c r="H229" s="44">
        <f>(('Выборка 1'!Y229-'Выборка 1'!X229)+('Выборка 1'!Z229+'Выборка 1'!Y229)+('Выборка 1'!AA229-'Выборка 1'!Z229)+('Выборка 1'!AB229-'Выборка 1'!AA229))/4000</f>
        <v>-58714.25</v>
      </c>
      <c r="I229" s="44">
        <f>(('Выборка 1'!AD229-'Выборка 1'!AC229)+('Выборка 1'!AE229-'Выборка 1'!AD229)+('Выборка 1'!AF229-'Выборка 1'!AE229)+('Выборка 1'!AG229-'Выборка 1'!AF229))/4000</f>
        <v>-797</v>
      </c>
      <c r="J229" s="44">
        <f>(('Выборка 1'!AI229-'Выборка 1'!AH229)+('Выборка 1'!AJ229-'Выборка 1'!AI229)+('Выборка 1'!AK229-'Выборка 1'!AJ229)+('Выборка 1'!AL229-'Выборка 1'!AK229))/4000</f>
        <v>-141195.5</v>
      </c>
      <c r="K229" s="17">
        <f>(('Выборка 1'!AN229-'Выборка 1'!AM229)+('Выборка 1'!AO229-'Выборка 1'!AN229)+('Выборка 1'!AP229-'Выборка 1'!AO229)+('Выборка 1'!AQ229-'Выборка 1'!AP229))/4000</f>
        <v>-124.5</v>
      </c>
      <c r="L229" s="44">
        <f>((('Выборка 1'!AS229+'Выборка 1'!AX229)-('Выборка 1'!AR229+'Выборка 1'!AW229))+(('Выборка 1'!AT229+'Выборка 1'!AY229)-('Выборка 1'!AS229+'Выборка 1'!AX229))+(('Выборка 1'!AU229+'Выборка 1'!AZ229)-('Выборка 1'!AT229+'Выборка 1'!AY229))+(('Выборка 1'!AV229+'Выборка 1'!BA229)-('Выборка 1'!AU229+'Выборка 1'!AZ229)))/4000</f>
        <v>-522.75</v>
      </c>
      <c r="M229" s="44">
        <f>(('Выборка 1'!BC229-'Выборка 1'!BB229)+('Выборка 1'!BD229-'Выборка 1'!BC229)+('Выборка 1'!BE229-'Выборка 1'!BD229)+('Выборка 1'!BF229-'Выборка 1'!BE229))/4000</f>
        <v>-598.75</v>
      </c>
      <c r="N229" s="44">
        <f t="shared" si="3"/>
        <v>997</v>
      </c>
      <c r="O229" s="17">
        <f>((('Выборка 1'!BH229-'Выборка 1'!BM229)-('Выборка 1'!BG229-'Выборка 1'!BL229))+(('Выборка 1'!BI229-'Выборка 1'!BN229)-('Выборка 1'!BH229-'Выборка 1'!BM229))+(('Выборка 1'!BJ229-'Выборка 1'!BO229)-('Выборка 1'!BI229-'Выборка 1'!BN229))+(('Выборка 1'!BK229-'Выборка 1'!BP229)-('Выборка 1'!BJ229-'Выборка 1'!BO229)))/4000</f>
        <v>-2561</v>
      </c>
      <c r="P229" s="17">
        <f>(('Выборка 1'!BR229-'Выборка 1'!BQ229)+('Выборка 1'!BS229-'Выборка 1'!BR229)+('Выборка 1'!BT229-'Выборка 1'!BS229)+('Выборка 1'!BU229-'Выборка 1'!BT229))/4000</f>
        <v>-1122.5</v>
      </c>
    </row>
    <row r="230" spans="2:16" x14ac:dyDescent="0.25">
      <c r="B230" s="42">
        <f>('Выборка 1'!AL230+'Выборка 1'!AG230)/1000</f>
        <v>1543922</v>
      </c>
      <c r="C230" s="17">
        <v>20</v>
      </c>
      <c r="D230" s="17">
        <f>(('Выборка 1'!E230-'Выборка 1'!D230)+('Выборка 1'!F230-'Выборка 1'!E230)+('Выборка 1'!G230-'Выборка 1'!F230)+('Выборка 1'!H230-'Выборка 1'!G230))/4000</f>
        <v>0</v>
      </c>
      <c r="E230" s="44">
        <f>(('Выборка 1'!J230-'Выборка 1'!I230)+('Выборка 1'!K230-'Выборка 1'!J230)+('Выборка 1'!L230-'Выборка 1'!K230)+('Выборка 1'!M230-'Выборка 1'!L230))/4000</f>
        <v>0</v>
      </c>
      <c r="F230" s="17">
        <f>(('Выборка 1'!O230-'Выборка 1'!N230)+('Выборка 1'!P230-'Выборка 1'!O230)+('Выборка 1'!Q230-'Выборка 1'!P230)+('Выборка 1'!R230-'Выборка 1'!Q230))/4000</f>
        <v>131945.5</v>
      </c>
      <c r="G230" s="44">
        <f>(('Выборка 1'!T230-'Выборка 1'!S230)+('Выборка 1'!U230-'Выборка 1'!T230)+('Выборка 1'!V230-'Выборка 1'!U230)+('Выборка 1'!W230-'Выборка 1'!V230))/4000</f>
        <v>-2839.5</v>
      </c>
      <c r="H230" s="44">
        <f>(('Выборка 1'!Y230-'Выборка 1'!X230)+('Выборка 1'!Z230+'Выборка 1'!Y230)+('Выборка 1'!AA230-'Выборка 1'!Z230)+('Выборка 1'!AB230-'Выборка 1'!AA230))/4000</f>
        <v>-402448.5</v>
      </c>
      <c r="I230" s="44">
        <f>(('Выборка 1'!AD230-'Выборка 1'!AC230)+('Выборка 1'!AE230-'Выборка 1'!AD230)+('Выборка 1'!AF230-'Выборка 1'!AE230)+('Выборка 1'!AG230-'Выборка 1'!AF230))/4000</f>
        <v>51485</v>
      </c>
      <c r="J230" s="44">
        <f>(('Выборка 1'!AI230-'Выборка 1'!AH230)+('Выборка 1'!AJ230-'Выборка 1'!AI230)+('Выборка 1'!AK230-'Выборка 1'!AJ230)+('Выборка 1'!AL230-'Выборка 1'!AK230))/4000</f>
        <v>186826.5</v>
      </c>
      <c r="K230" s="17">
        <f>(('Выборка 1'!AN230-'Выборка 1'!AM230)+('Выборка 1'!AO230-'Выборка 1'!AN230)+('Выборка 1'!AP230-'Выборка 1'!AO230)+('Выборка 1'!AQ230-'Выборка 1'!AP230))/4000</f>
        <v>-526.75</v>
      </c>
      <c r="L230" s="44">
        <f>((('Выборка 1'!AS230+'Выборка 1'!AX230)-('Выборка 1'!AR230+'Выборка 1'!AW230))+(('Выборка 1'!AT230+'Выборка 1'!AY230)-('Выборка 1'!AS230+'Выборка 1'!AX230))+(('Выборка 1'!AU230+'Выборка 1'!AZ230)-('Выборка 1'!AT230+'Выборка 1'!AY230))+(('Выборка 1'!AV230+'Выборка 1'!BA230)-('Выборка 1'!AU230+'Выборка 1'!AZ230)))/4000</f>
        <v>-4123.25</v>
      </c>
      <c r="M230" s="44">
        <f>(('Выборка 1'!BC230-'Выборка 1'!BB230)+('Выборка 1'!BD230-'Выборка 1'!BC230)+('Выборка 1'!BE230-'Выборка 1'!BD230)+('Выборка 1'!BF230-'Выборка 1'!BE230))/4000</f>
        <v>160</v>
      </c>
      <c r="N230" s="44">
        <f t="shared" si="3"/>
        <v>3436.5</v>
      </c>
      <c r="O230" s="17">
        <f>((('Выборка 1'!BH230-'Выборка 1'!BM230)-('Выборка 1'!BG230-'Выборка 1'!BL230))+(('Выборка 1'!BI230-'Выборка 1'!BN230)-('Выборка 1'!BH230-'Выборка 1'!BM230))+(('Выборка 1'!BJ230-'Выборка 1'!BO230)-('Выборка 1'!BI230-'Выборка 1'!BN230))+(('Выборка 1'!BK230-'Выборка 1'!BP230)-('Выборка 1'!BJ230-'Выборка 1'!BO230)))/4000</f>
        <v>619119</v>
      </c>
      <c r="P230" s="17">
        <f>(('Выборка 1'!BR230-'Выборка 1'!BQ230)+('Выборка 1'!BS230-'Выборка 1'!BR230)+('Выборка 1'!BT230-'Выборка 1'!BS230)+('Выборка 1'!BU230-'Выборка 1'!BT230))/4000</f>
        <v>619951.5</v>
      </c>
    </row>
    <row r="231" spans="2:16" x14ac:dyDescent="0.25">
      <c r="B231" s="42">
        <f>('Выборка 1'!AL231+'Выборка 1'!AG231)/1000</f>
        <v>46659</v>
      </c>
      <c r="C231" s="17">
        <v>19</v>
      </c>
      <c r="D231" s="17">
        <f>(('Выборка 1'!E231-'Выборка 1'!D231)+('Выборка 1'!F231-'Выборка 1'!E231)+('Выборка 1'!G231-'Выборка 1'!F231)+('Выборка 1'!H231-'Выборка 1'!G231))/4000</f>
        <v>-8574.25</v>
      </c>
      <c r="E231" s="44">
        <f>(('Выборка 1'!J231-'Выборка 1'!I231)+('Выборка 1'!K231-'Выборка 1'!J231)+('Выборка 1'!L231-'Выборка 1'!K231)+('Выборка 1'!M231-'Выборка 1'!L231))/4000</f>
        <v>-11336.25</v>
      </c>
      <c r="F231" s="17">
        <f>(('Выборка 1'!O231-'Выборка 1'!N231)+('Выборка 1'!P231-'Выборка 1'!O231)+('Выборка 1'!Q231-'Выборка 1'!P231)+('Выборка 1'!R231-'Выборка 1'!Q231))/4000</f>
        <v>-1450</v>
      </c>
      <c r="G231" s="44">
        <f>(('Выборка 1'!T231-'Выборка 1'!S231)+('Выборка 1'!U231-'Выборка 1'!T231)+('Выборка 1'!V231-'Выборка 1'!U231)+('Выборка 1'!W231-'Выборка 1'!V231))/4000</f>
        <v>-167.25</v>
      </c>
      <c r="H231" s="44">
        <f>(('Выборка 1'!Y231-'Выборка 1'!X231)+('Выборка 1'!Z231+'Выборка 1'!Y231)+('Выборка 1'!AA231-'Выборка 1'!Z231)+('Выборка 1'!AB231-'Выборка 1'!AA231))/4000</f>
        <v>-29589.25</v>
      </c>
      <c r="I231" s="44">
        <f>(('Выборка 1'!AD231-'Выборка 1'!AC231)+('Выборка 1'!AE231-'Выборка 1'!AD231)+('Выборка 1'!AF231-'Выборка 1'!AE231)+('Выборка 1'!AG231-'Выборка 1'!AF231))/4000</f>
        <v>0</v>
      </c>
      <c r="J231" s="44">
        <f>(('Выборка 1'!AI231-'Выборка 1'!AH231)+('Выборка 1'!AJ231-'Выборка 1'!AI231)+('Выборка 1'!AK231-'Выборка 1'!AJ231)+('Выборка 1'!AL231-'Выборка 1'!AK231))/4000</f>
        <v>-15868</v>
      </c>
      <c r="K231" s="17">
        <f>(('Выборка 1'!AN231-'Выборка 1'!AM231)+('Выборка 1'!AO231-'Выборка 1'!AN231)+('Выборка 1'!AP231-'Выборка 1'!AO231)+('Выборка 1'!AQ231-'Выборка 1'!AP231))/4000</f>
        <v>-42215.25</v>
      </c>
      <c r="L231" s="44">
        <f>((('Выборка 1'!AS231+'Выборка 1'!AX231)-('Выборка 1'!AR231+'Выборка 1'!AW231))+(('Выборка 1'!AT231+'Выборка 1'!AY231)-('Выборка 1'!AS231+'Выборка 1'!AX231))+(('Выборка 1'!AU231+'Выборка 1'!AZ231)-('Выборка 1'!AT231+'Выборка 1'!AY231))+(('Выборка 1'!AV231+'Выборка 1'!BA231)-('Выборка 1'!AU231+'Выборка 1'!AZ231)))/4000</f>
        <v>-37110.25</v>
      </c>
      <c r="M231" s="44">
        <f>(('Выборка 1'!BC231-'Выборка 1'!BB231)+('Выборка 1'!BD231-'Выборка 1'!BC231)+('Выборка 1'!BE231-'Выборка 1'!BD231)+('Выборка 1'!BF231-'Выборка 1'!BE231))/4000</f>
        <v>-5959</v>
      </c>
      <c r="N231" s="44">
        <f t="shared" si="3"/>
        <v>854</v>
      </c>
      <c r="O231" s="17">
        <f>((('Выборка 1'!BH231-'Выборка 1'!BM231)-('Выборка 1'!BG231-'Выборка 1'!BL231))+(('Выборка 1'!BI231-'Выборка 1'!BN231)-('Выборка 1'!BH231-'Выборка 1'!BM231))+(('Выборка 1'!BJ231-'Выборка 1'!BO231)-('Выборка 1'!BI231-'Выборка 1'!BN231))+(('Выборка 1'!BK231-'Выборка 1'!BP231)-('Выборка 1'!BJ231-'Выборка 1'!BO231)))/4000</f>
        <v>-950.75</v>
      </c>
      <c r="P231" s="17">
        <f>(('Выборка 1'!BR231-'Выборка 1'!BQ231)+('Выборка 1'!BS231-'Выборка 1'!BR231)+('Выборка 1'!BT231-'Выборка 1'!BS231)+('Выборка 1'!BU231-'Выборка 1'!BT231))/4000</f>
        <v>19845</v>
      </c>
    </row>
    <row r="232" spans="2:16" x14ac:dyDescent="0.25">
      <c r="B232" s="42">
        <f>('Выборка 1'!AL232+'Выборка 1'!AG232)/1000</f>
        <v>0</v>
      </c>
      <c r="C232" s="17">
        <v>10</v>
      </c>
      <c r="D232" s="17">
        <f>(('Выборка 1'!E232-'Выборка 1'!D232)+('Выборка 1'!F232-'Выборка 1'!E232)+('Выборка 1'!G232-'Выборка 1'!F232)+('Выборка 1'!H232-'Выборка 1'!G232))/4000</f>
        <v>-12016</v>
      </c>
      <c r="E232" s="44">
        <f>(('Выборка 1'!J232-'Выборка 1'!I232)+('Выборка 1'!K232-'Выборка 1'!J232)+('Выборка 1'!L232-'Выборка 1'!K232)+('Выборка 1'!M232-'Выборка 1'!L232))/4000</f>
        <v>0</v>
      </c>
      <c r="F232" s="17">
        <f>(('Выборка 1'!O232-'Выборка 1'!N232)+('Выборка 1'!P232-'Выборка 1'!O232)+('Выборка 1'!Q232-'Выборка 1'!P232)+('Выборка 1'!R232-'Выборка 1'!Q232))/4000</f>
        <v>-12717</v>
      </c>
      <c r="G232" s="44">
        <f>(('Выборка 1'!T232-'Выборка 1'!S232)+('Выборка 1'!U232-'Выборка 1'!T232)+('Выборка 1'!V232-'Выборка 1'!U232)+('Выборка 1'!W232-'Выборка 1'!V232))/4000</f>
        <v>-1049.75</v>
      </c>
      <c r="H232" s="44">
        <f>(('Выборка 1'!Y232-'Выборка 1'!X232)+('Выборка 1'!Z232+'Выборка 1'!Y232)+('Выборка 1'!AA232-'Выборка 1'!Z232)+('Выборка 1'!AB232-'Выборка 1'!AA232))/4000</f>
        <v>0</v>
      </c>
      <c r="I232" s="44">
        <f>(('Выборка 1'!AD232-'Выборка 1'!AC232)+('Выборка 1'!AE232-'Выборка 1'!AD232)+('Выборка 1'!AF232-'Выборка 1'!AE232)+('Выборка 1'!AG232-'Выборка 1'!AF232))/4000</f>
        <v>0</v>
      </c>
      <c r="J232" s="44">
        <f>(('Выборка 1'!AI232-'Выборка 1'!AH232)+('Выборка 1'!AJ232-'Выборка 1'!AI232)+('Выборка 1'!AK232-'Выборка 1'!AJ232)+('Выборка 1'!AL232-'Выборка 1'!AK232))/4000</f>
        <v>-14252.25</v>
      </c>
      <c r="K232" s="17">
        <f>(('Выборка 1'!AN232-'Выборка 1'!AM232)+('Выборка 1'!AO232-'Выборка 1'!AN232)+('Выборка 1'!AP232-'Выборка 1'!AO232)+('Выборка 1'!AQ232-'Выборка 1'!AP232))/4000</f>
        <v>-23657.25</v>
      </c>
      <c r="L232" s="44">
        <f>((('Выборка 1'!AS232+'Выборка 1'!AX232)-('Выборка 1'!AR232+'Выборка 1'!AW232))+(('Выборка 1'!AT232+'Выборка 1'!AY232)-('Выборка 1'!AS232+'Выборка 1'!AX232))+(('Выборка 1'!AU232+'Выборка 1'!AZ232)-('Выборка 1'!AT232+'Выборка 1'!AY232))+(('Выборка 1'!AV232+'Выборка 1'!BA232)-('Выборка 1'!AU232+'Выборка 1'!AZ232)))/4000</f>
        <v>-15020.5</v>
      </c>
      <c r="M232" s="44">
        <f>(('Выборка 1'!BC232-'Выборка 1'!BB232)+('Выборка 1'!BD232-'Выборка 1'!BC232)+('Выборка 1'!BE232-'Выборка 1'!BD232)+('Выборка 1'!BF232-'Выборка 1'!BE232))/4000</f>
        <v>0</v>
      </c>
      <c r="N232" s="44">
        <f t="shared" si="3"/>
        <v>-8636.75</v>
      </c>
      <c r="O232" s="17">
        <f>((('Выборка 1'!BH232-'Выборка 1'!BM232)-('Выборка 1'!BG232-'Выборка 1'!BL232))+(('Выборка 1'!BI232-'Выборка 1'!BN232)-('Выборка 1'!BH232-'Выборка 1'!BM232))+(('Выборка 1'!BJ232-'Выборка 1'!BO232)-('Выборка 1'!BI232-'Выборка 1'!BN232))+(('Выборка 1'!BK232-'Выборка 1'!BP232)-('Выборка 1'!BJ232-'Выборка 1'!BO232)))/4000</f>
        <v>7452.5</v>
      </c>
      <c r="P232" s="17">
        <f>(('Выборка 1'!BR232-'Выборка 1'!BQ232)+('Выборка 1'!BS232-'Выборка 1'!BR232)+('Выборка 1'!BT232-'Выборка 1'!BS232)+('Выборка 1'!BU232-'Выборка 1'!BT232))/4000</f>
        <v>-947.5</v>
      </c>
    </row>
    <row r="233" spans="2:16" x14ac:dyDescent="0.25">
      <c r="B233" s="42">
        <f>('Выборка 1'!AL233+'Выборка 1'!AG233)/1000</f>
        <v>0</v>
      </c>
      <c r="C233" s="17">
        <v>10</v>
      </c>
      <c r="D233" s="17">
        <f>(('Выборка 1'!E233-'Выборка 1'!D233)+('Выборка 1'!F233-'Выборка 1'!E233)+('Выборка 1'!G233-'Выборка 1'!F233)+('Выборка 1'!H233-'Выборка 1'!G233))/4000</f>
        <v>-683</v>
      </c>
      <c r="E233" s="44">
        <f>(('Выборка 1'!J233-'Выборка 1'!I233)+('Выборка 1'!K233-'Выборка 1'!J233)+('Выборка 1'!L233-'Выборка 1'!K233)+('Выборка 1'!M233-'Выборка 1'!L233))/4000</f>
        <v>-713</v>
      </c>
      <c r="F233" s="17">
        <f>(('Выборка 1'!O233-'Выборка 1'!N233)+('Выборка 1'!P233-'Выборка 1'!O233)+('Выборка 1'!Q233-'Выборка 1'!P233)+('Выборка 1'!R233-'Выборка 1'!Q233))/4000</f>
        <v>-22941.75</v>
      </c>
      <c r="G233" s="44">
        <f>(('Выборка 1'!T233-'Выборка 1'!S233)+('Выборка 1'!U233-'Выборка 1'!T233)+('Выборка 1'!V233-'Выборка 1'!U233)+('Выборка 1'!W233-'Выборка 1'!V233))/4000</f>
        <v>-1197</v>
      </c>
      <c r="H233" s="44">
        <f>(('Выборка 1'!Y233-'Выборка 1'!X233)+('Выборка 1'!Z233+'Выборка 1'!Y233)+('Выборка 1'!AA233-'Выборка 1'!Z233)+('Выборка 1'!AB233-'Выборка 1'!AA233))/4000</f>
        <v>-3046.5</v>
      </c>
      <c r="I233" s="44">
        <f>(('Выборка 1'!AD233-'Выборка 1'!AC233)+('Выборка 1'!AE233-'Выборка 1'!AD233)+('Выборка 1'!AF233-'Выборка 1'!AE233)+('Выборка 1'!AG233-'Выборка 1'!AF233))/4000</f>
        <v>0</v>
      </c>
      <c r="J233" s="44">
        <f>(('Выборка 1'!AI233-'Выборка 1'!AH233)+('Выборка 1'!AJ233-'Выборка 1'!AI233)+('Выборка 1'!AK233-'Выборка 1'!AJ233)+('Выборка 1'!AL233-'Выборка 1'!AK233))/4000</f>
        <v>-20534.25</v>
      </c>
      <c r="K233" s="17">
        <f>(('Выборка 1'!AN233-'Выборка 1'!AM233)+('Выборка 1'!AO233-'Выборка 1'!AN233)+('Выборка 1'!AP233-'Выборка 1'!AO233)+('Выборка 1'!AQ233-'Выборка 1'!AP233))/4000</f>
        <v>-27270.25</v>
      </c>
      <c r="L233" s="44">
        <f>((('Выборка 1'!AS233+'Выборка 1'!AX233)-('Выборка 1'!AR233+'Выборка 1'!AW233))+(('Выборка 1'!AT233+'Выборка 1'!AY233)-('Выборка 1'!AS233+'Выборка 1'!AX233))+(('Выборка 1'!AU233+'Выборка 1'!AZ233)-('Выборка 1'!AT233+'Выборка 1'!AY233))+(('Выборка 1'!AV233+'Выборка 1'!BA233)-('Выборка 1'!AU233+'Выборка 1'!AZ233)))/4000</f>
        <v>-17121.5</v>
      </c>
      <c r="M233" s="44">
        <f>(('Выборка 1'!BC233-'Выборка 1'!BB233)+('Выборка 1'!BD233-'Выборка 1'!BC233)+('Выборка 1'!BE233-'Выборка 1'!BD233)+('Выборка 1'!BF233-'Выборка 1'!BE233))/4000</f>
        <v>-816.5</v>
      </c>
      <c r="N233" s="44">
        <f t="shared" si="3"/>
        <v>-9332.25</v>
      </c>
      <c r="O233" s="17">
        <f>((('Выборка 1'!BH233-'Выборка 1'!BM233)-('Выборка 1'!BG233-'Выборка 1'!BL233))+(('Выборка 1'!BI233-'Выборка 1'!BN233)-('Выборка 1'!BH233-'Выборка 1'!BM233))+(('Выборка 1'!BJ233-'Выборка 1'!BO233)-('Выборка 1'!BI233-'Выборка 1'!BN233))+(('Выборка 1'!BK233-'Выборка 1'!BP233)-('Выборка 1'!BJ233-'Выборка 1'!BO233)))/4000</f>
        <v>6285.75</v>
      </c>
      <c r="P233" s="17">
        <f>(('Выборка 1'!BR233-'Выборка 1'!BQ233)+('Выборка 1'!BS233-'Выборка 1'!BR233)+('Выборка 1'!BT233-'Выборка 1'!BS233)+('Выборка 1'!BU233-'Выборка 1'!BT233))/4000</f>
        <v>-3046.5</v>
      </c>
    </row>
    <row r="234" spans="2:16" x14ac:dyDescent="0.25">
      <c r="B234" s="42">
        <f>('Выборка 1'!AL234+'Выборка 1'!AG234)/1000</f>
        <v>417000</v>
      </c>
      <c r="C234" s="17">
        <v>9</v>
      </c>
      <c r="D234" s="17">
        <f>(('Выборка 1'!E234-'Выборка 1'!D234)+('Выборка 1'!F234-'Выборка 1'!E234)+('Выборка 1'!G234-'Выборка 1'!F234)+('Выборка 1'!H234-'Выборка 1'!G234))/4000</f>
        <v>-13792</v>
      </c>
      <c r="E234" s="44">
        <f>(('Выборка 1'!J234-'Выборка 1'!I234)+('Выборка 1'!K234-'Выборка 1'!J234)+('Выборка 1'!L234-'Выборка 1'!K234)+('Выборка 1'!M234-'Выборка 1'!L234))/4000</f>
        <v>-51264.25</v>
      </c>
      <c r="F234" s="17">
        <f>(('Выборка 1'!O234-'Выборка 1'!N234)+('Выборка 1'!P234-'Выборка 1'!O234)+('Выборка 1'!Q234-'Выборка 1'!P234)+('Выборка 1'!R234-'Выборка 1'!Q234))/4000</f>
        <v>-73235</v>
      </c>
      <c r="G234" s="44">
        <f>(('Выборка 1'!T234-'Выборка 1'!S234)+('Выборка 1'!U234-'Выборка 1'!T234)+('Выборка 1'!V234-'Выборка 1'!U234)+('Выборка 1'!W234-'Выборка 1'!V234))/4000</f>
        <v>2004.75</v>
      </c>
      <c r="H234" s="44">
        <f>(('Выборка 1'!Y234-'Выборка 1'!X234)+('Выборка 1'!Z234+'Выборка 1'!Y234)+('Выборка 1'!AA234-'Выборка 1'!Z234)+('Выборка 1'!AB234-'Выборка 1'!AA234))/4000</f>
        <v>-210107.75</v>
      </c>
      <c r="I234" s="44">
        <f>(('Выборка 1'!AD234-'Выборка 1'!AC234)+('Выборка 1'!AE234-'Выборка 1'!AD234)+('Выборка 1'!AF234-'Выборка 1'!AE234)+('Выборка 1'!AG234-'Выборка 1'!AF234))/4000</f>
        <v>-3583.25</v>
      </c>
      <c r="J234" s="44">
        <f>(('Выборка 1'!AI234-'Выборка 1'!AH234)+('Выборка 1'!AJ234-'Выборка 1'!AI234)+('Выборка 1'!AK234-'Выборка 1'!AJ234)+('Выборка 1'!AL234-'Выборка 1'!AK234))/4000</f>
        <v>-56625.25</v>
      </c>
      <c r="K234" s="17">
        <f>(('Выборка 1'!AN234-'Выборка 1'!AM234)+('Выборка 1'!AO234-'Выборка 1'!AN234)+('Выборка 1'!AP234-'Выборка 1'!AO234)+('Выборка 1'!AQ234-'Выборка 1'!AP234))/4000</f>
        <v>-189422.5</v>
      </c>
      <c r="L234" s="44">
        <f>((('Выборка 1'!AS234+'Выборка 1'!AX234)-('Выборка 1'!AR234+'Выборка 1'!AW234))+(('Выборка 1'!AT234+'Выборка 1'!AY234)-('Выборка 1'!AS234+'Выборка 1'!AX234))+(('Выборка 1'!AU234+'Выборка 1'!AZ234)-('Выборка 1'!AT234+'Выборка 1'!AY234))+(('Выборка 1'!AV234+'Выборка 1'!BA234)-('Выборка 1'!AU234+'Выборка 1'!AZ234)))/4000</f>
        <v>-94764.25</v>
      </c>
      <c r="M234" s="44">
        <f>(('Выборка 1'!BC234-'Выборка 1'!BB234)+('Выборка 1'!BD234-'Выборка 1'!BC234)+('Выборка 1'!BE234-'Выборка 1'!BD234)+('Выборка 1'!BF234-'Выборка 1'!BE234))/4000</f>
        <v>-79989.5</v>
      </c>
      <c r="N234" s="44">
        <f t="shared" si="3"/>
        <v>-14668.75</v>
      </c>
      <c r="O234" s="17">
        <f>((('Выборка 1'!BH234-'Выборка 1'!BM234)-('Выборка 1'!BG234-'Выборка 1'!BL234))+(('Выборка 1'!BI234-'Выборка 1'!BN234)-('Выборка 1'!BH234-'Выборка 1'!BM234))+(('Выборка 1'!BJ234-'Выборка 1'!BO234)-('Выборка 1'!BI234-'Выборка 1'!BN234))+(('Выборка 1'!BK234-'Выборка 1'!BP234)-('Выборка 1'!BJ234-'Выборка 1'!BO234)))/4000</f>
        <v>12138.25</v>
      </c>
      <c r="P234" s="17">
        <f>(('Выборка 1'!BR234-'Выборка 1'!BQ234)+('Выборка 1'!BS234-'Выборка 1'!BR234)+('Выборка 1'!BT234-'Выборка 1'!BS234)+('Выборка 1'!BU234-'Выборка 1'!BT234))/4000</f>
        <v>-1372.5</v>
      </c>
    </row>
    <row r="235" spans="2:16" x14ac:dyDescent="0.25">
      <c r="B235" s="42">
        <f>('Выборка 1'!AL235+'Выборка 1'!AG235)/1000</f>
        <v>0</v>
      </c>
      <c r="C235" s="17">
        <v>9</v>
      </c>
      <c r="D235" s="17">
        <f>(('Выборка 1'!E235-'Выборка 1'!D235)+('Выборка 1'!F235-'Выборка 1'!E235)+('Выборка 1'!G235-'Выборка 1'!F235)+('Выборка 1'!H235-'Выборка 1'!G235))/4000</f>
        <v>-2895.75</v>
      </c>
      <c r="E235" s="44">
        <f>(('Выборка 1'!J235-'Выборка 1'!I235)+('Выборка 1'!K235-'Выборка 1'!J235)+('Выборка 1'!L235-'Выборка 1'!K235)+('Выборка 1'!M235-'Выборка 1'!L235))/4000</f>
        <v>-690.75</v>
      </c>
      <c r="F235" s="17">
        <f>(('Выборка 1'!O235-'Выборка 1'!N235)+('Выборка 1'!P235-'Выборка 1'!O235)+('Выборка 1'!Q235-'Выборка 1'!P235)+('Выборка 1'!R235-'Выборка 1'!Q235))/4000</f>
        <v>-3851.25</v>
      </c>
      <c r="G235" s="44">
        <f>(('Выборка 1'!T235-'Выборка 1'!S235)+('Выборка 1'!U235-'Выборка 1'!T235)+('Выборка 1'!V235-'Выборка 1'!U235)+('Выборка 1'!W235-'Выборка 1'!V235))/4000</f>
        <v>0</v>
      </c>
      <c r="H235" s="44">
        <f>(('Выборка 1'!Y235-'Выборка 1'!X235)+('Выборка 1'!Z235+'Выборка 1'!Y235)+('Выборка 1'!AA235-'Выборка 1'!Z235)+('Выборка 1'!AB235-'Выборка 1'!AA235))/4000</f>
        <v>92.75</v>
      </c>
      <c r="I235" s="44">
        <f>(('Выборка 1'!AD235-'Выборка 1'!AC235)+('Выборка 1'!AE235-'Выборка 1'!AD235)+('Выборка 1'!AF235-'Выборка 1'!AE235)+('Выборка 1'!AG235-'Выборка 1'!AF235))/4000</f>
        <v>-1681.25</v>
      </c>
      <c r="J235" s="44">
        <f>(('Выборка 1'!AI235-'Выборка 1'!AH235)+('Выборка 1'!AJ235-'Выборка 1'!AI235)+('Выборка 1'!AK235-'Выборка 1'!AJ235)+('Выборка 1'!AL235-'Выборка 1'!AK235))/4000</f>
        <v>-4601</v>
      </c>
      <c r="K235" s="17">
        <f>(('Выборка 1'!AN235-'Выборка 1'!AM235)+('Выборка 1'!AO235-'Выборка 1'!AN235)+('Выборка 1'!AP235-'Выборка 1'!AO235)+('Выборка 1'!AQ235-'Выборка 1'!AP235))/4000</f>
        <v>-7607.25</v>
      </c>
      <c r="L235" s="44">
        <f>((('Выборка 1'!AS235+'Выборка 1'!AX235)-('Выборка 1'!AR235+'Выборка 1'!AW235))+(('Выборка 1'!AT235+'Выборка 1'!AY235)-('Выборка 1'!AS235+'Выборка 1'!AX235))+(('Выборка 1'!AU235+'Выборка 1'!AZ235)-('Выборка 1'!AT235+'Выборка 1'!AY235))+(('Выборка 1'!AV235+'Выборка 1'!BA235)-('Выборка 1'!AU235+'Выборка 1'!AZ235)))/4000</f>
        <v>-4034.5</v>
      </c>
      <c r="M235" s="44">
        <f>(('Выборка 1'!BC235-'Выборка 1'!BB235)+('Выборка 1'!BD235-'Выборка 1'!BC235)+('Выборка 1'!BE235-'Выборка 1'!BD235)+('Выборка 1'!BF235-'Выборка 1'!BE235))/4000</f>
        <v>-3369</v>
      </c>
      <c r="N235" s="44">
        <f t="shared" si="3"/>
        <v>-203.75</v>
      </c>
      <c r="O235" s="17">
        <f>((('Выборка 1'!BH235-'Выборка 1'!BM235)-('Выборка 1'!BG235-'Выборка 1'!BL235))+(('Выборка 1'!BI235-'Выборка 1'!BN235)-('Выборка 1'!BH235-'Выборка 1'!BM235))+(('Выборка 1'!BJ235-'Выборка 1'!BO235)-('Выборка 1'!BI235-'Выборка 1'!BN235))+(('Выборка 1'!BK235-'Выборка 1'!BP235)-('Выборка 1'!BJ235-'Выборка 1'!BO235)))/4000</f>
        <v>139.25</v>
      </c>
      <c r="P235" s="17">
        <f>(('Выборка 1'!BR235-'Выборка 1'!BQ235)+('Выборка 1'!BS235-'Выборка 1'!BR235)+('Выборка 1'!BT235-'Выборка 1'!BS235)+('Выборка 1'!BU235-'Выборка 1'!BT235))/4000</f>
        <v>-40.25</v>
      </c>
    </row>
    <row r="236" spans="2:16" x14ac:dyDescent="0.25">
      <c r="B236" s="42">
        <f>('Выборка 1'!AL236+'Выборка 1'!AG236)/1000</f>
        <v>0</v>
      </c>
      <c r="C236" s="17">
        <v>31</v>
      </c>
      <c r="D236" s="17">
        <f>(('Выборка 1'!E236-'Выборка 1'!D236)+('Выборка 1'!F236-'Выборка 1'!E236)+('Выборка 1'!G236-'Выборка 1'!F236)+('Выборка 1'!H236-'Выборка 1'!G236))/4000</f>
        <v>0</v>
      </c>
      <c r="E236" s="44">
        <f>(('Выборка 1'!J236-'Выборка 1'!I236)+('Выборка 1'!K236-'Выборка 1'!J236)+('Выборка 1'!L236-'Выборка 1'!K236)+('Выборка 1'!M236-'Выборка 1'!L236))/4000</f>
        <v>0</v>
      </c>
      <c r="F236" s="17">
        <f>(('Выборка 1'!O236-'Выборка 1'!N236)+('Выборка 1'!P236-'Выборка 1'!O236)+('Выборка 1'!Q236-'Выборка 1'!P236)+('Выборка 1'!R236-'Выборка 1'!Q236))/4000</f>
        <v>0</v>
      </c>
      <c r="G236" s="44">
        <f>(('Выборка 1'!T236-'Выборка 1'!S236)+('Выборка 1'!U236-'Выборка 1'!T236)+('Выборка 1'!V236-'Выборка 1'!U236)+('Выборка 1'!W236-'Выборка 1'!V236))/4000</f>
        <v>0</v>
      </c>
      <c r="H236" s="44">
        <f>(('Выборка 1'!Y236-'Выборка 1'!X236)+('Выборка 1'!Z236+'Выборка 1'!Y236)+('Выборка 1'!AA236-'Выборка 1'!Z236)+('Выборка 1'!AB236-'Выборка 1'!AA236))/4000</f>
        <v>0</v>
      </c>
      <c r="I236" s="44">
        <f>(('Выборка 1'!AD236-'Выборка 1'!AC236)+('Выборка 1'!AE236-'Выборка 1'!AD236)+('Выборка 1'!AF236-'Выборка 1'!AE236)+('Выборка 1'!AG236-'Выборка 1'!AF236))/4000</f>
        <v>0</v>
      </c>
      <c r="J236" s="44">
        <f>(('Выборка 1'!AI236-'Выборка 1'!AH236)+('Выборка 1'!AJ236-'Выборка 1'!AI236)+('Выборка 1'!AK236-'Выборка 1'!AJ236)+('Выборка 1'!AL236-'Выборка 1'!AK236))/4000</f>
        <v>0</v>
      </c>
      <c r="K236" s="17">
        <f>(('Выборка 1'!AN236-'Выборка 1'!AM236)+('Выборка 1'!AO236-'Выборка 1'!AN236)+('Выборка 1'!AP236-'Выборка 1'!AO236)+('Выборка 1'!AQ236-'Выборка 1'!AP236))/4000</f>
        <v>0</v>
      </c>
      <c r="L236" s="44">
        <f>((('Выборка 1'!AS236+'Выборка 1'!AX236)-('Выборка 1'!AR236+'Выборка 1'!AW236))+(('Выборка 1'!AT236+'Выборка 1'!AY236)-('Выборка 1'!AS236+'Выборка 1'!AX236))+(('Выборка 1'!AU236+'Выборка 1'!AZ236)-('Выборка 1'!AT236+'Выборка 1'!AY236))+(('Выборка 1'!AV236+'Выборка 1'!BA236)-('Выборка 1'!AU236+'Выборка 1'!AZ236)))/4000</f>
        <v>0</v>
      </c>
      <c r="M236" s="44">
        <f>(('Выборка 1'!BC236-'Выборка 1'!BB236)+('Выборка 1'!BD236-'Выборка 1'!BC236)+('Выборка 1'!BE236-'Выборка 1'!BD236)+('Выборка 1'!BF236-'Выборка 1'!BE236))/4000</f>
        <v>0</v>
      </c>
      <c r="N236" s="44">
        <f t="shared" si="3"/>
        <v>0</v>
      </c>
      <c r="O236" s="17">
        <f>((('Выборка 1'!BH236-'Выборка 1'!BM236)-('Выборка 1'!BG236-'Выборка 1'!BL236))+(('Выборка 1'!BI236-'Выборка 1'!BN236)-('Выборка 1'!BH236-'Выборка 1'!BM236))+(('Выборка 1'!BJ236-'Выборка 1'!BO236)-('Выборка 1'!BI236-'Выборка 1'!BN236))+(('Выборка 1'!BK236-'Выборка 1'!BP236)-('Выборка 1'!BJ236-'Выборка 1'!BO236)))/4000</f>
        <v>0</v>
      </c>
      <c r="P236" s="17">
        <f>(('Выборка 1'!BR236-'Выборка 1'!BQ236)+('Выборка 1'!BS236-'Выборка 1'!BR236)+('Выборка 1'!BT236-'Выборка 1'!BS236)+('Выборка 1'!BU236-'Выборка 1'!BT236))/4000</f>
        <v>0</v>
      </c>
    </row>
    <row r="237" spans="2:16" x14ac:dyDescent="0.25">
      <c r="B237" s="42">
        <f>('Выборка 1'!AL237+'Выборка 1'!AG237)/1000</f>
        <v>0</v>
      </c>
      <c r="C237" s="17">
        <v>19</v>
      </c>
      <c r="D237" s="17">
        <f>(('Выборка 1'!E237-'Выборка 1'!D237)+('Выборка 1'!F237-'Выборка 1'!E237)+('Выборка 1'!G237-'Выборка 1'!F237)+('Выборка 1'!H237-'Выборка 1'!G237))/4000</f>
        <v>0</v>
      </c>
      <c r="E237" s="44">
        <f>(('Выборка 1'!J237-'Выборка 1'!I237)+('Выборка 1'!K237-'Выборка 1'!J237)+('Выборка 1'!L237-'Выборка 1'!K237)+('Выборка 1'!M237-'Выборка 1'!L237))/4000</f>
        <v>0</v>
      </c>
      <c r="F237" s="17">
        <f>(('Выборка 1'!O237-'Выборка 1'!N237)+('Выборка 1'!P237-'Выборка 1'!O237)+('Выборка 1'!Q237-'Выборка 1'!P237)+('Выборка 1'!R237-'Выборка 1'!Q237))/4000</f>
        <v>0</v>
      </c>
      <c r="G237" s="44">
        <f>(('Выборка 1'!T237-'Выборка 1'!S237)+('Выборка 1'!U237-'Выборка 1'!T237)+('Выборка 1'!V237-'Выборка 1'!U237)+('Выборка 1'!W237-'Выборка 1'!V237))/4000</f>
        <v>0</v>
      </c>
      <c r="H237" s="44">
        <f>(('Выборка 1'!Y237-'Выборка 1'!X237)+('Выборка 1'!Z237+'Выборка 1'!Y237)+('Выборка 1'!AA237-'Выборка 1'!Z237)+('Выборка 1'!AB237-'Выборка 1'!AA237))/4000</f>
        <v>0</v>
      </c>
      <c r="I237" s="44">
        <f>(('Выборка 1'!AD237-'Выборка 1'!AC237)+('Выборка 1'!AE237-'Выборка 1'!AD237)+('Выборка 1'!AF237-'Выборка 1'!AE237)+('Выборка 1'!AG237-'Выборка 1'!AF237))/4000</f>
        <v>0</v>
      </c>
      <c r="J237" s="44">
        <f>(('Выборка 1'!AI237-'Выборка 1'!AH237)+('Выборка 1'!AJ237-'Выборка 1'!AI237)+('Выборка 1'!AK237-'Выборка 1'!AJ237)+('Выборка 1'!AL237-'Выборка 1'!AK237))/4000</f>
        <v>0</v>
      </c>
      <c r="K237" s="17">
        <f>(('Выборка 1'!AN237-'Выборка 1'!AM237)+('Выборка 1'!AO237-'Выборка 1'!AN237)+('Выборка 1'!AP237-'Выборка 1'!AO237)+('Выборка 1'!AQ237-'Выборка 1'!AP237))/4000</f>
        <v>0</v>
      </c>
      <c r="L237" s="44">
        <f>((('Выборка 1'!AS237+'Выборка 1'!AX237)-('Выборка 1'!AR237+'Выборка 1'!AW237))+(('Выборка 1'!AT237+'Выборка 1'!AY237)-('Выборка 1'!AS237+'Выборка 1'!AX237))+(('Выборка 1'!AU237+'Выборка 1'!AZ237)-('Выборка 1'!AT237+'Выборка 1'!AY237))+(('Выборка 1'!AV237+'Выборка 1'!BA237)-('Выборка 1'!AU237+'Выборка 1'!AZ237)))/4000</f>
        <v>0</v>
      </c>
      <c r="M237" s="44">
        <f>(('Выборка 1'!BC237-'Выборка 1'!BB237)+('Выборка 1'!BD237-'Выборка 1'!BC237)+('Выборка 1'!BE237-'Выборка 1'!BD237)+('Выборка 1'!BF237-'Выборка 1'!BE237))/4000</f>
        <v>0</v>
      </c>
      <c r="N237" s="44">
        <f t="shared" si="3"/>
        <v>0</v>
      </c>
      <c r="O237" s="17">
        <f>((('Выборка 1'!BH237-'Выборка 1'!BM237)-('Выборка 1'!BG237-'Выборка 1'!BL237))+(('Выборка 1'!BI237-'Выборка 1'!BN237)-('Выборка 1'!BH237-'Выборка 1'!BM237))+(('Выборка 1'!BJ237-'Выборка 1'!BO237)-('Выборка 1'!BI237-'Выборка 1'!BN237))+(('Выборка 1'!BK237-'Выборка 1'!BP237)-('Выборка 1'!BJ237-'Выборка 1'!BO237)))/4000</f>
        <v>0</v>
      </c>
      <c r="P237" s="17">
        <f>(('Выборка 1'!BR237-'Выборка 1'!BQ237)+('Выборка 1'!BS237-'Выборка 1'!BR237)+('Выборка 1'!BT237-'Выборка 1'!BS237)+('Выборка 1'!BU237-'Выборка 1'!BT237))/4000</f>
        <v>0</v>
      </c>
    </row>
    <row r="238" spans="2:16" x14ac:dyDescent="0.25">
      <c r="B238" s="42">
        <f>('Выборка 1'!AL238+'Выборка 1'!AG238)/1000</f>
        <v>0</v>
      </c>
      <c r="C238" s="17">
        <v>30</v>
      </c>
      <c r="D238" s="17">
        <f>(('Выборка 1'!E238-'Выборка 1'!D238)+('Выборка 1'!F238-'Выборка 1'!E238)+('Выборка 1'!G238-'Выборка 1'!F238)+('Выборка 1'!H238-'Выборка 1'!G238))/4000</f>
        <v>0</v>
      </c>
      <c r="E238" s="44">
        <f>(('Выборка 1'!J238-'Выборка 1'!I238)+('Выборка 1'!K238-'Выборка 1'!J238)+('Выборка 1'!L238-'Выборка 1'!K238)+('Выборка 1'!M238-'Выборка 1'!L238))/4000</f>
        <v>0</v>
      </c>
      <c r="F238" s="17">
        <f>(('Выборка 1'!O238-'Выборка 1'!N238)+('Выборка 1'!P238-'Выборка 1'!O238)+('Выборка 1'!Q238-'Выборка 1'!P238)+('Выборка 1'!R238-'Выборка 1'!Q238))/4000</f>
        <v>0</v>
      </c>
      <c r="G238" s="44">
        <f>(('Выборка 1'!T238-'Выборка 1'!S238)+('Выборка 1'!U238-'Выборка 1'!T238)+('Выборка 1'!V238-'Выборка 1'!U238)+('Выборка 1'!W238-'Выборка 1'!V238))/4000</f>
        <v>0</v>
      </c>
      <c r="H238" s="44">
        <f>(('Выборка 1'!Y238-'Выборка 1'!X238)+('Выборка 1'!Z238+'Выборка 1'!Y238)+('Выборка 1'!AA238-'Выборка 1'!Z238)+('Выборка 1'!AB238-'Выборка 1'!AA238))/4000</f>
        <v>0</v>
      </c>
      <c r="I238" s="44">
        <f>(('Выборка 1'!AD238-'Выборка 1'!AC238)+('Выборка 1'!AE238-'Выборка 1'!AD238)+('Выборка 1'!AF238-'Выборка 1'!AE238)+('Выборка 1'!AG238-'Выборка 1'!AF238))/4000</f>
        <v>0</v>
      </c>
      <c r="J238" s="44">
        <f>(('Выборка 1'!AI238-'Выборка 1'!AH238)+('Выборка 1'!AJ238-'Выборка 1'!AI238)+('Выборка 1'!AK238-'Выборка 1'!AJ238)+('Выборка 1'!AL238-'Выборка 1'!AK238))/4000</f>
        <v>0</v>
      </c>
      <c r="K238" s="17">
        <f>(('Выборка 1'!AN238-'Выборка 1'!AM238)+('Выборка 1'!AO238-'Выборка 1'!AN238)+('Выборка 1'!AP238-'Выборка 1'!AO238)+('Выборка 1'!AQ238-'Выборка 1'!AP238))/4000</f>
        <v>0</v>
      </c>
      <c r="L238" s="44">
        <f>((('Выборка 1'!AS238+'Выборка 1'!AX238)-('Выборка 1'!AR238+'Выборка 1'!AW238))+(('Выборка 1'!AT238+'Выборка 1'!AY238)-('Выборка 1'!AS238+'Выборка 1'!AX238))+(('Выборка 1'!AU238+'Выборка 1'!AZ238)-('Выборка 1'!AT238+'Выборка 1'!AY238))+(('Выборка 1'!AV238+'Выборка 1'!BA238)-('Выборка 1'!AU238+'Выборка 1'!AZ238)))/4000</f>
        <v>0</v>
      </c>
      <c r="M238" s="44">
        <f>(('Выборка 1'!BC238-'Выборка 1'!BB238)+('Выборка 1'!BD238-'Выборка 1'!BC238)+('Выборка 1'!BE238-'Выборка 1'!BD238)+('Выборка 1'!BF238-'Выборка 1'!BE238))/4000</f>
        <v>0</v>
      </c>
      <c r="N238" s="44">
        <f t="shared" si="3"/>
        <v>0</v>
      </c>
      <c r="O238" s="17">
        <f>((('Выборка 1'!BH238-'Выборка 1'!BM238)-('Выборка 1'!BG238-'Выборка 1'!BL238))+(('Выборка 1'!BI238-'Выборка 1'!BN238)-('Выборка 1'!BH238-'Выборка 1'!BM238))+(('Выборка 1'!BJ238-'Выборка 1'!BO238)-('Выборка 1'!BI238-'Выборка 1'!BN238))+(('Выборка 1'!BK238-'Выборка 1'!BP238)-('Выборка 1'!BJ238-'Выборка 1'!BO238)))/4000</f>
        <v>0</v>
      </c>
      <c r="P238" s="17">
        <f>(('Выборка 1'!BR238-'Выборка 1'!BQ238)+('Выборка 1'!BS238-'Выборка 1'!BR238)+('Выборка 1'!BT238-'Выборка 1'!BS238)+('Выборка 1'!BU238-'Выборка 1'!BT238))/4000</f>
        <v>0</v>
      </c>
    </row>
    <row r="239" spans="2:16" x14ac:dyDescent="0.25">
      <c r="B239" s="42">
        <f>('Выборка 1'!AL239+'Выборка 1'!AG239)/1000</f>
        <v>0</v>
      </c>
      <c r="C239" s="17">
        <v>23</v>
      </c>
      <c r="D239" s="17">
        <f>(('Выборка 1'!E239-'Выборка 1'!D239)+('Выборка 1'!F239-'Выборка 1'!E239)+('Выборка 1'!G239-'Выборка 1'!F239)+('Выборка 1'!H239-'Выборка 1'!G239))/4000</f>
        <v>0</v>
      </c>
      <c r="E239" s="44">
        <f>(('Выборка 1'!J239-'Выборка 1'!I239)+('Выборка 1'!K239-'Выборка 1'!J239)+('Выборка 1'!L239-'Выборка 1'!K239)+('Выборка 1'!M239-'Выборка 1'!L239))/4000</f>
        <v>0</v>
      </c>
      <c r="F239" s="17">
        <f>(('Выборка 1'!O239-'Выборка 1'!N239)+('Выборка 1'!P239-'Выборка 1'!O239)+('Выборка 1'!Q239-'Выборка 1'!P239)+('Выборка 1'!R239-'Выборка 1'!Q239))/4000</f>
        <v>0</v>
      </c>
      <c r="G239" s="44">
        <f>(('Выборка 1'!T239-'Выборка 1'!S239)+('Выборка 1'!U239-'Выборка 1'!T239)+('Выборка 1'!V239-'Выборка 1'!U239)+('Выборка 1'!W239-'Выборка 1'!V239))/4000</f>
        <v>0</v>
      </c>
      <c r="H239" s="44">
        <f>(('Выборка 1'!Y239-'Выборка 1'!X239)+('Выборка 1'!Z239+'Выборка 1'!Y239)+('Выборка 1'!AA239-'Выборка 1'!Z239)+('Выборка 1'!AB239-'Выборка 1'!AA239))/4000</f>
        <v>0</v>
      </c>
      <c r="I239" s="44">
        <f>(('Выборка 1'!AD239-'Выборка 1'!AC239)+('Выборка 1'!AE239-'Выборка 1'!AD239)+('Выборка 1'!AF239-'Выборка 1'!AE239)+('Выборка 1'!AG239-'Выборка 1'!AF239))/4000</f>
        <v>0</v>
      </c>
      <c r="J239" s="44">
        <f>(('Выборка 1'!AI239-'Выборка 1'!AH239)+('Выборка 1'!AJ239-'Выборка 1'!AI239)+('Выборка 1'!AK239-'Выборка 1'!AJ239)+('Выборка 1'!AL239-'Выборка 1'!AK239))/4000</f>
        <v>0</v>
      </c>
      <c r="K239" s="17">
        <f>(('Выборка 1'!AN239-'Выборка 1'!AM239)+('Выборка 1'!AO239-'Выборка 1'!AN239)+('Выборка 1'!AP239-'Выборка 1'!AO239)+('Выборка 1'!AQ239-'Выборка 1'!AP239))/4000</f>
        <v>0</v>
      </c>
      <c r="L239" s="44">
        <f>((('Выборка 1'!AS239+'Выборка 1'!AX239)-('Выборка 1'!AR239+'Выборка 1'!AW239))+(('Выборка 1'!AT239+'Выборка 1'!AY239)-('Выборка 1'!AS239+'Выборка 1'!AX239))+(('Выборка 1'!AU239+'Выборка 1'!AZ239)-('Выборка 1'!AT239+'Выборка 1'!AY239))+(('Выборка 1'!AV239+'Выборка 1'!BA239)-('Выборка 1'!AU239+'Выборка 1'!AZ239)))/4000</f>
        <v>0</v>
      </c>
      <c r="M239" s="44">
        <f>(('Выборка 1'!BC239-'Выборка 1'!BB239)+('Выборка 1'!BD239-'Выборка 1'!BC239)+('Выборка 1'!BE239-'Выборка 1'!BD239)+('Выборка 1'!BF239-'Выборка 1'!BE239))/4000</f>
        <v>0</v>
      </c>
      <c r="N239" s="44">
        <f t="shared" si="3"/>
        <v>0</v>
      </c>
      <c r="O239" s="17">
        <f>((('Выборка 1'!BH239-'Выборка 1'!BM239)-('Выборка 1'!BG239-'Выборка 1'!BL239))+(('Выборка 1'!BI239-'Выборка 1'!BN239)-('Выборка 1'!BH239-'Выборка 1'!BM239))+(('Выборка 1'!BJ239-'Выборка 1'!BO239)-('Выборка 1'!BI239-'Выборка 1'!BN239))+(('Выборка 1'!BK239-'Выборка 1'!BP239)-('Выборка 1'!BJ239-'Выборка 1'!BO239)))/4000</f>
        <v>0</v>
      </c>
      <c r="P239" s="17">
        <f>(('Выборка 1'!BR239-'Выборка 1'!BQ239)+('Выборка 1'!BS239-'Выборка 1'!BR239)+('Выборка 1'!BT239-'Выборка 1'!BS239)+('Выборка 1'!BU239-'Выборка 1'!BT239))/4000</f>
        <v>0</v>
      </c>
    </row>
    <row r="240" spans="2:16" x14ac:dyDescent="0.25">
      <c r="B240" s="42">
        <f>('Выборка 1'!AL240+'Выборка 1'!AG240)/1000</f>
        <v>0</v>
      </c>
      <c r="C240" s="17">
        <v>6</v>
      </c>
      <c r="D240" s="17">
        <f>(('Выборка 1'!E240-'Выборка 1'!D240)+('Выборка 1'!F240-'Выборка 1'!E240)+('Выборка 1'!G240-'Выборка 1'!F240)+('Выборка 1'!H240-'Выборка 1'!G240))/4000</f>
        <v>0</v>
      </c>
      <c r="E240" s="44">
        <f>(('Выборка 1'!J240-'Выборка 1'!I240)+('Выборка 1'!K240-'Выборка 1'!J240)+('Выборка 1'!L240-'Выборка 1'!K240)+('Выборка 1'!M240-'Выборка 1'!L240))/4000</f>
        <v>-628</v>
      </c>
      <c r="F240" s="17">
        <f>(('Выборка 1'!O240-'Выборка 1'!N240)+('Выборка 1'!P240-'Выборка 1'!O240)+('Выборка 1'!Q240-'Выборка 1'!P240)+('Выборка 1'!R240-'Выборка 1'!Q240))/4000</f>
        <v>-2964.25</v>
      </c>
      <c r="G240" s="44">
        <f>(('Выборка 1'!T240-'Выборка 1'!S240)+('Выборка 1'!U240-'Выборка 1'!T240)+('Выборка 1'!V240-'Выборка 1'!U240)+('Выборка 1'!W240-'Выборка 1'!V240))/4000</f>
        <v>-1007.75</v>
      </c>
      <c r="H240" s="44">
        <f>(('Выборка 1'!Y240-'Выборка 1'!X240)+('Выборка 1'!Z240+'Выборка 1'!Y240)+('Выборка 1'!AA240-'Выборка 1'!Z240)+('Выборка 1'!AB240-'Выборка 1'!AA240))/4000</f>
        <v>207.25</v>
      </c>
      <c r="I240" s="44">
        <f>(('Выборка 1'!AD240-'Выборка 1'!AC240)+('Выборка 1'!AE240-'Выборка 1'!AD240)+('Выборка 1'!AF240-'Выборка 1'!AE240)+('Выборка 1'!AG240-'Выборка 1'!AF240))/4000</f>
        <v>0</v>
      </c>
      <c r="J240" s="44">
        <f>(('Выборка 1'!AI240-'Выборка 1'!AH240)+('Выборка 1'!AJ240-'Выборка 1'!AI240)+('Выборка 1'!AK240-'Выборка 1'!AJ240)+('Выборка 1'!AL240-'Выборка 1'!AK240))/4000</f>
        <v>-5656.75</v>
      </c>
      <c r="K240" s="17">
        <f>(('Выборка 1'!AN240-'Выборка 1'!AM240)+('Выборка 1'!AO240-'Выборка 1'!AN240)+('Выборка 1'!AP240-'Выборка 1'!AO240)+('Выборка 1'!AQ240-'Выборка 1'!AP240))/4000</f>
        <v>-4846.75</v>
      </c>
      <c r="L240" s="44">
        <f>((('Выборка 1'!AS240+'Выборка 1'!AX240)-('Выборка 1'!AR240+'Выборка 1'!AW240))+(('Выборка 1'!AT240+'Выборка 1'!AY240)-('Выборка 1'!AS240+'Выборка 1'!AX240))+(('Выборка 1'!AU240+'Выборка 1'!AZ240)-('Выборка 1'!AT240+'Выборка 1'!AY240))+(('Выборка 1'!AV240+'Выборка 1'!BA240)-('Выборка 1'!AU240+'Выборка 1'!AZ240)))/4000</f>
        <v>-3814.75</v>
      </c>
      <c r="M240" s="44">
        <f>(('Выборка 1'!BC240-'Выборка 1'!BB240)+('Выборка 1'!BD240-'Выборка 1'!BC240)+('Выборка 1'!BE240-'Выборка 1'!BD240)+('Выборка 1'!BF240-'Выборка 1'!BE240))/4000</f>
        <v>-901.5</v>
      </c>
      <c r="N240" s="44">
        <f t="shared" si="3"/>
        <v>-130.5</v>
      </c>
      <c r="O240" s="17">
        <f>((('Выборка 1'!BH240-'Выборка 1'!BM240)-('Выборка 1'!BG240-'Выборка 1'!BL240))+(('Выборка 1'!BI240-'Выборка 1'!BN240)-('Выборка 1'!BH240-'Выборка 1'!BM240))+(('Выборка 1'!BJ240-'Выборка 1'!BO240)-('Выборка 1'!BI240-'Выборка 1'!BN240))+(('Выборка 1'!BK240-'Выборка 1'!BP240)-('Выборка 1'!BJ240-'Выборка 1'!BO240)))/4000</f>
        <v>113.75</v>
      </c>
      <c r="P240" s="17">
        <f>(('Выборка 1'!BR240-'Выборка 1'!BQ240)+('Выборка 1'!BS240-'Выборка 1'!BR240)+('Выборка 1'!BT240-'Выборка 1'!BS240)+('Выборка 1'!BU240-'Выборка 1'!BT240))/4000</f>
        <v>-16.75</v>
      </c>
    </row>
    <row r="241" spans="2:16" x14ac:dyDescent="0.25">
      <c r="B241" s="42">
        <f>('Выборка 1'!AL241+'Выборка 1'!AG241)/1000</f>
        <v>0</v>
      </c>
      <c r="C241" s="17">
        <v>34</v>
      </c>
      <c r="D241" s="17">
        <f>(('Выборка 1'!E241-'Выборка 1'!D241)+('Выборка 1'!F241-'Выборка 1'!E241)+('Выборка 1'!G241-'Выборка 1'!F241)+('Выборка 1'!H241-'Выборка 1'!G241))/4000</f>
        <v>0</v>
      </c>
      <c r="E241" s="44">
        <f>(('Выборка 1'!J241-'Выборка 1'!I241)+('Выборка 1'!K241-'Выборка 1'!J241)+('Выборка 1'!L241-'Выборка 1'!K241)+('Выборка 1'!M241-'Выборка 1'!L241))/4000</f>
        <v>0</v>
      </c>
      <c r="F241" s="17">
        <f>(('Выборка 1'!O241-'Выборка 1'!N241)+('Выборка 1'!P241-'Выборка 1'!O241)+('Выборка 1'!Q241-'Выборка 1'!P241)+('Выборка 1'!R241-'Выборка 1'!Q241))/4000</f>
        <v>0</v>
      </c>
      <c r="G241" s="44">
        <f>(('Выборка 1'!T241-'Выборка 1'!S241)+('Выборка 1'!U241-'Выборка 1'!T241)+('Выборка 1'!V241-'Выборка 1'!U241)+('Выборка 1'!W241-'Выборка 1'!V241))/4000</f>
        <v>0</v>
      </c>
      <c r="H241" s="44">
        <f>(('Выборка 1'!Y241-'Выборка 1'!X241)+('Выборка 1'!Z241+'Выборка 1'!Y241)+('Выборка 1'!AA241-'Выборка 1'!Z241)+('Выборка 1'!AB241-'Выборка 1'!AA241))/4000</f>
        <v>0</v>
      </c>
      <c r="I241" s="44">
        <f>(('Выборка 1'!AD241-'Выборка 1'!AC241)+('Выборка 1'!AE241-'Выборка 1'!AD241)+('Выборка 1'!AF241-'Выборка 1'!AE241)+('Выборка 1'!AG241-'Выборка 1'!AF241))/4000</f>
        <v>0</v>
      </c>
      <c r="J241" s="44">
        <f>(('Выборка 1'!AI241-'Выборка 1'!AH241)+('Выборка 1'!AJ241-'Выборка 1'!AI241)+('Выборка 1'!AK241-'Выборка 1'!AJ241)+('Выборка 1'!AL241-'Выборка 1'!AK241))/4000</f>
        <v>0</v>
      </c>
      <c r="K241" s="17">
        <f>(('Выборка 1'!AN241-'Выборка 1'!AM241)+('Выборка 1'!AO241-'Выборка 1'!AN241)+('Выборка 1'!AP241-'Выборка 1'!AO241)+('Выборка 1'!AQ241-'Выборка 1'!AP241))/4000</f>
        <v>0</v>
      </c>
      <c r="L241" s="44">
        <f>((('Выборка 1'!AS241+'Выборка 1'!AX241)-('Выборка 1'!AR241+'Выборка 1'!AW241))+(('Выборка 1'!AT241+'Выборка 1'!AY241)-('Выборка 1'!AS241+'Выборка 1'!AX241))+(('Выборка 1'!AU241+'Выборка 1'!AZ241)-('Выборка 1'!AT241+'Выборка 1'!AY241))+(('Выборка 1'!AV241+'Выборка 1'!BA241)-('Выборка 1'!AU241+'Выборка 1'!AZ241)))/4000</f>
        <v>0</v>
      </c>
      <c r="M241" s="44">
        <f>(('Выборка 1'!BC241-'Выборка 1'!BB241)+('Выборка 1'!BD241-'Выборка 1'!BC241)+('Выборка 1'!BE241-'Выборка 1'!BD241)+('Выборка 1'!BF241-'Выборка 1'!BE241))/4000</f>
        <v>0</v>
      </c>
      <c r="N241" s="44">
        <f t="shared" si="3"/>
        <v>0</v>
      </c>
      <c r="O241" s="17">
        <f>((('Выборка 1'!BH241-'Выборка 1'!BM241)-('Выборка 1'!BG241-'Выборка 1'!BL241))+(('Выборка 1'!BI241-'Выборка 1'!BN241)-('Выборка 1'!BH241-'Выборка 1'!BM241))+(('Выборка 1'!BJ241-'Выборка 1'!BO241)-('Выборка 1'!BI241-'Выборка 1'!BN241))+(('Выборка 1'!BK241-'Выборка 1'!BP241)-('Выборка 1'!BJ241-'Выборка 1'!BO241)))/4000</f>
        <v>0</v>
      </c>
      <c r="P241" s="17">
        <f>(('Выборка 1'!BR241-'Выборка 1'!BQ241)+('Выборка 1'!BS241-'Выборка 1'!BR241)+('Выборка 1'!BT241-'Выборка 1'!BS241)+('Выборка 1'!BU241-'Выборка 1'!BT241))/4000</f>
        <v>0</v>
      </c>
    </row>
    <row r="242" spans="2:16" x14ac:dyDescent="0.25">
      <c r="B242" s="42">
        <f>('Выборка 1'!AL242+'Выборка 1'!AG242)/1000</f>
        <v>0</v>
      </c>
      <c r="C242" s="17">
        <v>30</v>
      </c>
      <c r="D242" s="17">
        <f>(('Выборка 1'!E242-'Выборка 1'!D242)+('Выборка 1'!F242-'Выборка 1'!E242)+('Выборка 1'!G242-'Выборка 1'!F242)+('Выборка 1'!H242-'Выборка 1'!G242))/4000</f>
        <v>0</v>
      </c>
      <c r="E242" s="44">
        <f>(('Выборка 1'!J242-'Выборка 1'!I242)+('Выборка 1'!K242-'Выборка 1'!J242)+('Выборка 1'!L242-'Выборка 1'!K242)+('Выборка 1'!M242-'Выборка 1'!L242))/4000</f>
        <v>0</v>
      </c>
      <c r="F242" s="17">
        <f>(('Выборка 1'!O242-'Выборка 1'!N242)+('Выборка 1'!P242-'Выборка 1'!O242)+('Выборка 1'!Q242-'Выборка 1'!P242)+('Выборка 1'!R242-'Выборка 1'!Q242))/4000</f>
        <v>0</v>
      </c>
      <c r="G242" s="44">
        <f>(('Выборка 1'!T242-'Выборка 1'!S242)+('Выборка 1'!U242-'Выборка 1'!T242)+('Выборка 1'!V242-'Выборка 1'!U242)+('Выборка 1'!W242-'Выборка 1'!V242))/4000</f>
        <v>0</v>
      </c>
      <c r="H242" s="44">
        <f>(('Выборка 1'!Y242-'Выборка 1'!X242)+('Выборка 1'!Z242+'Выборка 1'!Y242)+('Выборка 1'!AA242-'Выборка 1'!Z242)+('Выборка 1'!AB242-'Выборка 1'!AA242))/4000</f>
        <v>0</v>
      </c>
      <c r="I242" s="44">
        <f>(('Выборка 1'!AD242-'Выборка 1'!AC242)+('Выборка 1'!AE242-'Выборка 1'!AD242)+('Выборка 1'!AF242-'Выборка 1'!AE242)+('Выборка 1'!AG242-'Выборка 1'!AF242))/4000</f>
        <v>0</v>
      </c>
      <c r="J242" s="44">
        <f>(('Выборка 1'!AI242-'Выборка 1'!AH242)+('Выборка 1'!AJ242-'Выборка 1'!AI242)+('Выборка 1'!AK242-'Выборка 1'!AJ242)+('Выборка 1'!AL242-'Выборка 1'!AK242))/4000</f>
        <v>0</v>
      </c>
      <c r="K242" s="17">
        <f>(('Выборка 1'!AN242-'Выборка 1'!AM242)+('Выборка 1'!AO242-'Выборка 1'!AN242)+('Выборка 1'!AP242-'Выборка 1'!AO242)+('Выборка 1'!AQ242-'Выборка 1'!AP242))/4000</f>
        <v>0</v>
      </c>
      <c r="L242" s="44">
        <f>((('Выборка 1'!AS242+'Выборка 1'!AX242)-('Выборка 1'!AR242+'Выборка 1'!AW242))+(('Выборка 1'!AT242+'Выборка 1'!AY242)-('Выборка 1'!AS242+'Выборка 1'!AX242))+(('Выборка 1'!AU242+'Выборка 1'!AZ242)-('Выборка 1'!AT242+'Выборка 1'!AY242))+(('Выборка 1'!AV242+'Выборка 1'!BA242)-('Выборка 1'!AU242+'Выборка 1'!AZ242)))/4000</f>
        <v>0</v>
      </c>
      <c r="M242" s="44">
        <f>(('Выборка 1'!BC242-'Выборка 1'!BB242)+('Выборка 1'!BD242-'Выборка 1'!BC242)+('Выборка 1'!BE242-'Выборка 1'!BD242)+('Выборка 1'!BF242-'Выборка 1'!BE242))/4000</f>
        <v>0</v>
      </c>
      <c r="N242" s="44">
        <f t="shared" si="3"/>
        <v>0</v>
      </c>
      <c r="O242" s="17">
        <f>((('Выборка 1'!BH242-'Выборка 1'!BM242)-('Выборка 1'!BG242-'Выборка 1'!BL242))+(('Выборка 1'!BI242-'Выборка 1'!BN242)-('Выборка 1'!BH242-'Выборка 1'!BM242))+(('Выборка 1'!BJ242-'Выборка 1'!BO242)-('Выборка 1'!BI242-'Выборка 1'!BN242))+(('Выборка 1'!BK242-'Выборка 1'!BP242)-('Выборка 1'!BJ242-'Выборка 1'!BO242)))/4000</f>
        <v>0</v>
      </c>
      <c r="P242" s="17">
        <f>(('Выборка 1'!BR242-'Выборка 1'!BQ242)+('Выборка 1'!BS242-'Выборка 1'!BR242)+('Выборка 1'!BT242-'Выборка 1'!BS242)+('Выборка 1'!BU242-'Выборка 1'!BT242))/4000</f>
        <v>0</v>
      </c>
    </row>
    <row r="243" spans="2:16" x14ac:dyDescent="0.25">
      <c r="B243" s="42">
        <f>('Выборка 1'!AL243+'Выборка 1'!AG243)/1000</f>
        <v>0</v>
      </c>
      <c r="C243" s="17">
        <v>32</v>
      </c>
      <c r="D243" s="17">
        <f>(('Выборка 1'!E243-'Выборка 1'!D243)+('Выборка 1'!F243-'Выборка 1'!E243)+('Выборка 1'!G243-'Выборка 1'!F243)+('Выборка 1'!H243-'Выборка 1'!G243))/4000</f>
        <v>0</v>
      </c>
      <c r="E243" s="44">
        <f>(('Выборка 1'!J243-'Выборка 1'!I243)+('Выборка 1'!K243-'Выборка 1'!J243)+('Выборка 1'!L243-'Выборка 1'!K243)+('Выборка 1'!M243-'Выборка 1'!L243))/4000</f>
        <v>0</v>
      </c>
      <c r="F243" s="17">
        <f>(('Выборка 1'!O243-'Выборка 1'!N243)+('Выборка 1'!P243-'Выборка 1'!O243)+('Выборка 1'!Q243-'Выборка 1'!P243)+('Выборка 1'!R243-'Выборка 1'!Q243))/4000</f>
        <v>0</v>
      </c>
      <c r="G243" s="44">
        <f>(('Выборка 1'!T243-'Выборка 1'!S243)+('Выборка 1'!U243-'Выборка 1'!T243)+('Выборка 1'!V243-'Выборка 1'!U243)+('Выборка 1'!W243-'Выборка 1'!V243))/4000</f>
        <v>0</v>
      </c>
      <c r="H243" s="44">
        <f>(('Выборка 1'!Y243-'Выборка 1'!X243)+('Выборка 1'!Z243+'Выборка 1'!Y243)+('Выборка 1'!AA243-'Выборка 1'!Z243)+('Выборка 1'!AB243-'Выборка 1'!AA243))/4000</f>
        <v>0</v>
      </c>
      <c r="I243" s="44">
        <f>(('Выборка 1'!AD243-'Выборка 1'!AC243)+('Выборка 1'!AE243-'Выборка 1'!AD243)+('Выборка 1'!AF243-'Выборка 1'!AE243)+('Выборка 1'!AG243-'Выборка 1'!AF243))/4000</f>
        <v>0</v>
      </c>
      <c r="J243" s="44">
        <f>(('Выборка 1'!AI243-'Выборка 1'!AH243)+('Выборка 1'!AJ243-'Выборка 1'!AI243)+('Выборка 1'!AK243-'Выборка 1'!AJ243)+('Выборка 1'!AL243-'Выборка 1'!AK243))/4000</f>
        <v>0</v>
      </c>
      <c r="K243" s="17">
        <f>(('Выборка 1'!AN243-'Выборка 1'!AM243)+('Выборка 1'!AO243-'Выборка 1'!AN243)+('Выборка 1'!AP243-'Выборка 1'!AO243)+('Выборка 1'!AQ243-'Выборка 1'!AP243))/4000</f>
        <v>0</v>
      </c>
      <c r="L243" s="44">
        <f>((('Выборка 1'!AS243+'Выборка 1'!AX243)-('Выборка 1'!AR243+'Выборка 1'!AW243))+(('Выборка 1'!AT243+'Выборка 1'!AY243)-('Выборка 1'!AS243+'Выборка 1'!AX243))+(('Выборка 1'!AU243+'Выборка 1'!AZ243)-('Выборка 1'!AT243+'Выборка 1'!AY243))+(('Выборка 1'!AV243+'Выборка 1'!BA243)-('Выборка 1'!AU243+'Выборка 1'!AZ243)))/4000</f>
        <v>0</v>
      </c>
      <c r="M243" s="44">
        <f>(('Выборка 1'!BC243-'Выборка 1'!BB243)+('Выборка 1'!BD243-'Выборка 1'!BC243)+('Выборка 1'!BE243-'Выборка 1'!BD243)+('Выборка 1'!BF243-'Выборка 1'!BE243))/4000</f>
        <v>0</v>
      </c>
      <c r="N243" s="44">
        <f t="shared" si="3"/>
        <v>0</v>
      </c>
      <c r="O243" s="17">
        <f>((('Выборка 1'!BH243-'Выборка 1'!BM243)-('Выборка 1'!BG243-'Выборка 1'!BL243))+(('Выборка 1'!BI243-'Выборка 1'!BN243)-('Выборка 1'!BH243-'Выборка 1'!BM243))+(('Выборка 1'!BJ243-'Выборка 1'!BO243)-('Выборка 1'!BI243-'Выборка 1'!BN243))+(('Выборка 1'!BK243-'Выборка 1'!BP243)-('Выборка 1'!BJ243-'Выборка 1'!BO243)))/4000</f>
        <v>0</v>
      </c>
      <c r="P243" s="17">
        <f>(('Выборка 1'!BR243-'Выборка 1'!BQ243)+('Выборка 1'!BS243-'Выборка 1'!BR243)+('Выборка 1'!BT243-'Выборка 1'!BS243)+('Выборка 1'!BU243-'Выборка 1'!BT243))/4000</f>
        <v>0</v>
      </c>
    </row>
    <row r="244" spans="2:16" x14ac:dyDescent="0.25">
      <c r="B244" s="42">
        <f>('Выборка 1'!AL244+'Выборка 1'!AG244)/1000</f>
        <v>0</v>
      </c>
      <c r="C244" s="17">
        <v>31</v>
      </c>
      <c r="D244" s="17">
        <f>(('Выборка 1'!E244-'Выборка 1'!D244)+('Выборка 1'!F244-'Выборка 1'!E244)+('Выборка 1'!G244-'Выборка 1'!F244)+('Выборка 1'!H244-'Выборка 1'!G244))/4000</f>
        <v>0</v>
      </c>
      <c r="E244" s="44">
        <f>(('Выборка 1'!J244-'Выборка 1'!I244)+('Выборка 1'!K244-'Выборка 1'!J244)+('Выборка 1'!L244-'Выборка 1'!K244)+('Выборка 1'!M244-'Выборка 1'!L244))/4000</f>
        <v>0</v>
      </c>
      <c r="F244" s="17">
        <f>(('Выборка 1'!O244-'Выборка 1'!N244)+('Выборка 1'!P244-'Выборка 1'!O244)+('Выборка 1'!Q244-'Выборка 1'!P244)+('Выборка 1'!R244-'Выборка 1'!Q244))/4000</f>
        <v>0</v>
      </c>
      <c r="G244" s="44">
        <f>(('Выборка 1'!T244-'Выборка 1'!S244)+('Выборка 1'!U244-'Выборка 1'!T244)+('Выборка 1'!V244-'Выборка 1'!U244)+('Выборка 1'!W244-'Выборка 1'!V244))/4000</f>
        <v>0</v>
      </c>
      <c r="H244" s="44">
        <f>(('Выборка 1'!Y244-'Выборка 1'!X244)+('Выборка 1'!Z244+'Выборка 1'!Y244)+('Выборка 1'!AA244-'Выборка 1'!Z244)+('Выборка 1'!AB244-'Выборка 1'!AA244))/4000</f>
        <v>0</v>
      </c>
      <c r="I244" s="44">
        <f>(('Выборка 1'!AD244-'Выборка 1'!AC244)+('Выборка 1'!AE244-'Выборка 1'!AD244)+('Выборка 1'!AF244-'Выборка 1'!AE244)+('Выборка 1'!AG244-'Выборка 1'!AF244))/4000</f>
        <v>0</v>
      </c>
      <c r="J244" s="44">
        <f>(('Выборка 1'!AI244-'Выборка 1'!AH244)+('Выборка 1'!AJ244-'Выборка 1'!AI244)+('Выборка 1'!AK244-'Выборка 1'!AJ244)+('Выборка 1'!AL244-'Выборка 1'!AK244))/4000</f>
        <v>0</v>
      </c>
      <c r="K244" s="17">
        <f>(('Выборка 1'!AN244-'Выборка 1'!AM244)+('Выборка 1'!AO244-'Выборка 1'!AN244)+('Выборка 1'!AP244-'Выборка 1'!AO244)+('Выборка 1'!AQ244-'Выборка 1'!AP244))/4000</f>
        <v>0</v>
      </c>
      <c r="L244" s="44">
        <f>((('Выборка 1'!AS244+'Выборка 1'!AX244)-('Выборка 1'!AR244+'Выборка 1'!AW244))+(('Выборка 1'!AT244+'Выборка 1'!AY244)-('Выборка 1'!AS244+'Выборка 1'!AX244))+(('Выборка 1'!AU244+'Выборка 1'!AZ244)-('Выборка 1'!AT244+'Выборка 1'!AY244))+(('Выборка 1'!AV244+'Выборка 1'!BA244)-('Выборка 1'!AU244+'Выборка 1'!AZ244)))/4000</f>
        <v>0</v>
      </c>
      <c r="M244" s="44">
        <f>(('Выборка 1'!BC244-'Выборка 1'!BB244)+('Выборка 1'!BD244-'Выборка 1'!BC244)+('Выборка 1'!BE244-'Выборка 1'!BD244)+('Выборка 1'!BF244-'Выборка 1'!BE244))/4000</f>
        <v>0</v>
      </c>
      <c r="N244" s="44">
        <f t="shared" si="3"/>
        <v>0</v>
      </c>
      <c r="O244" s="17">
        <f>((('Выборка 1'!BH244-'Выборка 1'!BM244)-('Выборка 1'!BG244-'Выборка 1'!BL244))+(('Выборка 1'!BI244-'Выборка 1'!BN244)-('Выборка 1'!BH244-'Выборка 1'!BM244))+(('Выборка 1'!BJ244-'Выборка 1'!BO244)-('Выборка 1'!BI244-'Выборка 1'!BN244))+(('Выборка 1'!BK244-'Выборка 1'!BP244)-('Выборка 1'!BJ244-'Выборка 1'!BO244)))/4000</f>
        <v>0</v>
      </c>
      <c r="P244" s="17">
        <f>(('Выборка 1'!BR244-'Выборка 1'!BQ244)+('Выборка 1'!BS244-'Выборка 1'!BR244)+('Выборка 1'!BT244-'Выборка 1'!BS244)+('Выборка 1'!BU244-'Выборка 1'!BT244))/4000</f>
        <v>0</v>
      </c>
    </row>
    <row r="245" spans="2:16" x14ac:dyDescent="0.25">
      <c r="B245" s="42">
        <f>('Выборка 1'!AL245+'Выборка 1'!AG245)/1000</f>
        <v>0</v>
      </c>
      <c r="C245" s="17">
        <v>35</v>
      </c>
      <c r="D245" s="17">
        <f>(('Выборка 1'!E245-'Выборка 1'!D245)+('Выборка 1'!F245-'Выборка 1'!E245)+('Выборка 1'!G245-'Выборка 1'!F245)+('Выборка 1'!H245-'Выборка 1'!G245))/4000</f>
        <v>0</v>
      </c>
      <c r="E245" s="44">
        <f>(('Выборка 1'!J245-'Выборка 1'!I245)+('Выборка 1'!K245-'Выборка 1'!J245)+('Выборка 1'!L245-'Выборка 1'!K245)+('Выборка 1'!M245-'Выборка 1'!L245))/4000</f>
        <v>0</v>
      </c>
      <c r="F245" s="17">
        <f>(('Выборка 1'!O245-'Выборка 1'!N245)+('Выборка 1'!P245-'Выборка 1'!O245)+('Выборка 1'!Q245-'Выборка 1'!P245)+('Выборка 1'!R245-'Выборка 1'!Q245))/4000</f>
        <v>0</v>
      </c>
      <c r="G245" s="44">
        <f>(('Выборка 1'!T245-'Выборка 1'!S245)+('Выборка 1'!U245-'Выборка 1'!T245)+('Выборка 1'!V245-'Выборка 1'!U245)+('Выборка 1'!W245-'Выборка 1'!V245))/4000</f>
        <v>0</v>
      </c>
      <c r="H245" s="44">
        <f>(('Выборка 1'!Y245-'Выборка 1'!X245)+('Выборка 1'!Z245+'Выборка 1'!Y245)+('Выборка 1'!AA245-'Выборка 1'!Z245)+('Выборка 1'!AB245-'Выборка 1'!AA245))/4000</f>
        <v>0</v>
      </c>
      <c r="I245" s="44">
        <f>(('Выборка 1'!AD245-'Выборка 1'!AC245)+('Выборка 1'!AE245-'Выборка 1'!AD245)+('Выборка 1'!AF245-'Выборка 1'!AE245)+('Выборка 1'!AG245-'Выборка 1'!AF245))/4000</f>
        <v>0</v>
      </c>
      <c r="J245" s="44">
        <f>(('Выборка 1'!AI245-'Выборка 1'!AH245)+('Выборка 1'!AJ245-'Выборка 1'!AI245)+('Выборка 1'!AK245-'Выборка 1'!AJ245)+('Выборка 1'!AL245-'Выборка 1'!AK245))/4000</f>
        <v>0</v>
      </c>
      <c r="K245" s="17">
        <f>(('Выборка 1'!AN245-'Выборка 1'!AM245)+('Выборка 1'!AO245-'Выборка 1'!AN245)+('Выборка 1'!AP245-'Выборка 1'!AO245)+('Выборка 1'!AQ245-'Выборка 1'!AP245))/4000</f>
        <v>0</v>
      </c>
      <c r="L245" s="44">
        <f>((('Выборка 1'!AS245+'Выборка 1'!AX245)-('Выборка 1'!AR245+'Выборка 1'!AW245))+(('Выборка 1'!AT245+'Выборка 1'!AY245)-('Выборка 1'!AS245+'Выборка 1'!AX245))+(('Выборка 1'!AU245+'Выборка 1'!AZ245)-('Выборка 1'!AT245+'Выборка 1'!AY245))+(('Выборка 1'!AV245+'Выборка 1'!BA245)-('Выборка 1'!AU245+'Выборка 1'!AZ245)))/4000</f>
        <v>0</v>
      </c>
      <c r="M245" s="44">
        <f>(('Выборка 1'!BC245-'Выборка 1'!BB245)+('Выборка 1'!BD245-'Выборка 1'!BC245)+('Выборка 1'!BE245-'Выборка 1'!BD245)+('Выборка 1'!BF245-'Выборка 1'!BE245))/4000</f>
        <v>0</v>
      </c>
      <c r="N245" s="44">
        <f t="shared" si="3"/>
        <v>0</v>
      </c>
      <c r="O245" s="17">
        <f>((('Выборка 1'!BH245-'Выборка 1'!BM245)-('Выборка 1'!BG245-'Выборка 1'!BL245))+(('Выборка 1'!BI245-'Выборка 1'!BN245)-('Выборка 1'!BH245-'Выборка 1'!BM245))+(('Выборка 1'!BJ245-'Выборка 1'!BO245)-('Выборка 1'!BI245-'Выборка 1'!BN245))+(('Выборка 1'!BK245-'Выборка 1'!BP245)-('Выборка 1'!BJ245-'Выборка 1'!BO245)))/4000</f>
        <v>0</v>
      </c>
      <c r="P245" s="17">
        <f>(('Выборка 1'!BR245-'Выборка 1'!BQ245)+('Выборка 1'!BS245-'Выборка 1'!BR245)+('Выборка 1'!BT245-'Выборка 1'!BS245)+('Выборка 1'!BU245-'Выборка 1'!BT245))/4000</f>
        <v>0</v>
      </c>
    </row>
    <row r="246" spans="2:16" x14ac:dyDescent="0.25">
      <c r="B246" s="42">
        <f>('Выборка 1'!AL246+'Выборка 1'!AG246)/1000</f>
        <v>0</v>
      </c>
      <c r="C246" s="17">
        <v>31</v>
      </c>
      <c r="D246" s="17">
        <f>(('Выборка 1'!E246-'Выборка 1'!D246)+('Выборка 1'!F246-'Выборка 1'!E246)+('Выборка 1'!G246-'Выборка 1'!F246)+('Выборка 1'!H246-'Выборка 1'!G246))/4000</f>
        <v>0</v>
      </c>
      <c r="E246" s="44">
        <f>(('Выборка 1'!J246-'Выборка 1'!I246)+('Выборка 1'!K246-'Выборка 1'!J246)+('Выборка 1'!L246-'Выборка 1'!K246)+('Выборка 1'!M246-'Выборка 1'!L246))/4000</f>
        <v>0</v>
      </c>
      <c r="F246" s="17">
        <f>(('Выборка 1'!O246-'Выборка 1'!N246)+('Выборка 1'!P246-'Выборка 1'!O246)+('Выборка 1'!Q246-'Выборка 1'!P246)+('Выборка 1'!R246-'Выборка 1'!Q246))/4000</f>
        <v>0</v>
      </c>
      <c r="G246" s="44">
        <f>(('Выборка 1'!T246-'Выборка 1'!S246)+('Выборка 1'!U246-'Выборка 1'!T246)+('Выборка 1'!V246-'Выборка 1'!U246)+('Выборка 1'!W246-'Выборка 1'!V246))/4000</f>
        <v>0</v>
      </c>
      <c r="H246" s="44">
        <f>(('Выборка 1'!Y246-'Выборка 1'!X246)+('Выборка 1'!Z246+'Выборка 1'!Y246)+('Выборка 1'!AA246-'Выборка 1'!Z246)+('Выборка 1'!AB246-'Выборка 1'!AA246))/4000</f>
        <v>0</v>
      </c>
      <c r="I246" s="44">
        <f>(('Выборка 1'!AD246-'Выборка 1'!AC246)+('Выборка 1'!AE246-'Выборка 1'!AD246)+('Выборка 1'!AF246-'Выборка 1'!AE246)+('Выборка 1'!AG246-'Выборка 1'!AF246))/4000</f>
        <v>0</v>
      </c>
      <c r="J246" s="44">
        <f>(('Выборка 1'!AI246-'Выборка 1'!AH246)+('Выборка 1'!AJ246-'Выборка 1'!AI246)+('Выборка 1'!AK246-'Выборка 1'!AJ246)+('Выборка 1'!AL246-'Выборка 1'!AK246))/4000</f>
        <v>0</v>
      </c>
      <c r="K246" s="17">
        <f>(('Выборка 1'!AN246-'Выборка 1'!AM246)+('Выборка 1'!AO246-'Выборка 1'!AN246)+('Выборка 1'!AP246-'Выборка 1'!AO246)+('Выборка 1'!AQ246-'Выборка 1'!AP246))/4000</f>
        <v>0</v>
      </c>
      <c r="L246" s="44">
        <f>((('Выборка 1'!AS246+'Выборка 1'!AX246)-('Выборка 1'!AR246+'Выборка 1'!AW246))+(('Выборка 1'!AT246+'Выборка 1'!AY246)-('Выборка 1'!AS246+'Выборка 1'!AX246))+(('Выборка 1'!AU246+'Выборка 1'!AZ246)-('Выборка 1'!AT246+'Выборка 1'!AY246))+(('Выборка 1'!AV246+'Выборка 1'!BA246)-('Выборка 1'!AU246+'Выборка 1'!AZ246)))/4000</f>
        <v>0</v>
      </c>
      <c r="M246" s="44">
        <f>(('Выборка 1'!BC246-'Выборка 1'!BB246)+('Выборка 1'!BD246-'Выборка 1'!BC246)+('Выборка 1'!BE246-'Выборка 1'!BD246)+('Выборка 1'!BF246-'Выборка 1'!BE246))/4000</f>
        <v>0</v>
      </c>
      <c r="N246" s="44">
        <f t="shared" si="3"/>
        <v>0</v>
      </c>
      <c r="O246" s="17">
        <f>((('Выборка 1'!BH246-'Выборка 1'!BM246)-('Выборка 1'!BG246-'Выборка 1'!BL246))+(('Выборка 1'!BI246-'Выборка 1'!BN246)-('Выборка 1'!BH246-'Выборка 1'!BM246))+(('Выборка 1'!BJ246-'Выборка 1'!BO246)-('Выборка 1'!BI246-'Выборка 1'!BN246))+(('Выборка 1'!BK246-'Выборка 1'!BP246)-('Выборка 1'!BJ246-'Выборка 1'!BO246)))/4000</f>
        <v>0</v>
      </c>
      <c r="P246" s="17">
        <f>(('Выборка 1'!BR246-'Выборка 1'!BQ246)+('Выборка 1'!BS246-'Выборка 1'!BR246)+('Выборка 1'!BT246-'Выборка 1'!BS246)+('Выборка 1'!BU246-'Выборка 1'!BT246))/4000</f>
        <v>0</v>
      </c>
    </row>
    <row r="247" spans="2:16" x14ac:dyDescent="0.25">
      <c r="B247" s="42">
        <f>('Выборка 1'!AL247+'Выборка 1'!AG247)/1000</f>
        <v>0</v>
      </c>
      <c r="C247" s="17">
        <v>34</v>
      </c>
      <c r="D247" s="17">
        <f>(('Выборка 1'!E247-'Выборка 1'!D247)+('Выборка 1'!F247-'Выборка 1'!E247)+('Выборка 1'!G247-'Выборка 1'!F247)+('Выборка 1'!H247-'Выборка 1'!G247))/4000</f>
        <v>0</v>
      </c>
      <c r="E247" s="44">
        <f>(('Выборка 1'!J247-'Выборка 1'!I247)+('Выборка 1'!K247-'Выборка 1'!J247)+('Выборка 1'!L247-'Выборка 1'!K247)+('Выборка 1'!M247-'Выборка 1'!L247))/4000</f>
        <v>0</v>
      </c>
      <c r="F247" s="17">
        <f>(('Выборка 1'!O247-'Выборка 1'!N247)+('Выборка 1'!P247-'Выборка 1'!O247)+('Выборка 1'!Q247-'Выборка 1'!P247)+('Выборка 1'!R247-'Выборка 1'!Q247))/4000</f>
        <v>0</v>
      </c>
      <c r="G247" s="44">
        <f>(('Выборка 1'!T247-'Выборка 1'!S247)+('Выборка 1'!U247-'Выборка 1'!T247)+('Выборка 1'!V247-'Выборка 1'!U247)+('Выборка 1'!W247-'Выборка 1'!V247))/4000</f>
        <v>0</v>
      </c>
      <c r="H247" s="44">
        <f>(('Выборка 1'!Y247-'Выборка 1'!X247)+('Выборка 1'!Z247+'Выборка 1'!Y247)+('Выборка 1'!AA247-'Выборка 1'!Z247)+('Выборка 1'!AB247-'Выборка 1'!AA247))/4000</f>
        <v>0</v>
      </c>
      <c r="I247" s="44">
        <f>(('Выборка 1'!AD247-'Выборка 1'!AC247)+('Выборка 1'!AE247-'Выборка 1'!AD247)+('Выборка 1'!AF247-'Выборка 1'!AE247)+('Выборка 1'!AG247-'Выборка 1'!AF247))/4000</f>
        <v>0</v>
      </c>
      <c r="J247" s="44">
        <f>(('Выборка 1'!AI247-'Выборка 1'!AH247)+('Выборка 1'!AJ247-'Выборка 1'!AI247)+('Выборка 1'!AK247-'Выборка 1'!AJ247)+('Выборка 1'!AL247-'Выборка 1'!AK247))/4000</f>
        <v>0</v>
      </c>
      <c r="K247" s="17">
        <f>(('Выборка 1'!AN247-'Выборка 1'!AM247)+('Выборка 1'!AO247-'Выборка 1'!AN247)+('Выборка 1'!AP247-'Выборка 1'!AO247)+('Выборка 1'!AQ247-'Выборка 1'!AP247))/4000</f>
        <v>0</v>
      </c>
      <c r="L247" s="44">
        <f>((('Выборка 1'!AS247+'Выборка 1'!AX247)-('Выборка 1'!AR247+'Выборка 1'!AW247))+(('Выборка 1'!AT247+'Выборка 1'!AY247)-('Выборка 1'!AS247+'Выборка 1'!AX247))+(('Выборка 1'!AU247+'Выборка 1'!AZ247)-('Выборка 1'!AT247+'Выборка 1'!AY247))+(('Выборка 1'!AV247+'Выборка 1'!BA247)-('Выборка 1'!AU247+'Выборка 1'!AZ247)))/4000</f>
        <v>0</v>
      </c>
      <c r="M247" s="44">
        <f>(('Выборка 1'!BC247-'Выборка 1'!BB247)+('Выборка 1'!BD247-'Выборка 1'!BC247)+('Выборка 1'!BE247-'Выборка 1'!BD247)+('Выборка 1'!BF247-'Выборка 1'!BE247))/4000</f>
        <v>0</v>
      </c>
      <c r="N247" s="44">
        <f t="shared" si="3"/>
        <v>0</v>
      </c>
      <c r="O247" s="17">
        <f>((('Выборка 1'!BH247-'Выборка 1'!BM247)-('Выборка 1'!BG247-'Выборка 1'!BL247))+(('Выборка 1'!BI247-'Выборка 1'!BN247)-('Выборка 1'!BH247-'Выборка 1'!BM247))+(('Выборка 1'!BJ247-'Выборка 1'!BO247)-('Выборка 1'!BI247-'Выборка 1'!BN247))+(('Выборка 1'!BK247-'Выборка 1'!BP247)-('Выборка 1'!BJ247-'Выборка 1'!BO247)))/4000</f>
        <v>0</v>
      </c>
      <c r="P247" s="17">
        <f>(('Выборка 1'!BR247-'Выборка 1'!BQ247)+('Выборка 1'!BS247-'Выборка 1'!BR247)+('Выборка 1'!BT247-'Выборка 1'!BS247)+('Выборка 1'!BU247-'Выборка 1'!BT247))/4000</f>
        <v>0</v>
      </c>
    </row>
    <row r="248" spans="2:16" x14ac:dyDescent="0.25">
      <c r="B248" s="42">
        <f>('Выборка 1'!AL248+'Выборка 1'!AG248)/1000</f>
        <v>0</v>
      </c>
      <c r="C248" s="17">
        <v>33</v>
      </c>
      <c r="D248" s="17">
        <f>(('Выборка 1'!E248-'Выборка 1'!D248)+('Выборка 1'!F248-'Выборка 1'!E248)+('Выборка 1'!G248-'Выборка 1'!F248)+('Выборка 1'!H248-'Выборка 1'!G248))/4000</f>
        <v>0</v>
      </c>
      <c r="E248" s="44">
        <f>(('Выборка 1'!J248-'Выборка 1'!I248)+('Выборка 1'!K248-'Выборка 1'!J248)+('Выборка 1'!L248-'Выборка 1'!K248)+('Выборка 1'!M248-'Выборка 1'!L248))/4000</f>
        <v>0</v>
      </c>
      <c r="F248" s="17">
        <f>(('Выборка 1'!O248-'Выборка 1'!N248)+('Выборка 1'!P248-'Выборка 1'!O248)+('Выборка 1'!Q248-'Выборка 1'!P248)+('Выборка 1'!R248-'Выборка 1'!Q248))/4000</f>
        <v>0</v>
      </c>
      <c r="G248" s="44">
        <f>(('Выборка 1'!T248-'Выборка 1'!S248)+('Выборка 1'!U248-'Выборка 1'!T248)+('Выборка 1'!V248-'Выборка 1'!U248)+('Выборка 1'!W248-'Выборка 1'!V248))/4000</f>
        <v>0</v>
      </c>
      <c r="H248" s="44">
        <f>(('Выборка 1'!Y248-'Выборка 1'!X248)+('Выборка 1'!Z248+'Выборка 1'!Y248)+('Выборка 1'!AA248-'Выборка 1'!Z248)+('Выборка 1'!AB248-'Выборка 1'!AA248))/4000</f>
        <v>0</v>
      </c>
      <c r="I248" s="44">
        <f>(('Выборка 1'!AD248-'Выборка 1'!AC248)+('Выборка 1'!AE248-'Выборка 1'!AD248)+('Выборка 1'!AF248-'Выборка 1'!AE248)+('Выборка 1'!AG248-'Выборка 1'!AF248))/4000</f>
        <v>0</v>
      </c>
      <c r="J248" s="44">
        <f>(('Выборка 1'!AI248-'Выборка 1'!AH248)+('Выборка 1'!AJ248-'Выборка 1'!AI248)+('Выборка 1'!AK248-'Выборка 1'!AJ248)+('Выборка 1'!AL248-'Выборка 1'!AK248))/4000</f>
        <v>0</v>
      </c>
      <c r="K248" s="17">
        <f>(('Выборка 1'!AN248-'Выборка 1'!AM248)+('Выборка 1'!AO248-'Выборка 1'!AN248)+('Выборка 1'!AP248-'Выборка 1'!AO248)+('Выборка 1'!AQ248-'Выборка 1'!AP248))/4000</f>
        <v>0</v>
      </c>
      <c r="L248" s="44">
        <f>((('Выборка 1'!AS248+'Выборка 1'!AX248)-('Выборка 1'!AR248+'Выборка 1'!AW248))+(('Выборка 1'!AT248+'Выборка 1'!AY248)-('Выборка 1'!AS248+'Выборка 1'!AX248))+(('Выборка 1'!AU248+'Выборка 1'!AZ248)-('Выборка 1'!AT248+'Выборка 1'!AY248))+(('Выборка 1'!AV248+'Выборка 1'!BA248)-('Выборка 1'!AU248+'Выборка 1'!AZ248)))/4000</f>
        <v>0</v>
      </c>
      <c r="M248" s="44">
        <f>(('Выборка 1'!BC248-'Выборка 1'!BB248)+('Выборка 1'!BD248-'Выборка 1'!BC248)+('Выборка 1'!BE248-'Выборка 1'!BD248)+('Выборка 1'!BF248-'Выборка 1'!BE248))/4000</f>
        <v>0</v>
      </c>
      <c r="N248" s="44">
        <f t="shared" si="3"/>
        <v>0</v>
      </c>
      <c r="O248" s="17">
        <f>((('Выборка 1'!BH248-'Выборка 1'!BM248)-('Выборка 1'!BG248-'Выборка 1'!BL248))+(('Выборка 1'!BI248-'Выборка 1'!BN248)-('Выборка 1'!BH248-'Выборка 1'!BM248))+(('Выборка 1'!BJ248-'Выборка 1'!BO248)-('Выборка 1'!BI248-'Выборка 1'!BN248))+(('Выборка 1'!BK248-'Выборка 1'!BP248)-('Выборка 1'!BJ248-'Выборка 1'!BO248)))/4000</f>
        <v>0</v>
      </c>
      <c r="P248" s="17">
        <f>(('Выборка 1'!BR248-'Выборка 1'!BQ248)+('Выборка 1'!BS248-'Выборка 1'!BR248)+('Выборка 1'!BT248-'Выборка 1'!BS248)+('Выборка 1'!BU248-'Выборка 1'!BT248))/4000</f>
        <v>0</v>
      </c>
    </row>
    <row r="249" spans="2:16" x14ac:dyDescent="0.25">
      <c r="B249" s="42">
        <f>('Выборка 1'!AL249+'Выборка 1'!AG249)/1000</f>
        <v>107694</v>
      </c>
      <c r="C249" s="17">
        <v>31</v>
      </c>
      <c r="D249" s="17">
        <f>(('Выборка 1'!E249-'Выборка 1'!D249)+('Выборка 1'!F249-'Выборка 1'!E249)+('Выборка 1'!G249-'Выборка 1'!F249)+('Выборка 1'!H249-'Выборка 1'!G249))/4000</f>
        <v>-837.75</v>
      </c>
      <c r="E249" s="44">
        <f>(('Выборка 1'!J249-'Выборка 1'!I249)+('Выборка 1'!K249-'Выборка 1'!J249)+('Выборка 1'!L249-'Выборка 1'!K249)+('Выборка 1'!M249-'Выборка 1'!L249))/4000</f>
        <v>0</v>
      </c>
      <c r="F249" s="17">
        <f>(('Выборка 1'!O249-'Выборка 1'!N249)+('Выборка 1'!P249-'Выборка 1'!O249)+('Выборка 1'!Q249-'Выборка 1'!P249)+('Выборка 1'!R249-'Выборка 1'!Q249))/4000</f>
        <v>-3606.75</v>
      </c>
      <c r="G249" s="44">
        <f>(('Выборка 1'!T249-'Выборка 1'!S249)+('Выборка 1'!U249-'Выборка 1'!T249)+('Выборка 1'!V249-'Выборка 1'!U249)+('Выборка 1'!W249-'Выборка 1'!V249))/4000</f>
        <v>42123.25</v>
      </c>
      <c r="H249" s="44">
        <f>(('Выборка 1'!Y249-'Выборка 1'!X249)+('Выборка 1'!Z249+'Выборка 1'!Y249)+('Выборка 1'!AA249-'Выборка 1'!Z249)+('Выборка 1'!AB249-'Выборка 1'!AA249))/4000</f>
        <v>15584.25</v>
      </c>
      <c r="I249" s="44">
        <f>(('Выборка 1'!AD249-'Выборка 1'!AC249)+('Выборка 1'!AE249-'Выборка 1'!AD249)+('Выборка 1'!AF249-'Выборка 1'!AE249)+('Выборка 1'!AG249-'Выборка 1'!AF249))/4000</f>
        <v>0</v>
      </c>
      <c r="J249" s="44">
        <f>(('Выборка 1'!AI249-'Выборка 1'!AH249)+('Выборка 1'!AJ249-'Выборка 1'!AI249)+('Выборка 1'!AK249-'Выборка 1'!AJ249)+('Выборка 1'!AL249-'Выборка 1'!AK249))/4000</f>
        <v>22880.25</v>
      </c>
      <c r="K249" s="17">
        <f>(('Выборка 1'!AN249-'Выборка 1'!AM249)+('Выборка 1'!AO249-'Выборка 1'!AN249)+('Выборка 1'!AP249-'Выборка 1'!AO249)+('Выборка 1'!AQ249-'Выборка 1'!AP249))/4000</f>
        <v>4071.5</v>
      </c>
      <c r="L249" s="44">
        <f>((('Выборка 1'!AS249+'Выборка 1'!AX249)-('Выборка 1'!AR249+'Выборка 1'!AW249))+(('Выборка 1'!AT249+'Выборка 1'!AY249)-('Выборка 1'!AS249+'Выборка 1'!AX249))+(('Выборка 1'!AU249+'Выборка 1'!AZ249)-('Выборка 1'!AT249+'Выборка 1'!AY249))+(('Выборка 1'!AV249+'Выборка 1'!BA249)-('Выборка 1'!AU249+'Выборка 1'!AZ249)))/4000</f>
        <v>1294.25</v>
      </c>
      <c r="M249" s="44">
        <f>(('Выборка 1'!BC249-'Выборка 1'!BB249)+('Выборка 1'!BD249-'Выборка 1'!BC249)+('Выборка 1'!BE249-'Выборка 1'!BD249)+('Выборка 1'!BF249-'Выборка 1'!BE249))/4000</f>
        <v>-373.5</v>
      </c>
      <c r="N249" s="44">
        <f t="shared" si="3"/>
        <v>3150.75</v>
      </c>
      <c r="O249" s="17">
        <f>((('Выборка 1'!BH249-'Выборка 1'!BM249)-('Выборка 1'!BG249-'Выборка 1'!BL249))+(('Выборка 1'!BI249-'Выборка 1'!BN249)-('Выборка 1'!BH249-'Выборка 1'!BM249))+(('Выборка 1'!BJ249-'Выборка 1'!BO249)-('Выборка 1'!BI249-'Выборка 1'!BN249))+(('Выборка 1'!BK249-'Выборка 1'!BP249)-('Выборка 1'!BJ249-'Выборка 1'!BO249)))/4000</f>
        <v>4814.25</v>
      </c>
      <c r="P249" s="17">
        <f>(('Выборка 1'!BR249-'Выборка 1'!BQ249)+('Выборка 1'!BS249-'Выборка 1'!BR249)+('Выборка 1'!BT249-'Выборка 1'!BS249)+('Выборка 1'!BU249-'Выборка 1'!BT249))/4000</f>
        <v>5407.25</v>
      </c>
    </row>
    <row r="250" spans="2:16" x14ac:dyDescent="0.25">
      <c r="B250" s="42">
        <f>('Выборка 1'!AL250+'Выборка 1'!AG250)/1000</f>
        <v>17444</v>
      </c>
      <c r="C250" s="17">
        <v>24</v>
      </c>
      <c r="D250" s="17">
        <f>(('Выборка 1'!E250-'Выборка 1'!D250)+('Выборка 1'!F250-'Выборка 1'!E250)+('Выборка 1'!G250-'Выборка 1'!F250)+('Выборка 1'!H250-'Выборка 1'!G250))/4000</f>
        <v>-724.5</v>
      </c>
      <c r="E250" s="44">
        <f>(('Выборка 1'!J250-'Выборка 1'!I250)+('Выборка 1'!K250-'Выборка 1'!J250)+('Выборка 1'!L250-'Выборка 1'!K250)+('Выборка 1'!M250-'Выборка 1'!L250))/4000</f>
        <v>0</v>
      </c>
      <c r="F250" s="17">
        <f>(('Выборка 1'!O250-'Выборка 1'!N250)+('Выборка 1'!P250-'Выборка 1'!O250)+('Выборка 1'!Q250-'Выборка 1'!P250)+('Выборка 1'!R250-'Выборка 1'!Q250))/4000</f>
        <v>-282.75</v>
      </c>
      <c r="G250" s="44">
        <f>(('Выборка 1'!T250-'Выборка 1'!S250)+('Выборка 1'!U250-'Выборка 1'!T250)+('Выборка 1'!V250-'Выборка 1'!U250)+('Выборка 1'!W250-'Выборка 1'!V250))/4000</f>
        <v>105.5</v>
      </c>
      <c r="H250" s="44">
        <f>(('Выборка 1'!Y250-'Выборка 1'!X250)+('Выборка 1'!Z250+'Выборка 1'!Y250)+('Выборка 1'!AA250-'Выборка 1'!Z250)+('Выборка 1'!AB250-'Выборка 1'!AA250))/4000</f>
        <v>0</v>
      </c>
      <c r="I250" s="44">
        <f>(('Выборка 1'!AD250-'Выборка 1'!AC250)+('Выборка 1'!AE250-'Выборка 1'!AD250)+('Выборка 1'!AF250-'Выборка 1'!AE250)+('Выборка 1'!AG250-'Выборка 1'!AF250))/4000</f>
        <v>0</v>
      </c>
      <c r="J250" s="44">
        <f>(('Выборка 1'!AI250-'Выборка 1'!AH250)+('Выборка 1'!AJ250-'Выборка 1'!AI250)+('Выборка 1'!AK250-'Выборка 1'!AJ250)+('Выборка 1'!AL250-'Выборка 1'!AK250))/4000</f>
        <v>615</v>
      </c>
      <c r="K250" s="17">
        <f>(('Выборка 1'!AN250-'Выборка 1'!AM250)+('Выборка 1'!AO250-'Выборка 1'!AN250)+('Выборка 1'!AP250-'Выборка 1'!AO250)+('Выборка 1'!AQ250-'Выборка 1'!AP250))/4000</f>
        <v>0</v>
      </c>
      <c r="L250" s="44">
        <f>((('Выборка 1'!AS250+'Выборка 1'!AX250)-('Выборка 1'!AR250+'Выборка 1'!AW250))+(('Выборка 1'!AT250+'Выборка 1'!AY250)-('Выборка 1'!AS250+'Выборка 1'!AX250))+(('Выборка 1'!AU250+'Выборка 1'!AZ250)-('Выборка 1'!AT250+'Выборка 1'!AY250))+(('Выборка 1'!AV250+'Выборка 1'!BA250)-('Выборка 1'!AU250+'Выборка 1'!AZ250)))/4000</f>
        <v>247</v>
      </c>
      <c r="M250" s="44">
        <f>(('Выборка 1'!BC250-'Выборка 1'!BB250)+('Выборка 1'!BD250-'Выборка 1'!BC250)+('Выборка 1'!BE250-'Выборка 1'!BD250)+('Выборка 1'!BF250-'Выборка 1'!BE250))/4000</f>
        <v>0</v>
      </c>
      <c r="N250" s="44">
        <f t="shared" si="3"/>
        <v>-247</v>
      </c>
      <c r="O250" s="17">
        <f>((('Выборка 1'!BH250-'Выборка 1'!BM250)-('Выборка 1'!BG250-'Выборка 1'!BL250))+(('Выборка 1'!BI250-'Выборка 1'!BN250)-('Выборка 1'!BH250-'Выборка 1'!BM250))+(('Выборка 1'!BJ250-'Выборка 1'!BO250)-('Выборка 1'!BI250-'Выборка 1'!BN250))+(('Выборка 1'!BK250-'Выборка 1'!BP250)-('Выборка 1'!BJ250-'Выборка 1'!BO250)))/4000</f>
        <v>-155.5</v>
      </c>
      <c r="P250" s="17">
        <f>(('Выборка 1'!BR250-'Выборка 1'!BQ250)+('Выборка 1'!BS250-'Выборка 1'!BR250)+('Выборка 1'!BT250-'Выборка 1'!BS250)+('Выборка 1'!BU250-'Выборка 1'!BT250))/4000</f>
        <v>-402.5</v>
      </c>
    </row>
    <row r="251" spans="2:16" x14ac:dyDescent="0.25">
      <c r="B251" s="42">
        <f>('Выборка 1'!AL251+'Выборка 1'!AG251)/1000</f>
        <v>22416</v>
      </c>
      <c r="C251" s="17">
        <v>17</v>
      </c>
      <c r="D251" s="17">
        <f>(('Выборка 1'!E251-'Выборка 1'!D251)+('Выборка 1'!F251-'Выборка 1'!E251)+('Выборка 1'!G251-'Выборка 1'!F251)+('Выборка 1'!H251-'Выборка 1'!G251))/4000</f>
        <v>-2809.25</v>
      </c>
      <c r="E251" s="44">
        <f>(('Выборка 1'!J251-'Выборка 1'!I251)+('Выборка 1'!K251-'Выборка 1'!J251)+('Выборка 1'!L251-'Выборка 1'!K251)+('Выборка 1'!M251-'Выборка 1'!L251))/4000</f>
        <v>26.75</v>
      </c>
      <c r="F251" s="17">
        <f>(('Выборка 1'!O251-'Выборка 1'!N251)+('Выборка 1'!P251-'Выборка 1'!O251)+('Выборка 1'!Q251-'Выборка 1'!P251)+('Выборка 1'!R251-'Выборка 1'!Q251))/4000</f>
        <v>3512.5</v>
      </c>
      <c r="G251" s="44">
        <f>(('Выборка 1'!T251-'Выборка 1'!S251)+('Выборка 1'!U251-'Выборка 1'!T251)+('Выборка 1'!V251-'Выборка 1'!U251)+('Выборка 1'!W251-'Выборка 1'!V251))/4000</f>
        <v>-9</v>
      </c>
      <c r="H251" s="44">
        <f>(('Выборка 1'!Y251-'Выборка 1'!X251)+('Выборка 1'!Z251+'Выборка 1'!Y251)+('Выборка 1'!AA251-'Выборка 1'!Z251)+('Выборка 1'!AB251-'Выборка 1'!AA251))/4000</f>
        <v>34233.5</v>
      </c>
      <c r="I251" s="44">
        <f>(('Выборка 1'!AD251-'Выборка 1'!AC251)+('Выборка 1'!AE251-'Выборка 1'!AD251)+('Выборка 1'!AF251-'Выборка 1'!AE251)+('Выборка 1'!AG251-'Выборка 1'!AF251))/4000</f>
        <v>-691.5</v>
      </c>
      <c r="J251" s="44">
        <f>(('Выборка 1'!AI251-'Выборка 1'!AH251)+('Выборка 1'!AJ251-'Выборка 1'!AI251)+('Выборка 1'!AK251-'Выборка 1'!AJ251)+('Выборка 1'!AL251-'Выборка 1'!AK251))/4000</f>
        <v>-1401</v>
      </c>
      <c r="K251" s="17">
        <f>(('Выборка 1'!AN251-'Выборка 1'!AM251)+('Выборка 1'!AO251-'Выборка 1'!AN251)+('Выборка 1'!AP251-'Выборка 1'!AO251)+('Выборка 1'!AQ251-'Выборка 1'!AP251))/4000</f>
        <v>1406.75</v>
      </c>
      <c r="L251" s="44">
        <f>((('Выборка 1'!AS251+'Выборка 1'!AX251)-('Выборка 1'!AR251+'Выборка 1'!AW251))+(('Выборка 1'!AT251+'Выборка 1'!AY251)-('Выборка 1'!AS251+'Выборка 1'!AX251))+(('Выборка 1'!AU251+'Выборка 1'!AZ251)-('Выборка 1'!AT251+'Выборка 1'!AY251))+(('Выборка 1'!AV251+'Выборка 1'!BA251)-('Выборка 1'!AU251+'Выборка 1'!AZ251)))/4000</f>
        <v>19.25</v>
      </c>
      <c r="M251" s="44">
        <f>(('Выборка 1'!BC251-'Выборка 1'!BB251)+('Выборка 1'!BD251-'Выборка 1'!BC251)+('Выборка 1'!BE251-'Выборка 1'!BD251)+('Выборка 1'!BF251-'Выборка 1'!BE251))/4000</f>
        <v>3273</v>
      </c>
      <c r="N251" s="44">
        <f t="shared" si="3"/>
        <v>-1885.5</v>
      </c>
      <c r="O251" s="17">
        <f>((('Выборка 1'!BH251-'Выборка 1'!BM251)-('Выборка 1'!BG251-'Выборка 1'!BL251))+(('Выборка 1'!BI251-'Выборка 1'!BN251)-('Выборка 1'!BH251-'Выборка 1'!BM251))+(('Выборка 1'!BJ251-'Выборка 1'!BO251)-('Выборка 1'!BI251-'Выборка 1'!BN251))+(('Выборка 1'!BK251-'Выборка 1'!BP251)-('Выборка 1'!BJ251-'Выборка 1'!BO251)))/4000</f>
        <v>1833.75</v>
      </c>
      <c r="P251" s="17">
        <f>(('Выборка 1'!BR251-'Выборка 1'!BQ251)+('Выборка 1'!BS251-'Выборка 1'!BR251)+('Выборка 1'!BT251-'Выборка 1'!BS251)+('Выборка 1'!BU251-'Выборка 1'!BT251))/4000</f>
        <v>-1152</v>
      </c>
    </row>
    <row r="252" spans="2:16" x14ac:dyDescent="0.25">
      <c r="B252" s="42">
        <f>('Выборка 1'!AL252+'Выборка 1'!AG252)/1000</f>
        <v>0</v>
      </c>
      <c r="C252" s="17">
        <v>13</v>
      </c>
      <c r="D252" s="17">
        <f>(('Выборка 1'!E252-'Выборка 1'!D252)+('Выборка 1'!F252-'Выборка 1'!E252)+('Выборка 1'!G252-'Выборка 1'!F252)+('Выборка 1'!H252-'Выборка 1'!G252))/4000</f>
        <v>10425</v>
      </c>
      <c r="E252" s="44">
        <f>(('Выборка 1'!J252-'Выборка 1'!I252)+('Выборка 1'!K252-'Выборка 1'!J252)+('Выборка 1'!L252-'Выборка 1'!K252)+('Выборка 1'!M252-'Выборка 1'!L252))/4000</f>
        <v>-158</v>
      </c>
      <c r="F252" s="17">
        <f>(('Выборка 1'!O252-'Выборка 1'!N252)+('Выборка 1'!P252-'Выборка 1'!O252)+('Выборка 1'!Q252-'Выборка 1'!P252)+('Выборка 1'!R252-'Выборка 1'!Q252))/4000</f>
        <v>0</v>
      </c>
      <c r="G252" s="44">
        <f>(('Выборка 1'!T252-'Выборка 1'!S252)+('Выборка 1'!U252-'Выборка 1'!T252)+('Выборка 1'!V252-'Выборка 1'!U252)+('Выборка 1'!W252-'Выборка 1'!V252))/4000</f>
        <v>250</v>
      </c>
      <c r="H252" s="44">
        <f>(('Выборка 1'!Y252-'Выборка 1'!X252)+('Выборка 1'!Z252+'Выборка 1'!Y252)+('Выборка 1'!AA252-'Выборка 1'!Z252)+('Выборка 1'!AB252-'Выборка 1'!AA252))/4000</f>
        <v>-51321.25</v>
      </c>
      <c r="I252" s="44">
        <f>(('Выборка 1'!AD252-'Выборка 1'!AC252)+('Выборка 1'!AE252-'Выборка 1'!AD252)+('Выборка 1'!AF252-'Выборка 1'!AE252)+('Выборка 1'!AG252-'Выборка 1'!AF252))/4000</f>
        <v>-17187.75</v>
      </c>
      <c r="J252" s="44">
        <f>(('Выборка 1'!AI252-'Выборка 1'!AH252)+('Выборка 1'!AJ252-'Выборка 1'!AI252)+('Выборка 1'!AK252-'Выборка 1'!AJ252)+('Выборка 1'!AL252-'Выборка 1'!AK252))/4000</f>
        <v>-1377</v>
      </c>
      <c r="K252" s="17">
        <f>(('Выборка 1'!AN252-'Выборка 1'!AM252)+('Выборка 1'!AO252-'Выборка 1'!AN252)+('Выборка 1'!AP252-'Выборка 1'!AO252)+('Выборка 1'!AQ252-'Выборка 1'!AP252))/4000</f>
        <v>0</v>
      </c>
      <c r="L252" s="44">
        <f>((('Выборка 1'!AS252+'Выборка 1'!AX252)-('Выборка 1'!AR252+'Выборка 1'!AW252))+(('Выборка 1'!AT252+'Выборка 1'!AY252)-('Выборка 1'!AS252+'Выборка 1'!AX252))+(('Выборка 1'!AU252+'Выборка 1'!AZ252)-('Выборка 1'!AT252+'Выборка 1'!AY252))+(('Выборка 1'!AV252+'Выборка 1'!BA252)-('Выборка 1'!AU252+'Выборка 1'!AZ252)))/4000</f>
        <v>-4</v>
      </c>
      <c r="M252" s="44">
        <f>(('Выборка 1'!BC252-'Выборка 1'!BB252)+('Выборка 1'!BD252-'Выборка 1'!BC252)+('Выборка 1'!BE252-'Выборка 1'!BD252)+('Выборка 1'!BF252-'Выборка 1'!BE252))/4000</f>
        <v>-442.5</v>
      </c>
      <c r="N252" s="44">
        <f t="shared" si="3"/>
        <v>446.5</v>
      </c>
      <c r="O252" s="17">
        <f>((('Выборка 1'!BH252-'Выборка 1'!BM252)-('Выборка 1'!BG252-'Выборка 1'!BL252))+(('Выборка 1'!BI252-'Выборка 1'!BN252)-('Выборка 1'!BH252-'Выборка 1'!BM252))+(('Выборка 1'!BJ252-'Выборка 1'!BO252)-('Выборка 1'!BI252-'Выборка 1'!BN252))+(('Выборка 1'!BK252-'Выборка 1'!BP252)-('Выборка 1'!BJ252-'Выборка 1'!BO252)))/4000</f>
        <v>1.75</v>
      </c>
      <c r="P252" s="17">
        <f>(('Выборка 1'!BR252-'Выборка 1'!BQ252)+('Выборка 1'!BS252-'Выборка 1'!BR252)+('Выборка 1'!BT252-'Выборка 1'!BS252)+('Выборка 1'!BU252-'Выборка 1'!BT252))/4000</f>
        <v>448.25</v>
      </c>
    </row>
    <row r="253" spans="2:16" x14ac:dyDescent="0.25">
      <c r="B253" s="42">
        <f>('Выборка 1'!AL253+'Выборка 1'!AG253)/1000</f>
        <v>520712</v>
      </c>
      <c r="C253" s="17">
        <v>21</v>
      </c>
      <c r="D253" s="17">
        <f>(('Выборка 1'!E253-'Выборка 1'!D253)+('Выборка 1'!F253-'Выборка 1'!E253)+('Выборка 1'!G253-'Выборка 1'!F253)+('Выборка 1'!H253-'Выборка 1'!G253))/4000</f>
        <v>-1899.75</v>
      </c>
      <c r="E253" s="44">
        <f>(('Выборка 1'!J253-'Выборка 1'!I253)+('Выборка 1'!K253-'Выборка 1'!J253)+('Выборка 1'!L253-'Выборка 1'!K253)+('Выборка 1'!M253-'Выборка 1'!L253))/4000</f>
        <v>-10142.5</v>
      </c>
      <c r="F253" s="17">
        <f>(('Выборка 1'!O253-'Выборка 1'!N253)+('Выборка 1'!P253-'Выборка 1'!O253)+('Выборка 1'!Q253-'Выборка 1'!P253)+('Выборка 1'!R253-'Выборка 1'!Q253))/4000</f>
        <v>-91675</v>
      </c>
      <c r="G253" s="44">
        <f>(('Выборка 1'!T253-'Выборка 1'!S253)+('Выборка 1'!U253-'Выборка 1'!T253)+('Выборка 1'!V253-'Выборка 1'!U253)+('Выборка 1'!W253-'Выборка 1'!V253))/4000</f>
        <v>8356.25</v>
      </c>
      <c r="H253" s="44">
        <f>(('Выборка 1'!Y253-'Выборка 1'!X253)+('Выборка 1'!Z253+'Выборка 1'!Y253)+('Выборка 1'!AA253-'Выборка 1'!Z253)+('Выборка 1'!AB253-'Выборка 1'!AA253))/4000</f>
        <v>-153562.25</v>
      </c>
      <c r="I253" s="44">
        <f>(('Выборка 1'!AD253-'Выборка 1'!AC253)+('Выборка 1'!AE253-'Выборка 1'!AD253)+('Выборка 1'!AF253-'Выборка 1'!AE253)+('Выборка 1'!AG253-'Выборка 1'!AF253))/4000</f>
        <v>67624.75</v>
      </c>
      <c r="J253" s="44">
        <f>(('Выборка 1'!AI253-'Выборка 1'!AH253)+('Выборка 1'!AJ253-'Выборка 1'!AI253)+('Выборка 1'!AK253-'Выборка 1'!AJ253)+('Выборка 1'!AL253-'Выборка 1'!AK253))/4000</f>
        <v>22868.25</v>
      </c>
      <c r="K253" s="17">
        <f>(('Выборка 1'!AN253-'Выборка 1'!AM253)+('Выборка 1'!AO253-'Выборка 1'!AN253)+('Выборка 1'!AP253-'Выборка 1'!AO253)+('Выборка 1'!AQ253-'Выборка 1'!AP253))/4000</f>
        <v>-174485.5</v>
      </c>
      <c r="L253" s="44">
        <f>((('Выборка 1'!AS253+'Выборка 1'!AX253)-('Выборка 1'!AR253+'Выборка 1'!AW253))+(('Выборка 1'!AT253+'Выборка 1'!AY253)-('Выборка 1'!AS253+'Выборка 1'!AX253))+(('Выборка 1'!AU253+'Выборка 1'!AZ253)-('Выборка 1'!AT253+'Выборка 1'!AY253))+(('Выборка 1'!AV253+'Выборка 1'!BA253)-('Выборка 1'!AU253+'Выборка 1'!AZ253)))/4000</f>
        <v>-139379.25</v>
      </c>
      <c r="M253" s="44">
        <f>(('Выборка 1'!BC253-'Выборка 1'!BB253)+('Выборка 1'!BD253-'Выборка 1'!BC253)+('Выборка 1'!BE253-'Выборка 1'!BD253)+('Выборка 1'!BF253-'Выборка 1'!BE253))/4000</f>
        <v>-21734</v>
      </c>
      <c r="N253" s="44">
        <f t="shared" si="3"/>
        <v>-13372.25</v>
      </c>
      <c r="O253" s="17">
        <f>((('Выборка 1'!BH253-'Выборка 1'!BM253)-('Выборка 1'!BG253-'Выборка 1'!BL253))+(('Выборка 1'!BI253-'Выборка 1'!BN253)-('Выборка 1'!BH253-'Выборка 1'!BM253))+(('Выборка 1'!BJ253-'Выборка 1'!BO253)-('Выборка 1'!BI253-'Выборка 1'!BN253))+(('Выборка 1'!BK253-'Выборка 1'!BP253)-('Выборка 1'!BJ253-'Выборка 1'!BO253)))/4000</f>
        <v>8038.25</v>
      </c>
      <c r="P253" s="17">
        <f>(('Выборка 1'!BR253-'Выборка 1'!BQ253)+('Выборка 1'!BS253-'Выборка 1'!BR253)+('Выборка 1'!BT253-'Выборка 1'!BS253)+('Выборка 1'!BU253-'Выборка 1'!BT253))/4000</f>
        <v>1730.75</v>
      </c>
    </row>
    <row r="255" spans="2:16" ht="30" x14ac:dyDescent="0.25">
      <c r="B255" s="43" t="s">
        <v>848</v>
      </c>
      <c r="C255" s="43"/>
    </row>
  </sheetData>
  <pageMargins left="0.75" right="0.75" top="0.75" bottom="0.5" header="0.5" footer="0.75"/>
  <pageSetup paperSize="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55"/>
  <sheetViews>
    <sheetView topLeftCell="B1" zoomScale="140" zoomScaleNormal="140" workbookViewId="0">
      <selection activeCell="J4" sqref="J4"/>
    </sheetView>
  </sheetViews>
  <sheetFormatPr defaultColWidth="8.85546875" defaultRowHeight="15" x14ac:dyDescent="0.25"/>
  <cols>
    <col min="1" max="1" width="6.7109375" style="19" customWidth="1"/>
    <col min="2" max="3" width="20.28515625" style="19" customWidth="1"/>
    <col min="4" max="8" width="25.7109375" style="19" customWidth="1"/>
    <col min="9" max="9" width="4" style="15" customWidth="1"/>
    <col min="10" max="16384" width="8.85546875" style="15"/>
  </cols>
  <sheetData>
    <row r="1" spans="2:10" ht="75" x14ac:dyDescent="0.25">
      <c r="B1" s="41" t="s">
        <v>847</v>
      </c>
      <c r="C1" s="13" t="s">
        <v>3</v>
      </c>
      <c r="D1" s="13" t="s">
        <v>820</v>
      </c>
      <c r="E1" s="13" t="s">
        <v>822</v>
      </c>
      <c r="F1" s="13" t="s">
        <v>827</v>
      </c>
      <c r="G1" s="13" t="s">
        <v>831</v>
      </c>
      <c r="H1" s="13" t="s">
        <v>832</v>
      </c>
      <c r="J1" s="45" t="s">
        <v>849</v>
      </c>
    </row>
    <row r="2" spans="2:10" x14ac:dyDescent="0.25">
      <c r="B2" s="42">
        <f>('Выборка 1'!AL2+'Выборка 1'!AG2)/1000</f>
        <v>58</v>
      </c>
      <c r="C2" s="17">
        <v>12</v>
      </c>
      <c r="D2" s="17">
        <f>(('Выборка 1'!E2-'Выборка 1'!D2)+('Выборка 1'!F2-'Выборка 1'!E2)+('Выборка 1'!G2-'Выборка 1'!F2)+('Выборка 1'!H2-'Выборка 1'!G2))/4/1000</f>
        <v>0</v>
      </c>
      <c r="E2" s="17">
        <f>(('Выборка 1'!O2-'Выборка 1'!N2)+('Выборка 1'!P2-'Выборка 1'!O2)+('Выборка 1'!Q2-'Выборка 1'!P2)+('Выборка 1'!R2-'Выборка 1'!Q2))/4000</f>
        <v>-186.25</v>
      </c>
      <c r="F2" s="17">
        <f>(('Выборка 1'!AN2-'Выборка 1'!AM2)+('Выборка 1'!AO2-'Выборка 1'!AN2)+('Выборка 1'!AP2-'Выборка 1'!AO2)+('Выборка 1'!AQ2-'Выборка 1'!AP2))/4000</f>
        <v>-2740.5</v>
      </c>
      <c r="G2" s="17">
        <f>((('Выборка 1'!BH2-'Выборка 1'!BM2)-('Выборка 1'!BG2-'Выборка 1'!BL2))+(('Выборка 1'!BI2-'Выборка 1'!BN2)-('Выборка 1'!BH2-'Выборка 1'!BM2))+(('Выборка 1'!BJ2-'Выборка 1'!BO2)-('Выборка 1'!BI2-'Выборка 1'!BN2))+(('Выборка 1'!BK2-'Выборка 1'!BP2)-('Выборка 1'!BJ2-'Выборка 1'!BO2)))/4000</f>
        <v>55.5</v>
      </c>
      <c r="H2" s="17">
        <f>(('Выборка 1'!BR2-'Выборка 1'!BQ2)+('Выборка 1'!BS2-'Выборка 1'!BR2)+('Выборка 1'!BT2-'Выборка 1'!BS2)+('Выборка 1'!BU2-'Выборка 1'!BT2))/4000</f>
        <v>-482</v>
      </c>
      <c r="J2" s="15" t="s">
        <v>850</v>
      </c>
    </row>
    <row r="3" spans="2:10" x14ac:dyDescent="0.25">
      <c r="B3" s="42">
        <f>('Выборка 1'!AL3+'Выборка 1'!AG3)/1000</f>
        <v>16300</v>
      </c>
      <c r="C3" s="17">
        <v>17</v>
      </c>
      <c r="D3" s="17">
        <f>(('Выборка 1'!E3-'Выборка 1'!D3)+('Выборка 1'!F3-'Выборка 1'!E3)+('Выборка 1'!G3-'Выборка 1'!F3)+('Выборка 1'!H3-'Выборка 1'!G3))/4000</f>
        <v>-374</v>
      </c>
      <c r="E3" s="17">
        <f>(('Выборка 1'!O3-'Выборка 1'!N3)+('Выборка 1'!P3-'Выборка 1'!O3)+('Выборка 1'!Q3-'Выборка 1'!P3)+('Выборка 1'!R3-'Выборка 1'!Q3))/4000</f>
        <v>-6043.5</v>
      </c>
      <c r="F3" s="17">
        <f>(('Выборка 1'!AN3-'Выборка 1'!AM3)+('Выборка 1'!AO3-'Выборка 1'!AN3)+('Выборка 1'!AP3-'Выборка 1'!AO3)+('Выборка 1'!AQ3-'Выборка 1'!AP3))/4000</f>
        <v>-27902.25</v>
      </c>
      <c r="G3" s="17">
        <f>((('Выборка 1'!BH3-'Выборка 1'!BM3)-('Выборка 1'!BG3-'Выборка 1'!BL3))+(('Выборка 1'!BI3-'Выборка 1'!BN3)-('Выборка 1'!BH3-'Выборка 1'!BM3))+(('Выборка 1'!BJ3-'Выборка 1'!BO3)-('Выборка 1'!BI3-'Выборка 1'!BN3))+(('Выборка 1'!BK3-'Выборка 1'!BP3)-('Выборка 1'!BJ3-'Выборка 1'!BO3)))/4000</f>
        <v>-1577.5</v>
      </c>
      <c r="H3" s="17">
        <f>(('Выборка 1'!BR3-'Выборка 1'!BQ3)+('Выборка 1'!BS3-'Выборка 1'!BR3)+('Выборка 1'!BT3-'Выборка 1'!BS3)+('Выборка 1'!BU3-'Выборка 1'!BT3))/4000</f>
        <v>-5596</v>
      </c>
      <c r="J3" s="15" t="s">
        <v>884</v>
      </c>
    </row>
    <row r="4" spans="2:10" x14ac:dyDescent="0.25">
      <c r="B4" s="42">
        <f>('Выборка 1'!AL4+'Выборка 1'!AG4)/1000</f>
        <v>0</v>
      </c>
      <c r="C4" s="17">
        <v>10</v>
      </c>
      <c r="D4" s="17">
        <f>(('Выборка 1'!E4-'Выборка 1'!D4)+('Выборка 1'!F4-'Выборка 1'!E4)+('Выборка 1'!G4-'Выборка 1'!F4)+('Выборка 1'!H4-'Выборка 1'!G4))/4000</f>
        <v>0</v>
      </c>
      <c r="E4" s="17">
        <f>(('Выборка 1'!O4-'Выборка 1'!N4)+('Выборка 1'!P4-'Выборка 1'!O4)+('Выборка 1'!Q4-'Выборка 1'!P4)+('Выборка 1'!R4-'Выборка 1'!Q4))/4000</f>
        <v>-246.25</v>
      </c>
      <c r="F4" s="17">
        <f>(('Выборка 1'!AN4-'Выборка 1'!AM4)+('Выборка 1'!AO4-'Выборка 1'!AN4)+('Выборка 1'!AP4-'Выборка 1'!AO4)+('Выборка 1'!AQ4-'Выборка 1'!AP4))/4000</f>
        <v>0</v>
      </c>
      <c r="G4" s="17">
        <f>((('Выборка 1'!BH4-'Выборка 1'!BM4)-('Выборка 1'!BG4-'Выборка 1'!BL4))+(('Выборка 1'!BI4-'Выборка 1'!BN4)-('Выборка 1'!BH4-'Выборка 1'!BM4))+(('Выборка 1'!BJ4-'Выборка 1'!BO4)-('Выборка 1'!BI4-'Выборка 1'!BN4))+(('Выборка 1'!BK4-'Выборка 1'!BP4)-('Выборка 1'!BJ4-'Выборка 1'!BO4)))/4000</f>
        <v>0</v>
      </c>
      <c r="H4" s="17">
        <f>(('Выборка 1'!BR4-'Выборка 1'!BQ4)+('Выборка 1'!BS4-'Выборка 1'!BR4)+('Выборка 1'!BT4-'Выборка 1'!BS4)+('Выборка 1'!BU4-'Выборка 1'!BT4))/4000</f>
        <v>0</v>
      </c>
      <c r="J4" s="15" t="s">
        <v>882</v>
      </c>
    </row>
    <row r="5" spans="2:10" x14ac:dyDescent="0.25">
      <c r="B5" s="42">
        <f>('Выборка 1'!AL5+'Выборка 1'!AG5)/1000</f>
        <v>42556</v>
      </c>
      <c r="C5" s="17">
        <v>18</v>
      </c>
      <c r="D5" s="17">
        <f>(('Выборка 1'!E5-'Выборка 1'!D5)+('Выборка 1'!F5-'Выборка 1'!E5)+('Выборка 1'!G5-'Выборка 1'!F5)+('Выборка 1'!H5-'Выборка 1'!G5))/4000</f>
        <v>0</v>
      </c>
      <c r="E5" s="17">
        <f>(('Выборка 1'!O5-'Выборка 1'!N5)+('Выборка 1'!P5-'Выборка 1'!O5)+('Выборка 1'!Q5-'Выборка 1'!P5)+('Выборка 1'!R5-'Выборка 1'!Q5))/4000</f>
        <v>-6187</v>
      </c>
      <c r="F5" s="17">
        <f>(('Выборка 1'!AN5-'Выборка 1'!AM5)+('Выборка 1'!AO5-'Выборка 1'!AN5)+('Выборка 1'!AP5-'Выборка 1'!AO5)+('Выборка 1'!AQ5-'Выборка 1'!AP5))/4000</f>
        <v>-28999.5</v>
      </c>
      <c r="G5" s="17">
        <f>((('Выборка 1'!BH5-'Выборка 1'!BM5)-('Выборка 1'!BG5-'Выборка 1'!BL5))+(('Выборка 1'!BI5-'Выборка 1'!BN5)-('Выборка 1'!BH5-'Выборка 1'!BM5))+(('Выборка 1'!BJ5-'Выборка 1'!BO5)-('Выборка 1'!BI5-'Выборка 1'!BN5))+(('Выборка 1'!BK5-'Выборка 1'!BP5)-('Выборка 1'!BJ5-'Выборка 1'!BO5)))/4000</f>
        <v>4050.25</v>
      </c>
      <c r="H5" s="17">
        <f>(('Выборка 1'!BR5-'Выборка 1'!BQ5)+('Выборка 1'!BS5-'Выборка 1'!BR5)+('Выборка 1'!BT5-'Выборка 1'!BS5)+('Выборка 1'!BU5-'Выборка 1'!BT5))/4000</f>
        <v>342.25</v>
      </c>
      <c r="J5" s="15" t="s">
        <v>883</v>
      </c>
    </row>
    <row r="6" spans="2:10" x14ac:dyDescent="0.25">
      <c r="B6" s="42">
        <f>('Выборка 1'!AL6+'Выборка 1'!AG6)/1000</f>
        <v>0</v>
      </c>
      <c r="C6" s="17">
        <v>16</v>
      </c>
      <c r="D6" s="17">
        <f>(('Выборка 1'!E6-'Выборка 1'!D6)+('Выборка 1'!F6-'Выборка 1'!E6)+('Выборка 1'!G6-'Выборка 1'!F6)+('Выборка 1'!H6-'Выборка 1'!G6))/4000</f>
        <v>0</v>
      </c>
      <c r="E6" s="17">
        <f>(('Выборка 1'!O6-'Выборка 1'!N6)+('Выборка 1'!P6-'Выборка 1'!O6)+('Выборка 1'!Q6-'Выборка 1'!P6)+('Выборка 1'!R6-'Выборка 1'!Q6))/4000</f>
        <v>-780.75</v>
      </c>
      <c r="F6" s="17">
        <f>(('Выборка 1'!AN6-'Выборка 1'!AM6)+('Выборка 1'!AO6-'Выборка 1'!AN6)+('Выборка 1'!AP6-'Выборка 1'!AO6)+('Выборка 1'!AQ6-'Выборка 1'!AP6))/4000</f>
        <v>-6629.25</v>
      </c>
      <c r="G6" s="17">
        <f>((('Выборка 1'!BH6-'Выборка 1'!BM6)-('Выборка 1'!BG6-'Выборка 1'!BL6))+(('Выборка 1'!BI6-'Выборка 1'!BN6)-('Выборка 1'!BH6-'Выборка 1'!BM6))+(('Выборка 1'!BJ6-'Выборка 1'!BO6)-('Выборка 1'!BI6-'Выборка 1'!BN6))+(('Выборка 1'!BK6-'Выборка 1'!BP6)-('Выборка 1'!BJ6-'Выборка 1'!BO6)))/4000</f>
        <v>1531.25</v>
      </c>
      <c r="H6" s="17">
        <f>(('Выборка 1'!BR6-'Выборка 1'!BQ6)+('Выборка 1'!BS6-'Выборка 1'!BR6)+('Выборка 1'!BT6-'Выборка 1'!BS6)+('Выборка 1'!BU6-'Выборка 1'!BT6))/4000</f>
        <v>-47.5</v>
      </c>
      <c r="J6" s="15" t="s">
        <v>851</v>
      </c>
    </row>
    <row r="7" spans="2:10" x14ac:dyDescent="0.25">
      <c r="B7" s="42">
        <f>('Выборка 1'!AL7+'Выборка 1'!AG7)/1000</f>
        <v>28101</v>
      </c>
      <c r="C7" s="17">
        <v>30</v>
      </c>
      <c r="D7" s="17">
        <f>(('Выборка 1'!E7-'Выборка 1'!D7)+('Выборка 1'!F7-'Выборка 1'!E7)+('Выборка 1'!G7-'Выборка 1'!F7)+('Выборка 1'!H7-'Выборка 1'!G7))/4000</f>
        <v>-235.25</v>
      </c>
      <c r="E7" s="17">
        <f>(('Выборка 1'!O7-'Выборка 1'!N7)+('Выборка 1'!P7-'Выборка 1'!O7)+('Выборка 1'!Q7-'Выборка 1'!P7)+('Выборка 1'!R7-'Выборка 1'!Q7))/4000</f>
        <v>-458.75</v>
      </c>
      <c r="F7" s="17">
        <f>(('Выборка 1'!AN7-'Выборка 1'!AM7)+('Выборка 1'!AO7-'Выборка 1'!AN7)+('Выборка 1'!AP7-'Выборка 1'!AO7)+('Выборка 1'!AQ7-'Выборка 1'!AP7))/4000</f>
        <v>-3495</v>
      </c>
      <c r="G7" s="17">
        <f>((('Выборка 1'!BH7-'Выборка 1'!BM7)-('Выборка 1'!BG7-'Выборка 1'!BL7))+(('Выборка 1'!BI7-'Выборка 1'!BN7)-('Выборка 1'!BH7-'Выборка 1'!BM7))+(('Выборка 1'!BJ7-'Выборка 1'!BO7)-('Выборка 1'!BI7-'Выборка 1'!BN7))+(('Выборка 1'!BK7-'Выборка 1'!BP7)-('Выборка 1'!BJ7-'Выборка 1'!BO7)))/4000</f>
        <v>-27.5</v>
      </c>
      <c r="H7" s="17">
        <f>(('Выборка 1'!BR7-'Выборка 1'!BQ7)+('Выборка 1'!BS7-'Выборка 1'!BR7)+('Выборка 1'!BT7-'Выборка 1'!BS7)+('Выборка 1'!BU7-'Выборка 1'!BT7))/4000</f>
        <v>1227.75</v>
      </c>
    </row>
    <row r="8" spans="2:10" x14ac:dyDescent="0.25">
      <c r="B8" s="42">
        <f>('Выборка 1'!AL8+'Выборка 1'!AG8)/1000</f>
        <v>49764</v>
      </c>
      <c r="C8" s="17">
        <v>18</v>
      </c>
      <c r="D8" s="17">
        <f>(('Выборка 1'!E8-'Выборка 1'!D8)+('Выборка 1'!F8-'Выборка 1'!E8)+('Выборка 1'!G8-'Выборка 1'!F8)+('Выборка 1'!H8-'Выборка 1'!G8))/4000</f>
        <v>0</v>
      </c>
      <c r="E8" s="17">
        <f>(('Выборка 1'!O8-'Выборка 1'!N8)+('Выборка 1'!P8-'Выборка 1'!O8)+('Выборка 1'!Q8-'Выборка 1'!P8)+('Выборка 1'!R8-'Выборка 1'!Q8))/4000</f>
        <v>1485.5</v>
      </c>
      <c r="F8" s="17">
        <f>(('Выборка 1'!AN8-'Выборка 1'!AM8)+('Выборка 1'!AO8-'Выборка 1'!AN8)+('Выборка 1'!AP8-'Выборка 1'!AO8)+('Выборка 1'!AQ8-'Выборка 1'!AP8))/4000</f>
        <v>0</v>
      </c>
      <c r="G8" s="17">
        <f>((('Выборка 1'!BH8-'Выборка 1'!BM8)-('Выборка 1'!BG8-'Выборка 1'!BL8))+(('Выборка 1'!BI8-'Выборка 1'!BN8)-('Выборка 1'!BH8-'Выборка 1'!BM8))+(('Выборка 1'!BJ8-'Выборка 1'!BO8)-('Выборка 1'!BI8-'Выборка 1'!BN8))+(('Выборка 1'!BK8-'Выборка 1'!BP8)-('Выборка 1'!BJ8-'Выборка 1'!BO8)))/4000</f>
        <v>93.25</v>
      </c>
      <c r="H8" s="17">
        <f>(('Выборка 1'!BR8-'Выборка 1'!BQ8)+('Выборка 1'!BS8-'Выборка 1'!BR8)+('Выборка 1'!BT8-'Выборка 1'!BS8)+('Выборка 1'!BU8-'Выборка 1'!BT8))/4000</f>
        <v>93.25</v>
      </c>
    </row>
    <row r="9" spans="2:10" x14ac:dyDescent="0.25">
      <c r="B9" s="42">
        <f>('Выборка 1'!AL9+'Выборка 1'!AG9)/1000</f>
        <v>48749</v>
      </c>
      <c r="C9" s="17">
        <v>20</v>
      </c>
      <c r="D9" s="17">
        <f>(('Выборка 1'!E9-'Выборка 1'!D9)+('Выборка 1'!F9-'Выборка 1'!E9)+('Выборка 1'!G9-'Выборка 1'!F9)+('Выборка 1'!H9-'Выборка 1'!G9))/4000</f>
        <v>0</v>
      </c>
      <c r="E9" s="17">
        <f>(('Выборка 1'!O9-'Выборка 1'!N9)+('Выборка 1'!P9-'Выборка 1'!O9)+('Выборка 1'!Q9-'Выборка 1'!P9)+('Выборка 1'!R9-'Выборка 1'!Q9))/4000</f>
        <v>-2159</v>
      </c>
      <c r="F9" s="17">
        <f>(('Выборка 1'!AN9-'Выборка 1'!AM9)+('Выборка 1'!AO9-'Выборка 1'!AN9)+('Выборка 1'!AP9-'Выборка 1'!AO9)+('Выборка 1'!AQ9-'Выборка 1'!AP9))/4000</f>
        <v>-27.75</v>
      </c>
      <c r="G9" s="17">
        <f>((('Выборка 1'!BH9-'Выборка 1'!BM9)-('Выборка 1'!BG9-'Выборка 1'!BL9))+(('Выборка 1'!BI9-'Выборка 1'!BN9)-('Выборка 1'!BH9-'Выборка 1'!BM9))+(('Выборка 1'!BJ9-'Выборка 1'!BO9)-('Выборка 1'!BI9-'Выборка 1'!BN9))+(('Выборка 1'!BK9-'Выборка 1'!BP9)-('Выборка 1'!BJ9-'Выборка 1'!BO9)))/4000</f>
        <v>2304</v>
      </c>
      <c r="H9" s="17">
        <f>(('Выборка 1'!BR9-'Выборка 1'!BQ9)+('Выборка 1'!BS9-'Выборка 1'!BR9)+('Выборка 1'!BT9-'Выборка 1'!BS9)+('Выборка 1'!BU9-'Выборка 1'!BT9))/4000</f>
        <v>2325</v>
      </c>
    </row>
    <row r="10" spans="2:10" x14ac:dyDescent="0.25">
      <c r="B10" s="42">
        <f>('Выборка 1'!AL10+'Выборка 1'!AG10)/1000</f>
        <v>14648</v>
      </c>
      <c r="C10" s="17">
        <v>14</v>
      </c>
      <c r="D10" s="17">
        <f>(('Выборка 1'!E10-'Выборка 1'!D10)+('Выборка 1'!F10-'Выборка 1'!E10)+('Выборка 1'!G10-'Выборка 1'!F10)+('Выборка 1'!H10-'Выборка 1'!G10))/4000</f>
        <v>0</v>
      </c>
      <c r="E10" s="17">
        <f>(('Выборка 1'!O10-'Выборка 1'!N10)+('Выборка 1'!P10-'Выборка 1'!O10)+('Выборка 1'!Q10-'Выборка 1'!P10)+('Выборка 1'!R10-'Выборка 1'!Q10))/4000</f>
        <v>-3780.25</v>
      </c>
      <c r="F10" s="17">
        <f>(('Выборка 1'!AN10-'Выборка 1'!AM10)+('Выборка 1'!AO10-'Выборка 1'!AN10)+('Выборка 1'!AP10-'Выборка 1'!AO10)+('Выборка 1'!AQ10-'Выборка 1'!AP10))/4000</f>
        <v>-3213.75</v>
      </c>
      <c r="G10" s="17">
        <f>((('Выборка 1'!BH10-'Выборка 1'!BM10)-('Выборка 1'!BG10-'Выборка 1'!BL10))+(('Выборка 1'!BI10-'Выборка 1'!BN10)-('Выборка 1'!BH10-'Выборка 1'!BM10))+(('Выборка 1'!BJ10-'Выборка 1'!BO10)-('Выборка 1'!BI10-'Выборка 1'!BN10))+(('Выборка 1'!BK10-'Выборка 1'!BP10)-('Выборка 1'!BJ10-'Выборка 1'!BO10)))/4000</f>
        <v>-1219.5</v>
      </c>
      <c r="H10" s="17">
        <f>(('Выборка 1'!BR10-'Выборка 1'!BQ10)+('Выборка 1'!BS10-'Выборка 1'!BR10)+('Выборка 1'!BT10-'Выборка 1'!BS10)+('Выборка 1'!BU10-'Выборка 1'!BT10))/4000</f>
        <v>-1785.75</v>
      </c>
    </row>
    <row r="11" spans="2:10" x14ac:dyDescent="0.25">
      <c r="B11" s="42">
        <f>('Выборка 1'!AL11+'Выборка 1'!AG11)/1000</f>
        <v>13128</v>
      </c>
      <c r="C11" s="17">
        <v>14</v>
      </c>
      <c r="D11" s="17">
        <f>(('Выборка 1'!E11-'Выборка 1'!D11)+('Выборка 1'!F11-'Выборка 1'!E11)+('Выборка 1'!G11-'Выборка 1'!F11)+('Выборка 1'!H11-'Выборка 1'!G11))/4000</f>
        <v>0</v>
      </c>
      <c r="E11" s="17">
        <f>(('Выборка 1'!O11-'Выборка 1'!N11)+('Выборка 1'!P11-'Выборка 1'!O11)+('Выборка 1'!Q11-'Выборка 1'!P11)+('Выборка 1'!R11-'Выборка 1'!Q11))/4000</f>
        <v>-5465</v>
      </c>
      <c r="F11" s="17">
        <f>(('Выборка 1'!AN11-'Выборка 1'!AM11)+('Выборка 1'!AO11-'Выборка 1'!AN11)+('Выборка 1'!AP11-'Выборка 1'!AO11)+('Выборка 1'!AQ11-'Выборка 1'!AP11))/4000</f>
        <v>-1202</v>
      </c>
      <c r="G11" s="17">
        <f>((('Выборка 1'!BH11-'Выборка 1'!BM11)-('Выборка 1'!BG11-'Выборка 1'!BL11))+(('Выборка 1'!BI11-'Выборка 1'!BN11)-('Выборка 1'!BH11-'Выборка 1'!BM11))+(('Выборка 1'!BJ11-'Выборка 1'!BO11)-('Выборка 1'!BI11-'Выборка 1'!BN11))+(('Выборка 1'!BK11-'Выборка 1'!BP11)-('Выборка 1'!BJ11-'Выборка 1'!BO11)))/4000</f>
        <v>58.75</v>
      </c>
      <c r="H11" s="17">
        <f>(('Выборка 1'!BR11-'Выборка 1'!BQ11)+('Выборка 1'!BS11-'Выборка 1'!BR11)+('Выборка 1'!BT11-'Выборка 1'!BS11)+('Выборка 1'!BU11-'Выборка 1'!BT11))/4000</f>
        <v>136.5</v>
      </c>
    </row>
    <row r="12" spans="2:10" x14ac:dyDescent="0.25">
      <c r="B12" s="42">
        <f>('Выборка 1'!AL12+'Выборка 1'!AG12)/1000</f>
        <v>19281</v>
      </c>
      <c r="C12" s="17">
        <v>10</v>
      </c>
      <c r="D12" s="17">
        <f>(('Выборка 1'!E12-'Выборка 1'!D12)+('Выборка 1'!F12-'Выборка 1'!E12)+('Выборка 1'!G12-'Выборка 1'!F12)+('Выборка 1'!H12-'Выборка 1'!G12))/4000</f>
        <v>0</v>
      </c>
      <c r="E12" s="17">
        <f>(('Выборка 1'!O12-'Выборка 1'!N12)+('Выборка 1'!P12-'Выборка 1'!O12)+('Выборка 1'!Q12-'Выборка 1'!P12)+('Выборка 1'!R12-'Выборка 1'!Q12))/4000</f>
        <v>-648.5</v>
      </c>
      <c r="F12" s="17">
        <f>(('Выборка 1'!AN12-'Выборка 1'!AM12)+('Выборка 1'!AO12-'Выборка 1'!AN12)+('Выборка 1'!AP12-'Выборка 1'!AO12)+('Выборка 1'!AQ12-'Выборка 1'!AP12))/4000</f>
        <v>-5854</v>
      </c>
      <c r="G12" s="17">
        <f>((('Выборка 1'!BH12-'Выборка 1'!BM12)-('Выборка 1'!BG12-'Выборка 1'!BL12))+(('Выборка 1'!BI12-'Выборка 1'!BN12)-('Выборка 1'!BH12-'Выборка 1'!BM12))+(('Выборка 1'!BJ12-'Выборка 1'!BO12)-('Выборка 1'!BI12-'Выборка 1'!BN12))+(('Выборка 1'!BK12-'Выборка 1'!BP12)-('Выборка 1'!BJ12-'Выборка 1'!BO12)))/4000</f>
        <v>509.5</v>
      </c>
      <c r="H12" s="17">
        <f>(('Выборка 1'!BR12-'Выборка 1'!BQ12)+('Выборка 1'!BS12-'Выборка 1'!BR12)+('Выборка 1'!BT12-'Выборка 1'!BS12)+('Выборка 1'!BU12-'Выборка 1'!BT12))/4000</f>
        <v>1188.25</v>
      </c>
    </row>
    <row r="13" spans="2:10" x14ac:dyDescent="0.25">
      <c r="B13" s="42">
        <f>('Выборка 1'!AL13+'Выборка 1'!AG13)/1000</f>
        <v>0</v>
      </c>
      <c r="C13" s="17">
        <v>13</v>
      </c>
      <c r="D13" s="17">
        <f>(('Выборка 1'!E13-'Выборка 1'!D13)+('Выборка 1'!F13-'Выборка 1'!E13)+('Выборка 1'!G13-'Выборка 1'!F13)+('Выборка 1'!H13-'Выборка 1'!G13))/4000</f>
        <v>0</v>
      </c>
      <c r="E13" s="17">
        <f>(('Выборка 1'!O13-'Выборка 1'!N13)+('Выборка 1'!P13-'Выборка 1'!O13)+('Выборка 1'!Q13-'Выборка 1'!P13)+('Выборка 1'!R13-'Выборка 1'!Q13))/4000</f>
        <v>0</v>
      </c>
      <c r="F13" s="17">
        <f>(('Выборка 1'!AN13-'Выборка 1'!AM13)+('Выборка 1'!AO13-'Выборка 1'!AN13)+('Выборка 1'!AP13-'Выборка 1'!AO13)+('Выборка 1'!AQ13-'Выборка 1'!AP13))/4000</f>
        <v>0</v>
      </c>
      <c r="G13" s="17">
        <f>((('Выборка 1'!BH13-'Выборка 1'!BM13)-('Выборка 1'!BG13-'Выборка 1'!BL13))+(('Выборка 1'!BI13-'Выборка 1'!BN13)-('Выборка 1'!BH13-'Выборка 1'!BM13))+(('Выборка 1'!BJ13-'Выборка 1'!BO13)-('Выборка 1'!BI13-'Выборка 1'!BN13))+(('Выборка 1'!BK13-'Выборка 1'!BP13)-('Выборка 1'!BJ13-'Выборка 1'!BO13)))/4000</f>
        <v>0</v>
      </c>
      <c r="H13" s="17">
        <f>(('Выборка 1'!BR13-'Выборка 1'!BQ13)+('Выборка 1'!BS13-'Выборка 1'!BR13)+('Выборка 1'!BT13-'Выборка 1'!BS13)+('Выборка 1'!BU13-'Выборка 1'!BT13))/4000</f>
        <v>0</v>
      </c>
    </row>
    <row r="14" spans="2:10" x14ac:dyDescent="0.25">
      <c r="B14" s="42">
        <f>('Выборка 1'!AL14+'Выборка 1'!AG14)/1000</f>
        <v>25389</v>
      </c>
      <c r="C14" s="17">
        <v>13</v>
      </c>
      <c r="D14" s="17">
        <f>(('Выборка 1'!E14-'Выборка 1'!D14)+('Выборка 1'!F14-'Выборка 1'!E14)+('Выборка 1'!G14-'Выборка 1'!F14)+('Выборка 1'!H14-'Выборка 1'!G14))/4000</f>
        <v>0</v>
      </c>
      <c r="E14" s="17">
        <f>(('Выборка 1'!O14-'Выборка 1'!N14)+('Выборка 1'!P14-'Выборка 1'!O14)+('Выборка 1'!Q14-'Выборка 1'!P14)+('Выборка 1'!R14-'Выборка 1'!Q14))/4000</f>
        <v>-1434.25</v>
      </c>
      <c r="F14" s="17">
        <f>(('Выборка 1'!AN14-'Выборка 1'!AM14)+('Выборка 1'!AO14-'Выборка 1'!AN14)+('Выборка 1'!AP14-'Выборка 1'!AO14)+('Выборка 1'!AQ14-'Выборка 1'!AP14))/4000</f>
        <v>-1950</v>
      </c>
      <c r="G14" s="17">
        <f>((('Выборка 1'!BH14-'Выборка 1'!BM14)-('Выборка 1'!BG14-'Выборка 1'!BL14))+(('Выборка 1'!BI14-'Выборка 1'!BN14)-('Выборка 1'!BH14-'Выборка 1'!BM14))+(('Выборка 1'!BJ14-'Выборка 1'!BO14)-('Выборка 1'!BI14-'Выборка 1'!BN14))+(('Выборка 1'!BK14-'Выборка 1'!BP14)-('Выборка 1'!BJ14-'Выборка 1'!BO14)))/4000</f>
        <v>820.5</v>
      </c>
      <c r="H14" s="17">
        <f>(('Выборка 1'!BR14-'Выборка 1'!BQ14)+('Выборка 1'!BS14-'Выборка 1'!BR14)+('Выборка 1'!BT14-'Выборка 1'!BS14)+('Выборка 1'!BU14-'Выборка 1'!BT14))/4000</f>
        <v>1088</v>
      </c>
    </row>
    <row r="15" spans="2:10" x14ac:dyDescent="0.25">
      <c r="B15" s="42">
        <f>('Выборка 1'!AL15+'Выборка 1'!AG15)/1000</f>
        <v>0</v>
      </c>
      <c r="C15" s="17">
        <v>9</v>
      </c>
      <c r="D15" s="17">
        <f>(('Выборка 1'!E15-'Выборка 1'!D15)+('Выборка 1'!F15-'Выборка 1'!E15)+('Выборка 1'!G15-'Выборка 1'!F15)+('Выборка 1'!H15-'Выборка 1'!G15))/4000</f>
        <v>0</v>
      </c>
      <c r="E15" s="17">
        <f>(('Выборка 1'!O15-'Выборка 1'!N15)+('Выборка 1'!P15-'Выборка 1'!O15)+('Выборка 1'!Q15-'Выборка 1'!P15)+('Выборка 1'!R15-'Выборка 1'!Q15))/4000</f>
        <v>-12044.75</v>
      </c>
      <c r="F15" s="17">
        <f>(('Выборка 1'!AN15-'Выборка 1'!AM15)+('Выборка 1'!AO15-'Выборка 1'!AN15)+('Выборка 1'!AP15-'Выборка 1'!AO15)+('Выборка 1'!AQ15-'Выборка 1'!AP15))/4000</f>
        <v>-12299</v>
      </c>
      <c r="G15" s="17">
        <f>((('Выборка 1'!BH15-'Выборка 1'!BM15)-('Выборка 1'!BG15-'Выборка 1'!BL15))+(('Выборка 1'!BI15-'Выборка 1'!BN15)-('Выборка 1'!BH15-'Выборка 1'!BM15))+(('Выборка 1'!BJ15-'Выборка 1'!BO15)-('Выборка 1'!BI15-'Выборка 1'!BN15))+(('Выборка 1'!BK15-'Выборка 1'!BP15)-('Выборка 1'!BJ15-'Выборка 1'!BO15)))/4000</f>
        <v>1247.25</v>
      </c>
      <c r="H15" s="17">
        <f>(('Выборка 1'!BR15-'Выборка 1'!BQ15)+('Выборка 1'!BS15-'Выборка 1'!BR15)+('Выборка 1'!BT15-'Выборка 1'!BS15)+('Выборка 1'!BU15-'Выборка 1'!BT15))/4000</f>
        <v>-1120</v>
      </c>
    </row>
    <row r="16" spans="2:10" x14ac:dyDescent="0.25">
      <c r="B16" s="42">
        <f>('Выборка 1'!AL16+'Выборка 1'!AG16)/1000</f>
        <v>112471</v>
      </c>
      <c r="C16" s="17">
        <v>14</v>
      </c>
      <c r="D16" s="17">
        <f>(('Выборка 1'!E16-'Выборка 1'!D16)+('Выборка 1'!F16-'Выборка 1'!E16)+('Выборка 1'!G16-'Выборка 1'!F16)+('Выборка 1'!H16-'Выборка 1'!G16))/4000</f>
        <v>0</v>
      </c>
      <c r="E16" s="17">
        <f>(('Выборка 1'!O16-'Выборка 1'!N16)+('Выборка 1'!P16-'Выборка 1'!O16)+('Выборка 1'!Q16-'Выборка 1'!P16)+('Выборка 1'!R16-'Выборка 1'!Q16))/4000</f>
        <v>-10792</v>
      </c>
      <c r="F16" s="17">
        <f>(('Выборка 1'!AN16-'Выборка 1'!AM16)+('Выборка 1'!AO16-'Выборка 1'!AN16)+('Выборка 1'!AP16-'Выборка 1'!AO16)+('Выборка 1'!AQ16-'Выборка 1'!AP16))/4000</f>
        <v>-5383.25</v>
      </c>
      <c r="G16" s="17">
        <f>((('Выборка 1'!BH16-'Выборка 1'!BM16)-('Выборка 1'!BG16-'Выборка 1'!BL16))+(('Выборка 1'!BI16-'Выборка 1'!BN16)-('Выборка 1'!BH16-'Выборка 1'!BM16))+(('Выборка 1'!BJ16-'Выборка 1'!BO16)-('Выборка 1'!BI16-'Выборка 1'!BN16))+(('Выборка 1'!BK16-'Выборка 1'!BP16)-('Выборка 1'!BJ16-'Выборка 1'!BO16)))/4000</f>
        <v>-418.75</v>
      </c>
      <c r="H16" s="17">
        <f>(('Выборка 1'!BR16-'Выборка 1'!BQ16)+('Выборка 1'!BS16-'Выборка 1'!BR16)+('Выборка 1'!BT16-'Выборка 1'!BS16)+('Выборка 1'!BU16-'Выборка 1'!BT16))/4000</f>
        <v>869.5</v>
      </c>
    </row>
    <row r="17" spans="2:8" x14ac:dyDescent="0.25">
      <c r="B17" s="42">
        <f>('Выборка 1'!AL17+'Выборка 1'!AG17)/1000</f>
        <v>192795</v>
      </c>
      <c r="C17" s="17">
        <v>17</v>
      </c>
      <c r="D17" s="17">
        <f>(('Выборка 1'!E17-'Выборка 1'!D17)+('Выборка 1'!F17-'Выборка 1'!E17)+('Выборка 1'!G17-'Выборка 1'!F17)+('Выборка 1'!H17-'Выборка 1'!G17))/4000</f>
        <v>0</v>
      </c>
      <c r="E17" s="17">
        <f>(('Выборка 1'!O17-'Выборка 1'!N17)+('Выборка 1'!P17-'Выборка 1'!O17)+('Выборка 1'!Q17-'Выборка 1'!P17)+('Выборка 1'!R17-'Выборка 1'!Q17))/4000</f>
        <v>-7377.25</v>
      </c>
      <c r="F17" s="17">
        <f>(('Выборка 1'!AN17-'Выборка 1'!AM17)+('Выборка 1'!AO17-'Выборка 1'!AN17)+('Выборка 1'!AP17-'Выборка 1'!AO17)+('Выборка 1'!AQ17-'Выборка 1'!AP17))/4000</f>
        <v>0</v>
      </c>
      <c r="G17" s="17">
        <f>((('Выборка 1'!BH17-'Выборка 1'!BM17)-('Выборка 1'!BG17-'Выборка 1'!BL17))+(('Выборка 1'!BI17-'Выборка 1'!BN17)-('Выборка 1'!BH17-'Выборка 1'!BM17))+(('Выборка 1'!BJ17-'Выборка 1'!BO17)-('Выборка 1'!BI17-'Выборка 1'!BN17))+(('Выборка 1'!BK17-'Выборка 1'!BP17)-('Выборка 1'!BJ17-'Выборка 1'!BO17)))/4000</f>
        <v>396</v>
      </c>
      <c r="H17" s="17">
        <f>(('Выборка 1'!BR17-'Выборка 1'!BQ17)+('Выборка 1'!BS17-'Выборка 1'!BR17)+('Выборка 1'!BT17-'Выборка 1'!BS17)+('Выборка 1'!BU17-'Выборка 1'!BT17))/4000</f>
        <v>396</v>
      </c>
    </row>
    <row r="18" spans="2:8" x14ac:dyDescent="0.25">
      <c r="B18" s="42">
        <f>('Выборка 1'!AL18+'Выборка 1'!AG18)/1000</f>
        <v>34499</v>
      </c>
      <c r="C18" s="17">
        <v>12</v>
      </c>
      <c r="D18" s="17">
        <f>(('Выборка 1'!E18-'Выборка 1'!D18)+('Выборка 1'!F18-'Выборка 1'!E18)+('Выборка 1'!G18-'Выборка 1'!F18)+('Выборка 1'!H18-'Выборка 1'!G18))/4000</f>
        <v>0</v>
      </c>
      <c r="E18" s="17">
        <f>(('Выборка 1'!O18-'Выборка 1'!N18)+('Выборка 1'!P18-'Выборка 1'!O18)+('Выборка 1'!Q18-'Выборка 1'!P18)+('Выборка 1'!R18-'Выборка 1'!Q18))/4000</f>
        <v>-2447</v>
      </c>
      <c r="F18" s="17">
        <f>(('Выборка 1'!AN18-'Выборка 1'!AM18)+('Выборка 1'!AO18-'Выборка 1'!AN18)+('Выборка 1'!AP18-'Выборка 1'!AO18)+('Выборка 1'!AQ18-'Выборка 1'!AP18))/4000</f>
        <v>0</v>
      </c>
      <c r="G18" s="17">
        <f>((('Выборка 1'!BH18-'Выборка 1'!BM18)-('Выборка 1'!BG18-'Выборка 1'!BL18))+(('Выборка 1'!BI18-'Выборка 1'!BN18)-('Выборка 1'!BH18-'Выборка 1'!BM18))+(('Выборка 1'!BJ18-'Выборка 1'!BO18)-('Выборка 1'!BI18-'Выборка 1'!BN18))+(('Выборка 1'!BK18-'Выборка 1'!BP18)-('Выборка 1'!BJ18-'Выборка 1'!BO18)))/4000</f>
        <v>275.75</v>
      </c>
      <c r="H18" s="17">
        <f>(('Выборка 1'!BR18-'Выборка 1'!BQ18)+('Выборка 1'!BS18-'Выборка 1'!BR18)+('Выборка 1'!BT18-'Выборка 1'!BS18)+('Выборка 1'!BU18-'Выборка 1'!BT18))/4000</f>
        <v>288.75</v>
      </c>
    </row>
    <row r="19" spans="2:8" x14ac:dyDescent="0.25">
      <c r="B19" s="42">
        <f>('Выборка 1'!AL19+'Выборка 1'!AG19)/1000</f>
        <v>0</v>
      </c>
      <c r="C19" s="17">
        <v>19</v>
      </c>
      <c r="D19" s="17">
        <f>(('Выборка 1'!E19-'Выборка 1'!D19)+('Выборка 1'!F19-'Выборка 1'!E19)+('Выборка 1'!G19-'Выборка 1'!F19)+('Выборка 1'!H19-'Выборка 1'!G19))/4000</f>
        <v>0</v>
      </c>
      <c r="E19" s="17">
        <f>(('Выборка 1'!O19-'Выборка 1'!N19)+('Выборка 1'!P19-'Выборка 1'!O19)+('Выборка 1'!Q19-'Выборка 1'!P19)+('Выборка 1'!R19-'Выборка 1'!Q19))/4000</f>
        <v>0</v>
      </c>
      <c r="F19" s="17">
        <f>(('Выборка 1'!AN19-'Выборка 1'!AM19)+('Выборка 1'!AO19-'Выборка 1'!AN19)+('Выборка 1'!AP19-'Выборка 1'!AO19)+('Выборка 1'!AQ19-'Выборка 1'!AP19))/4000</f>
        <v>0</v>
      </c>
      <c r="G19" s="17">
        <f>((('Выборка 1'!BH19-'Выборка 1'!BM19)-('Выборка 1'!BG19-'Выборка 1'!BL19))+(('Выборка 1'!BI19-'Выборка 1'!BN19)-('Выборка 1'!BH19-'Выборка 1'!BM19))+(('Выборка 1'!BJ19-'Выборка 1'!BO19)-('Выборка 1'!BI19-'Выборка 1'!BN19))+(('Выборка 1'!BK19-'Выборка 1'!BP19)-('Выборка 1'!BJ19-'Выборка 1'!BO19)))/4000</f>
        <v>0</v>
      </c>
      <c r="H19" s="17">
        <f>(('Выборка 1'!BR19-'Выборка 1'!BQ19)+('Выборка 1'!BS19-'Выборка 1'!BR19)+('Выборка 1'!BT19-'Выборка 1'!BS19)+('Выборка 1'!BU19-'Выборка 1'!BT19))/4000</f>
        <v>0</v>
      </c>
    </row>
    <row r="20" spans="2:8" x14ac:dyDescent="0.25">
      <c r="B20" s="42">
        <f>('Выборка 1'!AL20+'Выборка 1'!AG20)/1000</f>
        <v>18101</v>
      </c>
      <c r="C20" s="17">
        <v>16</v>
      </c>
      <c r="D20" s="17">
        <f>(('Выборка 1'!E20-'Выборка 1'!D20)+('Выборка 1'!F20-'Выборка 1'!E20)+('Выборка 1'!G20-'Выборка 1'!F20)+('Выборка 1'!H20-'Выборка 1'!G20))/4000</f>
        <v>0</v>
      </c>
      <c r="E20" s="17">
        <f>(('Выборка 1'!O20-'Выборка 1'!N20)+('Выборка 1'!P20-'Выборка 1'!O20)+('Выборка 1'!Q20-'Выборка 1'!P20)+('Выборка 1'!R20-'Выборка 1'!Q20))/4000</f>
        <v>-576</v>
      </c>
      <c r="F20" s="17">
        <f>(('Выборка 1'!AN20-'Выборка 1'!AM20)+('Выборка 1'!AO20-'Выборка 1'!AN20)+('Выборка 1'!AP20-'Выборка 1'!AO20)+('Выборка 1'!AQ20-'Выборка 1'!AP20))/4000</f>
        <v>-8658.75</v>
      </c>
      <c r="G20" s="17">
        <f>((('Выборка 1'!BH20-'Выборка 1'!BM20)-('Выборка 1'!BG20-'Выборка 1'!BL20))+(('Выборка 1'!BI20-'Выборка 1'!BN20)-('Выборка 1'!BH20-'Выборка 1'!BM20))+(('Выборка 1'!BJ20-'Выборка 1'!BO20)-('Выборка 1'!BI20-'Выборка 1'!BN20))+(('Выборка 1'!BK20-'Выборка 1'!BP20)-('Выборка 1'!BJ20-'Выборка 1'!BO20)))/4000</f>
        <v>-501.75</v>
      </c>
      <c r="H20" s="17">
        <f>(('Выборка 1'!BR20-'Выборка 1'!BQ20)+('Выборка 1'!BS20-'Выборка 1'!BR20)+('Выборка 1'!BT20-'Выборка 1'!BS20)+('Выборка 1'!BU20-'Выборка 1'!BT20))/4000</f>
        <v>-2291</v>
      </c>
    </row>
    <row r="21" spans="2:8" x14ac:dyDescent="0.25">
      <c r="B21" s="42">
        <f>('Выборка 1'!AL21+'Выборка 1'!AG21)/1000</f>
        <v>213870</v>
      </c>
      <c r="C21" s="17">
        <v>21</v>
      </c>
      <c r="D21" s="17">
        <f>(('Выборка 1'!E21-'Выборка 1'!D21)+('Выборка 1'!F21-'Выборка 1'!E21)+('Выборка 1'!G21-'Выборка 1'!F21)+('Выборка 1'!H21-'Выборка 1'!G21))/4000</f>
        <v>0</v>
      </c>
      <c r="E21" s="17">
        <f>(('Выборка 1'!O21-'Выборка 1'!N21)+('Выборка 1'!P21-'Выборка 1'!O21)+('Выборка 1'!Q21-'Выборка 1'!P21)+('Выборка 1'!R21-'Выборка 1'!Q21))/4000</f>
        <v>0</v>
      </c>
      <c r="F21" s="17">
        <f>(('Выборка 1'!AN21-'Выборка 1'!AM21)+('Выборка 1'!AO21-'Выборка 1'!AN21)+('Выборка 1'!AP21-'Выборка 1'!AO21)+('Выборка 1'!AQ21-'Выборка 1'!AP21))/4000</f>
        <v>0</v>
      </c>
      <c r="G21" s="17">
        <f>((('Выборка 1'!BH21-'Выборка 1'!BM21)-('Выборка 1'!BG21-'Выборка 1'!BL21))+(('Выборка 1'!BI21-'Выборка 1'!BN21)-('Выборка 1'!BH21-'Выборка 1'!BM21))+(('Выборка 1'!BJ21-'Выборка 1'!BO21)-('Выборка 1'!BI21-'Выборка 1'!BN21))+(('Выборка 1'!BK21-'Выборка 1'!BP21)-('Выборка 1'!BJ21-'Выборка 1'!BO21)))/4000</f>
        <v>431.25</v>
      </c>
      <c r="H21" s="17">
        <f>(('Выборка 1'!BR21-'Выборка 1'!BQ21)+('Выборка 1'!BS21-'Выборка 1'!BR21)+('Выборка 1'!BT21-'Выборка 1'!BS21)+('Выборка 1'!BU21-'Выборка 1'!BT21))/4000</f>
        <v>792.5</v>
      </c>
    </row>
    <row r="22" spans="2:8" x14ac:dyDescent="0.25">
      <c r="B22" s="42">
        <f>('Выборка 1'!AL22+'Выборка 1'!AG22)/1000</f>
        <v>0</v>
      </c>
      <c r="C22" s="17">
        <v>11</v>
      </c>
      <c r="D22" s="17">
        <f>(('Выборка 1'!E22-'Выборка 1'!D22)+('Выборка 1'!F22-'Выборка 1'!E22)+('Выборка 1'!G22-'Выборка 1'!F22)+('Выборка 1'!H22-'Выборка 1'!G22))/4000</f>
        <v>0</v>
      </c>
      <c r="E22" s="17">
        <f>(('Выборка 1'!O22-'Выборка 1'!N22)+('Выборка 1'!P22-'Выборка 1'!O22)+('Выборка 1'!Q22-'Выборка 1'!P22)+('Выборка 1'!R22-'Выборка 1'!Q22))/4000</f>
        <v>0</v>
      </c>
      <c r="F22" s="17">
        <f>(('Выборка 1'!AN22-'Выборка 1'!AM22)+('Выборка 1'!AO22-'Выборка 1'!AN22)+('Выборка 1'!AP22-'Выборка 1'!AO22)+('Выборка 1'!AQ22-'Выборка 1'!AP22))/4000</f>
        <v>0</v>
      </c>
      <c r="G22" s="17">
        <f>((('Выборка 1'!BH22-'Выборка 1'!BM22)-('Выборка 1'!BG22-'Выборка 1'!BL22))+(('Выборка 1'!BI22-'Выборка 1'!BN22)-('Выборка 1'!BH22-'Выборка 1'!BM22))+(('Выборка 1'!BJ22-'Выборка 1'!BO22)-('Выборка 1'!BI22-'Выборка 1'!BN22))+(('Выборка 1'!BK22-'Выборка 1'!BP22)-('Выборка 1'!BJ22-'Выборка 1'!BO22)))/4000</f>
        <v>0</v>
      </c>
      <c r="H22" s="17">
        <f>(('Выборка 1'!BR22-'Выборка 1'!BQ22)+('Выборка 1'!BS22-'Выборка 1'!BR22)+('Выборка 1'!BT22-'Выборка 1'!BS22)+('Выборка 1'!BU22-'Выборка 1'!BT22))/4000</f>
        <v>0</v>
      </c>
    </row>
    <row r="23" spans="2:8" x14ac:dyDescent="0.25">
      <c r="B23" s="42">
        <f>('Выборка 1'!AL23+'Выборка 1'!AG23)/1000</f>
        <v>0</v>
      </c>
      <c r="C23" s="17">
        <v>11</v>
      </c>
      <c r="D23" s="17">
        <f>(('Выборка 1'!E23-'Выборка 1'!D23)+('Выборка 1'!F23-'Выборка 1'!E23)+('Выборка 1'!G23-'Выборка 1'!F23)+('Выборка 1'!H23-'Выборка 1'!G23))/4000</f>
        <v>0</v>
      </c>
      <c r="E23" s="17">
        <f>(('Выборка 1'!O23-'Выборка 1'!N23)+('Выборка 1'!P23-'Выборка 1'!O23)+('Выборка 1'!Q23-'Выборка 1'!P23)+('Выборка 1'!R23-'Выборка 1'!Q23))/4000</f>
        <v>0</v>
      </c>
      <c r="F23" s="17">
        <f>(('Выборка 1'!AN23-'Выборка 1'!AM23)+('Выборка 1'!AO23-'Выборка 1'!AN23)+('Выборка 1'!AP23-'Выборка 1'!AO23)+('Выборка 1'!AQ23-'Выборка 1'!AP23))/4000</f>
        <v>0</v>
      </c>
      <c r="G23" s="17">
        <f>((('Выборка 1'!BH23-'Выборка 1'!BM23)-('Выборка 1'!BG23-'Выборка 1'!BL23))+(('Выборка 1'!BI23-'Выборка 1'!BN23)-('Выборка 1'!BH23-'Выборка 1'!BM23))+(('Выборка 1'!BJ23-'Выборка 1'!BO23)-('Выборка 1'!BI23-'Выборка 1'!BN23))+(('Выборка 1'!BK23-'Выборка 1'!BP23)-('Выборка 1'!BJ23-'Выборка 1'!BO23)))/4000</f>
        <v>147.75</v>
      </c>
      <c r="H23" s="17">
        <f>(('Выборка 1'!BR23-'Выборка 1'!BQ23)+('Выборка 1'!BS23-'Выборка 1'!BR23)+('Выборка 1'!BT23-'Выборка 1'!BS23)+('Выборка 1'!BU23-'Выборка 1'!BT23))/4000</f>
        <v>177.75</v>
      </c>
    </row>
    <row r="24" spans="2:8" x14ac:dyDescent="0.25">
      <c r="B24" s="42">
        <f>('Выборка 1'!AL24+'Выборка 1'!AG24)/1000</f>
        <v>63782</v>
      </c>
      <c r="C24" s="17">
        <v>4</v>
      </c>
      <c r="D24" s="17">
        <f>(('Выборка 1'!E24-'Выборка 1'!D24)+('Выборка 1'!F24-'Выборка 1'!E24)+('Выборка 1'!G24-'Выборка 1'!F24)+('Выборка 1'!H24-'Выборка 1'!G24))/4000</f>
        <v>0</v>
      </c>
      <c r="E24" s="17">
        <f>(('Выборка 1'!O24-'Выборка 1'!N24)+('Выборка 1'!P24-'Выборка 1'!O24)+('Выборка 1'!Q24-'Выборка 1'!P24)+('Выборка 1'!R24-'Выборка 1'!Q24))/4000</f>
        <v>17869.75</v>
      </c>
      <c r="F24" s="17">
        <f>(('Выборка 1'!AN24-'Выборка 1'!AM24)+('Выборка 1'!AO24-'Выборка 1'!AN24)+('Выборка 1'!AP24-'Выборка 1'!AO24)+('Выборка 1'!AQ24-'Выборка 1'!AP24))/4000</f>
        <v>0</v>
      </c>
      <c r="G24" s="17">
        <f>((('Выборка 1'!BH24-'Выборка 1'!BM24)-('Выборка 1'!BG24-'Выборка 1'!BL24))+(('Выборка 1'!BI24-'Выборка 1'!BN24)-('Выборка 1'!BH24-'Выборка 1'!BM24))+(('Выборка 1'!BJ24-'Выборка 1'!BO24)-('Выборка 1'!BI24-'Выборка 1'!BN24))+(('Выборка 1'!BK24-'Выборка 1'!BP24)-('Выборка 1'!BJ24-'Выборка 1'!BO24)))/4000</f>
        <v>0</v>
      </c>
      <c r="H24" s="17">
        <f>(('Выборка 1'!BR24-'Выборка 1'!BQ24)+('Выборка 1'!BS24-'Выборка 1'!BR24)+('Выборка 1'!BT24-'Выборка 1'!BS24)+('Выборка 1'!BU24-'Выборка 1'!BT24))/4000</f>
        <v>0</v>
      </c>
    </row>
    <row r="25" spans="2:8" x14ac:dyDescent="0.25">
      <c r="B25" s="42">
        <f>('Выборка 1'!AL25+'Выборка 1'!AG25)/1000</f>
        <v>103527</v>
      </c>
      <c r="C25" s="17">
        <v>14</v>
      </c>
      <c r="D25" s="17">
        <f>(('Выборка 1'!E25-'Выборка 1'!D25)+('Выборка 1'!F25-'Выборка 1'!E25)+('Выборка 1'!G25-'Выборка 1'!F25)+('Выборка 1'!H25-'Выборка 1'!G25))/4000</f>
        <v>0</v>
      </c>
      <c r="E25" s="17">
        <f>(('Выборка 1'!O25-'Выборка 1'!N25)+('Выборка 1'!P25-'Выборка 1'!O25)+('Выборка 1'!Q25-'Выборка 1'!P25)+('Выборка 1'!R25-'Выборка 1'!Q25))/4000</f>
        <v>-8874.75</v>
      </c>
      <c r="F25" s="17">
        <f>(('Выборка 1'!AN25-'Выборка 1'!AM25)+('Выборка 1'!AO25-'Выборка 1'!AN25)+('Выборка 1'!AP25-'Выборка 1'!AO25)+('Выборка 1'!AQ25-'Выборка 1'!AP25))/4000</f>
        <v>-25.25</v>
      </c>
      <c r="G25" s="17">
        <f>((('Выборка 1'!BH25-'Выборка 1'!BM25)-('Выборка 1'!BG25-'Выборка 1'!BL25))+(('Выборка 1'!BI25-'Выборка 1'!BN25)-('Выборка 1'!BH25-'Выборка 1'!BM25))+(('Выборка 1'!BJ25-'Выборка 1'!BO25)-('Выборка 1'!BI25-'Выборка 1'!BN25))+(('Выборка 1'!BK25-'Выборка 1'!BP25)-('Выборка 1'!BJ25-'Выборка 1'!BO25)))/4000</f>
        <v>1.5</v>
      </c>
      <c r="H25" s="17">
        <f>(('Выборка 1'!BR25-'Выборка 1'!BQ25)+('Выборка 1'!BS25-'Выборка 1'!BR25)+('Выборка 1'!BT25-'Выборка 1'!BS25)+('Выборка 1'!BU25-'Выборка 1'!BT25))/4000</f>
        <v>899.75</v>
      </c>
    </row>
    <row r="26" spans="2:8" x14ac:dyDescent="0.25">
      <c r="B26" s="42">
        <f>('Выборка 1'!AL26+'Выборка 1'!AG26)/1000</f>
        <v>0</v>
      </c>
      <c r="C26" s="17">
        <v>17</v>
      </c>
      <c r="D26" s="17">
        <f>(('Выборка 1'!E26-'Выборка 1'!D26)+('Выборка 1'!F26-'Выборка 1'!E26)+('Выборка 1'!G26-'Выборка 1'!F26)+('Выборка 1'!H26-'Выборка 1'!G26))/4000</f>
        <v>0</v>
      </c>
      <c r="E26" s="17">
        <f>(('Выборка 1'!O26-'Выборка 1'!N26)+('Выборка 1'!P26-'Выборка 1'!O26)+('Выборка 1'!Q26-'Выборка 1'!P26)+('Выборка 1'!R26-'Выборка 1'!Q26))/4000</f>
        <v>-50202.5</v>
      </c>
      <c r="F26" s="17">
        <f>(('Выборка 1'!AN26-'Выборка 1'!AM26)+('Выборка 1'!AO26-'Выборка 1'!AN26)+('Выборка 1'!AP26-'Выборка 1'!AO26)+('Выборка 1'!AQ26-'Выборка 1'!AP26))/4000</f>
        <v>-27047.5</v>
      </c>
      <c r="G26" s="17">
        <f>((('Выборка 1'!BH26-'Выборка 1'!BM26)-('Выборка 1'!BG26-'Выборка 1'!BL26))+(('Выборка 1'!BI26-'Выборка 1'!BN26)-('Выборка 1'!BH26-'Выборка 1'!BM26))+(('Выборка 1'!BJ26-'Выборка 1'!BO26)-('Выборка 1'!BI26-'Выборка 1'!BN26))+(('Выборка 1'!BK26-'Выборка 1'!BP26)-('Выборка 1'!BJ26-'Выборка 1'!BO26)))/4000</f>
        <v>338.25</v>
      </c>
      <c r="H26" s="17">
        <f>(('Выборка 1'!BR26-'Выборка 1'!BQ26)+('Выборка 1'!BS26-'Выборка 1'!BR26)+('Выборка 1'!BT26-'Выборка 1'!BS26)+('Выборка 1'!BU26-'Выборка 1'!BT26))/4000</f>
        <v>989.5</v>
      </c>
    </row>
    <row r="27" spans="2:8" x14ac:dyDescent="0.25">
      <c r="B27" s="42">
        <f>('Выборка 1'!AL27+'Выборка 1'!AG27)/1000</f>
        <v>209184</v>
      </c>
      <c r="C27" s="17">
        <v>12</v>
      </c>
      <c r="D27" s="17">
        <f>(('Выборка 1'!E27-'Выборка 1'!D27)+('Выборка 1'!F27-'Выборка 1'!E27)+('Выборка 1'!G27-'Выборка 1'!F27)+('Выборка 1'!H27-'Выборка 1'!G27))/4000</f>
        <v>-13</v>
      </c>
      <c r="E27" s="17">
        <f>(('Выборка 1'!O27-'Выборка 1'!N27)+('Выборка 1'!P27-'Выборка 1'!O27)+('Выборка 1'!Q27-'Выборка 1'!P27)+('Выборка 1'!R27-'Выборка 1'!Q27))/4000</f>
        <v>-26609.75</v>
      </c>
      <c r="F27" s="17">
        <f>(('Выборка 1'!AN27-'Выборка 1'!AM27)+('Выборка 1'!AO27-'Выборка 1'!AN27)+('Выборка 1'!AP27-'Выборка 1'!AO27)+('Выборка 1'!AQ27-'Выборка 1'!AP27))/4000</f>
        <v>-135014.5</v>
      </c>
      <c r="G27" s="17">
        <f>((('Выборка 1'!BH27-'Выборка 1'!BM27)-('Выборка 1'!BG27-'Выборка 1'!BL27))+(('Выборка 1'!BI27-'Выборка 1'!BN27)-('Выборка 1'!BH27-'Выборка 1'!BM27))+(('Выборка 1'!BJ27-'Выборка 1'!BO27)-('Выборка 1'!BI27-'Выборка 1'!BN27))+(('Выборка 1'!BK27-'Выборка 1'!BP27)-('Выборка 1'!BJ27-'Выборка 1'!BO27)))/4000</f>
        <v>-4162.25</v>
      </c>
      <c r="H27" s="17">
        <f>(('Выборка 1'!BR27-'Выборка 1'!BQ27)+('Выборка 1'!BS27-'Выборка 1'!BR27)+('Выборка 1'!BT27-'Выборка 1'!BS27)+('Выборка 1'!BU27-'Выборка 1'!BT27))/4000</f>
        <v>-3601.25</v>
      </c>
    </row>
    <row r="28" spans="2:8" x14ac:dyDescent="0.25">
      <c r="B28" s="42">
        <f>('Выборка 1'!AL28+'Выборка 1'!AG28)/1000</f>
        <v>317564</v>
      </c>
      <c r="C28" s="17">
        <v>19</v>
      </c>
      <c r="D28" s="17">
        <f>(('Выборка 1'!E28-'Выборка 1'!D28)+('Выборка 1'!F28-'Выборка 1'!E28)+('Выборка 1'!G28-'Выборка 1'!F28)+('Выборка 1'!H28-'Выборка 1'!G28))/4000</f>
        <v>0</v>
      </c>
      <c r="E28" s="17">
        <f>(('Выборка 1'!O28-'Выборка 1'!N28)+('Выборка 1'!P28-'Выборка 1'!O28)+('Выборка 1'!Q28-'Выборка 1'!P28)+('Выборка 1'!R28-'Выборка 1'!Q28))/4000</f>
        <v>0</v>
      </c>
      <c r="F28" s="17">
        <f>(('Выборка 1'!AN28-'Выборка 1'!AM28)+('Выборка 1'!AO28-'Выборка 1'!AN28)+('Выборка 1'!AP28-'Выборка 1'!AO28)+('Выборка 1'!AQ28-'Выборка 1'!AP28))/4000</f>
        <v>0</v>
      </c>
      <c r="G28" s="17">
        <f>((('Выборка 1'!BH28-'Выборка 1'!BM28)-('Выборка 1'!BG28-'Выборка 1'!BL28))+(('Выборка 1'!BI28-'Выборка 1'!BN28)-('Выборка 1'!BH28-'Выборка 1'!BM28))+(('Выборка 1'!BJ28-'Выборка 1'!BO28)-('Выборка 1'!BI28-'Выборка 1'!BN28))+(('Выборка 1'!BK28-'Выборка 1'!BP28)-('Выборка 1'!BJ28-'Выборка 1'!BO28)))/4000</f>
        <v>-1.25</v>
      </c>
      <c r="H28" s="17">
        <f>(('Выборка 1'!BR28-'Выборка 1'!BQ28)+('Выборка 1'!BS28-'Выборка 1'!BR28)+('Выборка 1'!BT28-'Выборка 1'!BS28)+('Выборка 1'!BU28-'Выборка 1'!BT28))/4000</f>
        <v>461.5</v>
      </c>
    </row>
    <row r="29" spans="2:8" x14ac:dyDescent="0.25">
      <c r="B29" s="42">
        <f>('Выборка 1'!AL29+'Выборка 1'!AG29)/1000</f>
        <v>0</v>
      </c>
      <c r="C29" s="17">
        <v>13</v>
      </c>
      <c r="D29" s="17">
        <f>(('Выборка 1'!E29-'Выборка 1'!D29)+('Выборка 1'!F29-'Выборка 1'!E29)+('Выборка 1'!G29-'Выборка 1'!F29)+('Выборка 1'!H29-'Выборка 1'!G29))/4000</f>
        <v>0</v>
      </c>
      <c r="E29" s="17">
        <f>(('Выборка 1'!O29-'Выборка 1'!N29)+('Выборка 1'!P29-'Выборка 1'!O29)+('Выборка 1'!Q29-'Выборка 1'!P29)+('Выборка 1'!R29-'Выборка 1'!Q29))/4000</f>
        <v>0</v>
      </c>
      <c r="F29" s="17">
        <f>(('Выборка 1'!AN29-'Выборка 1'!AM29)+('Выборка 1'!AO29-'Выборка 1'!AN29)+('Выборка 1'!AP29-'Выборка 1'!AO29)+('Выборка 1'!AQ29-'Выборка 1'!AP29))/4000</f>
        <v>0</v>
      </c>
      <c r="G29" s="17">
        <f>((('Выборка 1'!BH29-'Выборка 1'!BM29)-('Выборка 1'!BG29-'Выборка 1'!BL29))+(('Выборка 1'!BI29-'Выборка 1'!BN29)-('Выборка 1'!BH29-'Выборка 1'!BM29))+(('Выборка 1'!BJ29-'Выборка 1'!BO29)-('Выборка 1'!BI29-'Выборка 1'!BN29))+(('Выборка 1'!BK29-'Выборка 1'!BP29)-('Выборка 1'!BJ29-'Выборка 1'!BO29)))/4000</f>
        <v>0</v>
      </c>
      <c r="H29" s="17">
        <f>(('Выборка 1'!BR29-'Выборка 1'!BQ29)+('Выборка 1'!BS29-'Выборка 1'!BR29)+('Выборка 1'!BT29-'Выборка 1'!BS29)+('Выборка 1'!BU29-'Выборка 1'!BT29))/4000</f>
        <v>0</v>
      </c>
    </row>
    <row r="30" spans="2:8" x14ac:dyDescent="0.25">
      <c r="B30" s="42">
        <f>('Выборка 1'!AL30+'Выборка 1'!AG30)/1000</f>
        <v>11594</v>
      </c>
      <c r="C30" s="17">
        <v>6</v>
      </c>
      <c r="D30" s="17">
        <f>(('Выборка 1'!E30-'Выборка 1'!D30)+('Выборка 1'!F30-'Выборка 1'!E30)+('Выборка 1'!G30-'Выборка 1'!F30)+('Выборка 1'!H30-'Выборка 1'!G30))/4000</f>
        <v>25908.5</v>
      </c>
      <c r="E30" s="17">
        <f>(('Выборка 1'!O30-'Выборка 1'!N30)+('Выборка 1'!P30-'Выборка 1'!O30)+('Выборка 1'!Q30-'Выборка 1'!P30)+('Выборка 1'!R30-'Выборка 1'!Q30))/4000</f>
        <v>3131.5</v>
      </c>
      <c r="F30" s="17">
        <f>(('Выборка 1'!AN30-'Выборка 1'!AM30)+('Выборка 1'!AO30-'Выборка 1'!AN30)+('Выборка 1'!AP30-'Выборка 1'!AO30)+('Выборка 1'!AQ30-'Выборка 1'!AP30))/4000</f>
        <v>3712.75</v>
      </c>
      <c r="G30" s="17">
        <f>((('Выборка 1'!BH30-'Выборка 1'!BM30)-('Выборка 1'!BG30-'Выборка 1'!BL30))+(('Выборка 1'!BI30-'Выборка 1'!BN30)-('Выборка 1'!BH30-'Выборка 1'!BM30))+(('Выборка 1'!BJ30-'Выборка 1'!BO30)-('Выборка 1'!BI30-'Выборка 1'!BN30))+(('Выборка 1'!BK30-'Выборка 1'!BP30)-('Выборка 1'!BJ30-'Выборка 1'!BO30)))/4000</f>
        <v>3893.75</v>
      </c>
      <c r="H30" s="17">
        <f>(('Выборка 1'!BR30-'Выборка 1'!BQ30)+('Выборка 1'!BS30-'Выборка 1'!BR30)+('Выборка 1'!BT30-'Выборка 1'!BS30)+('Выборка 1'!BU30-'Выборка 1'!BT30))/4000</f>
        <v>1291.75</v>
      </c>
    </row>
    <row r="31" spans="2:8" x14ac:dyDescent="0.25">
      <c r="B31" s="42">
        <f>('Выборка 1'!AL31+'Выборка 1'!AG31)/1000</f>
        <v>14883</v>
      </c>
      <c r="C31" s="17">
        <v>9</v>
      </c>
      <c r="D31" s="17">
        <f>(('Выборка 1'!E31-'Выборка 1'!D31)+('Выборка 1'!F31-'Выборка 1'!E31)+('Выборка 1'!G31-'Выборка 1'!F31)+('Выборка 1'!H31-'Выборка 1'!G31))/4000</f>
        <v>0</v>
      </c>
      <c r="E31" s="17">
        <f>(('Выборка 1'!O31-'Выборка 1'!N31)+('Выборка 1'!P31-'Выборка 1'!O31)+('Выборка 1'!Q31-'Выборка 1'!P31)+('Выборка 1'!R31-'Выборка 1'!Q31))/4000</f>
        <v>2683.25</v>
      </c>
      <c r="F31" s="17">
        <f>(('Выборка 1'!AN31-'Выборка 1'!AM31)+('Выборка 1'!AO31-'Выборка 1'!AN31)+('Выборка 1'!AP31-'Выборка 1'!AO31)+('Выборка 1'!AQ31-'Выборка 1'!AP31))/4000</f>
        <v>0</v>
      </c>
      <c r="G31" s="17">
        <f>((('Выборка 1'!BH31-'Выборка 1'!BM31)-('Выборка 1'!BG31-'Выборка 1'!BL31))+(('Выборка 1'!BI31-'Выборка 1'!BN31)-('Выборка 1'!BH31-'Выборка 1'!BM31))+(('Выборка 1'!BJ31-'Выборка 1'!BO31)-('Выборка 1'!BI31-'Выборка 1'!BN31))+(('Выборка 1'!BK31-'Выборка 1'!BP31)-('Выборка 1'!BJ31-'Выборка 1'!BO31)))/4000</f>
        <v>-1784.75</v>
      </c>
      <c r="H31" s="17">
        <f>(('Выборка 1'!BR31-'Выборка 1'!BQ31)+('Выборка 1'!BS31-'Выборка 1'!BR31)+('Выборка 1'!BT31-'Выборка 1'!BS31)+('Выборка 1'!BU31-'Выборка 1'!BT31))/4000</f>
        <v>-1784.75</v>
      </c>
    </row>
    <row r="32" spans="2:8" x14ac:dyDescent="0.25">
      <c r="B32" s="42">
        <f>('Выборка 1'!AL32+'Выборка 1'!AG32)/1000</f>
        <v>55544341</v>
      </c>
      <c r="C32" s="17">
        <v>20</v>
      </c>
      <c r="D32" s="17">
        <f>(('Выборка 1'!E32-'Выборка 1'!D32)+('Выборка 1'!F32-'Выборка 1'!E32)+('Выборка 1'!G32-'Выборка 1'!F32)+('Выборка 1'!H32-'Выборка 1'!G32))/4000</f>
        <v>-158288.5</v>
      </c>
      <c r="E32" s="17">
        <f>(('Выборка 1'!O32-'Выборка 1'!N32)+('Выборка 1'!P32-'Выборка 1'!O32)+('Выборка 1'!Q32-'Выборка 1'!P32)+('Выборка 1'!R32-'Выборка 1'!Q32))/4000</f>
        <v>-6371149</v>
      </c>
      <c r="F32" s="17">
        <f>(('Выборка 1'!AN32-'Выборка 1'!AM32)+('Выборка 1'!AO32-'Выборка 1'!AN32)+('Выборка 1'!AP32-'Выборка 1'!AO32)+('Выборка 1'!AQ32-'Выборка 1'!AP32))/4000</f>
        <v>-25535453.25</v>
      </c>
      <c r="G32" s="17">
        <f>((('Выборка 1'!BH32-'Выборка 1'!BM32)-('Выборка 1'!BG32-'Выборка 1'!BL32))+(('Выборка 1'!BI32-'Выборка 1'!BN32)-('Выборка 1'!BH32-'Выборка 1'!BM32))+(('Выборка 1'!BJ32-'Выборка 1'!BO32)-('Выборка 1'!BI32-'Выборка 1'!BN32))+(('Выборка 1'!BK32-'Выборка 1'!BP32)-('Выборка 1'!BJ32-'Выборка 1'!BO32)))/4000</f>
        <v>514162</v>
      </c>
      <c r="H32" s="17">
        <f>(('Выборка 1'!BR32-'Выборка 1'!BQ32)+('Выборка 1'!BS32-'Выборка 1'!BR32)+('Выборка 1'!BT32-'Выборка 1'!BS32)+('Выборка 1'!BU32-'Выборка 1'!BT32))/4000</f>
        <v>450278.75</v>
      </c>
    </row>
    <row r="33" spans="2:8" x14ac:dyDescent="0.25">
      <c r="B33" s="42">
        <f>('Выборка 1'!AL33+'Выборка 1'!AG33)/1000</f>
        <v>439717</v>
      </c>
      <c r="C33" s="17">
        <v>24</v>
      </c>
      <c r="D33" s="17">
        <f>(('Выборка 1'!E33-'Выборка 1'!D33)+('Выборка 1'!F33-'Выборка 1'!E33)+('Выборка 1'!G33-'Выборка 1'!F33)+('Выборка 1'!H33-'Выборка 1'!G33))/4000</f>
        <v>89161.25</v>
      </c>
      <c r="E33" s="17">
        <f>(('Выборка 1'!O33-'Выборка 1'!N33)+('Выборка 1'!P33-'Выборка 1'!O33)+('Выборка 1'!Q33-'Выборка 1'!P33)+('Выборка 1'!R33-'Выборка 1'!Q33))/4000</f>
        <v>-7652.25</v>
      </c>
      <c r="F33" s="17">
        <f>(('Выборка 1'!AN33-'Выборка 1'!AM33)+('Выборка 1'!AO33-'Выборка 1'!AN33)+('Выборка 1'!AP33-'Выборка 1'!AO33)+('Выборка 1'!AQ33-'Выборка 1'!AP33))/4000</f>
        <v>-113909.5</v>
      </c>
      <c r="G33" s="17">
        <f>((('Выборка 1'!BH33-'Выборка 1'!BM33)-('Выборка 1'!BG33-'Выборка 1'!BL33))+(('Выборка 1'!BI33-'Выборка 1'!BN33)-('Выборка 1'!BH33-'Выборка 1'!BM33))+(('Выборка 1'!BJ33-'Выборка 1'!BO33)-('Выборка 1'!BI33-'Выборка 1'!BN33))+(('Выборка 1'!BK33-'Выборка 1'!BP33)-('Выборка 1'!BJ33-'Выборка 1'!BO33)))/4000</f>
        <v>-23034</v>
      </c>
      <c r="H33" s="17">
        <f>(('Выборка 1'!BR33-'Выборка 1'!BQ33)+('Выборка 1'!BS33-'Выборка 1'!BR33)+('Выборка 1'!BT33-'Выборка 1'!BS33)+('Выборка 1'!BU33-'Выборка 1'!BT33))/4000</f>
        <v>-74586</v>
      </c>
    </row>
    <row r="34" spans="2:8" x14ac:dyDescent="0.25">
      <c r="B34" s="42">
        <f>('Выборка 1'!AL34+'Выборка 1'!AG34)/1000</f>
        <v>16739</v>
      </c>
      <c r="C34" s="17">
        <v>5</v>
      </c>
      <c r="D34" s="17">
        <f>(('Выборка 1'!E34-'Выборка 1'!D34)+('Выборка 1'!F34-'Выборка 1'!E34)+('Выборка 1'!G34-'Выборка 1'!F34)+('Выборка 1'!H34-'Выборка 1'!G34))/4000</f>
        <v>836.5</v>
      </c>
      <c r="E34" s="17">
        <f>(('Выборка 1'!O34-'Выборка 1'!N34)+('Выборка 1'!P34-'Выборка 1'!O34)+('Выборка 1'!Q34-'Выборка 1'!P34)+('Выборка 1'!R34-'Выборка 1'!Q34))/4000</f>
        <v>-216</v>
      </c>
      <c r="F34" s="17">
        <f>(('Выборка 1'!AN34-'Выборка 1'!AM34)+('Выборка 1'!AO34-'Выборка 1'!AN34)+('Выборка 1'!AP34-'Выборка 1'!AO34)+('Выборка 1'!AQ34-'Выборка 1'!AP34))/4000</f>
        <v>4406.75</v>
      </c>
      <c r="G34" s="17">
        <f>((('Выборка 1'!BH34-'Выборка 1'!BM34)-('Выборка 1'!BG34-'Выборка 1'!BL34))+(('Выборка 1'!BI34-'Выборка 1'!BN34)-('Выборка 1'!BH34-'Выборка 1'!BM34))+(('Выборка 1'!BJ34-'Выборка 1'!BO34)-('Выборка 1'!BI34-'Выборка 1'!BN34))+(('Выборка 1'!BK34-'Выборка 1'!BP34)-('Выборка 1'!BJ34-'Выборка 1'!BO34)))/4000</f>
        <v>-1731</v>
      </c>
      <c r="H34" s="17">
        <f>(('Выборка 1'!BR34-'Выборка 1'!BQ34)+('Выборка 1'!BS34-'Выборка 1'!BR34)+('Выборка 1'!BT34-'Выборка 1'!BS34)+('Выборка 1'!BU34-'Выборка 1'!BT34))/4000</f>
        <v>-2002.5</v>
      </c>
    </row>
    <row r="35" spans="2:8" x14ac:dyDescent="0.25">
      <c r="B35" s="42">
        <f>('Выборка 1'!AL35+'Выборка 1'!AG35)/1000</f>
        <v>14259</v>
      </c>
      <c r="C35" s="17">
        <v>11</v>
      </c>
      <c r="D35" s="17">
        <f>(('Выборка 1'!E35-'Выборка 1'!D35)+('Выборка 1'!F35-'Выборка 1'!E35)+('Выборка 1'!G35-'Выборка 1'!F35)+('Выборка 1'!H35-'Выборка 1'!G35))/4000</f>
        <v>0</v>
      </c>
      <c r="E35" s="17">
        <f>(('Выборка 1'!O35-'Выборка 1'!N35)+('Выборка 1'!P35-'Выборка 1'!O35)+('Выборка 1'!Q35-'Выборка 1'!P35)+('Выборка 1'!R35-'Выборка 1'!Q35))/4000</f>
        <v>0</v>
      </c>
      <c r="F35" s="17">
        <f>(('Выборка 1'!AN35-'Выборка 1'!AM35)+('Выборка 1'!AO35-'Выборка 1'!AN35)+('Выборка 1'!AP35-'Выборка 1'!AO35)+('Выборка 1'!AQ35-'Выборка 1'!AP35))/4000</f>
        <v>0</v>
      </c>
      <c r="G35" s="17">
        <f>((('Выборка 1'!BH35-'Выборка 1'!BM35)-('Выборка 1'!BG35-'Выборка 1'!BL35))+(('Выборка 1'!BI35-'Выборка 1'!BN35)-('Выборка 1'!BH35-'Выборка 1'!BM35))+(('Выборка 1'!BJ35-'Выборка 1'!BO35)-('Выборка 1'!BI35-'Выборка 1'!BN35))+(('Выборка 1'!BK35-'Выборка 1'!BP35)-('Выборка 1'!BJ35-'Выборка 1'!BO35)))/4000</f>
        <v>0</v>
      </c>
      <c r="H35" s="17">
        <f>(('Выборка 1'!BR35-'Выборка 1'!BQ35)+('Выборка 1'!BS35-'Выборка 1'!BR35)+('Выборка 1'!BT35-'Выборка 1'!BS35)+('Выборка 1'!BU35-'Выборка 1'!BT35))/4000</f>
        <v>0</v>
      </c>
    </row>
    <row r="36" spans="2:8" x14ac:dyDescent="0.25">
      <c r="B36" s="42">
        <f>('Выборка 1'!AL36+'Выборка 1'!AG36)/1000</f>
        <v>150756</v>
      </c>
      <c r="C36" s="17">
        <v>19</v>
      </c>
      <c r="D36" s="17">
        <f>(('Выборка 1'!E36-'Выборка 1'!D36)+('Выборка 1'!F36-'Выборка 1'!E36)+('Выборка 1'!G36-'Выборка 1'!F36)+('Выборка 1'!H36-'Выборка 1'!G36))/4000</f>
        <v>2959.5</v>
      </c>
      <c r="E36" s="17">
        <f>(('Выборка 1'!O36-'Выборка 1'!N36)+('Выборка 1'!P36-'Выборка 1'!O36)+('Выборка 1'!Q36-'Выборка 1'!P36)+('Выборка 1'!R36-'Выборка 1'!Q36))/4000</f>
        <v>0</v>
      </c>
      <c r="F36" s="17">
        <f>(('Выборка 1'!AN36-'Выборка 1'!AM36)+('Выборка 1'!AO36-'Выборка 1'!AN36)+('Выборка 1'!AP36-'Выборка 1'!AO36)+('Выборка 1'!AQ36-'Выборка 1'!AP36))/4000</f>
        <v>-4748.25</v>
      </c>
      <c r="G36" s="17">
        <f>((('Выборка 1'!BH36-'Выборка 1'!BM36)-('Выборка 1'!BG36-'Выборка 1'!BL36))+(('Выборка 1'!BI36-'Выборка 1'!BN36)-('Выборка 1'!BH36-'Выборка 1'!BM36))+(('Выборка 1'!BJ36-'Выборка 1'!BO36)-('Выборка 1'!BI36-'Выборка 1'!BN36))+(('Выборка 1'!BK36-'Выборка 1'!BP36)-('Выборка 1'!BJ36-'Выборка 1'!BO36)))/4000</f>
        <v>4419</v>
      </c>
      <c r="H36" s="17">
        <f>(('Выборка 1'!BR36-'Выборка 1'!BQ36)+('Выборка 1'!BS36-'Выборка 1'!BR36)+('Выборка 1'!BT36-'Выборка 1'!BS36)+('Выборка 1'!BU36-'Выборка 1'!BT36))/4000</f>
        <v>-329.25</v>
      </c>
    </row>
    <row r="37" spans="2:8" x14ac:dyDescent="0.25">
      <c r="B37" s="42">
        <f>('Выборка 1'!AL37+'Выборка 1'!AG37)/1000</f>
        <v>24896</v>
      </c>
      <c r="C37" s="17">
        <v>6</v>
      </c>
      <c r="D37" s="17">
        <f>(('Выборка 1'!E37-'Выборка 1'!D37)+('Выборка 1'!F37-'Выборка 1'!E37)+('Выборка 1'!G37-'Выборка 1'!F37)+('Выборка 1'!H37-'Выборка 1'!G37))/4000</f>
        <v>0</v>
      </c>
      <c r="E37" s="17">
        <f>(('Выборка 1'!O37-'Выборка 1'!N37)+('Выборка 1'!P37-'Выборка 1'!O37)+('Выборка 1'!Q37-'Выборка 1'!P37)+('Выборка 1'!R37-'Выборка 1'!Q37))/4000</f>
        <v>3514.5</v>
      </c>
      <c r="F37" s="17">
        <f>(('Выборка 1'!AN37-'Выборка 1'!AM37)+('Выборка 1'!AO37-'Выборка 1'!AN37)+('Выборка 1'!AP37-'Выборка 1'!AO37)+('Выборка 1'!AQ37-'Выборка 1'!AP37))/4000</f>
        <v>-37263.75</v>
      </c>
      <c r="G37" s="17">
        <f>((('Выборка 1'!BH37-'Выборка 1'!BM37)-('Выборка 1'!BG37-'Выборка 1'!BL37))+(('Выборка 1'!BI37-'Выборка 1'!BN37)-('Выборка 1'!BH37-'Выборка 1'!BM37))+(('Выборка 1'!BJ37-'Выборка 1'!BO37)-('Выборка 1'!BI37-'Выборка 1'!BN37))+(('Выборка 1'!BK37-'Выборка 1'!BP37)-('Выборка 1'!BJ37-'Выборка 1'!BO37)))/4000</f>
        <v>154.75</v>
      </c>
      <c r="H37" s="17">
        <f>(('Выборка 1'!BR37-'Выборка 1'!BQ37)+('Выборка 1'!BS37-'Выборка 1'!BR37)+('Выборка 1'!BT37-'Выборка 1'!BS37)+('Выборка 1'!BU37-'Выборка 1'!BT37))/4000</f>
        <v>-3772.75</v>
      </c>
    </row>
    <row r="38" spans="2:8" x14ac:dyDescent="0.25">
      <c r="B38" s="42">
        <f>('Выборка 1'!AL38+'Выборка 1'!AG38)/1000</f>
        <v>233055</v>
      </c>
      <c r="C38" s="17">
        <v>10</v>
      </c>
      <c r="D38" s="17">
        <f>(('Выборка 1'!E38-'Выборка 1'!D38)+('Выборка 1'!F38-'Выборка 1'!E38)+('Выборка 1'!G38-'Выборка 1'!F38)+('Выборка 1'!H38-'Выборка 1'!G38))/4000</f>
        <v>-124</v>
      </c>
      <c r="E38" s="17">
        <f>(('Выборка 1'!O38-'Выборка 1'!N38)+('Выборка 1'!P38-'Выборка 1'!O38)+('Выборка 1'!Q38-'Выборка 1'!P38)+('Выборка 1'!R38-'Выборка 1'!Q38))/4000</f>
        <v>32046.5</v>
      </c>
      <c r="F38" s="17">
        <f>(('Выборка 1'!AN38-'Выборка 1'!AM38)+('Выборка 1'!AO38-'Выборка 1'!AN38)+('Выборка 1'!AP38-'Выборка 1'!AO38)+('Выборка 1'!AQ38-'Выборка 1'!AP38))/4000</f>
        <v>-72088.25</v>
      </c>
      <c r="G38" s="17">
        <f>((('Выборка 1'!BH38-'Выборка 1'!BM38)-('Выборка 1'!BG38-'Выборка 1'!BL38))+(('Выборка 1'!BI38-'Выборка 1'!BN38)-('Выборка 1'!BH38-'Выборка 1'!BM38))+(('Выборка 1'!BJ38-'Выборка 1'!BO38)-('Выборка 1'!BI38-'Выборка 1'!BN38))+(('Выборка 1'!BK38-'Выборка 1'!BP38)-('Выборка 1'!BJ38-'Выборка 1'!BO38)))/4000</f>
        <v>-4543.25</v>
      </c>
      <c r="H38" s="17">
        <f>(('Выборка 1'!BR38-'Выборка 1'!BQ38)+('Выборка 1'!BS38-'Выборка 1'!BR38)+('Выборка 1'!BT38-'Выборка 1'!BS38)+('Выборка 1'!BU38-'Выборка 1'!BT38))/4000</f>
        <v>245.25</v>
      </c>
    </row>
    <row r="39" spans="2:8" x14ac:dyDescent="0.25">
      <c r="B39" s="42">
        <f>('Выборка 1'!AL39+'Выборка 1'!AG39)/1000</f>
        <v>0</v>
      </c>
      <c r="C39" s="17">
        <v>8</v>
      </c>
      <c r="D39" s="17">
        <f>(('Выборка 1'!E39-'Выборка 1'!D39)+('Выборка 1'!F39-'Выборка 1'!E39)+('Выборка 1'!G39-'Выборка 1'!F39)+('Выборка 1'!H39-'Выборка 1'!G39))/4000</f>
        <v>-20917.75</v>
      </c>
      <c r="E39" s="17">
        <f>(('Выборка 1'!O39-'Выборка 1'!N39)+('Выборка 1'!P39-'Выборка 1'!O39)+('Выборка 1'!Q39-'Выборка 1'!P39)+('Выборка 1'!R39-'Выборка 1'!Q39))/4000</f>
        <v>-338723.5</v>
      </c>
      <c r="F39" s="17">
        <f>(('Выборка 1'!AN39-'Выборка 1'!AM39)+('Выборка 1'!AO39-'Выборка 1'!AN39)+('Выборка 1'!AP39-'Выборка 1'!AO39)+('Выборка 1'!AQ39-'Выборка 1'!AP39))/4000</f>
        <v>-460681.5</v>
      </c>
      <c r="G39" s="17">
        <f>((('Выборка 1'!BH39-'Выборка 1'!BM39)-('Выборка 1'!BG39-'Выборка 1'!BL39))+(('Выборка 1'!BI39-'Выборка 1'!BN39)-('Выборка 1'!BH39-'Выборка 1'!BM39))+(('Выборка 1'!BJ39-'Выборка 1'!BO39)-('Выборка 1'!BI39-'Выборка 1'!BN39))+(('Выборка 1'!BK39-'Выборка 1'!BP39)-('Выборка 1'!BJ39-'Выборка 1'!BO39)))/4000</f>
        <v>51543</v>
      </c>
      <c r="H39" s="17">
        <f>(('Выборка 1'!BR39-'Выборка 1'!BQ39)+('Выборка 1'!BS39-'Выборка 1'!BR39)+('Выборка 1'!BT39-'Выборка 1'!BS39)+('Выборка 1'!BU39-'Выборка 1'!BT39))/4000</f>
        <v>-2272</v>
      </c>
    </row>
    <row r="40" spans="2:8" x14ac:dyDescent="0.25">
      <c r="B40" s="42">
        <f>('Выборка 1'!AL40+'Выборка 1'!AG40)/1000</f>
        <v>18079219</v>
      </c>
      <c r="C40" s="17">
        <v>22</v>
      </c>
      <c r="D40" s="17">
        <f>(('Выборка 1'!E40-'Выборка 1'!D40)+('Выборка 1'!F40-'Выборка 1'!E40)+('Выборка 1'!G40-'Выборка 1'!F40)+('Выборка 1'!H40-'Выборка 1'!G40))/4000</f>
        <v>-65190.25</v>
      </c>
      <c r="E40" s="17">
        <f>(('Выборка 1'!O40-'Выборка 1'!N40)+('Выборка 1'!P40-'Выборка 1'!O40)+('Выборка 1'!Q40-'Выборка 1'!P40)+('Выборка 1'!R40-'Выборка 1'!Q40))/4000</f>
        <v>-678990.25</v>
      </c>
      <c r="F40" s="17">
        <f>(('Выборка 1'!AN40-'Выборка 1'!AM40)+('Выборка 1'!AO40-'Выборка 1'!AN40)+('Выборка 1'!AP40-'Выборка 1'!AO40)+('Выборка 1'!AQ40-'Выборка 1'!AP40))/4000</f>
        <v>-1810291.25</v>
      </c>
      <c r="G40" s="17">
        <f>((('Выборка 1'!BH40-'Выборка 1'!BM40)-('Выборка 1'!BG40-'Выборка 1'!BL40))+(('Выборка 1'!BI40-'Выборка 1'!BN40)-('Выборка 1'!BH40-'Выборка 1'!BM40))+(('Выборка 1'!BJ40-'Выборка 1'!BO40)-('Выборка 1'!BI40-'Выборка 1'!BN40))+(('Выборка 1'!BK40-'Выборка 1'!BP40)-('Выборка 1'!BJ40-'Выборка 1'!BO40)))/4000</f>
        <v>10170</v>
      </c>
      <c r="H40" s="17">
        <f>(('Выборка 1'!BR40-'Выборка 1'!BQ40)+('Выборка 1'!BS40-'Выборка 1'!BR40)+('Выборка 1'!BT40-'Выборка 1'!BS40)+('Выборка 1'!BU40-'Выборка 1'!BT40))/4000</f>
        <v>-6294.25</v>
      </c>
    </row>
    <row r="41" spans="2:8" x14ac:dyDescent="0.25">
      <c r="B41" s="42">
        <f>('Выборка 1'!AL41+'Выборка 1'!AG41)/1000</f>
        <v>0</v>
      </c>
      <c r="C41" s="17">
        <v>23</v>
      </c>
      <c r="D41" s="17">
        <f>(('Выборка 1'!E41-'Выборка 1'!D41)+('Выборка 1'!F41-'Выборка 1'!E41)+('Выборка 1'!G41-'Выборка 1'!F41)+('Выборка 1'!H41-'Выборка 1'!G41))/4000</f>
        <v>-1006.75</v>
      </c>
      <c r="E41" s="17">
        <f>(('Выборка 1'!O41-'Выборка 1'!N41)+('Выборка 1'!P41-'Выборка 1'!O41)+('Выборка 1'!Q41-'Выборка 1'!P41)+('Выборка 1'!R41-'Выборка 1'!Q41))/4000</f>
        <v>-2159.75</v>
      </c>
      <c r="F41" s="17">
        <f>(('Выборка 1'!AN41-'Выборка 1'!AM41)+('Выборка 1'!AO41-'Выборка 1'!AN41)+('Выборка 1'!AP41-'Выборка 1'!AO41)+('Выборка 1'!AQ41-'Выборка 1'!AP41))/4000</f>
        <v>-15046.75</v>
      </c>
      <c r="G41" s="17">
        <f>((('Выборка 1'!BH41-'Выборка 1'!BM41)-('Выборка 1'!BG41-'Выборка 1'!BL41))+(('Выборка 1'!BI41-'Выборка 1'!BN41)-('Выборка 1'!BH41-'Выборка 1'!BM41))+(('Выборка 1'!BJ41-'Выборка 1'!BO41)-('Выборка 1'!BI41-'Выборка 1'!BN41))+(('Выборка 1'!BK41-'Выборка 1'!BP41)-('Выборка 1'!BJ41-'Выборка 1'!BO41)))/4000</f>
        <v>-1075.25</v>
      </c>
      <c r="H41" s="17">
        <f>(('Выборка 1'!BR41-'Выборка 1'!BQ41)+('Выборка 1'!BS41-'Выборка 1'!BR41)+('Выборка 1'!BT41-'Выборка 1'!BS41)+('Выборка 1'!BU41-'Выборка 1'!BT41))/4000</f>
        <v>-1809.75</v>
      </c>
    </row>
    <row r="42" spans="2:8" x14ac:dyDescent="0.25">
      <c r="B42" s="42">
        <f>('Выборка 1'!AL42+'Выборка 1'!AG42)/1000</f>
        <v>2836330</v>
      </c>
      <c r="C42" s="17">
        <v>8</v>
      </c>
      <c r="D42" s="17">
        <f>(('Выборка 1'!E42-'Выборка 1'!D42)+('Выборка 1'!F42-'Выборка 1'!E42)+('Выборка 1'!G42-'Выборка 1'!F42)+('Выборка 1'!H42-'Выборка 1'!G42))/4000</f>
        <v>-322.75</v>
      </c>
      <c r="E42" s="17">
        <f>(('Выборка 1'!O42-'Выборка 1'!N42)+('Выборка 1'!P42-'Выборка 1'!O42)+('Выборка 1'!Q42-'Выборка 1'!P42)+('Выборка 1'!R42-'Выборка 1'!Q42))/4000</f>
        <v>-480522.75</v>
      </c>
      <c r="F42" s="17">
        <f>(('Выборка 1'!AN42-'Выборка 1'!AM42)+('Выборка 1'!AO42-'Выборка 1'!AN42)+('Выборка 1'!AP42-'Выборка 1'!AO42)+('Выборка 1'!AQ42-'Выборка 1'!AP42))/4000</f>
        <v>-451459.25</v>
      </c>
      <c r="G42" s="17">
        <f>((('Выборка 1'!BH42-'Выборка 1'!BM42)-('Выборка 1'!BG42-'Выборка 1'!BL42))+(('Выборка 1'!BI42-'Выборка 1'!BN42)-('Выборка 1'!BH42-'Выборка 1'!BM42))+(('Выборка 1'!BJ42-'Выборка 1'!BO42)-('Выборка 1'!BI42-'Выборка 1'!BN42))+(('Выборка 1'!BK42-'Выборка 1'!BP42)-('Выборка 1'!BJ42-'Выборка 1'!BO42)))/4000</f>
        <v>-7465.75</v>
      </c>
      <c r="H42" s="17">
        <f>(('Выборка 1'!BR42-'Выборка 1'!BQ42)+('Выборка 1'!BS42-'Выборка 1'!BR42)+('Выборка 1'!BT42-'Выборка 1'!BS42)+('Выборка 1'!BU42-'Выборка 1'!BT42))/4000</f>
        <v>-11393</v>
      </c>
    </row>
    <row r="43" spans="2:8" x14ac:dyDescent="0.25">
      <c r="B43" s="42">
        <f>('Выборка 1'!AL43+'Выборка 1'!AG43)/1000</f>
        <v>4768889</v>
      </c>
      <c r="C43" s="17">
        <v>8</v>
      </c>
      <c r="D43" s="17">
        <f>(('Выборка 1'!E43-'Выборка 1'!D43)+('Выборка 1'!F43-'Выборка 1'!E43)+('Выборка 1'!G43-'Выборка 1'!F43)+('Выборка 1'!H43-'Выборка 1'!G43))/4000</f>
        <v>-50525</v>
      </c>
      <c r="E43" s="17">
        <f>(('Выборка 1'!O43-'Выборка 1'!N43)+('Выборка 1'!P43-'Выборка 1'!O43)+('Выборка 1'!Q43-'Выборка 1'!P43)+('Выборка 1'!R43-'Выборка 1'!Q43))/4000</f>
        <v>-375519</v>
      </c>
      <c r="F43" s="17">
        <f>(('Выборка 1'!AN43-'Выборка 1'!AM43)+('Выборка 1'!AO43-'Выборка 1'!AN43)+('Выборка 1'!AP43-'Выборка 1'!AO43)+('Выборка 1'!AQ43-'Выборка 1'!AP43))/4000</f>
        <v>-2905041.5</v>
      </c>
      <c r="G43" s="17">
        <f>((('Выборка 1'!BH43-'Выборка 1'!BM43)-('Выборка 1'!BG43-'Выборка 1'!BL43))+(('Выборка 1'!BI43-'Выборка 1'!BN43)-('Выборка 1'!BH43-'Выборка 1'!BM43))+(('Выборка 1'!BJ43-'Выборка 1'!BO43)-('Выборка 1'!BI43-'Выборка 1'!BN43))+(('Выборка 1'!BK43-'Выборка 1'!BP43)-('Выборка 1'!BJ43-'Выборка 1'!BO43)))/4000</f>
        <v>7814.25</v>
      </c>
      <c r="H43" s="17">
        <f>(('Выборка 1'!BR43-'Выборка 1'!BQ43)+('Выборка 1'!BS43-'Выборка 1'!BR43)+('Выборка 1'!BT43-'Выборка 1'!BS43)+('Выборка 1'!BU43-'Выборка 1'!BT43))/4000</f>
        <v>-14831.5</v>
      </c>
    </row>
    <row r="44" spans="2:8" x14ac:dyDescent="0.25">
      <c r="B44" s="42">
        <f>('Выборка 1'!AL44+'Выборка 1'!AG44)/1000</f>
        <v>0</v>
      </c>
      <c r="C44" s="17">
        <v>15</v>
      </c>
      <c r="D44" s="17">
        <f>(('Выборка 1'!E44-'Выборка 1'!D44)+('Выборка 1'!F44-'Выборка 1'!E44)+('Выборка 1'!G44-'Выборка 1'!F44)+('Выборка 1'!H44-'Выборка 1'!G44))/4000</f>
        <v>-6.25</v>
      </c>
      <c r="E44" s="17">
        <f>(('Выборка 1'!O44-'Выборка 1'!N44)+('Выборка 1'!P44-'Выборка 1'!O44)+('Выборка 1'!Q44-'Выборка 1'!P44)+('Выборка 1'!R44-'Выборка 1'!Q44))/4000</f>
        <v>-16331.25</v>
      </c>
      <c r="F44" s="17">
        <f>(('Выборка 1'!AN44-'Выборка 1'!AM44)+('Выборка 1'!AO44-'Выборка 1'!AN44)+('Выборка 1'!AP44-'Выборка 1'!AO44)+('Выборка 1'!AQ44-'Выборка 1'!AP44))/4000</f>
        <v>-19857</v>
      </c>
      <c r="G44" s="17">
        <f>((('Выборка 1'!BH44-'Выборка 1'!BM44)-('Выборка 1'!BG44-'Выборка 1'!BL44))+(('Выборка 1'!BI44-'Выборка 1'!BN44)-('Выборка 1'!BH44-'Выборка 1'!BM44))+(('Выборка 1'!BJ44-'Выборка 1'!BO44)-('Выборка 1'!BI44-'Выборка 1'!BN44))+(('Выборка 1'!BK44-'Выборка 1'!BP44)-('Выборка 1'!BJ44-'Выборка 1'!BO44)))/4000</f>
        <v>107</v>
      </c>
      <c r="H44" s="17">
        <f>(('Выборка 1'!BR44-'Выборка 1'!BQ44)+('Выборка 1'!BS44-'Выборка 1'!BR44)+('Выборка 1'!BT44-'Выборка 1'!BS44)+('Выборка 1'!BU44-'Выборка 1'!BT44))/4000</f>
        <v>-518.75</v>
      </c>
    </row>
    <row r="45" spans="2:8" x14ac:dyDescent="0.25">
      <c r="B45" s="42">
        <f>('Выборка 1'!AL45+'Выборка 1'!AG45)/1000</f>
        <v>4578356</v>
      </c>
      <c r="C45" s="17">
        <v>18</v>
      </c>
      <c r="D45" s="17">
        <f>(('Выборка 1'!E45-'Выборка 1'!D45)+('Выборка 1'!F45-'Выборка 1'!E45)+('Выборка 1'!G45-'Выборка 1'!F45)+('Выборка 1'!H45-'Выборка 1'!G45))/4000</f>
        <v>-14792.75</v>
      </c>
      <c r="E45" s="17">
        <f>(('Выборка 1'!O45-'Выборка 1'!N45)+('Выборка 1'!P45-'Выборка 1'!O45)+('Выборка 1'!Q45-'Выборка 1'!P45)+('Выборка 1'!R45-'Выборка 1'!Q45))/4000</f>
        <v>591190.25</v>
      </c>
      <c r="F45" s="17">
        <f>(('Выборка 1'!AN45-'Выборка 1'!AM45)+('Выборка 1'!AO45-'Выборка 1'!AN45)+('Выборка 1'!AP45-'Выборка 1'!AO45)+('Выборка 1'!AQ45-'Выборка 1'!AP45))/4000</f>
        <v>-5080645.75</v>
      </c>
      <c r="G45" s="17">
        <f>((('Выборка 1'!BH45-'Выборка 1'!BM45)-('Выборка 1'!BG45-'Выборка 1'!BL45))+(('Выборка 1'!BI45-'Выборка 1'!BN45)-('Выборка 1'!BH45-'Выборка 1'!BM45))+(('Выборка 1'!BJ45-'Выборка 1'!BO45)-('Выборка 1'!BI45-'Выборка 1'!BN45))+(('Выборка 1'!BK45-'Выборка 1'!BP45)-('Выборка 1'!BJ45-'Выборка 1'!BO45)))/4000</f>
        <v>-231112.5</v>
      </c>
      <c r="H45" s="17">
        <f>(('Выборка 1'!BR45-'Выборка 1'!BQ45)+('Выборка 1'!BS45-'Выборка 1'!BR45)+('Выборка 1'!BT45-'Выборка 1'!BS45)+('Выборка 1'!BU45-'Выборка 1'!BT45))/4000</f>
        <v>-50535.75</v>
      </c>
    </row>
    <row r="46" spans="2:8" x14ac:dyDescent="0.25">
      <c r="B46" s="42">
        <f>('Выборка 1'!AL46+'Выборка 1'!AG46)/1000</f>
        <v>0</v>
      </c>
      <c r="C46" s="17">
        <v>22</v>
      </c>
      <c r="D46" s="17">
        <f>(('Выборка 1'!E46-'Выборка 1'!D46)+('Выборка 1'!F46-'Выборка 1'!E46)+('Выборка 1'!G46-'Выборка 1'!F46)+('Выборка 1'!H46-'Выборка 1'!G46))/4000</f>
        <v>-26514.75</v>
      </c>
      <c r="E46" s="17">
        <f>(('Выборка 1'!O46-'Выборка 1'!N46)+('Выборка 1'!P46-'Выборка 1'!O46)+('Выборка 1'!Q46-'Выборка 1'!P46)+('Выборка 1'!R46-'Выборка 1'!Q46))/4000</f>
        <v>-106693.75</v>
      </c>
      <c r="F46" s="17">
        <f>(('Выборка 1'!AN46-'Выборка 1'!AM46)+('Выборка 1'!AO46-'Выборка 1'!AN46)+('Выборка 1'!AP46-'Выборка 1'!AO46)+('Выборка 1'!AQ46-'Выборка 1'!AP46))/4000</f>
        <v>0</v>
      </c>
      <c r="G46" s="17">
        <f>((('Выборка 1'!BH46-'Выборка 1'!BM46)-('Выборка 1'!BG46-'Выборка 1'!BL46))+(('Выборка 1'!BI46-'Выборка 1'!BN46)-('Выборка 1'!BH46-'Выборка 1'!BM46))+(('Выборка 1'!BJ46-'Выборка 1'!BO46)-('Выборка 1'!BI46-'Выборка 1'!BN46))+(('Выборка 1'!BK46-'Выборка 1'!BP46)-('Выборка 1'!BJ46-'Выборка 1'!BO46)))/4000</f>
        <v>2857249.25</v>
      </c>
      <c r="H46" s="17">
        <f>(('Выборка 1'!BR46-'Выборка 1'!BQ46)+('Выборка 1'!BS46-'Выборка 1'!BR46)+('Выборка 1'!BT46-'Выборка 1'!BS46)+('Выборка 1'!BU46-'Выборка 1'!BT46))/4000</f>
        <v>2857249.25</v>
      </c>
    </row>
    <row r="47" spans="2:8" x14ac:dyDescent="0.25">
      <c r="B47" s="42">
        <f>('Выборка 1'!AL47+'Выборка 1'!AG47)/1000</f>
        <v>2334086</v>
      </c>
      <c r="C47" s="17">
        <v>25</v>
      </c>
      <c r="D47" s="17">
        <f>(('Выборка 1'!E47-'Выборка 1'!D47)+('Выборка 1'!F47-'Выборка 1'!E47)+('Выборка 1'!G47-'Выборка 1'!F47)+('Выборка 1'!H47-'Выборка 1'!G47))/4000</f>
        <v>-10441</v>
      </c>
      <c r="E47" s="17">
        <f>(('Выборка 1'!O47-'Выборка 1'!N47)+('Выборка 1'!P47-'Выборка 1'!O47)+('Выборка 1'!Q47-'Выборка 1'!P47)+('Выборка 1'!R47-'Выборка 1'!Q47))/4000</f>
        <v>-24001.25</v>
      </c>
      <c r="F47" s="17">
        <f>(('Выборка 1'!AN47-'Выборка 1'!AM47)+('Выборка 1'!AO47-'Выборка 1'!AN47)+('Выборка 1'!AP47-'Выборка 1'!AO47)+('Выборка 1'!AQ47-'Выборка 1'!AP47))/4000</f>
        <v>-5343.25</v>
      </c>
      <c r="G47" s="17">
        <f>((('Выборка 1'!BH47-'Выборка 1'!BM47)-('Выборка 1'!BG47-'Выборка 1'!BL47))+(('Выборка 1'!BI47-'Выборка 1'!BN47)-('Выборка 1'!BH47-'Выборка 1'!BM47))+(('Выборка 1'!BJ47-'Выборка 1'!BO47)-('Выборка 1'!BI47-'Выборка 1'!BN47))+(('Выборка 1'!BK47-'Выборка 1'!BP47)-('Выборка 1'!BJ47-'Выборка 1'!BO47)))/4000</f>
        <v>5250</v>
      </c>
      <c r="H47" s="17">
        <f>(('Выборка 1'!BR47-'Выборка 1'!BQ47)+('Выборка 1'!BS47-'Выборка 1'!BR47)+('Выборка 1'!BT47-'Выборка 1'!BS47)+('Выборка 1'!BU47-'Выборка 1'!BT47))/4000</f>
        <v>7314.25</v>
      </c>
    </row>
    <row r="48" spans="2:8" x14ac:dyDescent="0.25">
      <c r="B48" s="42">
        <f>('Выборка 1'!AL48+'Выборка 1'!AG48)/1000</f>
        <v>0</v>
      </c>
      <c r="C48" s="17">
        <v>10</v>
      </c>
      <c r="D48" s="17">
        <f>(('Выборка 1'!E48-'Выборка 1'!D48)+('Выборка 1'!F48-'Выборка 1'!E48)+('Выборка 1'!G48-'Выборка 1'!F48)+('Выборка 1'!H48-'Выборка 1'!G48))/4000</f>
        <v>-13603.25</v>
      </c>
      <c r="E48" s="17">
        <f>(('Выборка 1'!O48-'Выборка 1'!N48)+('Выборка 1'!P48-'Выборка 1'!O48)+('Выборка 1'!Q48-'Выборка 1'!P48)+('Выборка 1'!R48-'Выборка 1'!Q48))/4000</f>
        <v>0</v>
      </c>
      <c r="F48" s="17">
        <f>(('Выборка 1'!AN48-'Выборка 1'!AM48)+('Выборка 1'!AO48-'Выборка 1'!AN48)+('Выборка 1'!AP48-'Выборка 1'!AO48)+('Выборка 1'!AQ48-'Выборка 1'!AP48))/4000</f>
        <v>0</v>
      </c>
      <c r="G48" s="17">
        <f>((('Выборка 1'!BH48-'Выборка 1'!BM48)-('Выборка 1'!BG48-'Выборка 1'!BL48))+(('Выборка 1'!BI48-'Выборка 1'!BN48)-('Выборка 1'!BH48-'Выборка 1'!BM48))+(('Выборка 1'!BJ48-'Выборка 1'!BO48)-('Выборка 1'!BI48-'Выборка 1'!BN48))+(('Выборка 1'!BK48-'Выборка 1'!BP48)-('Выборка 1'!BJ48-'Выборка 1'!BO48)))/4000</f>
        <v>0</v>
      </c>
      <c r="H48" s="17">
        <f>(('Выборка 1'!BR48-'Выборка 1'!BQ48)+('Выборка 1'!BS48-'Выборка 1'!BR48)+('Выборка 1'!BT48-'Выборка 1'!BS48)+('Выборка 1'!BU48-'Выборка 1'!BT48))/4000</f>
        <v>0</v>
      </c>
    </row>
    <row r="49" spans="2:8" x14ac:dyDescent="0.25">
      <c r="B49" s="42">
        <f>('Выборка 1'!AL49+'Выборка 1'!AG49)/1000</f>
        <v>0</v>
      </c>
      <c r="C49" s="17">
        <v>16</v>
      </c>
      <c r="D49" s="17">
        <f>(('Выборка 1'!E49-'Выборка 1'!D49)+('Выборка 1'!F49-'Выборка 1'!E49)+('Выборка 1'!G49-'Выборка 1'!F49)+('Выборка 1'!H49-'Выборка 1'!G49))/4000</f>
        <v>0</v>
      </c>
      <c r="E49" s="17">
        <f>(('Выборка 1'!O49-'Выборка 1'!N49)+('Выборка 1'!P49-'Выборка 1'!O49)+('Выборка 1'!Q49-'Выборка 1'!P49)+('Выборка 1'!R49-'Выборка 1'!Q49))/4000</f>
        <v>0</v>
      </c>
      <c r="F49" s="17">
        <f>(('Выборка 1'!AN49-'Выборка 1'!AM49)+('Выборка 1'!AO49-'Выборка 1'!AN49)+('Выборка 1'!AP49-'Выборка 1'!AO49)+('Выборка 1'!AQ49-'Выборка 1'!AP49))/4000</f>
        <v>0</v>
      </c>
      <c r="G49" s="17">
        <f>((('Выборка 1'!BH49-'Выборка 1'!BM49)-('Выборка 1'!BG49-'Выборка 1'!BL49))+(('Выборка 1'!BI49-'Выборка 1'!BN49)-('Выборка 1'!BH49-'Выборка 1'!BM49))+(('Выборка 1'!BJ49-'Выборка 1'!BO49)-('Выборка 1'!BI49-'Выборка 1'!BN49))+(('Выборка 1'!BK49-'Выборка 1'!BP49)-('Выборка 1'!BJ49-'Выборка 1'!BO49)))/4000</f>
        <v>0</v>
      </c>
      <c r="H49" s="17">
        <f>(('Выборка 1'!BR49-'Выборка 1'!BQ49)+('Выборка 1'!BS49-'Выборка 1'!BR49)+('Выборка 1'!BT49-'Выборка 1'!BS49)+('Выборка 1'!BU49-'Выборка 1'!BT49))/4000</f>
        <v>0</v>
      </c>
    </row>
    <row r="50" spans="2:8" x14ac:dyDescent="0.25">
      <c r="B50" s="42">
        <f>('Выборка 1'!AL50+'Выборка 1'!AG50)/1000</f>
        <v>12184</v>
      </c>
      <c r="C50" s="17">
        <v>14</v>
      </c>
      <c r="D50" s="17">
        <f>(('Выборка 1'!E50-'Выборка 1'!D50)+('Выборка 1'!F50-'Выборка 1'!E50)+('Выборка 1'!G50-'Выборка 1'!F50)+('Выборка 1'!H50-'Выборка 1'!G50))/4000</f>
        <v>-1670.5</v>
      </c>
      <c r="E50" s="17">
        <f>(('Выборка 1'!O50-'Выборка 1'!N50)+('Выборка 1'!P50-'Выборка 1'!O50)+('Выборка 1'!Q50-'Выборка 1'!P50)+('Выборка 1'!R50-'Выборка 1'!Q50))/4000</f>
        <v>-1111.5</v>
      </c>
      <c r="F50" s="17">
        <f>(('Выборка 1'!AN50-'Выборка 1'!AM50)+('Выборка 1'!AO50-'Выборка 1'!AN50)+('Выборка 1'!AP50-'Выборка 1'!AO50)+('Выборка 1'!AQ50-'Выборка 1'!AP50))/4000</f>
        <v>-21778.5</v>
      </c>
      <c r="G50" s="17">
        <f>((('Выборка 1'!BH50-'Выборка 1'!BM50)-('Выборка 1'!BG50-'Выборка 1'!BL50))+(('Выборка 1'!BI50-'Выборка 1'!BN50)-('Выборка 1'!BH50-'Выборка 1'!BM50))+(('Выборка 1'!BJ50-'Выборка 1'!BO50)-('Выборка 1'!BI50-'Выборка 1'!BN50))+(('Выборка 1'!BK50-'Выборка 1'!BP50)-('Выборка 1'!BJ50-'Выборка 1'!BO50)))/4000</f>
        <v>476.75</v>
      </c>
      <c r="H50" s="17">
        <f>(('Выборка 1'!BR50-'Выборка 1'!BQ50)+('Выборка 1'!BS50-'Выборка 1'!BR50)+('Выборка 1'!BT50-'Выборка 1'!BS50)+('Выборка 1'!BU50-'Выборка 1'!BT50))/4000</f>
        <v>-108.75</v>
      </c>
    </row>
    <row r="51" spans="2:8" x14ac:dyDescent="0.25">
      <c r="B51" s="42">
        <f>('Выборка 1'!AL51+'Выборка 1'!AG51)/1000</f>
        <v>5655050</v>
      </c>
      <c r="C51" s="17">
        <v>20</v>
      </c>
      <c r="D51" s="17">
        <f>(('Выборка 1'!E51-'Выборка 1'!D51)+('Выборка 1'!F51-'Выборка 1'!E51)+('Выборка 1'!G51-'Выборка 1'!F51)+('Выборка 1'!H51-'Выборка 1'!G51))/4000</f>
        <v>-1502.75</v>
      </c>
      <c r="E51" s="17">
        <f>(('Выборка 1'!O51-'Выборка 1'!N51)+('Выборка 1'!P51-'Выборка 1'!O51)+('Выборка 1'!Q51-'Выборка 1'!P51)+('Выборка 1'!R51-'Выборка 1'!Q51))/4000</f>
        <v>-17642.25</v>
      </c>
      <c r="F51" s="17">
        <f>(('Выборка 1'!AN51-'Выборка 1'!AM51)+('Выборка 1'!AO51-'Выборка 1'!AN51)+('Выборка 1'!AP51-'Выборка 1'!AO51)+('Выборка 1'!AQ51-'Выборка 1'!AP51))/4000</f>
        <v>-116763</v>
      </c>
      <c r="G51" s="17">
        <f>((('Выборка 1'!BH51-'Выборка 1'!BM51)-('Выборка 1'!BG51-'Выборка 1'!BL51))+(('Выборка 1'!BI51-'Выборка 1'!BN51)-('Выборка 1'!BH51-'Выборка 1'!BM51))+(('Выборка 1'!BJ51-'Выборка 1'!BO51)-('Выборка 1'!BI51-'Выборка 1'!BN51))+(('Выборка 1'!BK51-'Выборка 1'!BP51)-('Выборка 1'!BJ51-'Выборка 1'!BO51)))/4000</f>
        <v>45069</v>
      </c>
      <c r="H51" s="17">
        <f>(('Выборка 1'!BR51-'Выборка 1'!BQ51)+('Выборка 1'!BS51-'Выборка 1'!BR51)+('Выборка 1'!BT51-'Выборка 1'!BS51)+('Выборка 1'!BU51-'Выборка 1'!BT51))/4000</f>
        <v>70448.75</v>
      </c>
    </row>
    <row r="52" spans="2:8" x14ac:dyDescent="0.25">
      <c r="B52" s="42">
        <f>('Выборка 1'!AL52+'Выборка 1'!AG52)/1000</f>
        <v>0</v>
      </c>
      <c r="C52" s="17">
        <v>5</v>
      </c>
      <c r="D52" s="17">
        <f>(('Выборка 1'!E52-'Выборка 1'!D52)+('Выборка 1'!F52-'Выборка 1'!E52)+('Выборка 1'!G52-'Выборка 1'!F52)+('Выборка 1'!H52-'Выборка 1'!G52))/4000</f>
        <v>-12192.5</v>
      </c>
      <c r="E52" s="17">
        <f>(('Выборка 1'!O52-'Выборка 1'!N52)+('Выборка 1'!P52-'Выборка 1'!O52)+('Выборка 1'!Q52-'Выборка 1'!P52)+('Выборка 1'!R52-'Выборка 1'!Q52))/4000</f>
        <v>-1831271</v>
      </c>
      <c r="F52" s="17">
        <f>(('Выборка 1'!AN52-'Выборка 1'!AM52)+('Выборка 1'!AO52-'Выборка 1'!AN52)+('Выборка 1'!AP52-'Выборка 1'!AO52)+('Выборка 1'!AQ52-'Выборка 1'!AP52))/4000</f>
        <v>-5937381</v>
      </c>
      <c r="G52" s="17">
        <f>((('Выборка 1'!BH52-'Выборка 1'!BM52)-('Выборка 1'!BG52-'Выборка 1'!BL52))+(('Выборка 1'!BI52-'Выборка 1'!BN52)-('Выборка 1'!BH52-'Выборка 1'!BM52))+(('Выборка 1'!BJ52-'Выборка 1'!BO52)-('Выборка 1'!BI52-'Выборка 1'!BN52))+(('Выборка 1'!BK52-'Выборка 1'!BP52)-('Выборка 1'!BJ52-'Выборка 1'!BO52)))/4000</f>
        <v>258094</v>
      </c>
      <c r="H52" s="17">
        <f>(('Выборка 1'!BR52-'Выборка 1'!BQ52)+('Выборка 1'!BS52-'Выборка 1'!BR52)+('Выборка 1'!BT52-'Выборка 1'!BS52)+('Выборка 1'!BU52-'Выборка 1'!BT52))/4000</f>
        <v>28381.5</v>
      </c>
    </row>
    <row r="53" spans="2:8" x14ac:dyDescent="0.25">
      <c r="B53" s="42">
        <f>('Выборка 1'!AL53+'Выборка 1'!AG53)/1000</f>
        <v>187257</v>
      </c>
      <c r="C53" s="17">
        <v>14</v>
      </c>
      <c r="D53" s="17">
        <f>(('Выборка 1'!E53-'Выборка 1'!D53)+('Выборка 1'!F53-'Выборка 1'!E53)+('Выборка 1'!G53-'Выборка 1'!F53)+('Выборка 1'!H53-'Выборка 1'!G53))/4000</f>
        <v>-966.75</v>
      </c>
      <c r="E53" s="17">
        <f>(('Выборка 1'!O53-'Выборка 1'!N53)+('Выборка 1'!P53-'Выборка 1'!O53)+('Выборка 1'!Q53-'Выборка 1'!P53)+('Выборка 1'!R53-'Выборка 1'!Q53))/4000</f>
        <v>4663.75</v>
      </c>
      <c r="F53" s="17">
        <f>(('Выборка 1'!AN53-'Выборка 1'!AM53)+('Выборка 1'!AO53-'Выборка 1'!AN53)+('Выборка 1'!AP53-'Выборка 1'!AO53)+('Выборка 1'!AQ53-'Выборка 1'!AP53))/4000</f>
        <v>-21599.75</v>
      </c>
      <c r="G53" s="17">
        <f>((('Выборка 1'!BH53-'Выборка 1'!BM53)-('Выборка 1'!BG53-'Выборка 1'!BL53))+(('Выборка 1'!BI53-'Выборка 1'!BN53)-('Выборка 1'!BH53-'Выборка 1'!BM53))+(('Выборка 1'!BJ53-'Выборка 1'!BO53)-('Выборка 1'!BI53-'Выборка 1'!BN53))+(('Выборка 1'!BK53-'Выборка 1'!BP53)-('Выборка 1'!BJ53-'Выборка 1'!BO53)))/4000</f>
        <v>782.25</v>
      </c>
      <c r="H53" s="17">
        <f>(('Выборка 1'!BR53-'Выборка 1'!BQ53)+('Выборка 1'!BS53-'Выборка 1'!BR53)+('Выборка 1'!BT53-'Выборка 1'!BS53)+('Выборка 1'!BU53-'Выборка 1'!BT53))/4000</f>
        <v>1251.25</v>
      </c>
    </row>
    <row r="54" spans="2:8" x14ac:dyDescent="0.25">
      <c r="B54" s="42">
        <f>('Выборка 1'!AL54+'Выборка 1'!AG54)/1000</f>
        <v>0</v>
      </c>
      <c r="C54" s="17">
        <v>20</v>
      </c>
      <c r="D54" s="17">
        <f>(('Выборка 1'!E54-'Выборка 1'!D54)+('Выборка 1'!F54-'Выборка 1'!E54)+('Выборка 1'!G54-'Выборка 1'!F54)+('Выборка 1'!H54-'Выборка 1'!G54))/4000</f>
        <v>0</v>
      </c>
      <c r="E54" s="17">
        <f>(('Выборка 1'!O54-'Выборка 1'!N54)+('Выборка 1'!P54-'Выборка 1'!O54)+('Выборка 1'!Q54-'Выборка 1'!P54)+('Выборка 1'!R54-'Выборка 1'!Q54))/4000</f>
        <v>-85.5</v>
      </c>
      <c r="F54" s="17">
        <f>(('Выборка 1'!AN54-'Выборка 1'!AM54)+('Выборка 1'!AO54-'Выборка 1'!AN54)+('Выборка 1'!AP54-'Выборка 1'!AO54)+('Выборка 1'!AQ54-'Выборка 1'!AP54))/4000</f>
        <v>-1258.5</v>
      </c>
      <c r="G54" s="17">
        <f>((('Выборка 1'!BH54-'Выборка 1'!BM54)-('Выборка 1'!BG54-'Выборка 1'!BL54))+(('Выборка 1'!BI54-'Выборка 1'!BN54)-('Выборка 1'!BH54-'Выборка 1'!BM54))+(('Выборка 1'!BJ54-'Выборка 1'!BO54)-('Выборка 1'!BI54-'Выборка 1'!BN54))+(('Выборка 1'!BK54-'Выборка 1'!BP54)-('Выборка 1'!BJ54-'Выборка 1'!BO54)))/4000</f>
        <v>8.25</v>
      </c>
      <c r="H54" s="17">
        <f>(('Выборка 1'!BR54-'Выборка 1'!BQ54)+('Выборка 1'!BS54-'Выборка 1'!BR54)+('Выборка 1'!BT54-'Выборка 1'!BS54)+('Выборка 1'!BU54-'Выборка 1'!BT54))/4000</f>
        <v>-33.5</v>
      </c>
    </row>
    <row r="55" spans="2:8" x14ac:dyDescent="0.25">
      <c r="B55" s="42">
        <f>('Выборка 1'!AL55+'Выборка 1'!AG55)/1000</f>
        <v>0</v>
      </c>
      <c r="C55" s="17">
        <v>18</v>
      </c>
      <c r="D55" s="17">
        <f>(('Выборка 1'!E55-'Выборка 1'!D55)+('Выборка 1'!F55-'Выборка 1'!E55)+('Выборка 1'!G55-'Выборка 1'!F55)+('Выборка 1'!H55-'Выборка 1'!G55))/4000</f>
        <v>-814</v>
      </c>
      <c r="E55" s="17">
        <f>(('Выборка 1'!O55-'Выборка 1'!N55)+('Выборка 1'!P55-'Выборка 1'!O55)+('Выборка 1'!Q55-'Выборка 1'!P55)+('Выборка 1'!R55-'Выборка 1'!Q55))/4000</f>
        <v>-9100.5</v>
      </c>
      <c r="F55" s="17">
        <f>(('Выборка 1'!AN55-'Выборка 1'!AM55)+('Выборка 1'!AO55-'Выборка 1'!AN55)+('Выборка 1'!AP55-'Выборка 1'!AO55)+('Выборка 1'!AQ55-'Выборка 1'!AP55))/4000</f>
        <v>-34758.5</v>
      </c>
      <c r="G55" s="17">
        <f>((('Выборка 1'!BH55-'Выборка 1'!BM55)-('Выборка 1'!BG55-'Выборка 1'!BL55))+(('Выборка 1'!BI55-'Выборка 1'!BN55)-('Выборка 1'!BH55-'Выборка 1'!BM55))+(('Выборка 1'!BJ55-'Выборка 1'!BO55)-('Выборка 1'!BI55-'Выборка 1'!BN55))+(('Выборка 1'!BK55-'Выборка 1'!BP55)-('Выборка 1'!BJ55-'Выборка 1'!BO55)))/4000</f>
        <v>-5959.5</v>
      </c>
      <c r="H55" s="17">
        <f>(('Выборка 1'!BR55-'Выборка 1'!BQ55)+('Выборка 1'!BS55-'Выборка 1'!BR55)+('Выборка 1'!BT55-'Выборка 1'!BS55)+('Выборка 1'!BU55-'Выборка 1'!BT55))/4000</f>
        <v>1144.5</v>
      </c>
    </row>
    <row r="56" spans="2:8" x14ac:dyDescent="0.25">
      <c r="B56" s="42">
        <f>('Выборка 1'!AL56+'Выборка 1'!AG56)/1000</f>
        <v>0</v>
      </c>
      <c r="C56" s="17">
        <v>16</v>
      </c>
      <c r="D56" s="17">
        <f>(('Выборка 1'!E56-'Выборка 1'!D56)+('Выборка 1'!F56-'Выборка 1'!E56)+('Выборка 1'!G56-'Выборка 1'!F56)+('Выборка 1'!H56-'Выборка 1'!G56))/4000</f>
        <v>0</v>
      </c>
      <c r="E56" s="17">
        <f>(('Выборка 1'!O56-'Выборка 1'!N56)+('Выборка 1'!P56-'Выборка 1'!O56)+('Выборка 1'!Q56-'Выборка 1'!P56)+('Выборка 1'!R56-'Выборка 1'!Q56))/4000</f>
        <v>-18225.25</v>
      </c>
      <c r="F56" s="17">
        <f>(('Выборка 1'!AN56-'Выборка 1'!AM56)+('Выборка 1'!AO56-'Выборка 1'!AN56)+('Выборка 1'!AP56-'Выборка 1'!AO56)+('Выборка 1'!AQ56-'Выборка 1'!AP56))/4000</f>
        <v>-45</v>
      </c>
      <c r="G56" s="17">
        <f>((('Выборка 1'!BH56-'Выборка 1'!BM56)-('Выборка 1'!BG56-'Выборка 1'!BL56))+(('Выборка 1'!BI56-'Выборка 1'!BN56)-('Выборка 1'!BH56-'Выборка 1'!BM56))+(('Выборка 1'!BJ56-'Выборка 1'!BO56)-('Выборка 1'!BI56-'Выборка 1'!BN56))+(('Выборка 1'!BK56-'Выборка 1'!BP56)-('Выборка 1'!BJ56-'Выборка 1'!BO56)))/4000</f>
        <v>90.25</v>
      </c>
      <c r="H56" s="17">
        <f>(('Выборка 1'!BR56-'Выборка 1'!BQ56)+('Выборка 1'!BS56-'Выборка 1'!BR56)+('Выборка 1'!BT56-'Выборка 1'!BS56)+('Выборка 1'!BU56-'Выборка 1'!BT56))/4000</f>
        <v>45.25</v>
      </c>
    </row>
    <row r="57" spans="2:8" x14ac:dyDescent="0.25">
      <c r="B57" s="42">
        <f>('Выборка 1'!AL57+'Выборка 1'!AG57)/1000</f>
        <v>0</v>
      </c>
      <c r="C57" s="17">
        <v>17</v>
      </c>
      <c r="D57" s="17">
        <f>(('Выборка 1'!E57-'Выборка 1'!D57)+('Выборка 1'!F57-'Выборка 1'!E57)+('Выборка 1'!G57-'Выборка 1'!F57)+('Выборка 1'!H57-'Выборка 1'!G57))/4000</f>
        <v>-1465.5</v>
      </c>
      <c r="E57" s="17">
        <f>(('Выборка 1'!O57-'Выборка 1'!N57)+('Выборка 1'!P57-'Выборка 1'!O57)+('Выборка 1'!Q57-'Выборка 1'!P57)+('Выборка 1'!R57-'Выборка 1'!Q57))/4000</f>
        <v>-2532.5</v>
      </c>
      <c r="F57" s="17">
        <f>(('Выборка 1'!AN57-'Выборка 1'!AM57)+('Выборка 1'!AO57-'Выборка 1'!AN57)+('Выборка 1'!AP57-'Выборка 1'!AO57)+('Выборка 1'!AQ57-'Выборка 1'!AP57))/4000</f>
        <v>-13807.25</v>
      </c>
      <c r="G57" s="17">
        <f>((('Выборка 1'!BH57-'Выборка 1'!BM57)-('Выборка 1'!BG57-'Выборка 1'!BL57))+(('Выборка 1'!BI57-'Выборка 1'!BN57)-('Выборка 1'!BH57-'Выборка 1'!BM57))+(('Выборка 1'!BJ57-'Выборка 1'!BO57)-('Выборка 1'!BI57-'Выборка 1'!BN57))+(('Выборка 1'!BK57-'Выборка 1'!BP57)-('Выборка 1'!BJ57-'Выборка 1'!BO57)))/4000</f>
        <v>0</v>
      </c>
      <c r="H57" s="17">
        <f>(('Выборка 1'!BR57-'Выборка 1'!BQ57)+('Выборка 1'!BS57-'Выборка 1'!BR57)+('Выборка 1'!BT57-'Выборка 1'!BS57)+('Выборка 1'!BU57-'Выборка 1'!BT57))/4000</f>
        <v>-61.75</v>
      </c>
    </row>
    <row r="58" spans="2:8" x14ac:dyDescent="0.25">
      <c r="B58" s="42">
        <f>('Выборка 1'!AL58+'Выборка 1'!AG58)/1000</f>
        <v>90922</v>
      </c>
      <c r="C58" s="17">
        <v>20</v>
      </c>
      <c r="D58" s="17">
        <f>(('Выборка 1'!E58-'Выборка 1'!D58)+('Выборка 1'!F58-'Выборка 1'!E58)+('Выборка 1'!G58-'Выборка 1'!F58)+('Выборка 1'!H58-'Выборка 1'!G58))/4000</f>
        <v>-212.5</v>
      </c>
      <c r="E58" s="17">
        <f>(('Выборка 1'!O58-'Выборка 1'!N58)+('Выборка 1'!P58-'Выборка 1'!O58)+('Выборка 1'!Q58-'Выборка 1'!P58)+('Выборка 1'!R58-'Выборка 1'!Q58))/4000</f>
        <v>-5270.5</v>
      </c>
      <c r="F58" s="17">
        <f>(('Выборка 1'!AN58-'Выборка 1'!AM58)+('Выборка 1'!AO58-'Выборка 1'!AN58)+('Выборка 1'!AP58-'Выборка 1'!AO58)+('Выборка 1'!AQ58-'Выборка 1'!AP58))/4000</f>
        <v>-121504.75</v>
      </c>
      <c r="G58" s="17">
        <f>((('Выборка 1'!BH58-'Выборка 1'!BM58)-('Выборка 1'!BG58-'Выборка 1'!BL58))+(('Выборка 1'!BI58-'Выборка 1'!BN58)-('Выборка 1'!BH58-'Выборка 1'!BM58))+(('Выборка 1'!BJ58-'Выборка 1'!BO58)-('Выборка 1'!BI58-'Выборка 1'!BN58))+(('Выборка 1'!BK58-'Выборка 1'!BP58)-('Выборка 1'!BJ58-'Выборка 1'!BO58)))/4000</f>
        <v>1350.25</v>
      </c>
      <c r="H58" s="17">
        <f>(('Выборка 1'!BR58-'Выборка 1'!BQ58)+('Выборка 1'!BS58-'Выборка 1'!BR58)+('Выборка 1'!BT58-'Выборка 1'!BS58)+('Выборка 1'!BU58-'Выборка 1'!BT58))/4000</f>
        <v>2229.5</v>
      </c>
    </row>
    <row r="59" spans="2:8" x14ac:dyDescent="0.25">
      <c r="B59" s="42">
        <f>('Выборка 1'!AL59+'Выборка 1'!AG59)/1000</f>
        <v>0</v>
      </c>
      <c r="C59" s="17">
        <v>13</v>
      </c>
      <c r="D59" s="17">
        <f>(('Выборка 1'!E59-'Выборка 1'!D59)+('Выборка 1'!F59-'Выборка 1'!E59)+('Выборка 1'!G59-'Выборка 1'!F59)+('Выборка 1'!H59-'Выборка 1'!G59))/4000</f>
        <v>0</v>
      </c>
      <c r="E59" s="17">
        <f>(('Выборка 1'!O59-'Выборка 1'!N59)+('Выборка 1'!P59-'Выборка 1'!O59)+('Выборка 1'!Q59-'Выборка 1'!P59)+('Выборка 1'!R59-'Выборка 1'!Q59))/4000</f>
        <v>0</v>
      </c>
      <c r="F59" s="17">
        <f>(('Выборка 1'!AN59-'Выборка 1'!AM59)+('Выборка 1'!AO59-'Выборка 1'!AN59)+('Выборка 1'!AP59-'Выборка 1'!AO59)+('Выборка 1'!AQ59-'Выборка 1'!AP59))/4000</f>
        <v>0</v>
      </c>
      <c r="G59" s="17">
        <f>((('Выборка 1'!BH59-'Выборка 1'!BM59)-('Выборка 1'!BG59-'Выборка 1'!BL59))+(('Выборка 1'!BI59-'Выборка 1'!BN59)-('Выборка 1'!BH59-'Выборка 1'!BM59))+(('Выборка 1'!BJ59-'Выборка 1'!BO59)-('Выборка 1'!BI59-'Выборка 1'!BN59))+(('Выборка 1'!BK59-'Выборка 1'!BP59)-('Выборка 1'!BJ59-'Выборка 1'!BO59)))/4000</f>
        <v>0</v>
      </c>
      <c r="H59" s="17">
        <f>(('Выборка 1'!BR59-'Выборка 1'!BQ59)+('Выборка 1'!BS59-'Выборка 1'!BR59)+('Выборка 1'!BT59-'Выборка 1'!BS59)+('Выборка 1'!BU59-'Выборка 1'!BT59))/4000</f>
        <v>0</v>
      </c>
    </row>
    <row r="60" spans="2:8" x14ac:dyDescent="0.25">
      <c r="B60" s="42">
        <f>('Выборка 1'!AL60+'Выборка 1'!AG60)/1000</f>
        <v>0</v>
      </c>
      <c r="C60" s="17">
        <v>14</v>
      </c>
      <c r="D60" s="17">
        <f>(('Выборка 1'!E60-'Выборка 1'!D60)+('Выборка 1'!F60-'Выборка 1'!E60)+('Выборка 1'!G60-'Выборка 1'!F60)+('Выборка 1'!H60-'Выборка 1'!G60))/4000</f>
        <v>0</v>
      </c>
      <c r="E60" s="17">
        <f>(('Выборка 1'!O60-'Выборка 1'!N60)+('Выборка 1'!P60-'Выборка 1'!O60)+('Выборка 1'!Q60-'Выборка 1'!P60)+('Выборка 1'!R60-'Выборка 1'!Q60))/4000</f>
        <v>-5134</v>
      </c>
      <c r="F60" s="17">
        <f>(('Выборка 1'!AN60-'Выборка 1'!AM60)+('Выборка 1'!AO60-'Выборка 1'!AN60)+('Выборка 1'!AP60-'Выборка 1'!AO60)+('Выборка 1'!AQ60-'Выборка 1'!AP60))/4000</f>
        <v>-27529.25</v>
      </c>
      <c r="G60" s="17">
        <f>((('Выборка 1'!BH60-'Выборка 1'!BM60)-('Выборка 1'!BG60-'Выборка 1'!BL60))+(('Выборка 1'!BI60-'Выборка 1'!BN60)-('Выборка 1'!BH60-'Выборка 1'!BM60))+(('Выборка 1'!BJ60-'Выборка 1'!BO60)-('Выборка 1'!BI60-'Выборка 1'!BN60))+(('Выборка 1'!BK60-'Выборка 1'!BP60)-('Выборка 1'!BJ60-'Выборка 1'!BO60)))/4000</f>
        <v>33</v>
      </c>
      <c r="H60" s="17">
        <f>(('Выборка 1'!BR60-'Выборка 1'!BQ60)+('Выборка 1'!BS60-'Выборка 1'!BR60)+('Выборка 1'!BT60-'Выборка 1'!BS60)+('Выборка 1'!BU60-'Выборка 1'!BT60))/4000</f>
        <v>-378.25</v>
      </c>
    </row>
    <row r="61" spans="2:8" x14ac:dyDescent="0.25">
      <c r="B61" s="42">
        <f>('Выборка 1'!AL61+'Выборка 1'!AG61)/1000</f>
        <v>27551</v>
      </c>
      <c r="C61" s="17">
        <v>7</v>
      </c>
      <c r="D61" s="17">
        <f>(('Выборка 1'!E61-'Выборка 1'!D61)+('Выборка 1'!F61-'Выборка 1'!E61)+('Выборка 1'!G61-'Выборка 1'!F61)+('Выборка 1'!H61-'Выборка 1'!G61))/4000</f>
        <v>0</v>
      </c>
      <c r="E61" s="17">
        <f>(('Выборка 1'!O61-'Выборка 1'!N61)+('Выборка 1'!P61-'Выборка 1'!O61)+('Выборка 1'!Q61-'Выборка 1'!P61)+('Выборка 1'!R61-'Выборка 1'!Q61))/4000</f>
        <v>-15686.5</v>
      </c>
      <c r="F61" s="17">
        <f>(('Выборка 1'!AN61-'Выборка 1'!AM61)+('Выборка 1'!AO61-'Выборка 1'!AN61)+('Выборка 1'!AP61-'Выборка 1'!AO61)+('Выборка 1'!AQ61-'Выборка 1'!AP61))/4000</f>
        <v>-350</v>
      </c>
      <c r="G61" s="17">
        <f>((('Выборка 1'!BH61-'Выборка 1'!BM61)-('Выборка 1'!BG61-'Выборка 1'!BL61))+(('Выборка 1'!BI61-'Выборка 1'!BN61)-('Выборка 1'!BH61-'Выборка 1'!BM61))+(('Выборка 1'!BJ61-'Выборка 1'!BO61)-('Выборка 1'!BI61-'Выборка 1'!BN61))+(('Выборка 1'!BK61-'Выборка 1'!BP61)-('Выборка 1'!BJ61-'Выборка 1'!BO61)))/4000</f>
        <v>-122.5</v>
      </c>
      <c r="H61" s="17">
        <f>(('Выборка 1'!BR61-'Выборка 1'!BQ61)+('Выборка 1'!BS61-'Выборка 1'!BR61)+('Выборка 1'!BT61-'Выборка 1'!BS61)+('Выборка 1'!BU61-'Выборка 1'!BT61))/4000</f>
        <v>-141.75</v>
      </c>
    </row>
    <row r="62" spans="2:8" x14ac:dyDescent="0.25">
      <c r="B62" s="42">
        <f>('Выборка 1'!AL62+'Выборка 1'!AG62)/1000</f>
        <v>0</v>
      </c>
      <c r="C62" s="17">
        <v>19</v>
      </c>
      <c r="D62" s="17">
        <f>(('Выборка 1'!E62-'Выборка 1'!D62)+('Выборка 1'!F62-'Выборка 1'!E62)+('Выборка 1'!G62-'Выборка 1'!F62)+('Выборка 1'!H62-'Выборка 1'!G62))/4000</f>
        <v>0</v>
      </c>
      <c r="E62" s="17">
        <f>(('Выборка 1'!O62-'Выборка 1'!N62)+('Выборка 1'!P62-'Выборка 1'!O62)+('Выборка 1'!Q62-'Выборка 1'!P62)+('Выборка 1'!R62-'Выборка 1'!Q62))/4000</f>
        <v>0</v>
      </c>
      <c r="F62" s="17">
        <f>(('Выборка 1'!AN62-'Выборка 1'!AM62)+('Выборка 1'!AO62-'Выборка 1'!AN62)+('Выборка 1'!AP62-'Выборка 1'!AO62)+('Выборка 1'!AQ62-'Выборка 1'!AP62))/4000</f>
        <v>0</v>
      </c>
      <c r="G62" s="17">
        <f>((('Выборка 1'!BH62-'Выборка 1'!BM62)-('Выборка 1'!BG62-'Выборка 1'!BL62))+(('Выборка 1'!BI62-'Выборка 1'!BN62)-('Выборка 1'!BH62-'Выборка 1'!BM62))+(('Выборка 1'!BJ62-'Выборка 1'!BO62)-('Выборка 1'!BI62-'Выборка 1'!BN62))+(('Выборка 1'!BK62-'Выборка 1'!BP62)-('Выборка 1'!BJ62-'Выборка 1'!BO62)))/4000</f>
        <v>0</v>
      </c>
      <c r="H62" s="17">
        <f>(('Выборка 1'!BR62-'Выборка 1'!BQ62)+('Выборка 1'!BS62-'Выборка 1'!BR62)+('Выборка 1'!BT62-'Выборка 1'!BS62)+('Выборка 1'!BU62-'Выборка 1'!BT62))/4000</f>
        <v>0</v>
      </c>
    </row>
    <row r="63" spans="2:8" x14ac:dyDescent="0.25">
      <c r="B63" s="42">
        <f>('Выборка 1'!AL63+'Выборка 1'!AG63)/1000</f>
        <v>0</v>
      </c>
      <c r="C63" s="17">
        <v>9</v>
      </c>
      <c r="D63" s="17">
        <f>(('Выборка 1'!E63-'Выборка 1'!D63)+('Выборка 1'!F63-'Выборка 1'!E63)+('Выборка 1'!G63-'Выборка 1'!F63)+('Выборка 1'!H63-'Выборка 1'!G63))/4000</f>
        <v>-4585.5</v>
      </c>
      <c r="E63" s="17">
        <f>(('Выборка 1'!O63-'Выборка 1'!N63)+('Выборка 1'!P63-'Выборка 1'!O63)+('Выборка 1'!Q63-'Выборка 1'!P63)+('Выборка 1'!R63-'Выборка 1'!Q63))/4000</f>
        <v>-15814.25</v>
      </c>
      <c r="F63" s="17">
        <f>(('Выборка 1'!AN63-'Выборка 1'!AM63)+('Выборка 1'!AO63-'Выборка 1'!AN63)+('Выборка 1'!AP63-'Выборка 1'!AO63)+('Выборка 1'!AQ63-'Выборка 1'!AP63))/4000</f>
        <v>-25888.75</v>
      </c>
      <c r="G63" s="17">
        <f>((('Выборка 1'!BH63-'Выборка 1'!BM63)-('Выборка 1'!BG63-'Выборка 1'!BL63))+(('Выборка 1'!BI63-'Выборка 1'!BN63)-('Выборка 1'!BH63-'Выборка 1'!BM63))+(('Выборка 1'!BJ63-'Выборка 1'!BO63)-('Выборка 1'!BI63-'Выборка 1'!BN63))+(('Выборка 1'!BK63-'Выборка 1'!BP63)-('Выборка 1'!BJ63-'Выборка 1'!BO63)))/4000</f>
        <v>-3067</v>
      </c>
      <c r="H63" s="17">
        <f>(('Выборка 1'!BR63-'Выборка 1'!BQ63)+('Выборка 1'!BS63-'Выборка 1'!BR63)+('Выборка 1'!BT63-'Выборка 1'!BS63)+('Выборка 1'!BU63-'Выборка 1'!BT63))/4000</f>
        <v>1797.25</v>
      </c>
    </row>
    <row r="64" spans="2:8" x14ac:dyDescent="0.25">
      <c r="B64" s="42">
        <f>('Выборка 1'!AL64+'Выборка 1'!AG64)/1000</f>
        <v>0</v>
      </c>
      <c r="C64" s="17">
        <v>15</v>
      </c>
      <c r="D64" s="17">
        <f>(('Выборка 1'!E64-'Выборка 1'!D64)+('Выборка 1'!F64-'Выборка 1'!E64)+('Выборка 1'!G64-'Выборка 1'!F64)+('Выборка 1'!H64-'Выборка 1'!G64))/4000</f>
        <v>0</v>
      </c>
      <c r="E64" s="17">
        <f>(('Выборка 1'!O64-'Выборка 1'!N64)+('Выборка 1'!P64-'Выборка 1'!O64)+('Выборка 1'!Q64-'Выборка 1'!P64)+('Выборка 1'!R64-'Выборка 1'!Q64))/4000</f>
        <v>0</v>
      </c>
      <c r="F64" s="17">
        <f>(('Выборка 1'!AN64-'Выборка 1'!AM64)+('Выборка 1'!AO64-'Выборка 1'!AN64)+('Выборка 1'!AP64-'Выборка 1'!AO64)+('Выборка 1'!AQ64-'Выборка 1'!AP64))/4000</f>
        <v>0</v>
      </c>
      <c r="G64" s="17">
        <f>((('Выборка 1'!BH64-'Выборка 1'!BM64)-('Выборка 1'!BG64-'Выборка 1'!BL64))+(('Выборка 1'!BI64-'Выборка 1'!BN64)-('Выборка 1'!BH64-'Выборка 1'!BM64))+(('Выборка 1'!BJ64-'Выборка 1'!BO64)-('Выборка 1'!BI64-'Выборка 1'!BN64))+(('Выборка 1'!BK64-'Выборка 1'!BP64)-('Выборка 1'!BJ64-'Выборка 1'!BO64)))/4000</f>
        <v>0</v>
      </c>
      <c r="H64" s="17">
        <f>(('Выборка 1'!BR64-'Выборка 1'!BQ64)+('Выборка 1'!BS64-'Выборка 1'!BR64)+('Выборка 1'!BT64-'Выборка 1'!BS64)+('Выборка 1'!BU64-'Выборка 1'!BT64))/4000</f>
        <v>0</v>
      </c>
    </row>
    <row r="65" spans="2:8" x14ac:dyDescent="0.25">
      <c r="B65" s="42">
        <f>('Выборка 1'!AL65+'Выборка 1'!AG65)/1000</f>
        <v>346623</v>
      </c>
      <c r="C65" s="17">
        <v>17</v>
      </c>
      <c r="D65" s="17">
        <f>(('Выборка 1'!E65-'Выборка 1'!D65)+('Выборка 1'!F65-'Выборка 1'!E65)+('Выборка 1'!G65-'Выборка 1'!F65)+('Выборка 1'!H65-'Выборка 1'!G65))/4000</f>
        <v>0</v>
      </c>
      <c r="E65" s="17">
        <f>(('Выборка 1'!O65-'Выборка 1'!N65)+('Выборка 1'!P65-'Выборка 1'!O65)+('Выборка 1'!Q65-'Выборка 1'!P65)+('Выборка 1'!R65-'Выборка 1'!Q65))/4000</f>
        <v>-1065.25</v>
      </c>
      <c r="F65" s="17">
        <f>(('Выборка 1'!AN65-'Выборка 1'!AM65)+('Выборка 1'!AO65-'Выборка 1'!AN65)+('Выборка 1'!AP65-'Выборка 1'!AO65)+('Выборка 1'!AQ65-'Выборка 1'!AP65))/4000</f>
        <v>-17.25</v>
      </c>
      <c r="G65" s="17">
        <f>((('Выборка 1'!BH65-'Выборка 1'!BM65)-('Выборка 1'!BG65-'Выборка 1'!BL65))+(('Выборка 1'!BI65-'Выборка 1'!BN65)-('Выборка 1'!BH65-'Выборка 1'!BM65))+(('Выборка 1'!BJ65-'Выборка 1'!BO65)-('Выборка 1'!BI65-'Выборка 1'!BN65))+(('Выборка 1'!BK65-'Выборка 1'!BP65)-('Выборка 1'!BJ65-'Выборка 1'!BO65)))/4000</f>
        <v>17.25</v>
      </c>
      <c r="H65" s="17">
        <f>(('Выборка 1'!BR65-'Выборка 1'!BQ65)+('Выборка 1'!BS65-'Выборка 1'!BR65)+('Выборка 1'!BT65-'Выборка 1'!BS65)+('Выборка 1'!BU65-'Выборка 1'!BT65))/4000</f>
        <v>0</v>
      </c>
    </row>
    <row r="66" spans="2:8" x14ac:dyDescent="0.25">
      <c r="B66" s="42">
        <f>('Выборка 1'!AL66+'Выборка 1'!AG66)/1000</f>
        <v>0</v>
      </c>
      <c r="C66" s="17">
        <v>6</v>
      </c>
      <c r="D66" s="17">
        <f>(('Выборка 1'!E66-'Выборка 1'!D66)+('Выборка 1'!F66-'Выборка 1'!E66)+('Выборка 1'!G66-'Выборка 1'!F66)+('Выборка 1'!H66-'Выборка 1'!G66))/4000</f>
        <v>0</v>
      </c>
      <c r="E66" s="17">
        <f>(('Выборка 1'!O66-'Выборка 1'!N66)+('Выборка 1'!P66-'Выборка 1'!O66)+('Выборка 1'!Q66-'Выборка 1'!P66)+('Выборка 1'!R66-'Выборка 1'!Q66))/4000</f>
        <v>-796</v>
      </c>
      <c r="F66" s="17">
        <f>(('Выборка 1'!AN66-'Выборка 1'!AM66)+('Выборка 1'!AO66-'Выборка 1'!AN66)+('Выборка 1'!AP66-'Выборка 1'!AO66)+('Выборка 1'!AQ66-'Выборка 1'!AP66))/4000</f>
        <v>-15128.75</v>
      </c>
      <c r="G66" s="17">
        <f>((('Выборка 1'!BH66-'Выборка 1'!BM66)-('Выборка 1'!BG66-'Выборка 1'!BL66))+(('Выборка 1'!BI66-'Выборка 1'!BN66)-('Выборка 1'!BH66-'Выборка 1'!BM66))+(('Выборка 1'!BJ66-'Выборка 1'!BO66)-('Выборка 1'!BI66-'Выборка 1'!BN66))+(('Выборка 1'!BK66-'Выборка 1'!BP66)-('Выборка 1'!BJ66-'Выборка 1'!BO66)))/4000</f>
        <v>31.25</v>
      </c>
      <c r="H66" s="17">
        <f>(('Выборка 1'!BR66-'Выборка 1'!BQ66)+('Выборка 1'!BS66-'Выборка 1'!BR66)+('Выборка 1'!BT66-'Выборка 1'!BS66)+('Выборка 1'!BU66-'Выборка 1'!BT66))/4000</f>
        <v>952.5</v>
      </c>
    </row>
    <row r="67" spans="2:8" x14ac:dyDescent="0.25">
      <c r="B67" s="42">
        <f>('Выборка 1'!AL67+'Выборка 1'!AG67)/1000</f>
        <v>0</v>
      </c>
      <c r="C67" s="17">
        <v>17</v>
      </c>
      <c r="D67" s="17">
        <f>(('Выборка 1'!E67-'Выборка 1'!D67)+('Выборка 1'!F67-'Выборка 1'!E67)+('Выборка 1'!G67-'Выборка 1'!F67)+('Выборка 1'!H67-'Выборка 1'!G67))/4000</f>
        <v>-1004</v>
      </c>
      <c r="E67" s="17">
        <f>(('Выборка 1'!O67-'Выборка 1'!N67)+('Выборка 1'!P67-'Выборка 1'!O67)+('Выборка 1'!Q67-'Выборка 1'!P67)+('Выборка 1'!R67-'Выборка 1'!Q67))/4000</f>
        <v>-4952.75</v>
      </c>
      <c r="F67" s="17">
        <f>(('Выборка 1'!AN67-'Выборка 1'!AM67)+('Выборка 1'!AO67-'Выборка 1'!AN67)+('Выборка 1'!AP67-'Выборка 1'!AO67)+('Выборка 1'!AQ67-'Выборка 1'!AP67))/4000</f>
        <v>-7928.25</v>
      </c>
      <c r="G67" s="17">
        <f>((('Выборка 1'!BH67-'Выборка 1'!BM67)-('Выборка 1'!BG67-'Выборка 1'!BL67))+(('Выборка 1'!BI67-'Выборка 1'!BN67)-('Выборка 1'!BH67-'Выборка 1'!BM67))+(('Выборка 1'!BJ67-'Выборка 1'!BO67)-('Выборка 1'!BI67-'Выборка 1'!BN67))+(('Выборка 1'!BK67-'Выборка 1'!BP67)-('Выборка 1'!BJ67-'Выборка 1'!BO67)))/4000</f>
        <v>271.25</v>
      </c>
      <c r="H67" s="17">
        <f>(('Выборка 1'!BR67-'Выборка 1'!BQ67)+('Выборка 1'!BS67-'Выборка 1'!BR67)+('Выборка 1'!BT67-'Выборка 1'!BS67)+('Выборка 1'!BU67-'Выборка 1'!BT67))/4000</f>
        <v>-209.25</v>
      </c>
    </row>
    <row r="68" spans="2:8" x14ac:dyDescent="0.25">
      <c r="B68" s="42">
        <f>('Выборка 1'!AL68+'Выборка 1'!AG68)/1000</f>
        <v>0</v>
      </c>
      <c r="C68" s="17">
        <v>8</v>
      </c>
      <c r="D68" s="17">
        <f>(('Выборка 1'!E68-'Выборка 1'!D68)+('Выборка 1'!F68-'Выборка 1'!E68)+('Выборка 1'!G68-'Выборка 1'!F68)+('Выборка 1'!H68-'Выборка 1'!G68))/4000</f>
        <v>0</v>
      </c>
      <c r="E68" s="17">
        <f>(('Выборка 1'!O68-'Выборка 1'!N68)+('Выборка 1'!P68-'Выборка 1'!O68)+('Выборка 1'!Q68-'Выборка 1'!P68)+('Выборка 1'!R68-'Выборка 1'!Q68))/4000</f>
        <v>0</v>
      </c>
      <c r="F68" s="17">
        <f>(('Выборка 1'!AN68-'Выборка 1'!AM68)+('Выборка 1'!AO68-'Выборка 1'!AN68)+('Выборка 1'!AP68-'Выборка 1'!AO68)+('Выборка 1'!AQ68-'Выборка 1'!AP68))/4000</f>
        <v>0</v>
      </c>
      <c r="G68" s="17">
        <f>((('Выборка 1'!BH68-'Выборка 1'!BM68)-('Выборка 1'!BG68-'Выборка 1'!BL68))+(('Выборка 1'!BI68-'Выборка 1'!BN68)-('Выборка 1'!BH68-'Выборка 1'!BM68))+(('Выборка 1'!BJ68-'Выборка 1'!BO68)-('Выборка 1'!BI68-'Выборка 1'!BN68))+(('Выборка 1'!BK68-'Выборка 1'!BP68)-('Выборка 1'!BJ68-'Выборка 1'!BO68)))/4000</f>
        <v>0</v>
      </c>
      <c r="H68" s="17">
        <f>(('Выборка 1'!BR68-'Выборка 1'!BQ68)+('Выборка 1'!BS68-'Выборка 1'!BR68)+('Выборка 1'!BT68-'Выборка 1'!BS68)+('Выборка 1'!BU68-'Выборка 1'!BT68))/4000</f>
        <v>0</v>
      </c>
    </row>
    <row r="69" spans="2:8" x14ac:dyDescent="0.25">
      <c r="B69" s="42">
        <f>('Выборка 1'!AL69+'Выборка 1'!AG69)/1000</f>
        <v>0</v>
      </c>
      <c r="C69" s="17">
        <v>17</v>
      </c>
      <c r="D69" s="17">
        <f>(('Выборка 1'!E69-'Выборка 1'!D69)+('Выборка 1'!F69-'Выборка 1'!E69)+('Выборка 1'!G69-'Выборка 1'!F69)+('Выборка 1'!H69-'Выборка 1'!G69))/4000</f>
        <v>-274.5</v>
      </c>
      <c r="E69" s="17">
        <f>(('Выборка 1'!O69-'Выборка 1'!N69)+('Выборка 1'!P69-'Выборка 1'!O69)+('Выборка 1'!Q69-'Выборка 1'!P69)+('Выборка 1'!R69-'Выборка 1'!Q69))/4000</f>
        <v>-1727.75</v>
      </c>
      <c r="F69" s="17">
        <f>(('Выборка 1'!AN69-'Выборка 1'!AM69)+('Выборка 1'!AO69-'Выборка 1'!AN69)+('Выборка 1'!AP69-'Выборка 1'!AO69)+('Выборка 1'!AQ69-'Выборка 1'!AP69))/4000</f>
        <v>-2116</v>
      </c>
      <c r="G69" s="17">
        <f>((('Выборка 1'!BH69-'Выборка 1'!BM69)-('Выборка 1'!BG69-'Выборка 1'!BL69))+(('Выборка 1'!BI69-'Выборка 1'!BN69)-('Выборка 1'!BH69-'Выборка 1'!BM69))+(('Выборка 1'!BJ69-'Выборка 1'!BO69)-('Выборка 1'!BI69-'Выборка 1'!BN69))+(('Выборка 1'!BK69-'Выборка 1'!BP69)-('Выборка 1'!BJ69-'Выборка 1'!BO69)))/4000</f>
        <v>-201.5</v>
      </c>
      <c r="H69" s="17">
        <f>(('Выборка 1'!BR69-'Выборка 1'!BQ69)+('Выборка 1'!BS69-'Выборка 1'!BR69)+('Выборка 1'!BT69-'Выборка 1'!BS69)+('Выборка 1'!BU69-'Выборка 1'!BT69))/4000</f>
        <v>-375</v>
      </c>
    </row>
    <row r="70" spans="2:8" x14ac:dyDescent="0.25">
      <c r="B70" s="42">
        <f>('Выборка 1'!AL70+'Выборка 1'!AG70)/1000</f>
        <v>32615</v>
      </c>
      <c r="C70" s="17">
        <v>17</v>
      </c>
      <c r="D70" s="17">
        <f>(('Выборка 1'!E70-'Выборка 1'!D70)+('Выборка 1'!F70-'Выборка 1'!E70)+('Выборка 1'!G70-'Выборка 1'!F70)+('Выборка 1'!H70-'Выборка 1'!G70))/4000</f>
        <v>418.5</v>
      </c>
      <c r="E70" s="17">
        <f>(('Выборка 1'!O70-'Выборка 1'!N70)+('Выборка 1'!P70-'Выборка 1'!O70)+('Выборка 1'!Q70-'Выборка 1'!P70)+('Выборка 1'!R70-'Выборка 1'!Q70))/4000</f>
        <v>-474.25</v>
      </c>
      <c r="F70" s="17">
        <f>(('Выборка 1'!AN70-'Выборка 1'!AM70)+('Выборка 1'!AO70-'Выборка 1'!AN70)+('Выборка 1'!AP70-'Выборка 1'!AO70)+('Выборка 1'!AQ70-'Выборка 1'!AP70))/4000</f>
        <v>-2613</v>
      </c>
      <c r="G70" s="17">
        <f>((('Выборка 1'!BH70-'Выборка 1'!BM70)-('Выборка 1'!BG70-'Выборка 1'!BL70))+(('Выборка 1'!BI70-'Выборка 1'!BN70)-('Выборка 1'!BH70-'Выборка 1'!BM70))+(('Выборка 1'!BJ70-'Выборка 1'!BO70)-('Выборка 1'!BI70-'Выборка 1'!BN70))+(('Выборка 1'!BK70-'Выборка 1'!BP70)-('Выборка 1'!BJ70-'Выборка 1'!BO70)))/4000</f>
        <v>15.5</v>
      </c>
      <c r="H70" s="17">
        <f>(('Выборка 1'!BR70-'Выборка 1'!BQ70)+('Выборка 1'!BS70-'Выборка 1'!BR70)+('Выборка 1'!BT70-'Выборка 1'!BS70)+('Выборка 1'!BU70-'Выборка 1'!BT70))/4000</f>
        <v>-152.5</v>
      </c>
    </row>
    <row r="71" spans="2:8" x14ac:dyDescent="0.25">
      <c r="B71" s="42">
        <f>('Выборка 1'!AL71+'Выборка 1'!AG71)/1000</f>
        <v>693280</v>
      </c>
      <c r="C71" s="17">
        <v>28</v>
      </c>
      <c r="D71" s="17">
        <f>(('Выборка 1'!E71-'Выборка 1'!D71)+('Выборка 1'!F71-'Выборка 1'!E71)+('Выборка 1'!G71-'Выборка 1'!F71)+('Выборка 1'!H71-'Выборка 1'!G71))/4000</f>
        <v>-179.5</v>
      </c>
      <c r="E71" s="17">
        <f>(('Выборка 1'!O71-'Выборка 1'!N71)+('Выборка 1'!P71-'Выборка 1'!O71)+('Выборка 1'!Q71-'Выборка 1'!P71)+('Выборка 1'!R71-'Выборка 1'!Q71))/4000</f>
        <v>-1110.75</v>
      </c>
      <c r="F71" s="17">
        <f>(('Выборка 1'!AN71-'Выборка 1'!AM71)+('Выборка 1'!AO71-'Выборка 1'!AN71)+('Выборка 1'!AP71-'Выборка 1'!AO71)+('Выборка 1'!AQ71-'Выборка 1'!AP71))/4000</f>
        <v>-711.5</v>
      </c>
      <c r="G71" s="17">
        <f>((('Выборка 1'!BH71-'Выборка 1'!BM71)-('Выборка 1'!BG71-'Выборка 1'!BL71))+(('Выборка 1'!BI71-'Выборка 1'!BN71)-('Выборка 1'!BH71-'Выборка 1'!BM71))+(('Выборка 1'!BJ71-'Выборка 1'!BO71)-('Выборка 1'!BI71-'Выборка 1'!BN71))+(('Выборка 1'!BK71-'Выборка 1'!BP71)-('Выборка 1'!BJ71-'Выборка 1'!BO71)))/4000</f>
        <v>-128683</v>
      </c>
      <c r="H71" s="17">
        <f>(('Выборка 1'!BR71-'Выборка 1'!BQ71)+('Выборка 1'!BS71-'Выборка 1'!BR71)+('Выборка 1'!BT71-'Выборка 1'!BS71)+('Выборка 1'!BU71-'Выборка 1'!BT71))/4000</f>
        <v>-127161.5</v>
      </c>
    </row>
    <row r="72" spans="2:8" x14ac:dyDescent="0.25">
      <c r="B72" s="42">
        <f>('Выборка 1'!AL72+'Выборка 1'!AG72)/1000</f>
        <v>111203</v>
      </c>
      <c r="C72" s="17">
        <v>10</v>
      </c>
      <c r="D72" s="17">
        <f>(('Выборка 1'!E72-'Выборка 1'!D72)+('Выборка 1'!F72-'Выборка 1'!E72)+('Выборка 1'!G72-'Выборка 1'!F72)+('Выборка 1'!H72-'Выборка 1'!G72))/4000</f>
        <v>-396.75</v>
      </c>
      <c r="E72" s="17">
        <f>(('Выборка 1'!O72-'Выборка 1'!N72)+('Выборка 1'!P72-'Выборка 1'!O72)+('Выборка 1'!Q72-'Выборка 1'!P72)+('Выборка 1'!R72-'Выборка 1'!Q72))/4000</f>
        <v>4968.5</v>
      </c>
      <c r="F72" s="17">
        <f>(('Выборка 1'!AN72-'Выборка 1'!AM72)+('Выборка 1'!AO72-'Выборка 1'!AN72)+('Выборка 1'!AP72-'Выборка 1'!AO72)+('Выборка 1'!AQ72-'Выборка 1'!AP72))/4000</f>
        <v>-71707</v>
      </c>
      <c r="G72" s="17">
        <f>((('Выборка 1'!BH72-'Выборка 1'!BM72)-('Выборка 1'!BG72-'Выборка 1'!BL72))+(('Выборка 1'!BI72-'Выборка 1'!BN72)-('Выборка 1'!BH72-'Выборка 1'!BM72))+(('Выборка 1'!BJ72-'Выборка 1'!BO72)-('Выборка 1'!BI72-'Выборка 1'!BN72))+(('Выборка 1'!BK72-'Выборка 1'!BP72)-('Выборка 1'!BJ72-'Выборка 1'!BO72)))/4000</f>
        <v>-20.75</v>
      </c>
      <c r="H72" s="17">
        <f>(('Выборка 1'!BR72-'Выборка 1'!BQ72)+('Выборка 1'!BS72-'Выборка 1'!BR72)+('Выборка 1'!BT72-'Выборка 1'!BS72)+('Выборка 1'!BU72-'Выборка 1'!BT72))/4000</f>
        <v>-713.75</v>
      </c>
    </row>
    <row r="73" spans="2:8" x14ac:dyDescent="0.25">
      <c r="B73" s="42">
        <f>('Выборка 1'!AL73+'Выборка 1'!AG73)/1000</f>
        <v>406146</v>
      </c>
      <c r="C73" s="17">
        <v>14</v>
      </c>
      <c r="D73" s="17">
        <f>(('Выборка 1'!E73-'Выборка 1'!D73)+('Выборка 1'!F73-'Выборка 1'!E73)+('Выборка 1'!G73-'Выборка 1'!F73)+('Выборка 1'!H73-'Выборка 1'!G73))/4000</f>
        <v>-19319.25</v>
      </c>
      <c r="E73" s="17">
        <f>(('Выборка 1'!O73-'Выборка 1'!N73)+('Выборка 1'!P73-'Выборка 1'!O73)+('Выборка 1'!Q73-'Выборка 1'!P73)+('Выборка 1'!R73-'Выборка 1'!Q73))/4000</f>
        <v>-19596.25</v>
      </c>
      <c r="F73" s="17">
        <f>(('Выборка 1'!AN73-'Выборка 1'!AM73)+('Выборка 1'!AO73-'Выборка 1'!AN73)+('Выборка 1'!AP73-'Выборка 1'!AO73)+('Выборка 1'!AQ73-'Выборка 1'!AP73))/4000</f>
        <v>-17958.75</v>
      </c>
      <c r="G73" s="17">
        <f>((('Выборка 1'!BH73-'Выборка 1'!BM73)-('Выборка 1'!BG73-'Выборка 1'!BL73))+(('Выборка 1'!BI73-'Выборка 1'!BN73)-('Выборка 1'!BH73-'Выборка 1'!BM73))+(('Выборка 1'!BJ73-'Выборка 1'!BO73)-('Выборка 1'!BI73-'Выборка 1'!BN73))+(('Выборка 1'!BK73-'Выборка 1'!BP73)-('Выборка 1'!BJ73-'Выборка 1'!BO73)))/4000</f>
        <v>-3275.75</v>
      </c>
      <c r="H73" s="17">
        <f>(('Выборка 1'!BR73-'Выборка 1'!BQ73)+('Выборка 1'!BS73-'Выборка 1'!BR73)+('Выборка 1'!BT73-'Выборка 1'!BS73)+('Выборка 1'!BU73-'Выборка 1'!BT73))/4000</f>
        <v>7930.75</v>
      </c>
    </row>
    <row r="74" spans="2:8" x14ac:dyDescent="0.25">
      <c r="B74" s="42">
        <f>('Выборка 1'!AL74+'Выборка 1'!AG74)/1000</f>
        <v>72737</v>
      </c>
      <c r="C74" s="17">
        <v>5</v>
      </c>
      <c r="D74" s="17">
        <f>(('Выборка 1'!E74-'Выборка 1'!D74)+('Выборка 1'!F74-'Выборка 1'!E74)+('Выборка 1'!G74-'Выборка 1'!F74)+('Выборка 1'!H74-'Выборка 1'!G74))/4000</f>
        <v>-4</v>
      </c>
      <c r="E74" s="17">
        <f>(('Выборка 1'!O74-'Выборка 1'!N74)+('Выборка 1'!P74-'Выборка 1'!O74)+('Выборка 1'!Q74-'Выборка 1'!P74)+('Выборка 1'!R74-'Выборка 1'!Q74))/4000</f>
        <v>7825.75</v>
      </c>
      <c r="F74" s="17">
        <f>(('Выборка 1'!AN74-'Выборка 1'!AM74)+('Выборка 1'!AO74-'Выборка 1'!AN74)+('Выборка 1'!AP74-'Выборка 1'!AO74)+('Выборка 1'!AQ74-'Выборка 1'!AP74))/4000</f>
        <v>18846</v>
      </c>
      <c r="G74" s="17">
        <f>((('Выборка 1'!BH74-'Выборка 1'!BM74)-('Выборка 1'!BG74-'Выборка 1'!BL74))+(('Выборка 1'!BI74-'Выборка 1'!BN74)-('Выборка 1'!BH74-'Выборка 1'!BM74))+(('Выборка 1'!BJ74-'Выборка 1'!BO74)-('Выборка 1'!BI74-'Выборка 1'!BN74))+(('Выборка 1'!BK74-'Выборка 1'!BP74)-('Выборка 1'!BJ74-'Выборка 1'!BO74)))/4000</f>
        <v>1413.25</v>
      </c>
      <c r="H74" s="17">
        <f>(('Выборка 1'!BR74-'Выборка 1'!BQ74)+('Выборка 1'!BS74-'Выборка 1'!BR74)+('Выборка 1'!BT74-'Выборка 1'!BS74)+('Выборка 1'!BU74-'Выборка 1'!BT74))/4000</f>
        <v>28.5</v>
      </c>
    </row>
    <row r="75" spans="2:8" x14ac:dyDescent="0.25">
      <c r="B75" s="42">
        <f>('Выборка 1'!AL75+'Выборка 1'!AG75)/1000</f>
        <v>3855700</v>
      </c>
      <c r="C75" s="17">
        <v>32</v>
      </c>
      <c r="D75" s="17">
        <f>(('Выборка 1'!E75-'Выборка 1'!D75)+('Выборка 1'!F75-'Выборка 1'!E75)+('Выборка 1'!G75-'Выборка 1'!F75)+('Выборка 1'!H75-'Выборка 1'!G75))/4000</f>
        <v>-63644.5</v>
      </c>
      <c r="E75" s="17">
        <f>(('Выборка 1'!O75-'Выборка 1'!N75)+('Выборка 1'!P75-'Выборка 1'!O75)+('Выборка 1'!Q75-'Выборка 1'!P75)+('Выборка 1'!R75-'Выборка 1'!Q75))/4000</f>
        <v>107867</v>
      </c>
      <c r="F75" s="17">
        <f>(('Выборка 1'!AN75-'Выборка 1'!AM75)+('Выборка 1'!AO75-'Выборка 1'!AN75)+('Выборка 1'!AP75-'Выборка 1'!AO75)+('Выборка 1'!AQ75-'Выборка 1'!AP75))/4000</f>
        <v>-78292.5</v>
      </c>
      <c r="G75" s="17">
        <f>((('Выборка 1'!BH75-'Выборка 1'!BM75)-('Выборка 1'!BG75-'Выборка 1'!BL75))+(('Выборка 1'!BI75-'Выборка 1'!BN75)-('Выборка 1'!BH75-'Выборка 1'!BM75))+(('Выборка 1'!BJ75-'Выборка 1'!BO75)-('Выборка 1'!BI75-'Выборка 1'!BN75))+(('Выборка 1'!BK75-'Выборка 1'!BP75)-('Выборка 1'!BJ75-'Выборка 1'!BO75)))/4000</f>
        <v>104765.25</v>
      </c>
      <c r="H75" s="17">
        <f>(('Выборка 1'!BR75-'Выборка 1'!BQ75)+('Выборка 1'!BS75-'Выборка 1'!BR75)+('Выборка 1'!BT75-'Выборка 1'!BS75)+('Выборка 1'!BU75-'Выборка 1'!BT75))/4000</f>
        <v>133538.75</v>
      </c>
    </row>
    <row r="76" spans="2:8" x14ac:dyDescent="0.25">
      <c r="B76" s="42">
        <f>('Выборка 1'!AL76+'Выборка 1'!AG76)/1000</f>
        <v>319280</v>
      </c>
      <c r="C76" s="17">
        <v>32</v>
      </c>
      <c r="D76" s="17">
        <f>(('Выборка 1'!E76-'Выборка 1'!D76)+('Выборка 1'!F76-'Выборка 1'!E76)+('Выборка 1'!G76-'Выборка 1'!F76)+('Выборка 1'!H76-'Выборка 1'!G76))/4000</f>
        <v>0</v>
      </c>
      <c r="E76" s="17">
        <f>(('Выборка 1'!O76-'Выборка 1'!N76)+('Выборка 1'!P76-'Выборка 1'!O76)+('Выборка 1'!Q76-'Выборка 1'!P76)+('Выборка 1'!R76-'Выборка 1'!Q76))/4000</f>
        <v>-539</v>
      </c>
      <c r="F76" s="17">
        <f>(('Выборка 1'!AN76-'Выборка 1'!AM76)+('Выборка 1'!AO76-'Выборка 1'!AN76)+('Выборка 1'!AP76-'Выборка 1'!AO76)+('Выборка 1'!AQ76-'Выборка 1'!AP76))/4000</f>
        <v>0</v>
      </c>
      <c r="G76" s="17">
        <f>((('Выборка 1'!BH76-'Выборка 1'!BM76)-('Выборка 1'!BG76-'Выборка 1'!BL76))+(('Выборка 1'!BI76-'Выборка 1'!BN76)-('Выборка 1'!BH76-'Выборка 1'!BM76))+(('Выборка 1'!BJ76-'Выборка 1'!BO76)-('Выборка 1'!BI76-'Выборка 1'!BN76))+(('Выборка 1'!BK76-'Выборка 1'!BP76)-('Выборка 1'!BJ76-'Выборка 1'!BO76)))/4000</f>
        <v>-798.75</v>
      </c>
      <c r="H76" s="17">
        <f>(('Выборка 1'!BR76-'Выборка 1'!BQ76)+('Выборка 1'!BS76-'Выборка 1'!BR76)+('Выборка 1'!BT76-'Выборка 1'!BS76)+('Выборка 1'!BU76-'Выборка 1'!BT76))/4000</f>
        <v>-787.25</v>
      </c>
    </row>
    <row r="77" spans="2:8" x14ac:dyDescent="0.25">
      <c r="B77" s="42">
        <f>('Выборка 1'!AL77+'Выборка 1'!AG77)/1000</f>
        <v>31648</v>
      </c>
      <c r="C77" s="17">
        <v>8</v>
      </c>
      <c r="D77" s="17">
        <f>(('Выборка 1'!E77-'Выборка 1'!D77)+('Выборка 1'!F77-'Выборка 1'!E77)+('Выборка 1'!G77-'Выборка 1'!F77)+('Выборка 1'!H77-'Выборка 1'!G77))/4000</f>
        <v>1760.75</v>
      </c>
      <c r="E77" s="17">
        <f>(('Выборка 1'!O77-'Выборка 1'!N77)+('Выборка 1'!P77-'Выборка 1'!O77)+('Выборка 1'!Q77-'Выборка 1'!P77)+('Выборка 1'!R77-'Выборка 1'!Q77))/4000</f>
        <v>8699.75</v>
      </c>
      <c r="F77" s="17">
        <f>(('Выборка 1'!AN77-'Выборка 1'!AM77)+('Выборка 1'!AO77-'Выборка 1'!AN77)+('Выборка 1'!AP77-'Выборка 1'!AO77)+('Выборка 1'!AQ77-'Выборка 1'!AP77))/4000</f>
        <v>4577</v>
      </c>
      <c r="G77" s="17">
        <f>((('Выборка 1'!BH77-'Выборка 1'!BM77)-('Выборка 1'!BG77-'Выборка 1'!BL77))+(('Выборка 1'!BI77-'Выборка 1'!BN77)-('Выборка 1'!BH77-'Выборка 1'!BM77))+(('Выборка 1'!BJ77-'Выборка 1'!BO77)-('Выборка 1'!BI77-'Выборка 1'!BN77))+(('Выборка 1'!BK77-'Выборка 1'!BP77)-('Выборка 1'!BJ77-'Выборка 1'!BO77)))/4000</f>
        <v>-378.25</v>
      </c>
      <c r="H77" s="17">
        <f>(('Выборка 1'!BR77-'Выборка 1'!BQ77)+('Выборка 1'!BS77-'Выборка 1'!BR77)+('Выборка 1'!BT77-'Выборка 1'!BS77)+('Выборка 1'!BU77-'Выборка 1'!BT77))/4000</f>
        <v>-1134.5</v>
      </c>
    </row>
    <row r="78" spans="2:8" x14ac:dyDescent="0.25">
      <c r="B78" s="42">
        <f>('Выборка 1'!AL78+'Выборка 1'!AG78)/1000</f>
        <v>0</v>
      </c>
      <c r="C78" s="17">
        <v>17</v>
      </c>
      <c r="D78" s="17">
        <f>(('Выборка 1'!E78-'Выборка 1'!D78)+('Выборка 1'!F78-'Выборка 1'!E78)+('Выборка 1'!G78-'Выборка 1'!F78)+('Выборка 1'!H78-'Выборка 1'!G78))/4000</f>
        <v>0</v>
      </c>
      <c r="E78" s="17">
        <f>(('Выборка 1'!O78-'Выборка 1'!N78)+('Выборка 1'!P78-'Выборка 1'!O78)+('Выборка 1'!Q78-'Выборка 1'!P78)+('Выборка 1'!R78-'Выборка 1'!Q78))/4000</f>
        <v>0</v>
      </c>
      <c r="F78" s="17">
        <f>(('Выборка 1'!AN78-'Выборка 1'!AM78)+('Выборка 1'!AO78-'Выборка 1'!AN78)+('Выборка 1'!AP78-'Выборка 1'!AO78)+('Выборка 1'!AQ78-'Выборка 1'!AP78))/4000</f>
        <v>0</v>
      </c>
      <c r="G78" s="17">
        <f>((('Выборка 1'!BH78-'Выборка 1'!BM78)-('Выборка 1'!BG78-'Выборка 1'!BL78))+(('Выборка 1'!BI78-'Выборка 1'!BN78)-('Выборка 1'!BH78-'Выборка 1'!BM78))+(('Выборка 1'!BJ78-'Выборка 1'!BO78)-('Выборка 1'!BI78-'Выборка 1'!BN78))+(('Выборка 1'!BK78-'Выборка 1'!BP78)-('Выборка 1'!BJ78-'Выборка 1'!BO78)))/4000</f>
        <v>0</v>
      </c>
      <c r="H78" s="17">
        <f>(('Выборка 1'!BR78-'Выборка 1'!BQ78)+('Выборка 1'!BS78-'Выборка 1'!BR78)+('Выборка 1'!BT78-'Выборка 1'!BS78)+('Выборка 1'!BU78-'Выборка 1'!BT78))/4000</f>
        <v>0</v>
      </c>
    </row>
    <row r="79" spans="2:8" x14ac:dyDescent="0.25">
      <c r="B79" s="42">
        <f>('Выборка 1'!AL79+'Выборка 1'!AG79)/1000</f>
        <v>0</v>
      </c>
      <c r="C79" s="17">
        <v>16</v>
      </c>
      <c r="D79" s="17">
        <f>(('Выборка 1'!E79-'Выборка 1'!D79)+('Выборка 1'!F79-'Выборка 1'!E79)+('Выборка 1'!G79-'Выборка 1'!F79)+('Выборка 1'!H79-'Выборка 1'!G79))/4000</f>
        <v>-186.5</v>
      </c>
      <c r="E79" s="17">
        <f>(('Выборка 1'!O79-'Выборка 1'!N79)+('Выборка 1'!P79-'Выборка 1'!O79)+('Выборка 1'!Q79-'Выборка 1'!P79)+('Выборка 1'!R79-'Выборка 1'!Q79))/4000</f>
        <v>-3469</v>
      </c>
      <c r="F79" s="17">
        <f>(('Выборка 1'!AN79-'Выборка 1'!AM79)+('Выборка 1'!AO79-'Выборка 1'!AN79)+('Выборка 1'!AP79-'Выборка 1'!AO79)+('Выборка 1'!AQ79-'Выборка 1'!AP79))/4000</f>
        <v>-10144</v>
      </c>
      <c r="G79" s="17">
        <f>((('Выборка 1'!BH79-'Выборка 1'!BM79)-('Выборка 1'!BG79-'Выборка 1'!BL79))+(('Выборка 1'!BI79-'Выборка 1'!BN79)-('Выборка 1'!BH79-'Выборка 1'!BM79))+(('Выборка 1'!BJ79-'Выборка 1'!BO79)-('Выборка 1'!BI79-'Выборка 1'!BN79))+(('Выборка 1'!BK79-'Выборка 1'!BP79)-('Выборка 1'!BJ79-'Выборка 1'!BO79)))/4000</f>
        <v>-28</v>
      </c>
      <c r="H79" s="17">
        <f>(('Выборка 1'!BR79-'Выборка 1'!BQ79)+('Выборка 1'!BS79-'Выборка 1'!BR79)+('Выборка 1'!BT79-'Выборка 1'!BS79)+('Выборка 1'!BU79-'Выборка 1'!BT79))/4000</f>
        <v>-25.75</v>
      </c>
    </row>
    <row r="80" spans="2:8" x14ac:dyDescent="0.25">
      <c r="B80" s="42">
        <f>('Выборка 1'!AL80+'Выборка 1'!AG80)/1000</f>
        <v>0</v>
      </c>
      <c r="C80" s="17">
        <v>31</v>
      </c>
      <c r="D80" s="17">
        <f>(('Выборка 1'!E80-'Выборка 1'!D80)+('Выборка 1'!F80-'Выборка 1'!E80)+('Выборка 1'!G80-'Выборка 1'!F80)+('Выборка 1'!H80-'Выборка 1'!G80))/4000</f>
        <v>0</v>
      </c>
      <c r="E80" s="17">
        <f>(('Выборка 1'!O80-'Выборка 1'!N80)+('Выборка 1'!P80-'Выборка 1'!O80)+('Выборка 1'!Q80-'Выборка 1'!P80)+('Выборка 1'!R80-'Выборка 1'!Q80))/4000</f>
        <v>0</v>
      </c>
      <c r="F80" s="17">
        <f>(('Выборка 1'!AN80-'Выборка 1'!AM80)+('Выборка 1'!AO80-'Выборка 1'!AN80)+('Выборка 1'!AP80-'Выборка 1'!AO80)+('Выборка 1'!AQ80-'Выборка 1'!AP80))/4000</f>
        <v>0</v>
      </c>
      <c r="G80" s="17">
        <f>((('Выборка 1'!BH80-'Выборка 1'!BM80)-('Выборка 1'!BG80-'Выборка 1'!BL80))+(('Выборка 1'!BI80-'Выборка 1'!BN80)-('Выборка 1'!BH80-'Выборка 1'!BM80))+(('Выборка 1'!BJ80-'Выборка 1'!BO80)-('Выборка 1'!BI80-'Выборка 1'!BN80))+(('Выборка 1'!BK80-'Выборка 1'!BP80)-('Выборка 1'!BJ80-'Выборка 1'!BO80)))/4000</f>
        <v>0</v>
      </c>
      <c r="H80" s="17">
        <f>(('Выборка 1'!BR80-'Выборка 1'!BQ80)+('Выборка 1'!BS80-'Выборка 1'!BR80)+('Выборка 1'!BT80-'Выборка 1'!BS80)+('Выборка 1'!BU80-'Выборка 1'!BT80))/4000</f>
        <v>0</v>
      </c>
    </row>
    <row r="81" spans="2:8" x14ac:dyDescent="0.25">
      <c r="B81" s="42">
        <f>('Выборка 1'!AL81+'Выборка 1'!AG81)/1000</f>
        <v>0</v>
      </c>
      <c r="C81" s="17">
        <v>14</v>
      </c>
      <c r="D81" s="17">
        <f>(('Выборка 1'!E81-'Выборка 1'!D81)+('Выборка 1'!F81-'Выборка 1'!E81)+('Выборка 1'!G81-'Выборка 1'!F81)+('Выборка 1'!H81-'Выборка 1'!G81))/4000</f>
        <v>0</v>
      </c>
      <c r="E81" s="17">
        <f>(('Выборка 1'!O81-'Выборка 1'!N81)+('Выборка 1'!P81-'Выборка 1'!O81)+('Выборка 1'!Q81-'Выборка 1'!P81)+('Выборка 1'!R81-'Выборка 1'!Q81))/4000</f>
        <v>-3282.25</v>
      </c>
      <c r="F81" s="17">
        <f>(('Выборка 1'!AN81-'Выборка 1'!AM81)+('Выборка 1'!AO81-'Выборка 1'!AN81)+('Выборка 1'!AP81-'Выборка 1'!AO81)+('Выборка 1'!AQ81-'Выборка 1'!AP81))/4000</f>
        <v>-3234.75</v>
      </c>
      <c r="G81" s="17">
        <f>((('Выборка 1'!BH81-'Выборка 1'!BM81)-('Выборка 1'!BG81-'Выборка 1'!BL81))+(('Выборка 1'!BI81-'Выборка 1'!BN81)-('Выборка 1'!BH81-'Выборка 1'!BM81))+(('Выборка 1'!BJ81-'Выборка 1'!BO81)-('Выборка 1'!BI81-'Выборка 1'!BN81))+(('Выборка 1'!BK81-'Выборка 1'!BP81)-('Выборка 1'!BJ81-'Выборка 1'!BO81)))/4000</f>
        <v>0</v>
      </c>
      <c r="H81" s="17">
        <f>(('Выборка 1'!BR81-'Выборка 1'!BQ81)+('Выборка 1'!BS81-'Выборка 1'!BR81)+('Выборка 1'!BT81-'Выборка 1'!BS81)+('Выборка 1'!BU81-'Выборка 1'!BT81))/4000</f>
        <v>-1108</v>
      </c>
    </row>
    <row r="82" spans="2:8" x14ac:dyDescent="0.25">
      <c r="B82" s="42">
        <f>('Выборка 1'!AL82+'Выборка 1'!AG82)/1000</f>
        <v>0</v>
      </c>
      <c r="C82" s="17">
        <v>22</v>
      </c>
      <c r="D82" s="17">
        <f>(('Выборка 1'!E82-'Выборка 1'!D82)+('Выборка 1'!F82-'Выборка 1'!E82)+('Выборка 1'!G82-'Выборка 1'!F82)+('Выборка 1'!H82-'Выборка 1'!G82))/4000</f>
        <v>-38</v>
      </c>
      <c r="E82" s="17">
        <f>(('Выборка 1'!O82-'Выборка 1'!N82)+('Выборка 1'!P82-'Выборка 1'!O82)+('Выборка 1'!Q82-'Выборка 1'!P82)+('Выборка 1'!R82-'Выборка 1'!Q82))/4000</f>
        <v>-4135.5</v>
      </c>
      <c r="F82" s="17">
        <f>(('Выборка 1'!AN82-'Выборка 1'!AM82)+('Выборка 1'!AO82-'Выборка 1'!AN82)+('Выборка 1'!AP82-'Выборка 1'!AO82)+('Выборка 1'!AQ82-'Выборка 1'!AP82))/4000</f>
        <v>-1349.25</v>
      </c>
      <c r="G82" s="17">
        <f>((('Выборка 1'!BH82-'Выборка 1'!BM82)-('Выборка 1'!BG82-'Выборка 1'!BL82))+(('Выборка 1'!BI82-'Выборка 1'!BN82)-('Выборка 1'!BH82-'Выборка 1'!BM82))+(('Выборка 1'!BJ82-'Выборка 1'!BO82)-('Выборка 1'!BI82-'Выборка 1'!BN82))+(('Выборка 1'!BK82-'Выборка 1'!BP82)-('Выборка 1'!BJ82-'Выборка 1'!BO82)))/4000</f>
        <v>-898</v>
      </c>
      <c r="H82" s="17">
        <f>(('Выборка 1'!BR82-'Выборка 1'!BQ82)+('Выборка 1'!BS82-'Выборка 1'!BR82)+('Выборка 1'!BT82-'Выборка 1'!BS82)+('Выборка 1'!BU82-'Выборка 1'!BT82))/4000</f>
        <v>-86.25</v>
      </c>
    </row>
    <row r="83" spans="2:8" x14ac:dyDescent="0.25">
      <c r="B83" s="42">
        <f>('Выборка 1'!AL83+'Выборка 1'!AG83)/1000</f>
        <v>0</v>
      </c>
      <c r="C83" s="17">
        <v>9</v>
      </c>
      <c r="D83" s="17">
        <f>(('Выборка 1'!E83-'Выборка 1'!D83)+('Выборка 1'!F83-'Выборка 1'!E83)+('Выборка 1'!G83-'Выборка 1'!F83)+('Выборка 1'!H83-'Выборка 1'!G83))/4000</f>
        <v>-907</v>
      </c>
      <c r="E83" s="17">
        <f>(('Выборка 1'!O83-'Выборка 1'!N83)+('Выборка 1'!P83-'Выборка 1'!O83)+('Выборка 1'!Q83-'Выборка 1'!P83)+('Выборка 1'!R83-'Выборка 1'!Q83))/4000</f>
        <v>-633.75</v>
      </c>
      <c r="F83" s="17">
        <f>(('Выборка 1'!AN83-'Выборка 1'!AM83)+('Выборка 1'!AO83-'Выборка 1'!AN83)+('Выборка 1'!AP83-'Выборка 1'!AO83)+('Выборка 1'!AQ83-'Выборка 1'!AP83))/4000</f>
        <v>-365.25</v>
      </c>
      <c r="G83" s="17">
        <f>((('Выборка 1'!BH83-'Выборка 1'!BM83)-('Выборка 1'!BG83-'Выборка 1'!BL83))+(('Выборка 1'!BI83-'Выборка 1'!BN83)-('Выборка 1'!BH83-'Выборка 1'!BM83))+(('Выборка 1'!BJ83-'Выборка 1'!BO83)-('Выборка 1'!BI83-'Выборка 1'!BN83))+(('Выборка 1'!BK83-'Выборка 1'!BP83)-('Выборка 1'!BJ83-'Выборка 1'!BO83)))/4000</f>
        <v>-406.75</v>
      </c>
      <c r="H83" s="17">
        <f>(('Выборка 1'!BR83-'Выборка 1'!BQ83)+('Выборка 1'!BS83-'Выборка 1'!BR83)+('Выборка 1'!BT83-'Выборка 1'!BS83)+('Выборка 1'!BU83-'Выборка 1'!BT83))/4000</f>
        <v>105.75</v>
      </c>
    </row>
    <row r="84" spans="2:8" x14ac:dyDescent="0.25">
      <c r="B84" s="42">
        <f>('Выборка 1'!AL84+'Выборка 1'!AG84)/1000</f>
        <v>25088</v>
      </c>
      <c r="C84" s="17">
        <v>29</v>
      </c>
      <c r="D84" s="17">
        <f>(('Выборка 1'!E84-'Выборка 1'!D84)+('Выборка 1'!F84-'Выборка 1'!E84)+('Выборка 1'!G84-'Выборка 1'!F84)+('Выборка 1'!H84-'Выборка 1'!G84))/4000</f>
        <v>0</v>
      </c>
      <c r="E84" s="17">
        <f>(('Выборка 1'!O84-'Выборка 1'!N84)+('Выборка 1'!P84-'Выборка 1'!O84)+('Выборка 1'!Q84-'Выборка 1'!P84)+('Выборка 1'!R84-'Выборка 1'!Q84))/4000</f>
        <v>-92.75</v>
      </c>
      <c r="F84" s="17">
        <f>(('Выборка 1'!AN84-'Выборка 1'!AM84)+('Выборка 1'!AO84-'Выборка 1'!AN84)+('Выборка 1'!AP84-'Выборка 1'!AO84)+('Выборка 1'!AQ84-'Выборка 1'!AP84))/4000</f>
        <v>0</v>
      </c>
      <c r="G84" s="17">
        <f>((('Выборка 1'!BH84-'Выборка 1'!BM84)-('Выборка 1'!BG84-'Выборка 1'!BL84))+(('Выборка 1'!BI84-'Выборка 1'!BN84)-('Выборка 1'!BH84-'Выборка 1'!BM84))+(('Выборка 1'!BJ84-'Выборка 1'!BO84)-('Выборка 1'!BI84-'Выборка 1'!BN84))+(('Выборка 1'!BK84-'Выборка 1'!BP84)-('Выборка 1'!BJ84-'Выборка 1'!BO84)))/4000</f>
        <v>280.5</v>
      </c>
      <c r="H84" s="17">
        <f>(('Выборка 1'!BR84-'Выборка 1'!BQ84)+('Выборка 1'!BS84-'Выборка 1'!BR84)+('Выборка 1'!BT84-'Выборка 1'!BS84)+('Выборка 1'!BU84-'Выборка 1'!BT84))/4000</f>
        <v>205</v>
      </c>
    </row>
    <row r="85" spans="2:8" x14ac:dyDescent="0.25">
      <c r="B85" s="42">
        <f>('Выборка 1'!AL85+'Выборка 1'!AG85)/1000</f>
        <v>0</v>
      </c>
      <c r="C85" s="17">
        <v>12</v>
      </c>
      <c r="D85" s="17">
        <f>(('Выборка 1'!E85-'Выборка 1'!D85)+('Выборка 1'!F85-'Выборка 1'!E85)+('Выборка 1'!G85-'Выборка 1'!F85)+('Выборка 1'!H85-'Выборка 1'!G85))/4000</f>
        <v>0</v>
      </c>
      <c r="E85" s="17">
        <f>(('Выборка 1'!O85-'Выборка 1'!N85)+('Выборка 1'!P85-'Выборка 1'!O85)+('Выборка 1'!Q85-'Выборка 1'!P85)+('Выборка 1'!R85-'Выборка 1'!Q85))/4000</f>
        <v>0</v>
      </c>
      <c r="F85" s="17">
        <f>(('Выборка 1'!AN85-'Выборка 1'!AM85)+('Выборка 1'!AO85-'Выборка 1'!AN85)+('Выборка 1'!AP85-'Выборка 1'!AO85)+('Выборка 1'!AQ85-'Выборка 1'!AP85))/4000</f>
        <v>0</v>
      </c>
      <c r="G85" s="17">
        <f>((('Выборка 1'!BH85-'Выборка 1'!BM85)-('Выборка 1'!BG85-'Выборка 1'!BL85))+(('Выборка 1'!BI85-'Выборка 1'!BN85)-('Выборка 1'!BH85-'Выборка 1'!BM85))+(('Выборка 1'!BJ85-'Выборка 1'!BO85)-('Выборка 1'!BI85-'Выборка 1'!BN85))+(('Выборка 1'!BK85-'Выборка 1'!BP85)-('Выборка 1'!BJ85-'Выборка 1'!BO85)))/4000</f>
        <v>0</v>
      </c>
      <c r="H85" s="17">
        <f>(('Выборка 1'!BR85-'Выборка 1'!BQ85)+('Выборка 1'!BS85-'Выборка 1'!BR85)+('Выборка 1'!BT85-'Выборка 1'!BS85)+('Выборка 1'!BU85-'Выборка 1'!BT85))/4000</f>
        <v>0</v>
      </c>
    </row>
    <row r="86" spans="2:8" x14ac:dyDescent="0.25">
      <c r="B86" s="42">
        <f>('Выборка 1'!AL86+'Выборка 1'!AG86)/1000</f>
        <v>15629</v>
      </c>
      <c r="C86" s="17">
        <v>8</v>
      </c>
      <c r="D86" s="17">
        <f>(('Выборка 1'!E86-'Выборка 1'!D86)+('Выборка 1'!F86-'Выборка 1'!E86)+('Выборка 1'!G86-'Выборка 1'!F86)+('Выборка 1'!H86-'Выборка 1'!G86))/4000</f>
        <v>110.25</v>
      </c>
      <c r="E86" s="17">
        <f>(('Выборка 1'!O86-'Выборка 1'!N86)+('Выборка 1'!P86-'Выборка 1'!O86)+('Выборка 1'!Q86-'Выборка 1'!P86)+('Выборка 1'!R86-'Выборка 1'!Q86))/4000</f>
        <v>-75</v>
      </c>
      <c r="F86" s="17">
        <f>(('Выборка 1'!AN86-'Выборка 1'!AM86)+('Выборка 1'!AO86-'Выборка 1'!AN86)+('Выборка 1'!AP86-'Выборка 1'!AO86)+('Выборка 1'!AQ86-'Выборка 1'!AP86))/4000</f>
        <v>6231.25</v>
      </c>
      <c r="G86" s="17">
        <f>((('Выборка 1'!BH86-'Выборка 1'!BM86)-('Выборка 1'!BG86-'Выборка 1'!BL86))+(('Выборка 1'!BI86-'Выборка 1'!BN86)-('Выборка 1'!BH86-'Выборка 1'!BM86))+(('Выборка 1'!BJ86-'Выборка 1'!BO86)-('Выборка 1'!BI86-'Выборка 1'!BN86))+(('Выборка 1'!BK86-'Выборка 1'!BP86)-('Выборка 1'!BJ86-'Выборка 1'!BO86)))/4000</f>
        <v>-263.75</v>
      </c>
      <c r="H86" s="17">
        <f>(('Выборка 1'!BR86-'Выборка 1'!BQ86)+('Выборка 1'!BS86-'Выборка 1'!BR86)+('Выборка 1'!BT86-'Выборка 1'!BS86)+('Выборка 1'!BU86-'Выборка 1'!BT86))/4000</f>
        <v>-8379.75</v>
      </c>
    </row>
    <row r="87" spans="2:8" x14ac:dyDescent="0.25">
      <c r="B87" s="42">
        <f>('Выборка 1'!AL87+'Выборка 1'!AG87)/1000</f>
        <v>100071</v>
      </c>
      <c r="C87" s="17">
        <v>17</v>
      </c>
      <c r="D87" s="17">
        <f>(('Выборка 1'!E87-'Выборка 1'!D87)+('Выборка 1'!F87-'Выборка 1'!E87)+('Выборка 1'!G87-'Выборка 1'!F87)+('Выборка 1'!H87-'Выборка 1'!G87))/4000</f>
        <v>-246.25</v>
      </c>
      <c r="E87" s="17">
        <f>(('Выборка 1'!O87-'Выборка 1'!N87)+('Выборка 1'!P87-'Выборка 1'!O87)+('Выборка 1'!Q87-'Выборка 1'!P87)+('Выборка 1'!R87-'Выборка 1'!Q87))/4000</f>
        <v>-27042.75</v>
      </c>
      <c r="F87" s="17">
        <f>(('Выборка 1'!AN87-'Выборка 1'!AM87)+('Выборка 1'!AO87-'Выборка 1'!AN87)+('Выборка 1'!AP87-'Выборка 1'!AO87)+('Выборка 1'!AQ87-'Выборка 1'!AP87))/4000</f>
        <v>-18631</v>
      </c>
      <c r="G87" s="17">
        <f>((('Выборка 1'!BH87-'Выборка 1'!BM87)-('Выборка 1'!BG87-'Выборка 1'!BL87))+(('Выборка 1'!BI87-'Выборка 1'!BN87)-('Выборка 1'!BH87-'Выборка 1'!BM87))+(('Выборка 1'!BJ87-'Выборка 1'!BO87)-('Выборка 1'!BI87-'Выборка 1'!BN87))+(('Выборка 1'!BK87-'Выборка 1'!BP87)-('Выборка 1'!BJ87-'Выборка 1'!BO87)))/4000</f>
        <v>6291</v>
      </c>
      <c r="H87" s="17">
        <f>(('Выборка 1'!BR87-'Выборка 1'!BQ87)+('Выборка 1'!BS87-'Выборка 1'!BR87)+('Выборка 1'!BT87-'Выборка 1'!BS87)+('Выборка 1'!BU87-'Выборка 1'!BT87))/4000</f>
        <v>3744</v>
      </c>
    </row>
    <row r="88" spans="2:8" x14ac:dyDescent="0.25">
      <c r="B88" s="42">
        <f>('Выборка 1'!AL88+'Выборка 1'!AG88)/1000</f>
        <v>184316</v>
      </c>
      <c r="C88" s="17">
        <v>11</v>
      </c>
      <c r="D88" s="17">
        <f>(('Выборка 1'!E88-'Выборка 1'!D88)+('Выборка 1'!F88-'Выборка 1'!E88)+('Выборка 1'!G88-'Выборка 1'!F88)+('Выборка 1'!H88-'Выборка 1'!G88))/4000</f>
        <v>-1958.75</v>
      </c>
      <c r="E88" s="17">
        <f>(('Выборка 1'!O88-'Выборка 1'!N88)+('Выборка 1'!P88-'Выборка 1'!O88)+('Выборка 1'!Q88-'Выборка 1'!P88)+('Выборка 1'!R88-'Выборка 1'!Q88))/4000</f>
        <v>14989.75</v>
      </c>
      <c r="F88" s="17">
        <f>(('Выборка 1'!AN88-'Выборка 1'!AM88)+('Выборка 1'!AO88-'Выборка 1'!AN88)+('Выборка 1'!AP88-'Выборка 1'!AO88)+('Выборка 1'!AQ88-'Выборка 1'!AP88))/4000</f>
        <v>-9083.5</v>
      </c>
      <c r="G88" s="17">
        <f>((('Выборка 1'!BH88-'Выборка 1'!BM88)-('Выборка 1'!BG88-'Выборка 1'!BL88))+(('Выборка 1'!BI88-'Выборка 1'!BN88)-('Выборка 1'!BH88-'Выборка 1'!BM88))+(('Выборка 1'!BJ88-'Выборка 1'!BO88)-('Выборка 1'!BI88-'Выборка 1'!BN88))+(('Выборка 1'!BK88-'Выборка 1'!BP88)-('Выборка 1'!BJ88-'Выборка 1'!BO88)))/4000</f>
        <v>-577.5</v>
      </c>
      <c r="H88" s="17">
        <f>(('Выборка 1'!BR88-'Выборка 1'!BQ88)+('Выборка 1'!BS88-'Выборка 1'!BR88)+('Выборка 1'!BT88-'Выборка 1'!BS88)+('Выборка 1'!BU88-'Выборка 1'!BT88))/4000</f>
        <v>-2805</v>
      </c>
    </row>
    <row r="89" spans="2:8" x14ac:dyDescent="0.25">
      <c r="B89" s="42">
        <f>('Выборка 1'!AL89+'Выборка 1'!AG89)/1000</f>
        <v>24589</v>
      </c>
      <c r="C89" s="17">
        <v>22</v>
      </c>
      <c r="D89" s="17">
        <f>(('Выборка 1'!E89-'Выборка 1'!D89)+('Выборка 1'!F89-'Выборка 1'!E89)+('Выборка 1'!G89-'Выборка 1'!F89)+('Выборка 1'!H89-'Выборка 1'!G89))/4000</f>
        <v>0</v>
      </c>
      <c r="E89" s="17">
        <f>(('Выборка 1'!O89-'Выборка 1'!N89)+('Выборка 1'!P89-'Выборка 1'!O89)+('Выборка 1'!Q89-'Выборка 1'!P89)+('Выборка 1'!R89-'Выборка 1'!Q89))/4000</f>
        <v>-3.75</v>
      </c>
      <c r="F89" s="17">
        <f>(('Выборка 1'!AN89-'Выборка 1'!AM89)+('Выборка 1'!AO89-'Выборка 1'!AN89)+('Выборка 1'!AP89-'Выборка 1'!AO89)+('Выборка 1'!AQ89-'Выборка 1'!AP89))/4000</f>
        <v>-1212.5</v>
      </c>
      <c r="G89" s="17">
        <f>((('Выборка 1'!BH89-'Выборка 1'!BM89)-('Выборка 1'!BG89-'Выборка 1'!BL89))+(('Выборка 1'!BI89-'Выборка 1'!BN89)-('Выборка 1'!BH89-'Выборка 1'!BM89))+(('Выборка 1'!BJ89-'Выборка 1'!BO89)-('Выборка 1'!BI89-'Выборка 1'!BN89))+(('Выборка 1'!BK89-'Выборка 1'!BP89)-('Выборка 1'!BJ89-'Выборка 1'!BO89)))/4000</f>
        <v>11.25</v>
      </c>
      <c r="H89" s="17">
        <f>(('Выборка 1'!BR89-'Выборка 1'!BQ89)+('Выборка 1'!BS89-'Выборка 1'!BR89)+('Выборка 1'!BT89-'Выборка 1'!BS89)+('Выборка 1'!BU89-'Выборка 1'!BT89))/4000</f>
        <v>50</v>
      </c>
    </row>
    <row r="90" spans="2:8" x14ac:dyDescent="0.25">
      <c r="B90" s="42">
        <f>('Выборка 1'!AL90+'Выборка 1'!AG90)/1000</f>
        <v>18822</v>
      </c>
      <c r="C90" s="17">
        <v>12</v>
      </c>
      <c r="D90" s="17">
        <f>(('Выборка 1'!E90-'Выборка 1'!D90)+('Выборка 1'!F90-'Выборка 1'!E90)+('Выборка 1'!G90-'Выборка 1'!F90)+('Выборка 1'!H90-'Выборка 1'!G90))/4000</f>
        <v>0</v>
      </c>
      <c r="E90" s="17">
        <f>(('Выборка 1'!O90-'Выборка 1'!N90)+('Выборка 1'!P90-'Выборка 1'!O90)+('Выборка 1'!Q90-'Выборка 1'!P90)+('Выборка 1'!R90-'Выборка 1'!Q90))/4000</f>
        <v>2673</v>
      </c>
      <c r="F90" s="17">
        <f>(('Выборка 1'!AN90-'Выборка 1'!AM90)+('Выборка 1'!AO90-'Выборка 1'!AN90)+('Выборка 1'!AP90-'Выборка 1'!AO90)+('Выборка 1'!AQ90-'Выборка 1'!AP90))/4000</f>
        <v>0</v>
      </c>
      <c r="G90" s="17">
        <f>((('Выборка 1'!BH90-'Выборка 1'!BM90)-('Выборка 1'!BG90-'Выборка 1'!BL90))+(('Выборка 1'!BI90-'Выборка 1'!BN90)-('Выборка 1'!BH90-'Выборка 1'!BM90))+(('Выборка 1'!BJ90-'Выборка 1'!BO90)-('Выборка 1'!BI90-'Выборка 1'!BN90))+(('Выборка 1'!BK90-'Выборка 1'!BP90)-('Выборка 1'!BJ90-'Выборка 1'!BO90)))/4000</f>
        <v>-111</v>
      </c>
      <c r="H90" s="17">
        <f>(('Выборка 1'!BR90-'Выборка 1'!BQ90)+('Выборка 1'!BS90-'Выборка 1'!BR90)+('Выборка 1'!BT90-'Выборка 1'!BS90)+('Выборка 1'!BU90-'Выборка 1'!BT90))/4000</f>
        <v>-111</v>
      </c>
    </row>
    <row r="91" spans="2:8" x14ac:dyDescent="0.25">
      <c r="B91" s="42">
        <f>('Выборка 1'!AL91+'Выборка 1'!AG91)/1000</f>
        <v>79128</v>
      </c>
      <c r="C91" s="17">
        <v>14</v>
      </c>
      <c r="D91" s="17">
        <f>(('Выборка 1'!E91-'Выборка 1'!D91)+('Выборка 1'!F91-'Выборка 1'!E91)+('Выборка 1'!G91-'Выборка 1'!F91)+('Выборка 1'!H91-'Выборка 1'!G91))/4000</f>
        <v>233.75</v>
      </c>
      <c r="E91" s="17">
        <f>(('Выборка 1'!O91-'Выборка 1'!N91)+('Выборка 1'!P91-'Выборка 1'!O91)+('Выборка 1'!Q91-'Выборка 1'!P91)+('Выборка 1'!R91-'Выборка 1'!Q91))/4000</f>
        <v>-8820.25</v>
      </c>
      <c r="F91" s="17">
        <f>(('Выборка 1'!AN91-'Выборка 1'!AM91)+('Выборка 1'!AO91-'Выборка 1'!AN91)+('Выборка 1'!AP91-'Выборка 1'!AO91)+('Выборка 1'!AQ91-'Выборка 1'!AP91))/4000</f>
        <v>-6524.75</v>
      </c>
      <c r="G91" s="17">
        <f>((('Выборка 1'!BH91-'Выборка 1'!BM91)-('Выборка 1'!BG91-'Выборка 1'!BL91))+(('Выборка 1'!BI91-'Выборка 1'!BN91)-('Выборка 1'!BH91-'Выборка 1'!BM91))+(('Выборка 1'!BJ91-'Выборка 1'!BO91)-('Выборка 1'!BI91-'Выборка 1'!BN91))+(('Выборка 1'!BK91-'Выборка 1'!BP91)-('Выборка 1'!BJ91-'Выборка 1'!BO91)))/4000</f>
        <v>-593</v>
      </c>
      <c r="H91" s="17">
        <f>(('Выборка 1'!BR91-'Выборка 1'!BQ91)+('Выборка 1'!BS91-'Выборка 1'!BR91)+('Выборка 1'!BT91-'Выборка 1'!BS91)+('Выборка 1'!BU91-'Выборка 1'!BT91))/4000</f>
        <v>-2094.25</v>
      </c>
    </row>
    <row r="92" spans="2:8" x14ac:dyDescent="0.25">
      <c r="B92" s="42">
        <f>('Выборка 1'!AL92+'Выборка 1'!AG92)/1000</f>
        <v>0</v>
      </c>
      <c r="C92" s="17">
        <v>19</v>
      </c>
      <c r="D92" s="17">
        <f>(('Выборка 1'!E92-'Выборка 1'!D92)+('Выборка 1'!F92-'Выборка 1'!E92)+('Выборка 1'!G92-'Выборка 1'!F92)+('Выборка 1'!H92-'Выборка 1'!G92))/4000</f>
        <v>-5704.5</v>
      </c>
      <c r="E92" s="17">
        <f>(('Выборка 1'!O92-'Выборка 1'!N92)+('Выборка 1'!P92-'Выборка 1'!O92)+('Выборка 1'!Q92-'Выборка 1'!P92)+('Выборка 1'!R92-'Выборка 1'!Q92))/4000</f>
        <v>-14864.75</v>
      </c>
      <c r="F92" s="17">
        <f>(('Выборка 1'!AN92-'Выборка 1'!AM92)+('Выборка 1'!AO92-'Выборка 1'!AN92)+('Выборка 1'!AP92-'Выборка 1'!AO92)+('Выборка 1'!AQ92-'Выборка 1'!AP92))/4000</f>
        <v>-66059.25</v>
      </c>
      <c r="G92" s="17">
        <f>((('Выборка 1'!BH92-'Выборка 1'!BM92)-('Выборка 1'!BG92-'Выборка 1'!BL92))+(('Выборка 1'!BI92-'Выборка 1'!BN92)-('Выборка 1'!BH92-'Выборка 1'!BM92))+(('Выборка 1'!BJ92-'Выборка 1'!BO92)-('Выборка 1'!BI92-'Выборка 1'!BN92))+(('Выборка 1'!BK92-'Выборка 1'!BP92)-('Выборка 1'!BJ92-'Выборка 1'!BO92)))/4000</f>
        <v>0</v>
      </c>
      <c r="H92" s="17">
        <f>(('Выборка 1'!BR92-'Выборка 1'!BQ92)+('Выборка 1'!BS92-'Выборка 1'!BR92)+('Выборка 1'!BT92-'Выборка 1'!BS92)+('Выборка 1'!BU92-'Выборка 1'!BT92))/4000</f>
        <v>-1821.5</v>
      </c>
    </row>
    <row r="93" spans="2:8" x14ac:dyDescent="0.25">
      <c r="B93" s="42">
        <f>('Выборка 1'!AL93+'Выборка 1'!AG93)/1000</f>
        <v>0</v>
      </c>
      <c r="C93" s="17">
        <v>9</v>
      </c>
      <c r="D93" s="17">
        <f>(('Выборка 1'!E93-'Выборка 1'!D93)+('Выборка 1'!F93-'Выборка 1'!E93)+('Выборка 1'!G93-'Выборка 1'!F93)+('Выборка 1'!H93-'Выборка 1'!G93))/4000</f>
        <v>-1132.75</v>
      </c>
      <c r="E93" s="17">
        <f>(('Выборка 1'!O93-'Выборка 1'!N93)+('Выборка 1'!P93-'Выборка 1'!O93)+('Выборка 1'!Q93-'Выборка 1'!P93)+('Выборка 1'!R93-'Выборка 1'!Q93))/4000</f>
        <v>-396608.25</v>
      </c>
      <c r="F93" s="17">
        <f>(('Выборка 1'!AN93-'Выборка 1'!AM93)+('Выборка 1'!AO93-'Выборка 1'!AN93)+('Выборка 1'!AP93-'Выборка 1'!AO93)+('Выборка 1'!AQ93-'Выборка 1'!AP93))/4000</f>
        <v>-82779.75</v>
      </c>
      <c r="G93" s="17">
        <f>((('Выборка 1'!BH93-'Выборка 1'!BM93)-('Выборка 1'!BG93-'Выборка 1'!BL93))+(('Выборка 1'!BI93-'Выборка 1'!BN93)-('Выборка 1'!BH93-'Выборка 1'!BM93))+(('Выборка 1'!BJ93-'Выборка 1'!BO93)-('Выборка 1'!BI93-'Выборка 1'!BN93))+(('Выборка 1'!BK93-'Выборка 1'!BP93)-('Выборка 1'!BJ93-'Выборка 1'!BO93)))/4000</f>
        <v>1249</v>
      </c>
      <c r="H93" s="17">
        <f>(('Выборка 1'!BR93-'Выборка 1'!BQ93)+('Выборка 1'!BS93-'Выборка 1'!BR93)+('Выборка 1'!BT93-'Выборка 1'!BS93)+('Выборка 1'!BU93-'Выборка 1'!BT93))/4000</f>
        <v>1741.25</v>
      </c>
    </row>
    <row r="94" spans="2:8" x14ac:dyDescent="0.25">
      <c r="B94" s="42">
        <f>('Выборка 1'!AL94+'Выборка 1'!AG94)/1000</f>
        <v>0</v>
      </c>
      <c r="C94" s="17">
        <v>17</v>
      </c>
      <c r="D94" s="17">
        <f>(('Выборка 1'!E94-'Выборка 1'!D94)+('Выборка 1'!F94-'Выборка 1'!E94)+('Выборка 1'!G94-'Выборка 1'!F94)+('Выборка 1'!H94-'Выборка 1'!G94))/4000</f>
        <v>-279.25</v>
      </c>
      <c r="E94" s="17">
        <f>(('Выборка 1'!O94-'Выборка 1'!N94)+('Выборка 1'!P94-'Выборка 1'!O94)+('Выборка 1'!Q94-'Выборка 1'!P94)+('Выборка 1'!R94-'Выборка 1'!Q94))/4000</f>
        <v>-3843</v>
      </c>
      <c r="F94" s="17">
        <f>(('Выборка 1'!AN94-'Выборка 1'!AM94)+('Выборка 1'!AO94-'Выборка 1'!AN94)+('Выборка 1'!AP94-'Выборка 1'!AO94)+('Выборка 1'!AQ94-'Выборка 1'!AP94))/4000</f>
        <v>0</v>
      </c>
      <c r="G94" s="17">
        <f>((('Выборка 1'!BH94-'Выборка 1'!BM94)-('Выборка 1'!BG94-'Выборка 1'!BL94))+(('Выборка 1'!BI94-'Выборка 1'!BN94)-('Выборка 1'!BH94-'Выборка 1'!BM94))+(('Выборка 1'!BJ94-'Выборка 1'!BO94)-('Выборка 1'!BI94-'Выборка 1'!BN94))+(('Выборка 1'!BK94-'Выборка 1'!BP94)-('Выборка 1'!BJ94-'Выборка 1'!BO94)))/4000</f>
        <v>0</v>
      </c>
      <c r="H94" s="17">
        <f>(('Выборка 1'!BR94-'Выборка 1'!BQ94)+('Выборка 1'!BS94-'Выборка 1'!BR94)+('Выборка 1'!BT94-'Выборка 1'!BS94)+('Выборка 1'!BU94-'Выборка 1'!BT94))/4000</f>
        <v>0</v>
      </c>
    </row>
    <row r="95" spans="2:8" x14ac:dyDescent="0.25">
      <c r="B95" s="42">
        <f>('Выборка 1'!AL95+'Выборка 1'!AG95)/1000</f>
        <v>755586</v>
      </c>
      <c r="C95" s="17">
        <v>20</v>
      </c>
      <c r="D95" s="17">
        <f>(('Выборка 1'!E95-'Выборка 1'!D95)+('Выборка 1'!F95-'Выборка 1'!E95)+('Выборка 1'!G95-'Выборка 1'!F95)+('Выборка 1'!H95-'Выборка 1'!G95))/4000</f>
        <v>-11765</v>
      </c>
      <c r="E95" s="17">
        <f>(('Выборка 1'!O95-'Выборка 1'!N95)+('Выборка 1'!P95-'Выборка 1'!O95)+('Выборка 1'!Q95-'Выборка 1'!P95)+('Выборка 1'!R95-'Выборка 1'!Q95))/4000</f>
        <v>57914.75</v>
      </c>
      <c r="F95" s="17">
        <f>(('Выборка 1'!AN95-'Выборка 1'!AM95)+('Выборка 1'!AO95-'Выборка 1'!AN95)+('Выборка 1'!AP95-'Выборка 1'!AO95)+('Выборка 1'!AQ95-'Выборка 1'!AP95))/4000</f>
        <v>8622</v>
      </c>
      <c r="G95" s="17">
        <f>((('Выборка 1'!BH95-'Выборка 1'!BM95)-('Выборка 1'!BG95-'Выборка 1'!BL95))+(('Выборка 1'!BI95-'Выборка 1'!BN95)-('Выборка 1'!BH95-'Выборка 1'!BM95))+(('Выборка 1'!BJ95-'Выборка 1'!BO95)-('Выборка 1'!BI95-'Выборка 1'!BN95))+(('Выборка 1'!BK95-'Выборка 1'!BP95)-('Выборка 1'!BJ95-'Выборка 1'!BO95)))/4000</f>
        <v>-9790.75</v>
      </c>
      <c r="H95" s="17">
        <f>(('Выборка 1'!BR95-'Выборка 1'!BQ95)+('Выборка 1'!BS95-'Выборка 1'!BR95)+('Выборка 1'!BT95-'Выборка 1'!BS95)+('Выборка 1'!BU95-'Выборка 1'!BT95))/4000</f>
        <v>-19492</v>
      </c>
    </row>
    <row r="96" spans="2:8" x14ac:dyDescent="0.25">
      <c r="B96" s="42">
        <f>('Выборка 1'!AL96+'Выборка 1'!AG96)/1000</f>
        <v>110123</v>
      </c>
      <c r="C96" s="17">
        <v>14</v>
      </c>
      <c r="D96" s="17">
        <f>(('Выборка 1'!E96-'Выборка 1'!D96)+('Выборка 1'!F96-'Выборка 1'!E96)+('Выборка 1'!G96-'Выборка 1'!F96)+('Выборка 1'!H96-'Выборка 1'!G96))/4000</f>
        <v>-1494.75</v>
      </c>
      <c r="E96" s="17">
        <f>(('Выборка 1'!O96-'Выборка 1'!N96)+('Выборка 1'!P96-'Выборка 1'!O96)+('Выборка 1'!Q96-'Выборка 1'!P96)+('Выборка 1'!R96-'Выборка 1'!Q96))/4000</f>
        <v>-373622</v>
      </c>
      <c r="F96" s="17">
        <f>(('Выборка 1'!AN96-'Выборка 1'!AM96)+('Выборка 1'!AO96-'Выборка 1'!AN96)+('Выборка 1'!AP96-'Выборка 1'!AO96)+('Выборка 1'!AQ96-'Выборка 1'!AP96))/4000</f>
        <v>0</v>
      </c>
      <c r="G96" s="17">
        <f>((('Выборка 1'!BH96-'Выборка 1'!BM96)-('Выборка 1'!BG96-'Выборка 1'!BL96))+(('Выборка 1'!BI96-'Выборка 1'!BN96)-('Выборка 1'!BH96-'Выборка 1'!BM96))+(('Выборка 1'!BJ96-'Выборка 1'!BO96)-('Выборка 1'!BI96-'Выборка 1'!BN96))+(('Выборка 1'!BK96-'Выборка 1'!BP96)-('Выборка 1'!BJ96-'Выборка 1'!BO96)))/4000</f>
        <v>4126</v>
      </c>
      <c r="H96" s="17">
        <f>(('Выборка 1'!BR96-'Выборка 1'!BQ96)+('Выборка 1'!BS96-'Выборка 1'!BR96)+('Выборка 1'!BT96-'Выборка 1'!BS96)+('Выборка 1'!BU96-'Выборка 1'!BT96))/4000</f>
        <v>4126</v>
      </c>
    </row>
    <row r="97" spans="2:8" x14ac:dyDescent="0.25">
      <c r="B97" s="42">
        <f>('Выборка 1'!AL97+'Выборка 1'!AG97)/1000</f>
        <v>11798</v>
      </c>
      <c r="C97" s="17">
        <v>10</v>
      </c>
      <c r="D97" s="17">
        <f>(('Выборка 1'!E97-'Выборка 1'!D97)+('Выборка 1'!F97-'Выборка 1'!E97)+('Выборка 1'!G97-'Выборка 1'!F97)+('Выборка 1'!H97-'Выборка 1'!G97))/4000</f>
        <v>-246.25</v>
      </c>
      <c r="E97" s="17">
        <f>(('Выборка 1'!O97-'Выборка 1'!N97)+('Выборка 1'!P97-'Выборка 1'!O97)+('Выборка 1'!Q97-'Выборка 1'!P97)+('Выборка 1'!R97-'Выборка 1'!Q97))/4000</f>
        <v>452.5</v>
      </c>
      <c r="F97" s="17">
        <f>(('Выборка 1'!AN97-'Выборка 1'!AM97)+('Выборка 1'!AO97-'Выборка 1'!AN97)+('Выборка 1'!AP97-'Выборка 1'!AO97)+('Выборка 1'!AQ97-'Выборка 1'!AP97))/4000</f>
        <v>-183</v>
      </c>
      <c r="G97" s="17">
        <f>((('Выборка 1'!BH97-'Выборка 1'!BM97)-('Выборка 1'!BG97-'Выборка 1'!BL97))+(('Выборка 1'!BI97-'Выборка 1'!BN97)-('Выборка 1'!BH97-'Выборка 1'!BM97))+(('Выборка 1'!BJ97-'Выборка 1'!BO97)-('Выборка 1'!BI97-'Выборка 1'!BN97))+(('Выборка 1'!BK97-'Выборка 1'!BP97)-('Выборка 1'!BJ97-'Выборка 1'!BO97)))/4000</f>
        <v>-277.75</v>
      </c>
      <c r="H97" s="17">
        <f>(('Выборка 1'!BR97-'Выборка 1'!BQ97)+('Выборка 1'!BS97-'Выборка 1'!BR97)+('Выборка 1'!BT97-'Выборка 1'!BS97)+('Выборка 1'!BU97-'Выборка 1'!BT97))/4000</f>
        <v>1051.5</v>
      </c>
    </row>
    <row r="98" spans="2:8" x14ac:dyDescent="0.25">
      <c r="B98" s="42">
        <f>('Выборка 1'!AL98+'Выборка 1'!AG98)/1000</f>
        <v>0</v>
      </c>
      <c r="C98" s="17">
        <v>10</v>
      </c>
      <c r="D98" s="17">
        <f>(('Выборка 1'!E98-'Выборка 1'!D98)+('Выборка 1'!F98-'Выборка 1'!E98)+('Выборка 1'!G98-'Выборка 1'!F98)+('Выборка 1'!H98-'Выборка 1'!G98))/4000</f>
        <v>-19455.75</v>
      </c>
      <c r="E98" s="17">
        <f>(('Выборка 1'!O98-'Выборка 1'!N98)+('Выборка 1'!P98-'Выборка 1'!O98)+('Выборка 1'!Q98-'Выборка 1'!P98)+('Выборка 1'!R98-'Выборка 1'!Q98))/4000</f>
        <v>-36720.75</v>
      </c>
      <c r="F98" s="17">
        <f>(('Выборка 1'!AN98-'Выборка 1'!AM98)+('Выборка 1'!AO98-'Выборка 1'!AN98)+('Выборка 1'!AP98-'Выборка 1'!AO98)+('Выборка 1'!AQ98-'Выборка 1'!AP98))/4000</f>
        <v>-27129.5</v>
      </c>
      <c r="G98" s="17">
        <f>((('Выборка 1'!BH98-'Выборка 1'!BM98)-('Выборка 1'!BG98-'Выборка 1'!BL98))+(('Выборка 1'!BI98-'Выборка 1'!BN98)-('Выборка 1'!BH98-'Выборка 1'!BM98))+(('Выборка 1'!BJ98-'Выборка 1'!BO98)-('Выборка 1'!BI98-'Выборка 1'!BN98))+(('Выборка 1'!BK98-'Выборка 1'!BP98)-('Выборка 1'!BJ98-'Выборка 1'!BO98)))/4000</f>
        <v>678</v>
      </c>
      <c r="H98" s="17">
        <f>(('Выборка 1'!BR98-'Выборка 1'!BQ98)+('Выборка 1'!BS98-'Выборка 1'!BR98)+('Выборка 1'!BT98-'Выборка 1'!BS98)+('Выборка 1'!BU98-'Выборка 1'!BT98))/4000</f>
        <v>-819.5</v>
      </c>
    </row>
    <row r="99" spans="2:8" x14ac:dyDescent="0.25">
      <c r="B99" s="42">
        <f>('Выборка 1'!AL99+'Выборка 1'!AG99)/1000</f>
        <v>1231009</v>
      </c>
      <c r="C99" s="17">
        <v>33</v>
      </c>
      <c r="D99" s="17">
        <f>(('Выборка 1'!E99-'Выборка 1'!D99)+('Выборка 1'!F99-'Выборка 1'!E99)+('Выборка 1'!G99-'Выборка 1'!F99)+('Выборка 1'!H99-'Выборка 1'!G99))/4000</f>
        <v>-17670</v>
      </c>
      <c r="E99" s="17">
        <f>(('Выборка 1'!O99-'Выборка 1'!N99)+('Выборка 1'!P99-'Выборка 1'!O99)+('Выборка 1'!Q99-'Выборка 1'!P99)+('Выборка 1'!R99-'Выборка 1'!Q99))/4000</f>
        <v>-14778.5</v>
      </c>
      <c r="F99" s="17">
        <f>(('Выборка 1'!AN99-'Выборка 1'!AM99)+('Выборка 1'!AO99-'Выборка 1'!AN99)+('Выборка 1'!AP99-'Выборка 1'!AO99)+('Выборка 1'!AQ99-'Выборка 1'!AP99))/4000</f>
        <v>-149490.25</v>
      </c>
      <c r="G99" s="17">
        <f>((('Выборка 1'!BH99-'Выборка 1'!BM99)-('Выборка 1'!BG99-'Выборка 1'!BL99))+(('Выборка 1'!BI99-'Выборка 1'!BN99)-('Выборка 1'!BH99-'Выборка 1'!BM99))+(('Выборка 1'!BJ99-'Выборка 1'!BO99)-('Выборка 1'!BI99-'Выборка 1'!BN99))+(('Выборка 1'!BK99-'Выборка 1'!BP99)-('Выборка 1'!BJ99-'Выборка 1'!BO99)))/4000</f>
        <v>-20740</v>
      </c>
      <c r="H99" s="17">
        <f>(('Выборка 1'!BR99-'Выборка 1'!BQ99)+('Выборка 1'!BS99-'Выборка 1'!BR99)+('Выборка 1'!BT99-'Выборка 1'!BS99)+('Выборка 1'!BU99-'Выборка 1'!BT99))/4000</f>
        <v>-39416</v>
      </c>
    </row>
    <row r="100" spans="2:8" x14ac:dyDescent="0.25">
      <c r="B100" s="42">
        <f>('Выборка 1'!AL100+'Выборка 1'!AG100)/1000</f>
        <v>0</v>
      </c>
      <c r="C100" s="17">
        <v>16</v>
      </c>
      <c r="D100" s="17">
        <f>(('Выборка 1'!E100-'Выборка 1'!D100)+('Выборка 1'!F100-'Выборка 1'!E100)+('Выборка 1'!G100-'Выборка 1'!F100)+('Выборка 1'!H100-'Выборка 1'!G100))/4000</f>
        <v>0</v>
      </c>
      <c r="E100" s="17">
        <f>(('Выборка 1'!O100-'Выборка 1'!N100)+('Выборка 1'!P100-'Выборка 1'!O100)+('Выборка 1'!Q100-'Выборка 1'!P100)+('Выборка 1'!R100-'Выборка 1'!Q100))/4000</f>
        <v>0</v>
      </c>
      <c r="F100" s="17">
        <f>(('Выборка 1'!AN100-'Выборка 1'!AM100)+('Выборка 1'!AO100-'Выборка 1'!AN100)+('Выборка 1'!AP100-'Выборка 1'!AO100)+('Выборка 1'!AQ100-'Выборка 1'!AP100))/4000</f>
        <v>0</v>
      </c>
      <c r="G100" s="17">
        <f>((('Выборка 1'!BH100-'Выборка 1'!BM100)-('Выборка 1'!BG100-'Выборка 1'!BL100))+(('Выборка 1'!BI100-'Выборка 1'!BN100)-('Выборка 1'!BH100-'Выборка 1'!BM100))+(('Выборка 1'!BJ100-'Выборка 1'!BO100)-('Выборка 1'!BI100-'Выборка 1'!BN100))+(('Выборка 1'!BK100-'Выборка 1'!BP100)-('Выборка 1'!BJ100-'Выборка 1'!BO100)))/4000</f>
        <v>0</v>
      </c>
      <c r="H100" s="17">
        <f>(('Выборка 1'!BR100-'Выборка 1'!BQ100)+('Выборка 1'!BS100-'Выборка 1'!BR100)+('Выборка 1'!BT100-'Выборка 1'!BS100)+('Выборка 1'!BU100-'Выборка 1'!BT100))/4000</f>
        <v>0</v>
      </c>
    </row>
    <row r="101" spans="2:8" x14ac:dyDescent="0.25">
      <c r="B101" s="42">
        <f>('Выборка 1'!AL101+'Выборка 1'!AG101)/1000</f>
        <v>0</v>
      </c>
      <c r="C101" s="17">
        <v>19</v>
      </c>
      <c r="D101" s="17">
        <f>(('Выборка 1'!E101-'Выборка 1'!D101)+('Выборка 1'!F101-'Выборка 1'!E101)+('Выборка 1'!G101-'Выборка 1'!F101)+('Выборка 1'!H101-'Выборка 1'!G101))/4000</f>
        <v>-6.75</v>
      </c>
      <c r="E101" s="17">
        <f>(('Выборка 1'!O101-'Выборка 1'!N101)+('Выборка 1'!P101-'Выборка 1'!O101)+('Выборка 1'!Q101-'Выборка 1'!P101)+('Выборка 1'!R101-'Выборка 1'!Q101))/4000</f>
        <v>-11020.5</v>
      </c>
      <c r="F101" s="17">
        <f>(('Выборка 1'!AN101-'Выборка 1'!AM101)+('Выборка 1'!AO101-'Выборка 1'!AN101)+('Выборка 1'!AP101-'Выборка 1'!AO101)+('Выборка 1'!AQ101-'Выборка 1'!AP101))/4000</f>
        <v>-7284.5</v>
      </c>
      <c r="G101" s="17">
        <f>((('Выборка 1'!BH101-'Выборка 1'!BM101)-('Выборка 1'!BG101-'Выборка 1'!BL101))+(('Выборка 1'!BI101-'Выборка 1'!BN101)-('Выборка 1'!BH101-'Выборка 1'!BM101))+(('Выборка 1'!BJ101-'Выборка 1'!BO101)-('Выборка 1'!BI101-'Выборка 1'!BN101))+(('Выборка 1'!BK101-'Выборка 1'!BP101)-('Выборка 1'!BJ101-'Выборка 1'!BO101)))/4000</f>
        <v>274.75</v>
      </c>
      <c r="H101" s="17">
        <f>(('Выборка 1'!BR101-'Выборка 1'!BQ101)+('Выборка 1'!BS101-'Выборка 1'!BR101)+('Выборка 1'!BT101-'Выборка 1'!BS101)+('Выборка 1'!BU101-'Выборка 1'!BT101))/4000</f>
        <v>185.5</v>
      </c>
    </row>
    <row r="102" spans="2:8" x14ac:dyDescent="0.25">
      <c r="B102" s="42">
        <f>('Выборка 1'!AL102+'Выборка 1'!AG102)/1000</f>
        <v>120275</v>
      </c>
      <c r="C102" s="17">
        <v>14</v>
      </c>
      <c r="D102" s="17">
        <f>(('Выборка 1'!E102-'Выборка 1'!D102)+('Выборка 1'!F102-'Выборка 1'!E102)+('Выборка 1'!G102-'Выборка 1'!F102)+('Выборка 1'!H102-'Выборка 1'!G102))/4000</f>
        <v>-2616.25</v>
      </c>
      <c r="E102" s="17">
        <f>(('Выборка 1'!O102-'Выборка 1'!N102)+('Выборка 1'!P102-'Выборка 1'!O102)+('Выборка 1'!Q102-'Выборка 1'!P102)+('Выборка 1'!R102-'Выборка 1'!Q102))/4000</f>
        <v>-3922.25</v>
      </c>
      <c r="F102" s="17">
        <f>(('Выборка 1'!AN102-'Выборка 1'!AM102)+('Выборка 1'!AO102-'Выборка 1'!AN102)+('Выборка 1'!AP102-'Выборка 1'!AO102)+('Выборка 1'!AQ102-'Выборка 1'!AP102))/4000</f>
        <v>-186568</v>
      </c>
      <c r="G102" s="17">
        <f>((('Выборка 1'!BH102-'Выборка 1'!BM102)-('Выборка 1'!BG102-'Выборка 1'!BL102))+(('Выборка 1'!BI102-'Выборка 1'!BN102)-('Выборка 1'!BH102-'Выборка 1'!BM102))+(('Выборка 1'!BJ102-'Выборка 1'!BO102)-('Выборка 1'!BI102-'Выборка 1'!BN102))+(('Выборка 1'!BK102-'Выборка 1'!BP102)-('Выборка 1'!BJ102-'Выборка 1'!BO102)))/4000</f>
        <v>-30350</v>
      </c>
      <c r="H102" s="17">
        <f>(('Выборка 1'!BR102-'Выборка 1'!BQ102)+('Выборка 1'!BS102-'Выборка 1'!BR102)+('Выборка 1'!BT102-'Выборка 1'!BS102)+('Выборка 1'!BU102-'Выборка 1'!BT102))/4000</f>
        <v>-617.5</v>
      </c>
    </row>
    <row r="103" spans="2:8" x14ac:dyDescent="0.25">
      <c r="B103" s="42">
        <f>('Выборка 1'!AL103+'Выборка 1'!AG103)/1000</f>
        <v>530709</v>
      </c>
      <c r="C103" s="17">
        <v>17</v>
      </c>
      <c r="D103" s="17">
        <f>(('Выборка 1'!E103-'Выборка 1'!D103)+('Выборка 1'!F103-'Выборка 1'!E103)+('Выборка 1'!G103-'Выборка 1'!F103)+('Выборка 1'!H103-'Выборка 1'!G103))/4000</f>
        <v>-865.75</v>
      </c>
      <c r="E103" s="17">
        <f>(('Выборка 1'!O103-'Выборка 1'!N103)+('Выборка 1'!P103-'Выборка 1'!O103)+('Выборка 1'!Q103-'Выборка 1'!P103)+('Выборка 1'!R103-'Выборка 1'!Q103))/4000</f>
        <v>6515</v>
      </c>
      <c r="F103" s="17">
        <f>(('Выборка 1'!AN103-'Выборка 1'!AM103)+('Выборка 1'!AO103-'Выборка 1'!AN103)+('Выборка 1'!AP103-'Выборка 1'!AO103)+('Выборка 1'!AQ103-'Выборка 1'!AP103))/4000</f>
        <v>-158631</v>
      </c>
      <c r="G103" s="17">
        <f>((('Выборка 1'!BH103-'Выборка 1'!BM103)-('Выборка 1'!BG103-'Выборка 1'!BL103))+(('Выборка 1'!BI103-'Выборка 1'!BN103)-('Выборка 1'!BH103-'Выборка 1'!BM103))+(('Выборка 1'!BJ103-'Выборка 1'!BO103)-('Выборка 1'!BI103-'Выборка 1'!BN103))+(('Выборка 1'!BK103-'Выборка 1'!BP103)-('Выборка 1'!BJ103-'Выборка 1'!BO103)))/4000</f>
        <v>4797.75</v>
      </c>
      <c r="H103" s="17">
        <f>(('Выборка 1'!BR103-'Выборка 1'!BQ103)+('Выборка 1'!BS103-'Выборка 1'!BR103)+('Выборка 1'!BT103-'Выборка 1'!BS103)+('Выборка 1'!BU103-'Выборка 1'!BT103))/4000</f>
        <v>31034.5</v>
      </c>
    </row>
    <row r="104" spans="2:8" x14ac:dyDescent="0.25">
      <c r="B104" s="42">
        <f>('Выборка 1'!AL104+'Выборка 1'!AG104)/1000</f>
        <v>120863</v>
      </c>
      <c r="C104" s="17">
        <v>9</v>
      </c>
      <c r="D104" s="17">
        <f>(('Выборка 1'!E104-'Выборка 1'!D104)+('Выборка 1'!F104-'Выборка 1'!E104)+('Выборка 1'!G104-'Выборка 1'!F104)+('Выборка 1'!H104-'Выборка 1'!G104))/4000</f>
        <v>-36316</v>
      </c>
      <c r="E104" s="17">
        <f>(('Выборка 1'!O104-'Выборка 1'!N104)+('Выборка 1'!P104-'Выборка 1'!O104)+('Выборка 1'!Q104-'Выборка 1'!P104)+('Выборка 1'!R104-'Выборка 1'!Q104))/4000</f>
        <v>0</v>
      </c>
      <c r="F104" s="17">
        <f>(('Выборка 1'!AN104-'Выборка 1'!AM104)+('Выборка 1'!AO104-'Выборка 1'!AN104)+('Выборка 1'!AP104-'Выборка 1'!AO104)+('Выборка 1'!AQ104-'Выборка 1'!AP104))/4000</f>
        <v>0</v>
      </c>
      <c r="G104" s="17">
        <f>((('Выборка 1'!BH104-'Выборка 1'!BM104)-('Выборка 1'!BG104-'Выборка 1'!BL104))+(('Выборка 1'!BI104-'Выборка 1'!BN104)-('Выборка 1'!BH104-'Выборка 1'!BM104))+(('Выборка 1'!BJ104-'Выборка 1'!BO104)-('Выборка 1'!BI104-'Выборка 1'!BN104))+(('Выборка 1'!BK104-'Выборка 1'!BP104)-('Выборка 1'!BJ104-'Выборка 1'!BO104)))/4000</f>
        <v>139.75</v>
      </c>
      <c r="H104" s="17">
        <f>(('Выборка 1'!BR104-'Выборка 1'!BQ104)+('Выборка 1'!BS104-'Выборка 1'!BR104)+('Выборка 1'!BT104-'Выборка 1'!BS104)+('Выборка 1'!BU104-'Выборка 1'!BT104))/4000</f>
        <v>153.75</v>
      </c>
    </row>
    <row r="105" spans="2:8" x14ac:dyDescent="0.25">
      <c r="B105" s="42">
        <f>('Выборка 1'!AL105+'Выборка 1'!AG105)/1000</f>
        <v>0</v>
      </c>
      <c r="C105" s="17">
        <v>20</v>
      </c>
      <c r="D105" s="17">
        <f>(('Выборка 1'!E105-'Выборка 1'!D105)+('Выборка 1'!F105-'Выборка 1'!E105)+('Выборка 1'!G105-'Выборка 1'!F105)+('Выборка 1'!H105-'Выборка 1'!G105))/4000</f>
        <v>-333.75</v>
      </c>
      <c r="E105" s="17">
        <f>(('Выборка 1'!O105-'Выборка 1'!N105)+('Выборка 1'!P105-'Выборка 1'!O105)+('Выборка 1'!Q105-'Выборка 1'!P105)+('Выборка 1'!R105-'Выборка 1'!Q105))/4000</f>
        <v>-13002.25</v>
      </c>
      <c r="F105" s="17">
        <f>(('Выборка 1'!AN105-'Выборка 1'!AM105)+('Выборка 1'!AO105-'Выборка 1'!AN105)+('Выборка 1'!AP105-'Выборка 1'!AO105)+('Выборка 1'!AQ105-'Выборка 1'!AP105))/4000</f>
        <v>-56215.25</v>
      </c>
      <c r="G105" s="17">
        <f>((('Выборка 1'!BH105-'Выборка 1'!BM105)-('Выборка 1'!BG105-'Выборка 1'!BL105))+(('Выборка 1'!BI105-'Выборка 1'!BN105)-('Выборка 1'!BH105-'Выборка 1'!BM105))+(('Выборка 1'!BJ105-'Выборка 1'!BO105)-('Выборка 1'!BI105-'Выборка 1'!BN105))+(('Выборка 1'!BK105-'Выборка 1'!BP105)-('Выборка 1'!BJ105-'Выборка 1'!BO105)))/4000</f>
        <v>-457.25</v>
      </c>
      <c r="H105" s="17">
        <f>(('Выборка 1'!BR105-'Выборка 1'!BQ105)+('Выборка 1'!BS105-'Выборка 1'!BR105)+('Выборка 1'!BT105-'Выборка 1'!BS105)+('Выборка 1'!BU105-'Выборка 1'!BT105))/4000</f>
        <v>-618</v>
      </c>
    </row>
    <row r="106" spans="2:8" x14ac:dyDescent="0.25">
      <c r="B106" s="42">
        <f>('Выборка 1'!AL106+'Выборка 1'!AG106)/1000</f>
        <v>0</v>
      </c>
      <c r="C106" s="17">
        <v>12</v>
      </c>
      <c r="D106" s="17">
        <f>(('Выборка 1'!E106-'Выборка 1'!D106)+('Выборка 1'!F106-'Выборка 1'!E106)+('Выборка 1'!G106-'Выборка 1'!F106)+('Выборка 1'!H106-'Выборка 1'!G106))/4000</f>
        <v>0</v>
      </c>
      <c r="E106" s="17">
        <f>(('Выборка 1'!O106-'Выборка 1'!N106)+('Выборка 1'!P106-'Выборка 1'!O106)+('Выборка 1'!Q106-'Выборка 1'!P106)+('Выборка 1'!R106-'Выборка 1'!Q106))/4000</f>
        <v>-65236.25</v>
      </c>
      <c r="F106" s="17">
        <f>(('Выборка 1'!AN106-'Выборка 1'!AM106)+('Выборка 1'!AO106-'Выборка 1'!AN106)+('Выборка 1'!AP106-'Выборка 1'!AO106)+('Выборка 1'!AQ106-'Выборка 1'!AP106))/4000</f>
        <v>-24946.5</v>
      </c>
      <c r="G106" s="17">
        <f>((('Выборка 1'!BH106-'Выборка 1'!BM106)-('Выборка 1'!BG106-'Выборка 1'!BL106))+(('Выборка 1'!BI106-'Выборка 1'!BN106)-('Выборка 1'!BH106-'Выборка 1'!BM106))+(('Выборка 1'!BJ106-'Выборка 1'!BO106)-('Выборка 1'!BI106-'Выборка 1'!BN106))+(('Выборка 1'!BK106-'Выборка 1'!BP106)-('Выборка 1'!BJ106-'Выборка 1'!BO106)))/4000</f>
        <v>-1410.25</v>
      </c>
      <c r="H106" s="17">
        <f>(('Выборка 1'!BR106-'Выборка 1'!BQ106)+('Выборка 1'!BS106-'Выборка 1'!BR106)+('Выборка 1'!BT106-'Выборка 1'!BS106)+('Выборка 1'!BU106-'Выборка 1'!BT106))/4000</f>
        <v>4780.5</v>
      </c>
    </row>
    <row r="107" spans="2:8" x14ac:dyDescent="0.25">
      <c r="B107" s="42">
        <f>('Выборка 1'!AL107+'Выборка 1'!AG107)/1000</f>
        <v>0</v>
      </c>
      <c r="C107" s="17">
        <v>22</v>
      </c>
      <c r="D107" s="17">
        <f>(('Выборка 1'!E107-'Выборка 1'!D107)+('Выборка 1'!F107-'Выборка 1'!E107)+('Выборка 1'!G107-'Выборка 1'!F107)+('Выборка 1'!H107-'Выборка 1'!G107))/4000</f>
        <v>0</v>
      </c>
      <c r="E107" s="17">
        <f>(('Выборка 1'!O107-'Выборка 1'!N107)+('Выборка 1'!P107-'Выборка 1'!O107)+('Выборка 1'!Q107-'Выборка 1'!P107)+('Выборка 1'!R107-'Выборка 1'!Q107))/4000</f>
        <v>0</v>
      </c>
      <c r="F107" s="17">
        <f>(('Выборка 1'!AN107-'Выборка 1'!AM107)+('Выборка 1'!AO107-'Выборка 1'!AN107)+('Выборка 1'!AP107-'Выборка 1'!AO107)+('Выборка 1'!AQ107-'Выборка 1'!AP107))/4000</f>
        <v>994</v>
      </c>
      <c r="G107" s="17">
        <f>((('Выборка 1'!BH107-'Выборка 1'!BM107)-('Выборка 1'!BG107-'Выборка 1'!BL107))+(('Выборка 1'!BI107-'Выборка 1'!BN107)-('Выборка 1'!BH107-'Выборка 1'!BM107))+(('Выборка 1'!BJ107-'Выборка 1'!BO107)-('Выборка 1'!BI107-'Выборка 1'!BN107))+(('Выборка 1'!BK107-'Выборка 1'!BP107)-('Выборка 1'!BJ107-'Выборка 1'!BO107)))/4000</f>
        <v>0</v>
      </c>
      <c r="H107" s="17">
        <f>(('Выборка 1'!BR107-'Выборка 1'!BQ107)+('Выборка 1'!BS107-'Выборка 1'!BR107)+('Выборка 1'!BT107-'Выборка 1'!BS107)+('Выборка 1'!BU107-'Выборка 1'!BT107))/4000</f>
        <v>33.25</v>
      </c>
    </row>
    <row r="108" spans="2:8" x14ac:dyDescent="0.25">
      <c r="B108" s="42">
        <f>('Выборка 1'!AL108+'Выборка 1'!AG108)/1000</f>
        <v>158927</v>
      </c>
      <c r="C108" s="17">
        <v>12</v>
      </c>
      <c r="D108" s="17">
        <f>(('Выборка 1'!E108-'Выборка 1'!D108)+('Выборка 1'!F108-'Выборка 1'!E108)+('Выборка 1'!G108-'Выборка 1'!F108)+('Выборка 1'!H108-'Выборка 1'!G108))/4000</f>
        <v>0</v>
      </c>
      <c r="E108" s="17">
        <f>(('Выборка 1'!O108-'Выборка 1'!N108)+('Выборка 1'!P108-'Выборка 1'!O108)+('Выборка 1'!Q108-'Выборка 1'!P108)+('Выборка 1'!R108-'Выборка 1'!Q108))/4000</f>
        <v>2772</v>
      </c>
      <c r="F108" s="17">
        <f>(('Выборка 1'!AN108-'Выборка 1'!AM108)+('Выборка 1'!AO108-'Выборка 1'!AN108)+('Выборка 1'!AP108-'Выборка 1'!AO108)+('Выборка 1'!AQ108-'Выборка 1'!AP108))/4000</f>
        <v>0</v>
      </c>
      <c r="G108" s="17">
        <f>((('Выборка 1'!BH108-'Выборка 1'!BM108)-('Выборка 1'!BG108-'Выборка 1'!BL108))+(('Выборка 1'!BI108-'Выборка 1'!BN108)-('Выборка 1'!BH108-'Выборка 1'!BM108))+(('Выборка 1'!BJ108-'Выборка 1'!BO108)-('Выборка 1'!BI108-'Выборка 1'!BN108))+(('Выборка 1'!BK108-'Выборка 1'!BP108)-('Выборка 1'!BJ108-'Выборка 1'!BO108)))/4000</f>
        <v>-78.25</v>
      </c>
      <c r="H108" s="17">
        <f>(('Выборка 1'!BR108-'Выборка 1'!BQ108)+('Выборка 1'!BS108-'Выборка 1'!BR108)+('Выборка 1'!BT108-'Выборка 1'!BS108)+('Выборка 1'!BU108-'Выборка 1'!BT108))/4000</f>
        <v>-78.25</v>
      </c>
    </row>
    <row r="109" spans="2:8" x14ac:dyDescent="0.25">
      <c r="B109" s="42">
        <f>('Выборка 1'!AL109+'Выборка 1'!AG109)/1000</f>
        <v>17503</v>
      </c>
      <c r="C109" s="17">
        <v>12</v>
      </c>
      <c r="D109" s="17">
        <f>(('Выборка 1'!E109-'Выборка 1'!D109)+('Выборка 1'!F109-'Выборка 1'!E109)+('Выборка 1'!G109-'Выборка 1'!F109)+('Выборка 1'!H109-'Выборка 1'!G109))/4000</f>
        <v>-1710.25</v>
      </c>
      <c r="E109" s="17">
        <f>(('Выборка 1'!O109-'Выборка 1'!N109)+('Выборка 1'!P109-'Выборка 1'!O109)+('Выборка 1'!Q109-'Выборка 1'!P109)+('Выборка 1'!R109-'Выборка 1'!Q109))/4000</f>
        <v>-4886.25</v>
      </c>
      <c r="F109" s="17">
        <f>(('Выборка 1'!AN109-'Выборка 1'!AM109)+('Выборка 1'!AO109-'Выборка 1'!AN109)+('Выборка 1'!AP109-'Выборка 1'!AO109)+('Выборка 1'!AQ109-'Выборка 1'!AP109))/4000</f>
        <v>-20180.5</v>
      </c>
      <c r="G109" s="17">
        <f>((('Выборка 1'!BH109-'Выборка 1'!BM109)-('Выборка 1'!BG109-'Выборка 1'!BL109))+(('Выборка 1'!BI109-'Выборка 1'!BN109)-('Выборка 1'!BH109-'Выборка 1'!BM109))+(('Выборка 1'!BJ109-'Выборка 1'!BO109)-('Выборка 1'!BI109-'Выборка 1'!BN109))+(('Выборка 1'!BK109-'Выборка 1'!BP109)-('Выборка 1'!BJ109-'Выборка 1'!BO109)))/4000</f>
        <v>215.25</v>
      </c>
      <c r="H109" s="17">
        <f>(('Выборка 1'!BR109-'Выборка 1'!BQ109)+('Выборка 1'!BS109-'Выборка 1'!BR109)+('Выборка 1'!BT109-'Выборка 1'!BS109)+('Выборка 1'!BU109-'Выборка 1'!BT109))/4000</f>
        <v>-890</v>
      </c>
    </row>
    <row r="110" spans="2:8" x14ac:dyDescent="0.25">
      <c r="B110" s="42">
        <f>('Выборка 1'!AL110+'Выборка 1'!AG110)/1000</f>
        <v>0</v>
      </c>
      <c r="C110" s="17">
        <v>17</v>
      </c>
      <c r="D110" s="17">
        <f>(('Выборка 1'!E110-'Выборка 1'!D110)+('Выборка 1'!F110-'Выборка 1'!E110)+('Выборка 1'!G110-'Выборка 1'!F110)+('Выборка 1'!H110-'Выборка 1'!G110))/4000</f>
        <v>0</v>
      </c>
      <c r="E110" s="17">
        <f>(('Выборка 1'!O110-'Выборка 1'!N110)+('Выборка 1'!P110-'Выборка 1'!O110)+('Выборка 1'!Q110-'Выборка 1'!P110)+('Выборка 1'!R110-'Выборка 1'!Q110))/4000</f>
        <v>-4427.5</v>
      </c>
      <c r="F110" s="17">
        <f>(('Выборка 1'!AN110-'Выборка 1'!AM110)+('Выборка 1'!AO110-'Выборка 1'!AN110)+('Выборка 1'!AP110-'Выборка 1'!AO110)+('Выборка 1'!AQ110-'Выборка 1'!AP110))/4000</f>
        <v>-2124.5</v>
      </c>
      <c r="G110" s="17">
        <f>((('Выборка 1'!BH110-'Выборка 1'!BM110)-('Выборка 1'!BG110-'Выборка 1'!BL110))+(('Выборка 1'!BI110-'Выборка 1'!BN110)-('Выборка 1'!BH110-'Выборка 1'!BM110))+(('Выборка 1'!BJ110-'Выборка 1'!BO110)-('Выборка 1'!BI110-'Выборка 1'!BN110))+(('Выборка 1'!BK110-'Выборка 1'!BP110)-('Выборка 1'!BJ110-'Выборка 1'!BO110)))/4000</f>
        <v>-47.75</v>
      </c>
      <c r="H110" s="17">
        <f>(('Выборка 1'!BR110-'Выборка 1'!BQ110)+('Выборка 1'!BS110-'Выборка 1'!BR110)+('Выборка 1'!BT110-'Выборка 1'!BS110)+('Выборка 1'!BU110-'Выборка 1'!BT110))/4000</f>
        <v>-87</v>
      </c>
    </row>
    <row r="111" spans="2:8" x14ac:dyDescent="0.25">
      <c r="B111" s="42">
        <f>('Выборка 1'!AL111+'Выборка 1'!AG111)/1000</f>
        <v>57608</v>
      </c>
      <c r="C111" s="17">
        <v>15</v>
      </c>
      <c r="D111" s="17">
        <f>(('Выборка 1'!E111-'Выборка 1'!D111)+('Выборка 1'!F111-'Выборка 1'!E111)+('Выборка 1'!G111-'Выборка 1'!F111)+('Выборка 1'!H111-'Выборка 1'!G111))/4000</f>
        <v>-345</v>
      </c>
      <c r="E111" s="17">
        <f>(('Выборка 1'!O111-'Выборка 1'!N111)+('Выборка 1'!P111-'Выборка 1'!O111)+('Выборка 1'!Q111-'Выборка 1'!P111)+('Выборка 1'!R111-'Выборка 1'!Q111))/4000</f>
        <v>-6330.5</v>
      </c>
      <c r="F111" s="17">
        <f>(('Выборка 1'!AN111-'Выборка 1'!AM111)+('Выборка 1'!AO111-'Выборка 1'!AN111)+('Выборка 1'!AP111-'Выборка 1'!AO111)+('Выборка 1'!AQ111-'Выборка 1'!AP111))/4000</f>
        <v>-51015.25</v>
      </c>
      <c r="G111" s="17">
        <f>((('Выборка 1'!BH111-'Выборка 1'!BM111)-('Выборка 1'!BG111-'Выборка 1'!BL111))+(('Выборка 1'!BI111-'Выборка 1'!BN111)-('Выборка 1'!BH111-'Выборка 1'!BM111))+(('Выборка 1'!BJ111-'Выборка 1'!BO111)-('Выборка 1'!BI111-'Выборка 1'!BN111))+(('Выборка 1'!BK111-'Выборка 1'!BP111)-('Выборка 1'!BJ111-'Выборка 1'!BO111)))/4000</f>
        <v>-1926.25</v>
      </c>
      <c r="H111" s="17">
        <f>(('Выборка 1'!BR111-'Выборка 1'!BQ111)+('Выборка 1'!BS111-'Выборка 1'!BR111)+('Выборка 1'!BT111-'Выборка 1'!BS111)+('Выборка 1'!BU111-'Выборка 1'!BT111))/4000</f>
        <v>-2799.25</v>
      </c>
    </row>
    <row r="112" spans="2:8" x14ac:dyDescent="0.25">
      <c r="B112" s="42">
        <f>('Выборка 1'!AL112+'Выборка 1'!AG112)/1000</f>
        <v>48359</v>
      </c>
      <c r="C112" s="17">
        <v>11</v>
      </c>
      <c r="D112" s="17">
        <f>(('Выборка 1'!E112-'Выборка 1'!D112)+('Выборка 1'!F112-'Выборка 1'!E112)+('Выборка 1'!G112-'Выборка 1'!F112)+('Выборка 1'!H112-'Выборка 1'!G112))/4000</f>
        <v>-3943</v>
      </c>
      <c r="E112" s="17">
        <f>(('Выборка 1'!O112-'Выборка 1'!N112)+('Выборка 1'!P112-'Выборка 1'!O112)+('Выборка 1'!Q112-'Выборка 1'!P112)+('Выборка 1'!R112-'Выборка 1'!Q112))/4000</f>
        <v>-3595.75</v>
      </c>
      <c r="F112" s="17">
        <f>(('Выборка 1'!AN112-'Выборка 1'!AM112)+('Выборка 1'!AO112-'Выборка 1'!AN112)+('Выборка 1'!AP112-'Выборка 1'!AO112)+('Выборка 1'!AQ112-'Выборка 1'!AP112))/4000</f>
        <v>-13411.5</v>
      </c>
      <c r="G112" s="17">
        <f>((('Выборка 1'!BH112-'Выборка 1'!BM112)-('Выборка 1'!BG112-'Выборка 1'!BL112))+(('Выборка 1'!BI112-'Выборка 1'!BN112)-('Выборка 1'!BH112-'Выборка 1'!BM112))+(('Выборка 1'!BJ112-'Выборка 1'!BO112)-('Выборка 1'!BI112-'Выборка 1'!BN112))+(('Выборка 1'!BK112-'Выборка 1'!BP112)-('Выборка 1'!BJ112-'Выборка 1'!BO112)))/4000</f>
        <v>-1280</v>
      </c>
      <c r="H112" s="17">
        <f>(('Выборка 1'!BR112-'Выборка 1'!BQ112)+('Выборка 1'!BS112-'Выборка 1'!BR112)+('Выборка 1'!BT112-'Выборка 1'!BS112)+('Выборка 1'!BU112-'Выборка 1'!BT112))/4000</f>
        <v>-7.25</v>
      </c>
    </row>
    <row r="113" spans="2:8" x14ac:dyDescent="0.25">
      <c r="B113" s="42">
        <f>('Выборка 1'!AL113+'Выборка 1'!AG113)/1000</f>
        <v>11800443</v>
      </c>
      <c r="C113" s="17">
        <v>6</v>
      </c>
      <c r="D113" s="17">
        <f>(('Выборка 1'!E113-'Выборка 1'!D113)+('Выборка 1'!F113-'Выборка 1'!E113)+('Выборка 1'!G113-'Выборка 1'!F113)+('Выборка 1'!H113-'Выборка 1'!G113))/4000</f>
        <v>29733.75</v>
      </c>
      <c r="E113" s="17">
        <f>(('Выборка 1'!O113-'Выборка 1'!N113)+('Выборка 1'!P113-'Выборка 1'!O113)+('Выборка 1'!Q113-'Выборка 1'!P113)+('Выборка 1'!R113-'Выборка 1'!Q113))/4000</f>
        <v>331675.5</v>
      </c>
      <c r="F113" s="17">
        <f>(('Выборка 1'!AN113-'Выборка 1'!AM113)+('Выборка 1'!AO113-'Выборка 1'!AN113)+('Выборка 1'!AP113-'Выборка 1'!AO113)+('Выборка 1'!AQ113-'Выборка 1'!AP113))/4000</f>
        <v>-108138.5</v>
      </c>
      <c r="G113" s="17">
        <f>((('Выборка 1'!BH113-'Выборка 1'!BM113)-('Выборка 1'!BG113-'Выборка 1'!BL113))+(('Выборка 1'!BI113-'Выборка 1'!BN113)-('Выборка 1'!BH113-'Выборка 1'!BM113))+(('Выборка 1'!BJ113-'Выборка 1'!BO113)-('Выборка 1'!BI113-'Выборка 1'!BN113))+(('Выборка 1'!BK113-'Выборка 1'!BP113)-('Выборка 1'!BJ113-'Выборка 1'!BO113)))/4000</f>
        <v>10479</v>
      </c>
      <c r="H113" s="17">
        <f>(('Выборка 1'!BR113-'Выборка 1'!BQ113)+('Выборка 1'!BS113-'Выборка 1'!BR113)+('Выборка 1'!BT113-'Выборка 1'!BS113)+('Выборка 1'!BU113-'Выборка 1'!BT113))/4000</f>
        <v>-34865</v>
      </c>
    </row>
    <row r="114" spans="2:8" x14ac:dyDescent="0.25">
      <c r="B114" s="42">
        <f>('Выборка 1'!AL114+'Выборка 1'!AG114)/1000</f>
        <v>219371</v>
      </c>
      <c r="C114" s="17">
        <v>10</v>
      </c>
      <c r="D114" s="17">
        <f>(('Выборка 1'!E114-'Выборка 1'!D114)+('Выборка 1'!F114-'Выборка 1'!E114)+('Выборка 1'!G114-'Выборка 1'!F114)+('Выборка 1'!H114-'Выборка 1'!G114))/4000</f>
        <v>-870.5</v>
      </c>
      <c r="E114" s="17">
        <f>(('Выборка 1'!O114-'Выборка 1'!N114)+('Выборка 1'!P114-'Выборка 1'!O114)+('Выборка 1'!Q114-'Выборка 1'!P114)+('Выборка 1'!R114-'Выборка 1'!Q114))/4000</f>
        <v>10641</v>
      </c>
      <c r="F114" s="17">
        <f>(('Выборка 1'!AN114-'Выборка 1'!AM114)+('Выборка 1'!AO114-'Выборка 1'!AN114)+('Выборка 1'!AP114-'Выборка 1'!AO114)+('Выборка 1'!AQ114-'Выборка 1'!AP114))/4000</f>
        <v>-44833</v>
      </c>
      <c r="G114" s="17">
        <f>((('Выборка 1'!BH114-'Выборка 1'!BM114)-('Выборка 1'!BG114-'Выборка 1'!BL114))+(('Выборка 1'!BI114-'Выборка 1'!BN114)-('Выборка 1'!BH114-'Выборка 1'!BM114))+(('Выборка 1'!BJ114-'Выборка 1'!BO114)-('Выборка 1'!BI114-'Выборка 1'!BN114))+(('Выборка 1'!BK114-'Выборка 1'!BP114)-('Выборка 1'!BJ114-'Выборка 1'!BO114)))/4000</f>
        <v>-7.75</v>
      </c>
      <c r="H114" s="17">
        <f>(('Выборка 1'!BR114-'Выборка 1'!BQ114)+('Выборка 1'!BS114-'Выборка 1'!BR114)+('Выборка 1'!BT114-'Выборка 1'!BS114)+('Выборка 1'!BU114-'Выборка 1'!BT114))/4000</f>
        <v>-596.25</v>
      </c>
    </row>
    <row r="115" spans="2:8" x14ac:dyDescent="0.25">
      <c r="B115" s="42">
        <f>('Выборка 1'!AL115+'Выборка 1'!AG115)/1000</f>
        <v>0</v>
      </c>
      <c r="C115" s="17">
        <v>12</v>
      </c>
      <c r="D115" s="17">
        <f>(('Выборка 1'!E115-'Выборка 1'!D115)+('Выборка 1'!F115-'Выборка 1'!E115)+('Выборка 1'!G115-'Выборка 1'!F115)+('Выборка 1'!H115-'Выборка 1'!G115))/4000</f>
        <v>-6689.75</v>
      </c>
      <c r="E115" s="17">
        <f>(('Выборка 1'!O115-'Выборка 1'!N115)+('Выборка 1'!P115-'Выборка 1'!O115)+('Выборка 1'!Q115-'Выборка 1'!P115)+('Выборка 1'!R115-'Выборка 1'!Q115))/4000</f>
        <v>-5749.5</v>
      </c>
      <c r="F115" s="17">
        <f>(('Выборка 1'!AN115-'Выборка 1'!AM115)+('Выборка 1'!AO115-'Выборка 1'!AN115)+('Выборка 1'!AP115-'Выборка 1'!AO115)+('Выборка 1'!AQ115-'Выборка 1'!AP115))/4000</f>
        <v>-19620.75</v>
      </c>
      <c r="G115" s="17">
        <f>((('Выборка 1'!BH115-'Выборка 1'!BM115)-('Выборка 1'!BG115-'Выборка 1'!BL115))+(('Выборка 1'!BI115-'Выборка 1'!BN115)-('Выборка 1'!BH115-'Выборка 1'!BM115))+(('Выборка 1'!BJ115-'Выборка 1'!BO115)-('Выборка 1'!BI115-'Выборка 1'!BN115))+(('Выборка 1'!BK115-'Выборка 1'!BP115)-('Выборка 1'!BJ115-'Выборка 1'!BO115)))/4000</f>
        <v>20.5</v>
      </c>
      <c r="H115" s="17">
        <f>(('Выборка 1'!BR115-'Выборка 1'!BQ115)+('Выборка 1'!BS115-'Выборка 1'!BR115)+('Выборка 1'!BT115-'Выборка 1'!BS115)+('Выборка 1'!BU115-'Выборка 1'!BT115))/4000</f>
        <v>-169.25</v>
      </c>
    </row>
    <row r="116" spans="2:8" x14ac:dyDescent="0.25">
      <c r="B116" s="42">
        <f>('Выборка 1'!AL116+'Выборка 1'!AG116)/1000</f>
        <v>75414</v>
      </c>
      <c r="C116" s="17">
        <v>18</v>
      </c>
      <c r="D116" s="17">
        <f>(('Выборка 1'!E116-'Выборка 1'!D116)+('Выборка 1'!F116-'Выборка 1'!E116)+('Выборка 1'!G116-'Выборка 1'!F116)+('Выборка 1'!H116-'Выборка 1'!G116))/4000</f>
        <v>-2649.75</v>
      </c>
      <c r="E116" s="17">
        <f>(('Выборка 1'!O116-'Выборка 1'!N116)+('Выборка 1'!P116-'Выборка 1'!O116)+('Выборка 1'!Q116-'Выборка 1'!P116)+('Выборка 1'!R116-'Выборка 1'!Q116))/4000</f>
        <v>-8813.75</v>
      </c>
      <c r="F116" s="17">
        <f>(('Выборка 1'!AN116-'Выборка 1'!AM116)+('Выборка 1'!AO116-'Выборка 1'!AN116)+('Выборка 1'!AP116-'Выборка 1'!AO116)+('Выборка 1'!AQ116-'Выборка 1'!AP116))/4000</f>
        <v>0</v>
      </c>
      <c r="G116" s="17">
        <f>((('Выборка 1'!BH116-'Выборка 1'!BM116)-('Выборка 1'!BG116-'Выборка 1'!BL116))+(('Выборка 1'!BI116-'Выборка 1'!BN116)-('Выборка 1'!BH116-'Выборка 1'!BM116))+(('Выборка 1'!BJ116-'Выборка 1'!BO116)-('Выборка 1'!BI116-'Выборка 1'!BN116))+(('Выборка 1'!BK116-'Выборка 1'!BP116)-('Выборка 1'!BJ116-'Выборка 1'!BO116)))/4000</f>
        <v>14515.5</v>
      </c>
      <c r="H116" s="17">
        <f>(('Выборка 1'!BR116-'Выборка 1'!BQ116)+('Выборка 1'!BS116-'Выборка 1'!BR116)+('Выборка 1'!BT116-'Выборка 1'!BS116)+('Выборка 1'!BU116-'Выборка 1'!BT116))/4000</f>
        <v>14515.5</v>
      </c>
    </row>
    <row r="117" spans="2:8" x14ac:dyDescent="0.25">
      <c r="B117" s="42">
        <f>('Выборка 1'!AL117+'Выборка 1'!AG117)/1000</f>
        <v>49302</v>
      </c>
      <c r="C117" s="17">
        <v>25</v>
      </c>
      <c r="D117" s="17">
        <f>(('Выборка 1'!E117-'Выборка 1'!D117)+('Выборка 1'!F117-'Выборка 1'!E117)+('Выборка 1'!G117-'Выборка 1'!F117)+('Выборка 1'!H117-'Выборка 1'!G117))/4000</f>
        <v>-987.75</v>
      </c>
      <c r="E117" s="17">
        <f>(('Выборка 1'!O117-'Выборка 1'!N117)+('Выборка 1'!P117-'Выборка 1'!O117)+('Выборка 1'!Q117-'Выборка 1'!P117)+('Выборка 1'!R117-'Выборка 1'!Q117))/4000</f>
        <v>402</v>
      </c>
      <c r="F117" s="17">
        <f>(('Выборка 1'!AN117-'Выборка 1'!AM117)+('Выборка 1'!AO117-'Выборка 1'!AN117)+('Выборка 1'!AP117-'Выборка 1'!AO117)+('Выборка 1'!AQ117-'Выборка 1'!AP117))/4000</f>
        <v>-856.5</v>
      </c>
      <c r="G117" s="17">
        <f>((('Выборка 1'!BH117-'Выборка 1'!BM117)-('Выборка 1'!BG117-'Выборка 1'!BL117))+(('Выборка 1'!BI117-'Выборка 1'!BN117)-('Выборка 1'!BH117-'Выборка 1'!BM117))+(('Выборка 1'!BJ117-'Выборка 1'!BO117)-('Выборка 1'!BI117-'Выборка 1'!BN117))+(('Выборка 1'!BK117-'Выборка 1'!BP117)-('Выборка 1'!BJ117-'Выборка 1'!BO117)))/4000</f>
        <v>4.75</v>
      </c>
      <c r="H117" s="17">
        <f>(('Выборка 1'!BR117-'Выборка 1'!BQ117)+('Выборка 1'!BS117-'Выборка 1'!BR117)+('Выборка 1'!BT117-'Выборка 1'!BS117)+('Выборка 1'!BU117-'Выборка 1'!BT117))/4000</f>
        <v>-276.75</v>
      </c>
    </row>
    <row r="118" spans="2:8" x14ac:dyDescent="0.25">
      <c r="B118" s="42">
        <f>('Выборка 1'!AL118+'Выборка 1'!AG118)/1000</f>
        <v>1934258</v>
      </c>
      <c r="C118" s="17">
        <v>24</v>
      </c>
      <c r="D118" s="17">
        <f>(('Выборка 1'!E118-'Выборка 1'!D118)+('Выборка 1'!F118-'Выборка 1'!E118)+('Выборка 1'!G118-'Выборка 1'!F118)+('Выборка 1'!H118-'Выборка 1'!G118))/4000</f>
        <v>-12031</v>
      </c>
      <c r="E118" s="17">
        <f>(('Выборка 1'!O118-'Выборка 1'!N118)+('Выборка 1'!P118-'Выборка 1'!O118)+('Выборка 1'!Q118-'Выборка 1'!P118)+('Выборка 1'!R118-'Выборка 1'!Q118))/4000</f>
        <v>-175405.75</v>
      </c>
      <c r="F118" s="17">
        <f>(('Выборка 1'!AN118-'Выборка 1'!AM118)+('Выборка 1'!AO118-'Выборка 1'!AN118)+('Выборка 1'!AP118-'Выборка 1'!AO118)+('Выборка 1'!AQ118-'Выборка 1'!AP118))/4000</f>
        <v>-88</v>
      </c>
      <c r="G118" s="17">
        <f>((('Выборка 1'!BH118-'Выборка 1'!BM118)-('Выборка 1'!BG118-'Выборка 1'!BL118))+(('Выборка 1'!BI118-'Выборка 1'!BN118)-('Выборка 1'!BH118-'Выборка 1'!BM118))+(('Выборка 1'!BJ118-'Выборка 1'!BO118)-('Выборка 1'!BI118-'Выборка 1'!BN118))+(('Выборка 1'!BK118-'Выборка 1'!BP118)-('Выборка 1'!BJ118-'Выборка 1'!BO118)))/4000</f>
        <v>8278.25</v>
      </c>
      <c r="H118" s="17">
        <f>(('Выборка 1'!BR118-'Выборка 1'!BQ118)+('Выборка 1'!BS118-'Выборка 1'!BR118)+('Выборка 1'!BT118-'Выборка 1'!BS118)+('Выборка 1'!BU118-'Выборка 1'!BT118))/4000</f>
        <v>14304.25</v>
      </c>
    </row>
    <row r="119" spans="2:8" x14ac:dyDescent="0.25">
      <c r="B119" s="42">
        <f>('Выборка 1'!AL119+'Выборка 1'!AG119)/1000</f>
        <v>0</v>
      </c>
      <c r="C119" s="17">
        <v>17</v>
      </c>
      <c r="D119" s="17">
        <f>(('Выборка 1'!E119-'Выборка 1'!D119)+('Выборка 1'!F119-'Выборка 1'!E119)+('Выборка 1'!G119-'Выборка 1'!F119)+('Выборка 1'!H119-'Выборка 1'!G119))/4000</f>
        <v>-420.5</v>
      </c>
      <c r="E119" s="17">
        <f>(('Выборка 1'!O119-'Выборка 1'!N119)+('Выборка 1'!P119-'Выборка 1'!O119)+('Выборка 1'!Q119-'Выборка 1'!P119)+('Выборка 1'!R119-'Выборка 1'!Q119))/4000</f>
        <v>-6362</v>
      </c>
      <c r="F119" s="17">
        <f>(('Выборка 1'!AN119-'Выборка 1'!AM119)+('Выборка 1'!AO119-'Выборка 1'!AN119)+('Выборка 1'!AP119-'Выборка 1'!AO119)+('Выборка 1'!AQ119-'Выборка 1'!AP119))/4000</f>
        <v>-62.75</v>
      </c>
      <c r="G119" s="17">
        <f>((('Выборка 1'!BH119-'Выборка 1'!BM119)-('Выборка 1'!BG119-'Выборка 1'!BL119))+(('Выборка 1'!BI119-'Выборка 1'!BN119)-('Выборка 1'!BH119-'Выборка 1'!BM119))+(('Выборка 1'!BJ119-'Выборка 1'!BO119)-('Выборка 1'!BI119-'Выборка 1'!BN119))+(('Выборка 1'!BK119-'Выборка 1'!BP119)-('Выборка 1'!BJ119-'Выборка 1'!BO119)))/4000</f>
        <v>1175.25</v>
      </c>
      <c r="H119" s="17">
        <f>(('Выборка 1'!BR119-'Выборка 1'!BQ119)+('Выборка 1'!BS119-'Выборка 1'!BR119)+('Выборка 1'!BT119-'Выборка 1'!BS119)+('Выборка 1'!BU119-'Выборка 1'!BT119))/4000</f>
        <v>1113.5</v>
      </c>
    </row>
    <row r="120" spans="2:8" x14ac:dyDescent="0.25">
      <c r="B120" s="42">
        <f>('Выборка 1'!AL120+'Выборка 1'!AG120)/1000</f>
        <v>0</v>
      </c>
      <c r="C120" s="17">
        <v>12</v>
      </c>
      <c r="D120" s="17">
        <f>(('Выборка 1'!E120-'Выборка 1'!D120)+('Выборка 1'!F120-'Выборка 1'!E120)+('Выборка 1'!G120-'Выборка 1'!F120)+('Выборка 1'!H120-'Выборка 1'!G120))/4000</f>
        <v>-12160.25</v>
      </c>
      <c r="E120" s="17">
        <f>(('Выборка 1'!O120-'Выборка 1'!N120)+('Выборка 1'!P120-'Выборка 1'!O120)+('Выборка 1'!Q120-'Выборка 1'!P120)+('Выборка 1'!R120-'Выборка 1'!Q120))/4000</f>
        <v>-22578.5</v>
      </c>
      <c r="F120" s="17">
        <f>(('Выборка 1'!AN120-'Выборка 1'!AM120)+('Выборка 1'!AO120-'Выборка 1'!AN120)+('Выборка 1'!AP120-'Выборка 1'!AO120)+('Выборка 1'!AQ120-'Выборка 1'!AP120))/4000</f>
        <v>-151085</v>
      </c>
      <c r="G120" s="17">
        <f>((('Выборка 1'!BH120-'Выборка 1'!BM120)-('Выборка 1'!BG120-'Выборка 1'!BL120))+(('Выборка 1'!BI120-'Выборка 1'!BN120)-('Выборка 1'!BH120-'Выборка 1'!BM120))+(('Выборка 1'!BJ120-'Выборка 1'!BO120)-('Выборка 1'!BI120-'Выборка 1'!BN120))+(('Выборка 1'!BK120-'Выборка 1'!BP120)-('Выборка 1'!BJ120-'Выборка 1'!BO120)))/4000</f>
        <v>2929.5</v>
      </c>
      <c r="H120" s="17">
        <f>(('Выборка 1'!BR120-'Выборка 1'!BQ120)+('Выборка 1'!BS120-'Выборка 1'!BR120)+('Выборка 1'!BT120-'Выборка 1'!BS120)+('Выборка 1'!BU120-'Выборка 1'!BT120))/4000</f>
        <v>1751.25</v>
      </c>
    </row>
    <row r="121" spans="2:8" x14ac:dyDescent="0.25">
      <c r="B121" s="42">
        <f>('Выборка 1'!AL121+'Выборка 1'!AG121)/1000</f>
        <v>0</v>
      </c>
      <c r="C121" s="17">
        <v>33</v>
      </c>
      <c r="D121" s="17">
        <f>(('Выборка 1'!E121-'Выборка 1'!D121)+('Выборка 1'!F121-'Выборка 1'!E121)+('Выборка 1'!G121-'Выборка 1'!F121)+('Выборка 1'!H121-'Выборка 1'!G121))/4000</f>
        <v>0</v>
      </c>
      <c r="E121" s="17">
        <f>(('Выборка 1'!O121-'Выборка 1'!N121)+('Выборка 1'!P121-'Выборка 1'!O121)+('Выборка 1'!Q121-'Выборка 1'!P121)+('Выборка 1'!R121-'Выборка 1'!Q121))/4000</f>
        <v>0</v>
      </c>
      <c r="F121" s="17">
        <f>(('Выборка 1'!AN121-'Выборка 1'!AM121)+('Выборка 1'!AO121-'Выборка 1'!AN121)+('Выборка 1'!AP121-'Выборка 1'!AO121)+('Выборка 1'!AQ121-'Выборка 1'!AP121))/4000</f>
        <v>0</v>
      </c>
      <c r="G121" s="17">
        <f>((('Выборка 1'!BH121-'Выборка 1'!BM121)-('Выборка 1'!BG121-'Выборка 1'!BL121))+(('Выборка 1'!BI121-'Выборка 1'!BN121)-('Выборка 1'!BH121-'Выборка 1'!BM121))+(('Выборка 1'!BJ121-'Выборка 1'!BO121)-('Выборка 1'!BI121-'Выборка 1'!BN121))+(('Выборка 1'!BK121-'Выборка 1'!BP121)-('Выборка 1'!BJ121-'Выборка 1'!BO121)))/4000</f>
        <v>0</v>
      </c>
      <c r="H121" s="17">
        <f>(('Выборка 1'!BR121-'Выборка 1'!BQ121)+('Выборка 1'!BS121-'Выборка 1'!BR121)+('Выборка 1'!BT121-'Выборка 1'!BS121)+('Выборка 1'!BU121-'Выборка 1'!BT121))/4000</f>
        <v>0</v>
      </c>
    </row>
    <row r="122" spans="2:8" x14ac:dyDescent="0.25">
      <c r="B122" s="42">
        <f>('Выборка 1'!AL122+'Выборка 1'!AG122)/1000</f>
        <v>0</v>
      </c>
      <c r="C122" s="17">
        <v>27</v>
      </c>
      <c r="D122" s="17">
        <f>(('Выборка 1'!E122-'Выборка 1'!D122)+('Выборка 1'!F122-'Выборка 1'!E122)+('Выборка 1'!G122-'Выборка 1'!F122)+('Выборка 1'!H122-'Выборка 1'!G122))/4000</f>
        <v>0</v>
      </c>
      <c r="E122" s="17">
        <f>(('Выборка 1'!O122-'Выборка 1'!N122)+('Выборка 1'!P122-'Выборка 1'!O122)+('Выборка 1'!Q122-'Выборка 1'!P122)+('Выборка 1'!R122-'Выборка 1'!Q122))/4000</f>
        <v>0</v>
      </c>
      <c r="F122" s="17">
        <f>(('Выборка 1'!AN122-'Выборка 1'!AM122)+('Выборка 1'!AO122-'Выборка 1'!AN122)+('Выборка 1'!AP122-'Выборка 1'!AO122)+('Выборка 1'!AQ122-'Выборка 1'!AP122))/4000</f>
        <v>0</v>
      </c>
      <c r="G122" s="17">
        <f>((('Выборка 1'!BH122-'Выборка 1'!BM122)-('Выборка 1'!BG122-'Выборка 1'!BL122))+(('Выборка 1'!BI122-'Выборка 1'!BN122)-('Выборка 1'!BH122-'Выборка 1'!BM122))+(('Выборка 1'!BJ122-'Выборка 1'!BO122)-('Выборка 1'!BI122-'Выборка 1'!BN122))+(('Выборка 1'!BK122-'Выборка 1'!BP122)-('Выборка 1'!BJ122-'Выборка 1'!BO122)))/4000</f>
        <v>0</v>
      </c>
      <c r="H122" s="17">
        <f>(('Выборка 1'!BR122-'Выборка 1'!BQ122)+('Выборка 1'!BS122-'Выборка 1'!BR122)+('Выборка 1'!BT122-'Выборка 1'!BS122)+('Выборка 1'!BU122-'Выборка 1'!BT122))/4000</f>
        <v>0</v>
      </c>
    </row>
    <row r="123" spans="2:8" x14ac:dyDescent="0.25">
      <c r="B123" s="42">
        <f>('Выборка 1'!AL123+'Выборка 1'!AG123)/1000</f>
        <v>72428</v>
      </c>
      <c r="C123" s="17">
        <v>21</v>
      </c>
      <c r="D123" s="17">
        <f>(('Выборка 1'!E123-'Выборка 1'!D123)+('Выборка 1'!F123-'Выборка 1'!E123)+('Выборка 1'!G123-'Выборка 1'!F123)+('Выборка 1'!H123-'Выборка 1'!G123))/4000</f>
        <v>0</v>
      </c>
      <c r="E123" s="17">
        <f>(('Выборка 1'!O123-'Выборка 1'!N123)+('Выборка 1'!P123-'Выборка 1'!O123)+('Выборка 1'!Q123-'Выборка 1'!P123)+('Выборка 1'!R123-'Выборка 1'!Q123))/4000</f>
        <v>19927.5</v>
      </c>
      <c r="F123" s="17">
        <f>(('Выборка 1'!AN123-'Выборка 1'!AM123)+('Выборка 1'!AO123-'Выборка 1'!AN123)+('Выборка 1'!AP123-'Выборка 1'!AO123)+('Выборка 1'!AQ123-'Выборка 1'!AP123))/4000</f>
        <v>0</v>
      </c>
      <c r="G123" s="17">
        <f>((('Выборка 1'!BH123-'Выборка 1'!BM123)-('Выборка 1'!BG123-'Выборка 1'!BL123))+(('Выборка 1'!BI123-'Выборка 1'!BN123)-('Выборка 1'!BH123-'Выборка 1'!BM123))+(('Выборка 1'!BJ123-'Выборка 1'!BO123)-('Выборка 1'!BI123-'Выборка 1'!BN123))+(('Выборка 1'!BK123-'Выборка 1'!BP123)-('Выборка 1'!BJ123-'Выборка 1'!BO123)))/4000</f>
        <v>0</v>
      </c>
      <c r="H123" s="17">
        <f>(('Выборка 1'!BR123-'Выборка 1'!BQ123)+('Выборка 1'!BS123-'Выборка 1'!BR123)+('Выборка 1'!BT123-'Выборка 1'!BS123)+('Выборка 1'!BU123-'Выборка 1'!BT123))/4000</f>
        <v>0</v>
      </c>
    </row>
    <row r="124" spans="2:8" x14ac:dyDescent="0.25">
      <c r="B124" s="42">
        <f>('Выборка 1'!AL124+'Выборка 1'!AG124)/1000</f>
        <v>47116</v>
      </c>
      <c r="C124" s="17">
        <v>10</v>
      </c>
      <c r="D124" s="17">
        <f>(('Выборка 1'!E124-'Выборка 1'!D124)+('Выборка 1'!F124-'Выборка 1'!E124)+('Выборка 1'!G124-'Выборка 1'!F124)+('Выборка 1'!H124-'Выборка 1'!G124))/4000</f>
        <v>-90.5</v>
      </c>
      <c r="E124" s="17">
        <f>(('Выборка 1'!O124-'Выборка 1'!N124)+('Выборка 1'!P124-'Выборка 1'!O124)+('Выборка 1'!Q124-'Выборка 1'!P124)+('Выборка 1'!R124-'Выборка 1'!Q124))/4000</f>
        <v>-6698.5</v>
      </c>
      <c r="F124" s="17">
        <f>(('Выборка 1'!AN124-'Выборка 1'!AM124)+('Выборка 1'!AO124-'Выборка 1'!AN124)+('Выборка 1'!AP124-'Выборка 1'!AO124)+('Выборка 1'!AQ124-'Выборка 1'!AP124))/4000</f>
        <v>-38453.5</v>
      </c>
      <c r="G124" s="17">
        <f>((('Выборка 1'!BH124-'Выборка 1'!BM124)-('Выборка 1'!BG124-'Выборка 1'!BL124))+(('Выборка 1'!BI124-'Выборка 1'!BN124)-('Выборка 1'!BH124-'Выборка 1'!BM124))+(('Выборка 1'!BJ124-'Выборка 1'!BO124)-('Выборка 1'!BI124-'Выборка 1'!BN124))+(('Выборка 1'!BK124-'Выборка 1'!BP124)-('Выборка 1'!BJ124-'Выборка 1'!BO124)))/4000</f>
        <v>226.75</v>
      </c>
      <c r="H124" s="17">
        <f>(('Выборка 1'!BR124-'Выборка 1'!BQ124)+('Выборка 1'!BS124-'Выборка 1'!BR124)+('Выборка 1'!BT124-'Выборка 1'!BS124)+('Выборка 1'!BU124-'Выборка 1'!BT124))/4000</f>
        <v>-362.75</v>
      </c>
    </row>
    <row r="125" spans="2:8" x14ac:dyDescent="0.25">
      <c r="B125" s="42">
        <f>('Выборка 1'!AL125+'Выборка 1'!AG125)/1000</f>
        <v>0</v>
      </c>
      <c r="C125" s="17">
        <v>24</v>
      </c>
      <c r="D125" s="17">
        <f>(('Выборка 1'!E125-'Выборка 1'!D125)+('Выборка 1'!F125-'Выборка 1'!E125)+('Выборка 1'!G125-'Выборка 1'!F125)+('Выборка 1'!H125-'Выборка 1'!G125))/4000</f>
        <v>-1226.75</v>
      </c>
      <c r="E125" s="17">
        <f>(('Выборка 1'!O125-'Выборка 1'!N125)+('Выборка 1'!P125-'Выборка 1'!O125)+('Выборка 1'!Q125-'Выборка 1'!P125)+('Выборка 1'!R125-'Выборка 1'!Q125))/4000</f>
        <v>-175</v>
      </c>
      <c r="F125" s="17">
        <f>(('Выборка 1'!AN125-'Выборка 1'!AM125)+('Выборка 1'!AO125-'Выборка 1'!AN125)+('Выборка 1'!AP125-'Выборка 1'!AO125)+('Выборка 1'!AQ125-'Выборка 1'!AP125))/4000</f>
        <v>-1654.5</v>
      </c>
      <c r="G125" s="17">
        <f>((('Выборка 1'!BH125-'Выборка 1'!BM125)-('Выборка 1'!BG125-'Выборка 1'!BL125))+(('Выборка 1'!BI125-'Выборка 1'!BN125)-('Выборка 1'!BH125-'Выборка 1'!BM125))+(('Выборка 1'!BJ125-'Выборка 1'!BO125)-('Выборка 1'!BI125-'Выборка 1'!BN125))+(('Выборка 1'!BK125-'Выборка 1'!BP125)-('Выборка 1'!BJ125-'Выборка 1'!BO125)))/4000</f>
        <v>2371.25</v>
      </c>
      <c r="H125" s="17">
        <f>(('Выборка 1'!BR125-'Выборка 1'!BQ125)+('Выборка 1'!BS125-'Выборка 1'!BR125)+('Выборка 1'!BT125-'Выборка 1'!BS125)+('Выборка 1'!BU125-'Выборка 1'!BT125))/4000</f>
        <v>4871.5</v>
      </c>
    </row>
    <row r="126" spans="2:8" x14ac:dyDescent="0.25">
      <c r="B126" s="42">
        <f>('Выборка 1'!AL126+'Выборка 1'!AG126)/1000</f>
        <v>0</v>
      </c>
      <c r="C126" s="17">
        <v>13</v>
      </c>
      <c r="D126" s="17">
        <f>(('Выборка 1'!E126-'Выборка 1'!D126)+('Выборка 1'!F126-'Выборка 1'!E126)+('Выборка 1'!G126-'Выборка 1'!F126)+('Выборка 1'!H126-'Выборка 1'!G126))/4000</f>
        <v>-752.25</v>
      </c>
      <c r="E126" s="17">
        <f>(('Выборка 1'!O126-'Выборка 1'!N126)+('Выборка 1'!P126-'Выборка 1'!O126)+('Выборка 1'!Q126-'Выборка 1'!P126)+('Выборка 1'!R126-'Выборка 1'!Q126))/4000</f>
        <v>-3679.75</v>
      </c>
      <c r="F126" s="17">
        <f>(('Выборка 1'!AN126-'Выборка 1'!AM126)+('Выборка 1'!AO126-'Выборка 1'!AN126)+('Выборка 1'!AP126-'Выборка 1'!AO126)+('Выборка 1'!AQ126-'Выборка 1'!AP126))/4000</f>
        <v>-2080.25</v>
      </c>
      <c r="G126" s="17">
        <f>((('Выборка 1'!BH126-'Выборка 1'!BM126)-('Выборка 1'!BG126-'Выборка 1'!BL126))+(('Выборка 1'!BI126-'Выборка 1'!BN126)-('Выборка 1'!BH126-'Выборка 1'!BM126))+(('Выборка 1'!BJ126-'Выборка 1'!BO126)-('Выборка 1'!BI126-'Выборка 1'!BN126))+(('Выборка 1'!BK126-'Выборка 1'!BP126)-('Выборка 1'!BJ126-'Выборка 1'!BO126)))/4000</f>
        <v>56.25</v>
      </c>
      <c r="H126" s="17">
        <f>(('Выборка 1'!BR126-'Выборка 1'!BQ126)+('Выборка 1'!BS126-'Выборка 1'!BR126)+('Выборка 1'!BT126-'Выборка 1'!BS126)+('Выборка 1'!BU126-'Выборка 1'!BT126))/4000</f>
        <v>2738.75</v>
      </c>
    </row>
    <row r="127" spans="2:8" x14ac:dyDescent="0.25">
      <c r="B127" s="42">
        <f>('Выборка 1'!AL127+'Выборка 1'!AG127)/1000</f>
        <v>0</v>
      </c>
      <c r="C127" s="17">
        <v>16</v>
      </c>
      <c r="D127" s="17">
        <f>(('Выборка 1'!E127-'Выборка 1'!D127)+('Выборка 1'!F127-'Выборка 1'!E127)+('Выборка 1'!G127-'Выборка 1'!F127)+('Выборка 1'!H127-'Выборка 1'!G127))/4000</f>
        <v>-35879.75</v>
      </c>
      <c r="E127" s="17">
        <f>(('Выборка 1'!O127-'Выборка 1'!N127)+('Выборка 1'!P127-'Выборка 1'!O127)+('Выборка 1'!Q127-'Выборка 1'!P127)+('Выборка 1'!R127-'Выборка 1'!Q127))/4000</f>
        <v>-13222.75</v>
      </c>
      <c r="F127" s="17">
        <f>(('Выборка 1'!AN127-'Выборка 1'!AM127)+('Выборка 1'!AO127-'Выборка 1'!AN127)+('Выборка 1'!AP127-'Выборка 1'!AO127)+('Выборка 1'!AQ127-'Выборка 1'!AP127))/4000</f>
        <v>-35615.5</v>
      </c>
      <c r="G127" s="17">
        <f>((('Выборка 1'!BH127-'Выборка 1'!BM127)-('Выборка 1'!BG127-'Выборка 1'!BL127))+(('Выборка 1'!BI127-'Выборка 1'!BN127)-('Выборка 1'!BH127-'Выборка 1'!BM127))+(('Выборка 1'!BJ127-'Выборка 1'!BO127)-('Выборка 1'!BI127-'Выборка 1'!BN127))+(('Выборка 1'!BK127-'Выборка 1'!BP127)-('Выборка 1'!BJ127-'Выборка 1'!BO127)))/4000</f>
        <v>-1470.25</v>
      </c>
      <c r="H127" s="17">
        <f>(('Выборка 1'!BR127-'Выборка 1'!BQ127)+('Выборка 1'!BS127-'Выборка 1'!BR127)+('Выборка 1'!BT127-'Выборка 1'!BS127)+('Выборка 1'!BU127-'Выборка 1'!BT127))/4000</f>
        <v>3282.5</v>
      </c>
    </row>
    <row r="128" spans="2:8" x14ac:dyDescent="0.25">
      <c r="B128" s="42">
        <f>('Выборка 1'!AL128+'Выборка 1'!AG128)/1000</f>
        <v>343454</v>
      </c>
      <c r="C128" s="17">
        <v>33</v>
      </c>
      <c r="D128" s="17">
        <f>(('Выборка 1'!E128-'Выборка 1'!D128)+('Выборка 1'!F128-'Выборка 1'!E128)+('Выборка 1'!G128-'Выборка 1'!F128)+('Выборка 1'!H128-'Выборка 1'!G128))/4000</f>
        <v>-63355.5</v>
      </c>
      <c r="E128" s="17">
        <f>(('Выборка 1'!O128-'Выборка 1'!N128)+('Выборка 1'!P128-'Выборка 1'!O128)+('Выборка 1'!Q128-'Выборка 1'!P128)+('Выборка 1'!R128-'Выборка 1'!Q128))/4000</f>
        <v>-8558.75</v>
      </c>
      <c r="F128" s="17">
        <f>(('Выборка 1'!AN128-'Выборка 1'!AM128)+('Выборка 1'!AO128-'Выборка 1'!AN128)+('Выборка 1'!AP128-'Выборка 1'!AO128)+('Выборка 1'!AQ128-'Выборка 1'!AP128))/4000</f>
        <v>-32302</v>
      </c>
      <c r="G128" s="17">
        <f>((('Выборка 1'!BH128-'Выборка 1'!BM128)-('Выборка 1'!BG128-'Выборка 1'!BL128))+(('Выборка 1'!BI128-'Выборка 1'!BN128)-('Выборка 1'!BH128-'Выборка 1'!BM128))+(('Выборка 1'!BJ128-'Выборка 1'!BO128)-('Выборка 1'!BI128-'Выборка 1'!BN128))+(('Выборка 1'!BK128-'Выборка 1'!BP128)-('Выборка 1'!BJ128-'Выборка 1'!BO128)))/4000</f>
        <v>-32464.75</v>
      </c>
      <c r="H128" s="17">
        <f>(('Выборка 1'!BR128-'Выборка 1'!BQ128)+('Выборка 1'!BS128-'Выборка 1'!BR128)+('Выборка 1'!BT128-'Выборка 1'!BS128)+('Выборка 1'!BU128-'Выборка 1'!BT128))/4000</f>
        <v>-27149</v>
      </c>
    </row>
    <row r="129" spans="2:8" x14ac:dyDescent="0.25">
      <c r="B129" s="42">
        <f>('Выборка 1'!AL129+'Выборка 1'!AG129)/1000</f>
        <v>0</v>
      </c>
      <c r="C129" s="17">
        <v>32</v>
      </c>
      <c r="D129" s="17">
        <f>(('Выборка 1'!E129-'Выборка 1'!D129)+('Выборка 1'!F129-'Выборка 1'!E129)+('Выборка 1'!G129-'Выборка 1'!F129)+('Выборка 1'!H129-'Выборка 1'!G129))/4000</f>
        <v>-51002</v>
      </c>
      <c r="E129" s="17">
        <f>(('Выборка 1'!O129-'Выборка 1'!N129)+('Выборка 1'!P129-'Выборка 1'!O129)+('Выборка 1'!Q129-'Выборка 1'!P129)+('Выборка 1'!R129-'Выборка 1'!Q129))/4000</f>
        <v>-1136</v>
      </c>
      <c r="F129" s="17">
        <f>(('Выборка 1'!AN129-'Выборка 1'!AM129)+('Выборка 1'!AO129-'Выборка 1'!AN129)+('Выборка 1'!AP129-'Выборка 1'!AO129)+('Выборка 1'!AQ129-'Выборка 1'!AP129))/4000</f>
        <v>-9571.25</v>
      </c>
      <c r="G129" s="17">
        <f>((('Выборка 1'!BH129-'Выборка 1'!BM129)-('Выборка 1'!BG129-'Выборка 1'!BL129))+(('Выборка 1'!BI129-'Выборка 1'!BN129)-('Выборка 1'!BH129-'Выборка 1'!BM129))+(('Выборка 1'!BJ129-'Выборка 1'!BO129)-('Выборка 1'!BI129-'Выборка 1'!BN129))+(('Выборка 1'!BK129-'Выборка 1'!BP129)-('Выборка 1'!BJ129-'Выборка 1'!BO129)))/4000</f>
        <v>-1519.75</v>
      </c>
      <c r="H129" s="17">
        <f>(('Выборка 1'!BR129-'Выборка 1'!BQ129)+('Выборка 1'!BS129-'Выборка 1'!BR129)+('Выборка 1'!BT129-'Выборка 1'!BS129)+('Выборка 1'!BU129-'Выборка 1'!BT129))/4000</f>
        <v>363</v>
      </c>
    </row>
    <row r="130" spans="2:8" x14ac:dyDescent="0.25">
      <c r="B130" s="42">
        <f>('Выборка 1'!AL130+'Выборка 1'!AG130)/1000</f>
        <v>489206</v>
      </c>
      <c r="C130" s="17">
        <v>13</v>
      </c>
      <c r="D130" s="17">
        <f>(('Выборка 1'!E130-'Выборка 1'!D130)+('Выборка 1'!F130-'Выборка 1'!E130)+('Выборка 1'!G130-'Выборка 1'!F130)+('Выборка 1'!H130-'Выборка 1'!G130))/4000</f>
        <v>-17053.5</v>
      </c>
      <c r="E130" s="17">
        <f>(('Выборка 1'!O130-'Выборка 1'!N130)+('Выборка 1'!P130-'Выборка 1'!O130)+('Выборка 1'!Q130-'Выборка 1'!P130)+('Выборка 1'!R130-'Выборка 1'!Q130))/4000</f>
        <v>-17330</v>
      </c>
      <c r="F130" s="17">
        <f>(('Выборка 1'!AN130-'Выборка 1'!AM130)+('Выборка 1'!AO130-'Выборка 1'!AN130)+('Выборка 1'!AP130-'Выборка 1'!AO130)+('Выборка 1'!AQ130-'Выборка 1'!AP130))/4000</f>
        <v>-105981.5</v>
      </c>
      <c r="G130" s="17">
        <f>((('Выборка 1'!BH130-'Выборка 1'!BM130)-('Выборка 1'!BG130-'Выборка 1'!BL130))+(('Выборка 1'!BI130-'Выборка 1'!BN130)-('Выборка 1'!BH130-'Выборка 1'!BM130))+(('Выборка 1'!BJ130-'Выборка 1'!BO130)-('Выборка 1'!BI130-'Выборка 1'!BN130))+(('Выборка 1'!BK130-'Выборка 1'!BP130)-('Выборка 1'!BJ130-'Выборка 1'!BO130)))/4000</f>
        <v>-7628.5</v>
      </c>
      <c r="H130" s="17">
        <f>(('Выборка 1'!BR130-'Выборка 1'!BQ130)+('Выборка 1'!BS130-'Выборка 1'!BR130)+('Выборка 1'!BT130-'Выборка 1'!BS130)+('Выборка 1'!BU130-'Выборка 1'!BT130))/4000</f>
        <v>-1113.25</v>
      </c>
    </row>
    <row r="131" spans="2:8" x14ac:dyDescent="0.25">
      <c r="B131" s="42">
        <f>('Выборка 1'!AL131+'Выборка 1'!AG131)/1000</f>
        <v>0</v>
      </c>
      <c r="C131" s="17">
        <v>19</v>
      </c>
      <c r="D131" s="17">
        <f>(('Выборка 1'!E131-'Выборка 1'!D131)+('Выборка 1'!F131-'Выборка 1'!E131)+('Выборка 1'!G131-'Выборка 1'!F131)+('Выборка 1'!H131-'Выборка 1'!G131))/4000</f>
        <v>-24</v>
      </c>
      <c r="E131" s="17">
        <f>(('Выборка 1'!O131-'Выборка 1'!N131)+('Выборка 1'!P131-'Выборка 1'!O131)+('Выборка 1'!Q131-'Выборка 1'!P131)+('Выборка 1'!R131-'Выборка 1'!Q131))/4000</f>
        <v>-3194</v>
      </c>
      <c r="F131" s="17">
        <f>(('Выборка 1'!AN131-'Выборка 1'!AM131)+('Выборка 1'!AO131-'Выборка 1'!AN131)+('Выборка 1'!AP131-'Выборка 1'!AO131)+('Выборка 1'!AQ131-'Выборка 1'!AP131))/4000</f>
        <v>0</v>
      </c>
      <c r="G131" s="17">
        <f>((('Выборка 1'!BH131-'Выборка 1'!BM131)-('Выборка 1'!BG131-'Выборка 1'!BL131))+(('Выборка 1'!BI131-'Выборка 1'!BN131)-('Выборка 1'!BH131-'Выборка 1'!BM131))+(('Выборка 1'!BJ131-'Выборка 1'!BO131)-('Выборка 1'!BI131-'Выборка 1'!BN131))+(('Выборка 1'!BK131-'Выборка 1'!BP131)-('Выборка 1'!BJ131-'Выборка 1'!BO131)))/4000</f>
        <v>88.75</v>
      </c>
      <c r="H131" s="17">
        <f>(('Выборка 1'!BR131-'Выборка 1'!BQ131)+('Выборка 1'!BS131-'Выборка 1'!BR131)+('Выборка 1'!BT131-'Выборка 1'!BS131)+('Выборка 1'!BU131-'Выборка 1'!BT131))/4000</f>
        <v>88.75</v>
      </c>
    </row>
    <row r="132" spans="2:8" x14ac:dyDescent="0.25">
      <c r="B132" s="42">
        <f>('Выборка 1'!AL132+'Выборка 1'!AG132)/1000</f>
        <v>0</v>
      </c>
      <c r="C132" s="17">
        <v>13</v>
      </c>
      <c r="D132" s="17">
        <f>(('Выборка 1'!E132-'Выборка 1'!D132)+('Выборка 1'!F132-'Выборка 1'!E132)+('Выборка 1'!G132-'Выборка 1'!F132)+('Выборка 1'!H132-'Выборка 1'!G132))/4000</f>
        <v>0</v>
      </c>
      <c r="E132" s="17">
        <f>(('Выборка 1'!O132-'Выборка 1'!N132)+('Выборка 1'!P132-'Выборка 1'!O132)+('Выборка 1'!Q132-'Выборка 1'!P132)+('Выборка 1'!R132-'Выборка 1'!Q132))/4000</f>
        <v>-2740</v>
      </c>
      <c r="F132" s="17">
        <f>(('Выборка 1'!AN132-'Выборка 1'!AM132)+('Выборка 1'!AO132-'Выборка 1'!AN132)+('Выборка 1'!AP132-'Выборка 1'!AO132)+('Выборка 1'!AQ132-'Выборка 1'!AP132))/4000</f>
        <v>0</v>
      </c>
      <c r="G132" s="17">
        <f>((('Выборка 1'!BH132-'Выборка 1'!BM132)-('Выборка 1'!BG132-'Выборка 1'!BL132))+(('Выборка 1'!BI132-'Выборка 1'!BN132)-('Выборка 1'!BH132-'Выборка 1'!BM132))+(('Выборка 1'!BJ132-'Выборка 1'!BO132)-('Выборка 1'!BI132-'Выборка 1'!BN132))+(('Выборка 1'!BK132-'Выборка 1'!BP132)-('Выборка 1'!BJ132-'Выборка 1'!BO132)))/4000</f>
        <v>36.75</v>
      </c>
      <c r="H132" s="17">
        <f>(('Выборка 1'!BR132-'Выборка 1'!BQ132)+('Выборка 1'!BS132-'Выборка 1'!BR132)+('Выборка 1'!BT132-'Выборка 1'!BS132)+('Выборка 1'!BU132-'Выборка 1'!BT132))/4000</f>
        <v>126.25</v>
      </c>
    </row>
    <row r="133" spans="2:8" x14ac:dyDescent="0.25">
      <c r="B133" s="42">
        <f>('Выборка 1'!AL133+'Выборка 1'!AG133)/1000</f>
        <v>0</v>
      </c>
      <c r="C133" s="17">
        <v>24</v>
      </c>
      <c r="D133" s="17">
        <f>(('Выборка 1'!E133-'Выборка 1'!D133)+('Выборка 1'!F133-'Выборка 1'!E133)+('Выборка 1'!G133-'Выборка 1'!F133)+('Выборка 1'!H133-'Выборка 1'!G133))/4000</f>
        <v>-4007</v>
      </c>
      <c r="E133" s="17">
        <f>(('Выборка 1'!O133-'Выборка 1'!N133)+('Выборка 1'!P133-'Выборка 1'!O133)+('Выборка 1'!Q133-'Выборка 1'!P133)+('Выборка 1'!R133-'Выборка 1'!Q133))/4000</f>
        <v>-23024</v>
      </c>
      <c r="F133" s="17">
        <f>(('Выборка 1'!AN133-'Выборка 1'!AM133)+('Выборка 1'!AO133-'Выборка 1'!AN133)+('Выборка 1'!AP133-'Выборка 1'!AO133)+('Выборка 1'!AQ133-'Выборка 1'!AP133))/4000</f>
        <v>-90528</v>
      </c>
      <c r="G133" s="17">
        <f>((('Выборка 1'!BH133-'Выборка 1'!BM133)-('Выборка 1'!BG133-'Выборка 1'!BL133))+(('Выборка 1'!BI133-'Выборка 1'!BN133)-('Выборка 1'!BH133-'Выборка 1'!BM133))+(('Выборка 1'!BJ133-'Выборка 1'!BO133)-('Выборка 1'!BI133-'Выборка 1'!BN133))+(('Выборка 1'!BK133-'Выборка 1'!BP133)-('Выборка 1'!BJ133-'Выборка 1'!BO133)))/4000</f>
        <v>10458.5</v>
      </c>
      <c r="H133" s="17">
        <f>(('Выборка 1'!BR133-'Выборка 1'!BQ133)+('Выборка 1'!BS133-'Выборка 1'!BR133)+('Выборка 1'!BT133-'Выборка 1'!BS133)+('Выборка 1'!BU133-'Выборка 1'!BT133))/4000</f>
        <v>-626.25</v>
      </c>
    </row>
    <row r="134" spans="2:8" x14ac:dyDescent="0.25">
      <c r="B134" s="42">
        <f>('Выборка 1'!AL134+'Выборка 1'!AG134)/1000</f>
        <v>0</v>
      </c>
      <c r="C134" s="17">
        <v>23</v>
      </c>
      <c r="D134" s="17">
        <f>(('Выборка 1'!E134-'Выборка 1'!D134)+('Выборка 1'!F134-'Выборка 1'!E134)+('Выборка 1'!G134-'Выборка 1'!F134)+('Выборка 1'!H134-'Выборка 1'!G134))/4000</f>
        <v>0</v>
      </c>
      <c r="E134" s="17">
        <f>(('Выборка 1'!O134-'Выборка 1'!N134)+('Выборка 1'!P134-'Выборка 1'!O134)+('Выборка 1'!Q134-'Выборка 1'!P134)+('Выборка 1'!R134-'Выборка 1'!Q134))/4000</f>
        <v>0</v>
      </c>
      <c r="F134" s="17">
        <f>(('Выборка 1'!AN134-'Выборка 1'!AM134)+('Выборка 1'!AO134-'Выборка 1'!AN134)+('Выборка 1'!AP134-'Выборка 1'!AO134)+('Выборка 1'!AQ134-'Выборка 1'!AP134))/4000</f>
        <v>0</v>
      </c>
      <c r="G134" s="17">
        <f>((('Выборка 1'!BH134-'Выборка 1'!BM134)-('Выборка 1'!BG134-'Выборка 1'!BL134))+(('Выборка 1'!BI134-'Выборка 1'!BN134)-('Выборка 1'!BH134-'Выборка 1'!BM134))+(('Выборка 1'!BJ134-'Выборка 1'!BO134)-('Выборка 1'!BI134-'Выборка 1'!BN134))+(('Выборка 1'!BK134-'Выборка 1'!BP134)-('Выборка 1'!BJ134-'Выборка 1'!BO134)))/4000</f>
        <v>0</v>
      </c>
      <c r="H134" s="17">
        <f>(('Выборка 1'!BR134-'Выборка 1'!BQ134)+('Выборка 1'!BS134-'Выборка 1'!BR134)+('Выборка 1'!BT134-'Выборка 1'!BS134)+('Выборка 1'!BU134-'Выборка 1'!BT134))/4000</f>
        <v>0</v>
      </c>
    </row>
    <row r="135" spans="2:8" x14ac:dyDescent="0.25">
      <c r="B135" s="42">
        <f>('Выборка 1'!AL135+'Выборка 1'!AG135)/1000</f>
        <v>32545</v>
      </c>
      <c r="C135" s="17">
        <v>8</v>
      </c>
      <c r="D135" s="17">
        <f>(('Выборка 1'!E135-'Выборка 1'!D135)+('Выборка 1'!F135-'Выборка 1'!E135)+('Выборка 1'!G135-'Выборка 1'!F135)+('Выборка 1'!H135-'Выборка 1'!G135))/4000</f>
        <v>-50.5</v>
      </c>
      <c r="E135" s="17">
        <f>(('Выборка 1'!O135-'Выборка 1'!N135)+('Выборка 1'!P135-'Выборка 1'!O135)+('Выборка 1'!Q135-'Выборка 1'!P135)+('Выборка 1'!R135-'Выборка 1'!Q135))/4000</f>
        <v>16.25</v>
      </c>
      <c r="F135" s="17">
        <f>(('Выборка 1'!AN135-'Выборка 1'!AM135)+('Выборка 1'!AO135-'Выборка 1'!AN135)+('Выборка 1'!AP135-'Выборка 1'!AO135)+('Выборка 1'!AQ135-'Выборка 1'!AP135))/4000</f>
        <v>4210</v>
      </c>
      <c r="G135" s="17">
        <f>((('Выборка 1'!BH135-'Выборка 1'!BM135)-('Выборка 1'!BG135-'Выборка 1'!BL135))+(('Выборка 1'!BI135-'Выборка 1'!BN135)-('Выборка 1'!BH135-'Выборка 1'!BM135))+(('Выборка 1'!BJ135-'Выборка 1'!BO135)-('Выборка 1'!BI135-'Выборка 1'!BN135))+(('Выборка 1'!BK135-'Выборка 1'!BP135)-('Выборка 1'!BJ135-'Выборка 1'!BO135)))/4000</f>
        <v>-186.75</v>
      </c>
      <c r="H135" s="17">
        <f>(('Выборка 1'!BR135-'Выборка 1'!BQ135)+('Выборка 1'!BS135-'Выборка 1'!BR135)+('Выборка 1'!BT135-'Выборка 1'!BS135)+('Выборка 1'!BU135-'Выборка 1'!BT135))/4000</f>
        <v>-2083.75</v>
      </c>
    </row>
    <row r="136" spans="2:8" x14ac:dyDescent="0.25">
      <c r="B136" s="42">
        <f>('Выборка 1'!AL136+'Выборка 1'!AG136)/1000</f>
        <v>53951</v>
      </c>
      <c r="C136" s="17">
        <v>8</v>
      </c>
      <c r="D136" s="17">
        <f>(('Выборка 1'!E136-'Выборка 1'!D136)+('Выборка 1'!F136-'Выборка 1'!E136)+('Выборка 1'!G136-'Выборка 1'!F136)+('Выборка 1'!H136-'Выборка 1'!G136))/4000</f>
        <v>0</v>
      </c>
      <c r="E136" s="17">
        <f>(('Выборка 1'!O136-'Выборка 1'!N136)+('Выборка 1'!P136-'Выборка 1'!O136)+('Выборка 1'!Q136-'Выборка 1'!P136)+('Выборка 1'!R136-'Выборка 1'!Q136))/4000</f>
        <v>1057.25</v>
      </c>
      <c r="F136" s="17">
        <f>(('Выборка 1'!AN136-'Выборка 1'!AM136)+('Выборка 1'!AO136-'Выборка 1'!AN136)+('Выборка 1'!AP136-'Выборка 1'!AO136)+('Выборка 1'!AQ136-'Выборка 1'!AP136))/4000</f>
        <v>-3120.75</v>
      </c>
      <c r="G136" s="17">
        <f>((('Выборка 1'!BH136-'Выборка 1'!BM136)-('Выборка 1'!BG136-'Выборка 1'!BL136))+(('Выборка 1'!BI136-'Выборка 1'!BN136)-('Выборка 1'!BH136-'Выборка 1'!BM136))+(('Выборка 1'!BJ136-'Выборка 1'!BO136)-('Выборка 1'!BI136-'Выборка 1'!BN136))+(('Выборка 1'!BK136-'Выборка 1'!BP136)-('Выборка 1'!BJ136-'Выборка 1'!BO136)))/4000</f>
        <v>82</v>
      </c>
      <c r="H136" s="17">
        <f>(('Выборка 1'!BR136-'Выборка 1'!BQ136)+('Выборка 1'!BS136-'Выборка 1'!BR136)+('Выборка 1'!BT136-'Выборка 1'!BS136)+('Выборка 1'!BU136-'Выборка 1'!BT136))/4000</f>
        <v>1574.5</v>
      </c>
    </row>
    <row r="137" spans="2:8" x14ac:dyDescent="0.25">
      <c r="B137" s="42">
        <f>('Выборка 1'!AL137+'Выборка 1'!AG137)/1000</f>
        <v>53201</v>
      </c>
      <c r="C137" s="17">
        <v>10</v>
      </c>
      <c r="D137" s="17">
        <f>(('Выборка 1'!E137-'Выборка 1'!D137)+('Выборка 1'!F137-'Выборка 1'!E137)+('Выборка 1'!G137-'Выборка 1'!F137)+('Выборка 1'!H137-'Выборка 1'!G137))/4000</f>
        <v>-2421.5</v>
      </c>
      <c r="E137" s="17">
        <f>(('Выборка 1'!O137-'Выборка 1'!N137)+('Выборка 1'!P137-'Выборка 1'!O137)+('Выборка 1'!Q137-'Выборка 1'!P137)+('Выборка 1'!R137-'Выборка 1'!Q137))/4000</f>
        <v>-2905</v>
      </c>
      <c r="F137" s="17">
        <f>(('Выборка 1'!AN137-'Выборка 1'!AM137)+('Выборка 1'!AO137-'Выборка 1'!AN137)+('Выборка 1'!AP137-'Выборка 1'!AO137)+('Выборка 1'!AQ137-'Выборка 1'!AP137))/4000</f>
        <v>-3483</v>
      </c>
      <c r="G137" s="17">
        <f>((('Выборка 1'!BH137-'Выборка 1'!BM137)-('Выборка 1'!BG137-'Выборка 1'!BL137))+(('Выборка 1'!BI137-'Выборка 1'!BN137)-('Выборка 1'!BH137-'Выборка 1'!BM137))+(('Выборка 1'!BJ137-'Выборка 1'!BO137)-('Выборка 1'!BI137-'Выборка 1'!BN137))+(('Выборка 1'!BK137-'Выборка 1'!BP137)-('Выборка 1'!BJ137-'Выборка 1'!BO137)))/4000</f>
        <v>-212.25</v>
      </c>
      <c r="H137" s="17">
        <f>(('Выборка 1'!BR137-'Выборка 1'!BQ137)+('Выборка 1'!BS137-'Выборка 1'!BR137)+('Выборка 1'!BT137-'Выборка 1'!BS137)+('Выборка 1'!BU137-'Выборка 1'!BT137))/4000</f>
        <v>1180</v>
      </c>
    </row>
    <row r="138" spans="2:8" x14ac:dyDescent="0.25">
      <c r="B138" s="42">
        <f>('Выборка 1'!AL138+'Выборка 1'!AG138)/1000</f>
        <v>0</v>
      </c>
      <c r="C138" s="17">
        <v>18</v>
      </c>
      <c r="D138" s="17">
        <f>(('Выборка 1'!E138-'Выборка 1'!D138)+('Выборка 1'!F138-'Выборка 1'!E138)+('Выборка 1'!G138-'Выборка 1'!F138)+('Выборка 1'!H138-'Выборка 1'!G138))/4000</f>
        <v>-248.25</v>
      </c>
      <c r="E138" s="17">
        <f>(('Выборка 1'!O138-'Выборка 1'!N138)+('Выборка 1'!P138-'Выборка 1'!O138)+('Выборка 1'!Q138-'Выборка 1'!P138)+('Выборка 1'!R138-'Выборка 1'!Q138))/4000</f>
        <v>-65908.25</v>
      </c>
      <c r="F138" s="17">
        <f>(('Выборка 1'!AN138-'Выборка 1'!AM138)+('Выборка 1'!AO138-'Выборка 1'!AN138)+('Выборка 1'!AP138-'Выборка 1'!AO138)+('Выборка 1'!AQ138-'Выборка 1'!AP138))/4000</f>
        <v>-55069.5</v>
      </c>
      <c r="G138" s="17">
        <f>((('Выборка 1'!BH138-'Выборка 1'!BM138)-('Выборка 1'!BG138-'Выборка 1'!BL138))+(('Выборка 1'!BI138-'Выборка 1'!BN138)-('Выборка 1'!BH138-'Выборка 1'!BM138))+(('Выборка 1'!BJ138-'Выборка 1'!BO138)-('Выборка 1'!BI138-'Выборка 1'!BN138))+(('Выборка 1'!BK138-'Выборка 1'!BP138)-('Выборка 1'!BJ138-'Выборка 1'!BO138)))/4000</f>
        <v>493.25</v>
      </c>
      <c r="H138" s="17">
        <f>(('Выборка 1'!BR138-'Выборка 1'!BQ138)+('Выборка 1'!BS138-'Выборка 1'!BR138)+('Выборка 1'!BT138-'Выборка 1'!BS138)+('Выборка 1'!BU138-'Выборка 1'!BT138))/4000</f>
        <v>-1277.25</v>
      </c>
    </row>
    <row r="139" spans="2:8" x14ac:dyDescent="0.25">
      <c r="B139" s="42">
        <f>('Выборка 1'!AL139+'Выборка 1'!AG139)/1000</f>
        <v>136295</v>
      </c>
      <c r="C139" s="17">
        <v>5</v>
      </c>
      <c r="D139" s="17">
        <f>(('Выборка 1'!E139-'Выборка 1'!D139)+('Выборка 1'!F139-'Выборка 1'!E139)+('Выборка 1'!G139-'Выборка 1'!F139)+('Выборка 1'!H139-'Выборка 1'!G139))/4000</f>
        <v>327.5</v>
      </c>
      <c r="E139" s="17">
        <f>(('Выборка 1'!O139-'Выборка 1'!N139)+('Выборка 1'!P139-'Выборка 1'!O139)+('Выборка 1'!Q139-'Выборка 1'!P139)+('Выборка 1'!R139-'Выборка 1'!Q139))/4000</f>
        <v>19906.75</v>
      </c>
      <c r="F139" s="17">
        <f>(('Выборка 1'!AN139-'Выборка 1'!AM139)+('Выборка 1'!AO139-'Выборка 1'!AN139)+('Выборка 1'!AP139-'Выборка 1'!AO139)+('Выборка 1'!AQ139-'Выборка 1'!AP139))/4000</f>
        <v>797.75</v>
      </c>
      <c r="G139" s="17">
        <f>((('Выборка 1'!BH139-'Выборка 1'!BM139)-('Выборка 1'!BG139-'Выборка 1'!BL139))+(('Выборка 1'!BI139-'Выборка 1'!BN139)-('Выборка 1'!BH139-'Выборка 1'!BM139))+(('Выборка 1'!BJ139-'Выборка 1'!BO139)-('Выборка 1'!BI139-'Выборка 1'!BN139))+(('Выборка 1'!BK139-'Выборка 1'!BP139)-('Выборка 1'!BJ139-'Выборка 1'!BO139)))/4000</f>
        <v>-609.25</v>
      </c>
      <c r="H139" s="17">
        <f>(('Выборка 1'!BR139-'Выборка 1'!BQ139)+('Выборка 1'!BS139-'Выборка 1'!BR139)+('Выборка 1'!BT139-'Выборка 1'!BS139)+('Выборка 1'!BU139-'Выборка 1'!BT139))/4000</f>
        <v>-707.75</v>
      </c>
    </row>
    <row r="140" spans="2:8" x14ac:dyDescent="0.25">
      <c r="B140" s="42">
        <f>('Выборка 1'!AL140+'Выборка 1'!AG140)/1000</f>
        <v>0</v>
      </c>
      <c r="C140" s="17">
        <v>33</v>
      </c>
      <c r="D140" s="17">
        <f>(('Выборка 1'!E140-'Выборка 1'!D140)+('Выборка 1'!F140-'Выборка 1'!E140)+('Выборка 1'!G140-'Выборка 1'!F140)+('Выборка 1'!H140-'Выборка 1'!G140))/4000</f>
        <v>0</v>
      </c>
      <c r="E140" s="17">
        <f>(('Выборка 1'!O140-'Выборка 1'!N140)+('Выборка 1'!P140-'Выборка 1'!O140)+('Выборка 1'!Q140-'Выборка 1'!P140)+('Выборка 1'!R140-'Выборка 1'!Q140))/4000</f>
        <v>-25992</v>
      </c>
      <c r="F140" s="17">
        <f>(('Выборка 1'!AN140-'Выборка 1'!AM140)+('Выборка 1'!AO140-'Выборка 1'!AN140)+('Выборка 1'!AP140-'Выборка 1'!AO140)+('Выборка 1'!AQ140-'Выборка 1'!AP140))/4000</f>
        <v>-131.25</v>
      </c>
      <c r="G140" s="17">
        <f>((('Выборка 1'!BH140-'Выборка 1'!BM140)-('Выборка 1'!BG140-'Выборка 1'!BL140))+(('Выборка 1'!BI140-'Выборка 1'!BN140)-('Выборка 1'!BH140-'Выборка 1'!BM140))+(('Выборка 1'!BJ140-'Выборка 1'!BO140)-('Выборка 1'!BI140-'Выборка 1'!BN140))+(('Выборка 1'!BK140-'Выборка 1'!BP140)-('Выборка 1'!BJ140-'Выборка 1'!BO140)))/4000</f>
        <v>12329</v>
      </c>
      <c r="H140" s="17">
        <f>(('Выборка 1'!BR140-'Выборка 1'!BQ140)+('Выборка 1'!BS140-'Выборка 1'!BR140)+('Выборка 1'!BT140-'Выборка 1'!BS140)+('Выборка 1'!BU140-'Выборка 1'!BT140))/4000</f>
        <v>14391</v>
      </c>
    </row>
    <row r="141" spans="2:8" x14ac:dyDescent="0.25">
      <c r="B141" s="42">
        <f>('Выборка 1'!AL141+'Выборка 1'!AG141)/1000</f>
        <v>0</v>
      </c>
      <c r="C141" s="17">
        <v>10</v>
      </c>
      <c r="D141" s="17">
        <f>(('Выборка 1'!E141-'Выборка 1'!D141)+('Выборка 1'!F141-'Выборка 1'!E141)+('Выборка 1'!G141-'Выборка 1'!F141)+('Выборка 1'!H141-'Выборка 1'!G141))/4000</f>
        <v>-10.25</v>
      </c>
      <c r="E141" s="17">
        <f>(('Выборка 1'!O141-'Выборка 1'!N141)+('Выборка 1'!P141-'Выборка 1'!O141)+('Выборка 1'!Q141-'Выборка 1'!P141)+('Выборка 1'!R141-'Выборка 1'!Q141))/4000</f>
        <v>-250</v>
      </c>
      <c r="F141" s="17">
        <f>(('Выборка 1'!AN141-'Выборка 1'!AM141)+('Выборка 1'!AO141-'Выборка 1'!AN141)+('Выборка 1'!AP141-'Выборка 1'!AO141)+('Выборка 1'!AQ141-'Выборка 1'!AP141))/4000</f>
        <v>-1864</v>
      </c>
      <c r="G141" s="17">
        <f>((('Выборка 1'!BH141-'Выборка 1'!BM141)-('Выборка 1'!BG141-'Выборка 1'!BL141))+(('Выборка 1'!BI141-'Выборка 1'!BN141)-('Выборка 1'!BH141-'Выборка 1'!BM141))+(('Выборка 1'!BJ141-'Выборка 1'!BO141)-('Выборка 1'!BI141-'Выборка 1'!BN141))+(('Выборка 1'!BK141-'Выборка 1'!BP141)-('Выборка 1'!BJ141-'Выборка 1'!BO141)))/4000</f>
        <v>878</v>
      </c>
      <c r="H141" s="17">
        <f>(('Выборка 1'!BR141-'Выборка 1'!BQ141)+('Выборка 1'!BS141-'Выборка 1'!BR141)+('Выборка 1'!BT141-'Выборка 1'!BS141)+('Выборка 1'!BU141-'Выборка 1'!BT141))/4000</f>
        <v>319.25</v>
      </c>
    </row>
    <row r="142" spans="2:8" x14ac:dyDescent="0.25">
      <c r="B142" s="42">
        <f>('Выборка 1'!AL142+'Выборка 1'!AG142)/1000</f>
        <v>1014206</v>
      </c>
      <c r="C142" s="17">
        <v>32</v>
      </c>
      <c r="D142" s="17">
        <f>(('Выборка 1'!E142-'Выборка 1'!D142)+('Выборка 1'!F142-'Выборка 1'!E142)+('Выборка 1'!G142-'Выборка 1'!F142)+('Выборка 1'!H142-'Выборка 1'!G142))/4000</f>
        <v>0</v>
      </c>
      <c r="E142" s="17">
        <f>(('Выборка 1'!O142-'Выборка 1'!N142)+('Выборка 1'!P142-'Выборка 1'!O142)+('Выборка 1'!Q142-'Выборка 1'!P142)+('Выборка 1'!R142-'Выборка 1'!Q142))/4000</f>
        <v>-19465</v>
      </c>
      <c r="F142" s="17">
        <f>(('Выборка 1'!AN142-'Выборка 1'!AM142)+('Выборка 1'!AO142-'Выборка 1'!AN142)+('Выборка 1'!AP142-'Выборка 1'!AO142)+('Выборка 1'!AQ142-'Выборка 1'!AP142))/4000</f>
        <v>0</v>
      </c>
      <c r="G142" s="17">
        <f>((('Выборка 1'!BH142-'Выборка 1'!BM142)-('Выборка 1'!BG142-'Выборка 1'!BL142))+(('Выборка 1'!BI142-'Выборка 1'!BN142)-('Выборка 1'!BH142-'Выборка 1'!BM142))+(('Выборка 1'!BJ142-'Выборка 1'!BO142)-('Выборка 1'!BI142-'Выборка 1'!BN142))+(('Выборка 1'!BK142-'Выборка 1'!BP142)-('Выборка 1'!BJ142-'Выборка 1'!BO142)))/4000</f>
        <v>-27412.5</v>
      </c>
      <c r="H142" s="17">
        <f>(('Выборка 1'!BR142-'Выборка 1'!BQ142)+('Выборка 1'!BS142-'Выборка 1'!BR142)+('Выборка 1'!BT142-'Выборка 1'!BS142)+('Выборка 1'!BU142-'Выборка 1'!BT142))/4000</f>
        <v>-24394.75</v>
      </c>
    </row>
    <row r="143" spans="2:8" x14ac:dyDescent="0.25">
      <c r="B143" s="42">
        <f>('Выборка 1'!AL143+'Выборка 1'!AG143)/1000</f>
        <v>0</v>
      </c>
      <c r="C143" s="17">
        <v>33</v>
      </c>
      <c r="D143" s="17">
        <f>(('Выборка 1'!E143-'Выборка 1'!D143)+('Выборка 1'!F143-'Выборка 1'!E143)+('Выборка 1'!G143-'Выборка 1'!F143)+('Выборка 1'!H143-'Выборка 1'!G143))/4000</f>
        <v>0</v>
      </c>
      <c r="E143" s="17">
        <f>(('Выборка 1'!O143-'Выборка 1'!N143)+('Выборка 1'!P143-'Выборка 1'!O143)+('Выборка 1'!Q143-'Выборка 1'!P143)+('Выборка 1'!R143-'Выборка 1'!Q143))/4000</f>
        <v>0</v>
      </c>
      <c r="F143" s="17">
        <f>(('Выборка 1'!AN143-'Выборка 1'!AM143)+('Выборка 1'!AO143-'Выборка 1'!AN143)+('Выборка 1'!AP143-'Выборка 1'!AO143)+('Выборка 1'!AQ143-'Выборка 1'!AP143))/4000</f>
        <v>0</v>
      </c>
      <c r="G143" s="17">
        <f>((('Выборка 1'!BH143-'Выборка 1'!BM143)-('Выборка 1'!BG143-'Выборка 1'!BL143))+(('Выборка 1'!BI143-'Выборка 1'!BN143)-('Выборка 1'!BH143-'Выборка 1'!BM143))+(('Выборка 1'!BJ143-'Выборка 1'!BO143)-('Выборка 1'!BI143-'Выборка 1'!BN143))+(('Выборка 1'!BK143-'Выборка 1'!BP143)-('Выборка 1'!BJ143-'Выборка 1'!BO143)))/4000</f>
        <v>0</v>
      </c>
      <c r="H143" s="17">
        <f>(('Выборка 1'!BR143-'Выборка 1'!BQ143)+('Выборка 1'!BS143-'Выборка 1'!BR143)+('Выборка 1'!BT143-'Выборка 1'!BS143)+('Выборка 1'!BU143-'Выборка 1'!BT143))/4000</f>
        <v>0</v>
      </c>
    </row>
    <row r="144" spans="2:8" x14ac:dyDescent="0.25">
      <c r="B144" s="42">
        <f>('Выборка 1'!AL144+'Выборка 1'!AG144)/1000</f>
        <v>127645</v>
      </c>
      <c r="C144" s="17">
        <v>19</v>
      </c>
      <c r="D144" s="17">
        <f>(('Выборка 1'!E144-'Выборка 1'!D144)+('Выборка 1'!F144-'Выборка 1'!E144)+('Выборка 1'!G144-'Выборка 1'!F144)+('Выборка 1'!H144-'Выборка 1'!G144))/4000</f>
        <v>6595.25</v>
      </c>
      <c r="E144" s="17">
        <f>(('Выборка 1'!O144-'Выборка 1'!N144)+('Выборка 1'!P144-'Выборка 1'!O144)+('Выборка 1'!Q144-'Выборка 1'!P144)+('Выборка 1'!R144-'Выборка 1'!Q144))/4000</f>
        <v>-13118</v>
      </c>
      <c r="F144" s="17">
        <f>(('Выборка 1'!AN144-'Выборка 1'!AM144)+('Выборка 1'!AO144-'Выборка 1'!AN144)+('Выборка 1'!AP144-'Выборка 1'!AO144)+('Выборка 1'!AQ144-'Выборка 1'!AP144))/4000</f>
        <v>-25240.5</v>
      </c>
      <c r="G144" s="17">
        <f>((('Выборка 1'!BH144-'Выборка 1'!BM144)-('Выборка 1'!BG144-'Выборка 1'!BL144))+(('Выборка 1'!BI144-'Выборка 1'!BN144)-('Выборка 1'!BH144-'Выборка 1'!BM144))+(('Выборка 1'!BJ144-'Выборка 1'!BO144)-('Выборка 1'!BI144-'Выборка 1'!BN144))+(('Выборка 1'!BK144-'Выборка 1'!BP144)-('Выборка 1'!BJ144-'Выборка 1'!BO144)))/4000</f>
        <v>6721</v>
      </c>
      <c r="H144" s="17">
        <f>(('Выборка 1'!BR144-'Выборка 1'!BQ144)+('Выборка 1'!BS144-'Выборка 1'!BR144)+('Выборка 1'!BT144-'Выборка 1'!BS144)+('Выборка 1'!BU144-'Выборка 1'!BT144))/4000</f>
        <v>34.5</v>
      </c>
    </row>
    <row r="145" spans="2:8" x14ac:dyDescent="0.25">
      <c r="B145" s="42">
        <f>('Выборка 1'!AL145+'Выборка 1'!AG145)/1000</f>
        <v>42217</v>
      </c>
      <c r="C145" s="17">
        <v>32</v>
      </c>
      <c r="D145" s="17">
        <f>(('Выборка 1'!E145-'Выборка 1'!D145)+('Выборка 1'!F145-'Выборка 1'!E145)+('Выборка 1'!G145-'Выборка 1'!F145)+('Выборка 1'!H145-'Выборка 1'!G145))/4000</f>
        <v>-3214.75</v>
      </c>
      <c r="E145" s="17">
        <f>(('Выборка 1'!O145-'Выборка 1'!N145)+('Выборка 1'!P145-'Выборка 1'!O145)+('Выборка 1'!Q145-'Выборка 1'!P145)+('Выборка 1'!R145-'Выборка 1'!Q145))/4000</f>
        <v>-1342.5</v>
      </c>
      <c r="F145" s="17">
        <f>(('Выборка 1'!AN145-'Выборка 1'!AM145)+('Выборка 1'!AO145-'Выборка 1'!AN145)+('Выборка 1'!AP145-'Выборка 1'!AO145)+('Выборка 1'!AQ145-'Выборка 1'!AP145))/4000</f>
        <v>-5068.75</v>
      </c>
      <c r="G145" s="17">
        <f>((('Выборка 1'!BH145-'Выборка 1'!BM145)-('Выборка 1'!BG145-'Выборка 1'!BL145))+(('Выборка 1'!BI145-'Выборка 1'!BN145)-('Выборка 1'!BH145-'Выборка 1'!BM145))+(('Выборка 1'!BJ145-'Выборка 1'!BO145)-('Выборка 1'!BI145-'Выборка 1'!BN145))+(('Выборка 1'!BK145-'Выборка 1'!BP145)-('Выборка 1'!BJ145-'Выборка 1'!BO145)))/4000</f>
        <v>1182.25</v>
      </c>
      <c r="H145" s="17">
        <f>(('Выборка 1'!BR145-'Выборка 1'!BQ145)+('Выборка 1'!BS145-'Выборка 1'!BR145)+('Выборка 1'!BT145-'Выборка 1'!BS145)+('Выборка 1'!BU145-'Выборка 1'!BT145))/4000</f>
        <v>-4727.25</v>
      </c>
    </row>
    <row r="146" spans="2:8" x14ac:dyDescent="0.25">
      <c r="B146" s="42">
        <f>('Выборка 1'!AL146+'Выборка 1'!AG146)/1000</f>
        <v>972761</v>
      </c>
      <c r="C146" s="17">
        <v>11</v>
      </c>
      <c r="D146" s="17">
        <f>(('Выборка 1'!E146-'Выборка 1'!D146)+('Выборка 1'!F146-'Выборка 1'!E146)+('Выборка 1'!G146-'Выборка 1'!F146)+('Выборка 1'!H146-'Выборка 1'!G146))/4000</f>
        <v>3694.25</v>
      </c>
      <c r="E146" s="17">
        <f>(('Выборка 1'!O146-'Выборка 1'!N146)+('Выборка 1'!P146-'Выборка 1'!O146)+('Выборка 1'!Q146-'Выборка 1'!P146)+('Выборка 1'!R146-'Выборка 1'!Q146))/4000</f>
        <v>3544.75</v>
      </c>
      <c r="F146" s="17">
        <f>(('Выборка 1'!AN146-'Выборка 1'!AM146)+('Выборка 1'!AO146-'Выборка 1'!AN146)+('Выборка 1'!AP146-'Выборка 1'!AO146)+('Выборка 1'!AQ146-'Выборка 1'!AP146))/4000</f>
        <v>-66507.75</v>
      </c>
      <c r="G146" s="17">
        <f>((('Выборка 1'!BH146-'Выборка 1'!BM146)-('Выборка 1'!BG146-'Выборка 1'!BL146))+(('Выборка 1'!BI146-'Выборка 1'!BN146)-('Выборка 1'!BH146-'Выборка 1'!BM146))+(('Выборка 1'!BJ146-'Выборка 1'!BO146)-('Выборка 1'!BI146-'Выборка 1'!BN146))+(('Выборка 1'!BK146-'Выборка 1'!BP146)-('Выборка 1'!BJ146-'Выборка 1'!BO146)))/4000</f>
        <v>17252.75</v>
      </c>
      <c r="H146" s="17">
        <f>(('Выборка 1'!BR146-'Выборка 1'!BQ146)+('Выборка 1'!BS146-'Выборка 1'!BR146)+('Выборка 1'!BT146-'Выборка 1'!BS146)+('Выборка 1'!BU146-'Выборка 1'!BT146))/4000</f>
        <v>-6475.25</v>
      </c>
    </row>
    <row r="147" spans="2:8" x14ac:dyDescent="0.25">
      <c r="B147" s="42">
        <f>('Выборка 1'!AL147+'Выборка 1'!AG147)/1000</f>
        <v>0</v>
      </c>
      <c r="C147" s="17">
        <v>8</v>
      </c>
      <c r="D147" s="17">
        <f>(('Выборка 1'!E147-'Выборка 1'!D147)+('Выборка 1'!F147-'Выборка 1'!E147)+('Выборка 1'!G147-'Выборка 1'!F147)+('Выборка 1'!H147-'Выборка 1'!G147))/4000</f>
        <v>-13</v>
      </c>
      <c r="E147" s="17">
        <f>(('Выборка 1'!O147-'Выборка 1'!N147)+('Выборка 1'!P147-'Выборка 1'!O147)+('Выборка 1'!Q147-'Выборка 1'!P147)+('Выборка 1'!R147-'Выборка 1'!Q147))/4000</f>
        <v>-9737.5</v>
      </c>
      <c r="F147" s="17">
        <f>(('Выборка 1'!AN147-'Выборка 1'!AM147)+('Выборка 1'!AO147-'Выборка 1'!AN147)+('Выборка 1'!AP147-'Выборка 1'!AO147)+('Выборка 1'!AQ147-'Выборка 1'!AP147))/4000</f>
        <v>-10948.25</v>
      </c>
      <c r="G147" s="17">
        <f>((('Выборка 1'!BH147-'Выборка 1'!BM147)-('Выборка 1'!BG147-'Выборка 1'!BL147))+(('Выборка 1'!BI147-'Выборка 1'!BN147)-('Выборка 1'!BH147-'Выборка 1'!BM147))+(('Выборка 1'!BJ147-'Выборка 1'!BO147)-('Выборка 1'!BI147-'Выборка 1'!BN147))+(('Выборка 1'!BK147-'Выборка 1'!BP147)-('Выборка 1'!BJ147-'Выборка 1'!BO147)))/4000</f>
        <v>48</v>
      </c>
      <c r="H147" s="17">
        <f>(('Выборка 1'!BR147-'Выборка 1'!BQ147)+('Выборка 1'!BS147-'Выборка 1'!BR147)+('Выборка 1'!BT147-'Выборка 1'!BS147)+('Выборка 1'!BU147-'Выборка 1'!BT147))/4000</f>
        <v>2690.5</v>
      </c>
    </row>
    <row r="148" spans="2:8" x14ac:dyDescent="0.25">
      <c r="B148" s="42">
        <f>('Выборка 1'!AL148+'Выборка 1'!AG148)/1000</f>
        <v>0</v>
      </c>
      <c r="C148" s="17">
        <v>8</v>
      </c>
      <c r="D148" s="17">
        <f>(('Выборка 1'!E148-'Выборка 1'!D148)+('Выборка 1'!F148-'Выборка 1'!E148)+('Выборка 1'!G148-'Выборка 1'!F148)+('Выборка 1'!H148-'Выборка 1'!G148))/4000</f>
        <v>-5988.5</v>
      </c>
      <c r="E148" s="17">
        <f>(('Выборка 1'!O148-'Выборка 1'!N148)+('Выборка 1'!P148-'Выборка 1'!O148)+('Выборка 1'!Q148-'Выборка 1'!P148)+('Выборка 1'!R148-'Выборка 1'!Q148))/4000</f>
        <v>-24073.25</v>
      </c>
      <c r="F148" s="17">
        <f>(('Выборка 1'!AN148-'Выборка 1'!AM148)+('Выборка 1'!AO148-'Выборка 1'!AN148)+('Выборка 1'!AP148-'Выборка 1'!AO148)+('Выборка 1'!AQ148-'Выборка 1'!AP148))/4000</f>
        <v>-118655.25</v>
      </c>
      <c r="G148" s="17">
        <f>((('Выборка 1'!BH148-'Выборка 1'!BM148)-('Выборка 1'!BG148-'Выборка 1'!BL148))+(('Выборка 1'!BI148-'Выборка 1'!BN148)-('Выборка 1'!BH148-'Выборка 1'!BM148))+(('Выборка 1'!BJ148-'Выборка 1'!BO148)-('Выборка 1'!BI148-'Выборка 1'!BN148))+(('Выборка 1'!BK148-'Выборка 1'!BP148)-('Выборка 1'!BJ148-'Выборка 1'!BO148)))/4000</f>
        <v>-431.75</v>
      </c>
      <c r="H148" s="17">
        <f>(('Выборка 1'!BR148-'Выборка 1'!BQ148)+('Выборка 1'!BS148-'Выборка 1'!BR148)+('Выборка 1'!BT148-'Выборка 1'!BS148)+('Выборка 1'!BU148-'Выборка 1'!BT148))/4000</f>
        <v>-700.75</v>
      </c>
    </row>
    <row r="149" spans="2:8" x14ac:dyDescent="0.25">
      <c r="B149" s="42">
        <f>('Выборка 1'!AL149+'Выборка 1'!AG149)/1000</f>
        <v>0</v>
      </c>
      <c r="C149" s="17">
        <v>13</v>
      </c>
      <c r="D149" s="17">
        <f>(('Выборка 1'!E149-'Выборка 1'!D149)+('Выборка 1'!F149-'Выборка 1'!E149)+('Выборка 1'!G149-'Выборка 1'!F149)+('Выборка 1'!H149-'Выборка 1'!G149))/4000</f>
        <v>-673.75</v>
      </c>
      <c r="E149" s="17">
        <f>(('Выборка 1'!O149-'Выборка 1'!N149)+('Выборка 1'!P149-'Выборка 1'!O149)+('Выборка 1'!Q149-'Выборка 1'!P149)+('Выборка 1'!R149-'Выборка 1'!Q149))/4000</f>
        <v>-15450.25</v>
      </c>
      <c r="F149" s="17">
        <f>(('Выборка 1'!AN149-'Выборка 1'!AM149)+('Выборка 1'!AO149-'Выборка 1'!AN149)+('Выборка 1'!AP149-'Выборка 1'!AO149)+('Выборка 1'!AQ149-'Выборка 1'!AP149))/4000</f>
        <v>-67453.25</v>
      </c>
      <c r="G149" s="17">
        <f>((('Выборка 1'!BH149-'Выборка 1'!BM149)-('Выборка 1'!BG149-'Выборка 1'!BL149))+(('Выборка 1'!BI149-'Выборка 1'!BN149)-('Выборка 1'!BH149-'Выборка 1'!BM149))+(('Выборка 1'!BJ149-'Выборка 1'!BO149)-('Выборка 1'!BI149-'Выборка 1'!BN149))+(('Выборка 1'!BK149-'Выборка 1'!BP149)-('Выборка 1'!BJ149-'Выборка 1'!BO149)))/4000</f>
        <v>-3128.25</v>
      </c>
      <c r="H149" s="17">
        <f>(('Выборка 1'!BR149-'Выборка 1'!BQ149)+('Выборка 1'!BS149-'Выборка 1'!BR149)+('Выборка 1'!BT149-'Выборка 1'!BS149)+('Выборка 1'!BU149-'Выборка 1'!BT149))/4000</f>
        <v>-83.75</v>
      </c>
    </row>
    <row r="150" spans="2:8" x14ac:dyDescent="0.25">
      <c r="B150" s="42">
        <f>('Выборка 1'!AL150+'Выборка 1'!AG150)/1000</f>
        <v>1730943</v>
      </c>
      <c r="C150" s="17">
        <v>13</v>
      </c>
      <c r="D150" s="17">
        <f>(('Выборка 1'!E150-'Выборка 1'!D150)+('Выборка 1'!F150-'Выборка 1'!E150)+('Выборка 1'!G150-'Выборка 1'!F150)+('Выборка 1'!H150-'Выборка 1'!G150))/4000</f>
        <v>-906188.75</v>
      </c>
      <c r="E150" s="17">
        <f>(('Выборка 1'!O150-'Выборка 1'!N150)+('Выборка 1'!P150-'Выборка 1'!O150)+('Выборка 1'!Q150-'Выборка 1'!P150)+('Выборка 1'!R150-'Выборка 1'!Q150))/4000</f>
        <v>418.75</v>
      </c>
      <c r="F150" s="17">
        <f>(('Выборка 1'!AN150-'Выборка 1'!AM150)+('Выборка 1'!AO150-'Выборка 1'!AN150)+('Выборка 1'!AP150-'Выборка 1'!AO150)+('Выборка 1'!AQ150-'Выборка 1'!AP150))/4000</f>
        <v>-473.25</v>
      </c>
      <c r="G150" s="17">
        <f>((('Выборка 1'!BH150-'Выборка 1'!BM150)-('Выборка 1'!BG150-'Выборка 1'!BL150))+(('Выборка 1'!BI150-'Выборка 1'!BN150)-('Выборка 1'!BH150-'Выборка 1'!BM150))+(('Выборка 1'!BJ150-'Выборка 1'!BO150)-('Выборка 1'!BI150-'Выборка 1'!BN150))+(('Выборка 1'!BK150-'Выборка 1'!BP150)-('Выборка 1'!BJ150-'Выборка 1'!BO150)))/4000</f>
        <v>108043.25</v>
      </c>
      <c r="H150" s="17">
        <f>(('Выборка 1'!BR150-'Выборка 1'!BQ150)+('Выборка 1'!BS150-'Выборка 1'!BR150)+('Выборка 1'!BT150-'Выборка 1'!BS150)+('Выборка 1'!BU150-'Выборка 1'!BT150))/4000</f>
        <v>134833.5</v>
      </c>
    </row>
    <row r="151" spans="2:8" x14ac:dyDescent="0.25">
      <c r="B151" s="42">
        <f>('Выборка 1'!AL151+'Выборка 1'!AG151)/1000</f>
        <v>4581753</v>
      </c>
      <c r="C151" s="17">
        <v>25</v>
      </c>
      <c r="D151" s="17">
        <f>(('Выборка 1'!E151-'Выборка 1'!D151)+('Выборка 1'!F151-'Выборка 1'!E151)+('Выборка 1'!G151-'Выборка 1'!F151)+('Выборка 1'!H151-'Выборка 1'!G151))/4000</f>
        <v>-39981.5</v>
      </c>
      <c r="E151" s="17">
        <f>(('Выборка 1'!O151-'Выборка 1'!N151)+('Выборка 1'!P151-'Выборка 1'!O151)+('Выборка 1'!Q151-'Выборка 1'!P151)+('Выборка 1'!R151-'Выборка 1'!Q151))/4000</f>
        <v>-120471</v>
      </c>
      <c r="F151" s="17">
        <f>(('Выборка 1'!AN151-'Выборка 1'!AM151)+('Выборка 1'!AO151-'Выборка 1'!AN151)+('Выборка 1'!AP151-'Выборка 1'!AO151)+('Выборка 1'!AQ151-'Выборка 1'!AP151))/4000</f>
        <v>2229.75</v>
      </c>
      <c r="G151" s="17">
        <f>((('Выборка 1'!BH151-'Выборка 1'!BM151)-('Выборка 1'!BG151-'Выборка 1'!BL151))+(('Выборка 1'!BI151-'Выборка 1'!BN151)-('Выборка 1'!BH151-'Выборка 1'!BM151))+(('Выборка 1'!BJ151-'Выборка 1'!BO151)-('Выборка 1'!BI151-'Выборка 1'!BN151))+(('Выборка 1'!BK151-'Выборка 1'!BP151)-('Выборка 1'!BJ151-'Выборка 1'!BO151)))/4000</f>
        <v>-31088</v>
      </c>
      <c r="H151" s="17">
        <f>(('Выборка 1'!BR151-'Выборка 1'!BQ151)+('Выборка 1'!BS151-'Выборка 1'!BR151)+('Выборка 1'!BT151-'Выборка 1'!BS151)+('Выборка 1'!BU151-'Выборка 1'!BT151))/4000</f>
        <v>-24677</v>
      </c>
    </row>
    <row r="152" spans="2:8" x14ac:dyDescent="0.25">
      <c r="B152" s="42">
        <f>('Выборка 1'!AL152+'Выборка 1'!AG152)/1000</f>
        <v>99845</v>
      </c>
      <c r="C152" s="17">
        <v>24</v>
      </c>
      <c r="D152" s="17">
        <f>(('Выборка 1'!E152-'Выборка 1'!D152)+('Выборка 1'!F152-'Выборка 1'!E152)+('Выборка 1'!G152-'Выборка 1'!F152)+('Выборка 1'!H152-'Выборка 1'!G152))/4000</f>
        <v>0</v>
      </c>
      <c r="E152" s="17">
        <f>(('Выборка 1'!O152-'Выборка 1'!N152)+('Выборка 1'!P152-'Выборка 1'!O152)+('Выборка 1'!Q152-'Выборка 1'!P152)+('Выборка 1'!R152-'Выборка 1'!Q152))/4000</f>
        <v>-16468.75</v>
      </c>
      <c r="F152" s="17">
        <f>(('Выборка 1'!AN152-'Выборка 1'!AM152)+('Выборка 1'!AO152-'Выборка 1'!AN152)+('Выборка 1'!AP152-'Выборка 1'!AO152)+('Выборка 1'!AQ152-'Выборка 1'!AP152))/4000</f>
        <v>0</v>
      </c>
      <c r="G152" s="17">
        <f>((('Выборка 1'!BH152-'Выборка 1'!BM152)-('Выборка 1'!BG152-'Выборка 1'!BL152))+(('Выборка 1'!BI152-'Выборка 1'!BN152)-('Выборка 1'!BH152-'Выборка 1'!BM152))+(('Выборка 1'!BJ152-'Выборка 1'!BO152)-('Выборка 1'!BI152-'Выборка 1'!BN152))+(('Выборка 1'!BK152-'Выборка 1'!BP152)-('Выборка 1'!BJ152-'Выборка 1'!BO152)))/4000</f>
        <v>0</v>
      </c>
      <c r="H152" s="17">
        <f>(('Выборка 1'!BR152-'Выборка 1'!BQ152)+('Выборка 1'!BS152-'Выборка 1'!BR152)+('Выборка 1'!BT152-'Выборка 1'!BS152)+('Выборка 1'!BU152-'Выборка 1'!BT152))/4000</f>
        <v>0</v>
      </c>
    </row>
    <row r="153" spans="2:8" x14ac:dyDescent="0.25">
      <c r="B153" s="42">
        <f>('Выборка 1'!AL153+'Выборка 1'!AG153)/1000</f>
        <v>10885</v>
      </c>
      <c r="C153" s="17">
        <v>19</v>
      </c>
      <c r="D153" s="17">
        <f>(('Выборка 1'!E153-'Выборка 1'!D153)+('Выборка 1'!F153-'Выборка 1'!E153)+('Выборка 1'!G153-'Выборка 1'!F153)+('Выборка 1'!H153-'Выборка 1'!G153))/4000</f>
        <v>-30.75</v>
      </c>
      <c r="E153" s="17">
        <f>(('Выборка 1'!O153-'Выборка 1'!N153)+('Выборка 1'!P153-'Выборка 1'!O153)+('Выборка 1'!Q153-'Выборка 1'!P153)+('Выборка 1'!R153-'Выборка 1'!Q153))/4000</f>
        <v>-527.5</v>
      </c>
      <c r="F153" s="17">
        <f>(('Выборка 1'!AN153-'Выборка 1'!AM153)+('Выборка 1'!AO153-'Выборка 1'!AN153)+('Выборка 1'!AP153-'Выборка 1'!AO153)+('Выборка 1'!AQ153-'Выборка 1'!AP153))/4000</f>
        <v>-2133.25</v>
      </c>
      <c r="G153" s="17">
        <f>((('Выборка 1'!BH153-'Выборка 1'!BM153)-('Выборка 1'!BG153-'Выборка 1'!BL153))+(('Выборка 1'!BI153-'Выборка 1'!BN153)-('Выборка 1'!BH153-'Выборка 1'!BM153))+(('Выборка 1'!BJ153-'Выборка 1'!BO153)-('Выборка 1'!BI153-'Выборка 1'!BN153))+(('Выборка 1'!BK153-'Выборка 1'!BP153)-('Выборка 1'!BJ153-'Выборка 1'!BO153)))/4000</f>
        <v>-509.5</v>
      </c>
      <c r="H153" s="17">
        <f>(('Выборка 1'!BR153-'Выборка 1'!BQ153)+('Выборка 1'!BS153-'Выборка 1'!BR153)+('Выборка 1'!BT153-'Выборка 1'!BS153)+('Выборка 1'!BU153-'Выборка 1'!BT153))/4000</f>
        <v>-246.5</v>
      </c>
    </row>
    <row r="154" spans="2:8" x14ac:dyDescent="0.25">
      <c r="B154" s="42">
        <f>('Выборка 1'!AL154+'Выборка 1'!AG154)/1000</f>
        <v>0</v>
      </c>
      <c r="C154" s="17">
        <v>10</v>
      </c>
      <c r="D154" s="17">
        <f>(('Выборка 1'!E154-'Выборка 1'!D154)+('Выборка 1'!F154-'Выборка 1'!E154)+('Выборка 1'!G154-'Выборка 1'!F154)+('Выборка 1'!H154-'Выборка 1'!G154))/4000</f>
        <v>-2643.5</v>
      </c>
      <c r="E154" s="17">
        <f>(('Выборка 1'!O154-'Выборка 1'!N154)+('Выборка 1'!P154-'Выборка 1'!O154)+('Выборка 1'!Q154-'Выборка 1'!P154)+('Выборка 1'!R154-'Выборка 1'!Q154))/4000</f>
        <v>-9996.75</v>
      </c>
      <c r="F154" s="17">
        <f>(('Выборка 1'!AN154-'Выборка 1'!AM154)+('Выборка 1'!AO154-'Выборка 1'!AN154)+('Выборка 1'!AP154-'Выборка 1'!AO154)+('Выборка 1'!AQ154-'Выборка 1'!AP154))/4000</f>
        <v>-25860.25</v>
      </c>
      <c r="G154" s="17">
        <f>((('Выборка 1'!BH154-'Выборка 1'!BM154)-('Выборка 1'!BG154-'Выборка 1'!BL154))+(('Выборка 1'!BI154-'Выборка 1'!BN154)-('Выборка 1'!BH154-'Выборка 1'!BM154))+(('Выборка 1'!BJ154-'Выборка 1'!BO154)-('Выборка 1'!BI154-'Выборка 1'!BN154))+(('Выборка 1'!BK154-'Выборка 1'!BP154)-('Выборка 1'!BJ154-'Выборка 1'!BO154)))/4000</f>
        <v>94.75</v>
      </c>
      <c r="H154" s="17">
        <f>(('Выборка 1'!BR154-'Выборка 1'!BQ154)+('Выборка 1'!BS154-'Выборка 1'!BR154)+('Выборка 1'!BT154-'Выборка 1'!BS154)+('Выборка 1'!BU154-'Выборка 1'!BT154))/4000</f>
        <v>3.75</v>
      </c>
    </row>
    <row r="155" spans="2:8" x14ac:dyDescent="0.25">
      <c r="B155" s="42">
        <f>('Выборка 1'!AL155+'Выборка 1'!AG155)/1000</f>
        <v>189291</v>
      </c>
      <c r="C155" s="17">
        <v>7</v>
      </c>
      <c r="D155" s="17">
        <f>(('Выборка 1'!E155-'Выборка 1'!D155)+('Выборка 1'!F155-'Выборка 1'!E155)+('Выборка 1'!G155-'Выборка 1'!F155)+('Выборка 1'!H155-'Выборка 1'!G155))/4000</f>
        <v>-4144</v>
      </c>
      <c r="E155" s="17">
        <f>(('Выборка 1'!O155-'Выборка 1'!N155)+('Выборка 1'!P155-'Выборка 1'!O155)+('Выборка 1'!Q155-'Выборка 1'!P155)+('Выборка 1'!R155-'Выборка 1'!Q155))/4000</f>
        <v>47043.75</v>
      </c>
      <c r="F155" s="17">
        <f>(('Выборка 1'!AN155-'Выборка 1'!AM155)+('Выборка 1'!AO155-'Выборка 1'!AN155)+('Выборка 1'!AP155-'Выборка 1'!AO155)+('Выборка 1'!AQ155-'Выборка 1'!AP155))/4000</f>
        <v>38958</v>
      </c>
      <c r="G155" s="17">
        <f>((('Выборка 1'!BH155-'Выборка 1'!BM155)-('Выборка 1'!BG155-'Выборка 1'!BL155))+(('Выборка 1'!BI155-'Выборка 1'!BN155)-('Выборка 1'!BH155-'Выборка 1'!BM155))+(('Выборка 1'!BJ155-'Выборка 1'!BO155)-('Выборка 1'!BI155-'Выборка 1'!BN155))+(('Выборка 1'!BK155-'Выборка 1'!BP155)-('Выборка 1'!BJ155-'Выборка 1'!BO155)))/4000</f>
        <v>18</v>
      </c>
      <c r="H155" s="17">
        <f>(('Выборка 1'!BR155-'Выборка 1'!BQ155)+('Выборка 1'!BS155-'Выборка 1'!BR155)+('Выборка 1'!BT155-'Выборка 1'!BS155)+('Выборка 1'!BU155-'Выборка 1'!BT155))/4000</f>
        <v>-11578.5</v>
      </c>
    </row>
    <row r="156" spans="2:8" x14ac:dyDescent="0.25">
      <c r="B156" s="42">
        <f>('Выборка 1'!AL156+'Выборка 1'!AG156)/1000</f>
        <v>7119</v>
      </c>
      <c r="C156" s="17">
        <v>23</v>
      </c>
      <c r="D156" s="17">
        <f>(('Выборка 1'!E156-'Выборка 1'!D156)+('Выборка 1'!F156-'Выборка 1'!E156)+('Выборка 1'!G156-'Выборка 1'!F156)+('Выборка 1'!H156-'Выборка 1'!G156))/4000</f>
        <v>-48.5</v>
      </c>
      <c r="E156" s="17">
        <f>(('Выборка 1'!O156-'Выборка 1'!N156)+('Выборка 1'!P156-'Выборка 1'!O156)+('Выборка 1'!Q156-'Выборка 1'!P156)+('Выборка 1'!R156-'Выборка 1'!Q156))/4000</f>
        <v>-1885.75</v>
      </c>
      <c r="F156" s="17">
        <f>(('Выборка 1'!AN156-'Выборка 1'!AM156)+('Выборка 1'!AO156-'Выборка 1'!AN156)+('Выборка 1'!AP156-'Выборка 1'!AO156)+('Выборка 1'!AQ156-'Выборка 1'!AP156))/4000</f>
        <v>-3254.75</v>
      </c>
      <c r="G156" s="17">
        <f>((('Выборка 1'!BH156-'Выборка 1'!BM156)-('Выборка 1'!BG156-'Выборка 1'!BL156))+(('Выборка 1'!BI156-'Выборка 1'!BN156)-('Выборка 1'!BH156-'Выборка 1'!BM156))+(('Выборка 1'!BJ156-'Выборка 1'!BO156)-('Выборка 1'!BI156-'Выборка 1'!BN156))+(('Выборка 1'!BK156-'Выборка 1'!BP156)-('Выборка 1'!BJ156-'Выборка 1'!BO156)))/4000</f>
        <v>160.75</v>
      </c>
      <c r="H156" s="17">
        <f>(('Выборка 1'!BR156-'Выборка 1'!BQ156)+('Выборка 1'!BS156-'Выборка 1'!BR156)+('Выборка 1'!BT156-'Выборка 1'!BS156)+('Выборка 1'!BU156-'Выборка 1'!BT156))/4000</f>
        <v>-240</v>
      </c>
    </row>
    <row r="157" spans="2:8" x14ac:dyDescent="0.25">
      <c r="B157" s="42">
        <f>('Выборка 1'!AL157+'Выборка 1'!AG157)/1000</f>
        <v>0</v>
      </c>
      <c r="C157" s="17">
        <v>32</v>
      </c>
      <c r="D157" s="17">
        <f>(('Выборка 1'!E157-'Выборка 1'!D157)+('Выборка 1'!F157-'Выборка 1'!E157)+('Выборка 1'!G157-'Выборка 1'!F157)+('Выборка 1'!H157-'Выборка 1'!G157))/4000</f>
        <v>-387.75</v>
      </c>
      <c r="E157" s="17">
        <f>(('Выборка 1'!O157-'Выборка 1'!N157)+('Выборка 1'!P157-'Выборка 1'!O157)+('Выборка 1'!Q157-'Выборка 1'!P157)+('Выборка 1'!R157-'Выборка 1'!Q157))/4000</f>
        <v>-13064.5</v>
      </c>
      <c r="F157" s="17">
        <f>(('Выборка 1'!AN157-'Выборка 1'!AM157)+('Выборка 1'!AO157-'Выборка 1'!AN157)+('Выборка 1'!AP157-'Выборка 1'!AO157)+('Выборка 1'!AQ157-'Выборка 1'!AP157))/4000</f>
        <v>-79844</v>
      </c>
      <c r="G157" s="17">
        <f>((('Выборка 1'!BH157-'Выборка 1'!BM157)-('Выборка 1'!BG157-'Выборка 1'!BL157))+(('Выборка 1'!BI157-'Выборка 1'!BN157)-('Выборка 1'!BH157-'Выборка 1'!BM157))+(('Выборка 1'!BJ157-'Выборка 1'!BO157)-('Выборка 1'!BI157-'Выборка 1'!BN157))+(('Выборка 1'!BK157-'Выборка 1'!BP157)-('Выборка 1'!BJ157-'Выборка 1'!BO157)))/4000</f>
        <v>34.75</v>
      </c>
      <c r="H157" s="17">
        <f>(('Выборка 1'!BR157-'Выборка 1'!BQ157)+('Выборка 1'!BS157-'Выборка 1'!BR157)+('Выборка 1'!BT157-'Выборка 1'!BS157)+('Выборка 1'!BU157-'Выборка 1'!BT157))/4000</f>
        <v>-2285.75</v>
      </c>
    </row>
    <row r="158" spans="2:8" x14ac:dyDescent="0.25">
      <c r="B158" s="42">
        <f>('Выборка 1'!AL158+'Выборка 1'!AG158)/1000</f>
        <v>19257</v>
      </c>
      <c r="C158" s="17">
        <v>8</v>
      </c>
      <c r="D158" s="17">
        <f>(('Выборка 1'!E158-'Выборка 1'!D158)+('Выборка 1'!F158-'Выборка 1'!E158)+('Выборка 1'!G158-'Выборка 1'!F158)+('Выборка 1'!H158-'Выборка 1'!G158))/4000</f>
        <v>-3074.75</v>
      </c>
      <c r="E158" s="17">
        <f>(('Выборка 1'!O158-'Выборка 1'!N158)+('Выборка 1'!P158-'Выборка 1'!O158)+('Выборка 1'!Q158-'Выборка 1'!P158)+('Выборка 1'!R158-'Выборка 1'!Q158))/4000</f>
        <v>0</v>
      </c>
      <c r="F158" s="17">
        <f>(('Выборка 1'!AN158-'Выборка 1'!AM158)+('Выборка 1'!AO158-'Выборка 1'!AN158)+('Выборка 1'!AP158-'Выборка 1'!AO158)+('Выборка 1'!AQ158-'Выборка 1'!AP158))/4000</f>
        <v>-17405.25</v>
      </c>
      <c r="G158" s="17">
        <f>((('Выборка 1'!BH158-'Выборка 1'!BM158)-('Выборка 1'!BG158-'Выборка 1'!BL158))+(('Выборка 1'!BI158-'Выборка 1'!BN158)-('Выборка 1'!BH158-'Выборка 1'!BM158))+(('Выборка 1'!BJ158-'Выборка 1'!BO158)-('Выборка 1'!BI158-'Выборка 1'!BN158))+(('Выборка 1'!BK158-'Выборка 1'!BP158)-('Выборка 1'!BJ158-'Выборка 1'!BO158)))/4000</f>
        <v>0</v>
      </c>
      <c r="H158" s="17">
        <f>(('Выборка 1'!BR158-'Выборка 1'!BQ158)+('Выборка 1'!BS158-'Выборка 1'!BR158)+('Выборка 1'!BT158-'Выборка 1'!BS158)+('Выборка 1'!BU158-'Выборка 1'!BT158))/4000</f>
        <v>-208.5</v>
      </c>
    </row>
    <row r="159" spans="2:8" x14ac:dyDescent="0.25">
      <c r="B159" s="42">
        <f>('Выборка 1'!AL159+'Выборка 1'!AG159)/1000</f>
        <v>0</v>
      </c>
      <c r="C159" s="17">
        <v>10</v>
      </c>
      <c r="D159" s="17">
        <f>(('Выборка 1'!E159-'Выборка 1'!D159)+('Выборка 1'!F159-'Выборка 1'!E159)+('Выборка 1'!G159-'Выборка 1'!F159)+('Выборка 1'!H159-'Выборка 1'!G159))/4000</f>
        <v>-834.25</v>
      </c>
      <c r="E159" s="17">
        <f>(('Выборка 1'!O159-'Выборка 1'!N159)+('Выборка 1'!P159-'Выборка 1'!O159)+('Выборка 1'!Q159-'Выборка 1'!P159)+('Выборка 1'!R159-'Выборка 1'!Q159))/4000</f>
        <v>-930.25</v>
      </c>
      <c r="F159" s="17">
        <f>(('Выборка 1'!AN159-'Выборка 1'!AM159)+('Выборка 1'!AO159-'Выборка 1'!AN159)+('Выборка 1'!AP159-'Выборка 1'!AO159)+('Выборка 1'!AQ159-'Выборка 1'!AP159))/4000</f>
        <v>-11910.25</v>
      </c>
      <c r="G159" s="17">
        <f>((('Выборка 1'!BH159-'Выборка 1'!BM159)-('Выборка 1'!BG159-'Выборка 1'!BL159))+(('Выборка 1'!BI159-'Выборка 1'!BN159)-('Выборка 1'!BH159-'Выборка 1'!BM159))+(('Выборка 1'!BJ159-'Выборка 1'!BO159)-('Выборка 1'!BI159-'Выборка 1'!BN159))+(('Выборка 1'!BK159-'Выборка 1'!BP159)-('Выборка 1'!BJ159-'Выборка 1'!BO159)))/4000</f>
        <v>366</v>
      </c>
      <c r="H159" s="17">
        <f>(('Выборка 1'!BR159-'Выборка 1'!BQ159)+('Выборка 1'!BS159-'Выборка 1'!BR159)+('Выборка 1'!BT159-'Выборка 1'!BS159)+('Выборка 1'!BU159-'Выборка 1'!BT159))/4000</f>
        <v>-59.25</v>
      </c>
    </row>
    <row r="160" spans="2:8" x14ac:dyDescent="0.25">
      <c r="B160" s="42">
        <f>('Выборка 1'!AL160+'Выборка 1'!AG160)/1000</f>
        <v>0</v>
      </c>
      <c r="C160" s="17">
        <v>28</v>
      </c>
      <c r="D160" s="17">
        <f>(('Выборка 1'!E160-'Выборка 1'!D160)+('Выборка 1'!F160-'Выборка 1'!E160)+('Выборка 1'!G160-'Выборка 1'!F160)+('Выборка 1'!H160-'Выборка 1'!G160))/4000</f>
        <v>0</v>
      </c>
      <c r="E160" s="17">
        <f>(('Выборка 1'!O160-'Выборка 1'!N160)+('Выборка 1'!P160-'Выборка 1'!O160)+('Выборка 1'!Q160-'Выборка 1'!P160)+('Выборка 1'!R160-'Выборка 1'!Q160))/4000</f>
        <v>0</v>
      </c>
      <c r="F160" s="17">
        <f>(('Выборка 1'!AN160-'Выборка 1'!AM160)+('Выборка 1'!AO160-'Выборка 1'!AN160)+('Выборка 1'!AP160-'Выборка 1'!AO160)+('Выборка 1'!AQ160-'Выборка 1'!AP160))/4000</f>
        <v>0</v>
      </c>
      <c r="G160" s="17">
        <f>((('Выборка 1'!BH160-'Выборка 1'!BM160)-('Выборка 1'!BG160-'Выборка 1'!BL160))+(('Выборка 1'!BI160-'Выборка 1'!BN160)-('Выборка 1'!BH160-'Выборка 1'!BM160))+(('Выборка 1'!BJ160-'Выборка 1'!BO160)-('Выборка 1'!BI160-'Выборка 1'!BN160))+(('Выборка 1'!BK160-'Выборка 1'!BP160)-('Выборка 1'!BJ160-'Выборка 1'!BO160)))/4000</f>
        <v>0</v>
      </c>
      <c r="H160" s="17">
        <f>(('Выборка 1'!BR160-'Выборка 1'!BQ160)+('Выборка 1'!BS160-'Выборка 1'!BR160)+('Выборка 1'!BT160-'Выборка 1'!BS160)+('Выборка 1'!BU160-'Выборка 1'!BT160))/4000</f>
        <v>0</v>
      </c>
    </row>
    <row r="161" spans="2:8" x14ac:dyDescent="0.25">
      <c r="B161" s="42">
        <f>('Выборка 1'!AL161+'Выборка 1'!AG161)/1000</f>
        <v>49214</v>
      </c>
      <c r="C161" s="17">
        <v>6</v>
      </c>
      <c r="D161" s="17">
        <f>(('Выборка 1'!E161-'Выборка 1'!D161)+('Выборка 1'!F161-'Выборка 1'!E161)+('Выборка 1'!G161-'Выборка 1'!F161)+('Выборка 1'!H161-'Выборка 1'!G161))/4000</f>
        <v>0</v>
      </c>
      <c r="E161" s="17">
        <f>(('Выборка 1'!O161-'Выборка 1'!N161)+('Выборка 1'!P161-'Выборка 1'!O161)+('Выборка 1'!Q161-'Выборка 1'!P161)+('Выборка 1'!R161-'Выборка 1'!Q161))/4000</f>
        <v>-443</v>
      </c>
      <c r="F161" s="17">
        <f>(('Выборка 1'!AN161-'Выборка 1'!AM161)+('Выборка 1'!AO161-'Выборка 1'!AN161)+('Выборка 1'!AP161-'Выборка 1'!AO161)+('Выборка 1'!AQ161-'Выборка 1'!AP161))/4000</f>
        <v>-55357</v>
      </c>
      <c r="G161" s="17">
        <f>((('Выборка 1'!BH161-'Выборка 1'!BM161)-('Выборка 1'!BG161-'Выборка 1'!BL161))+(('Выборка 1'!BI161-'Выборка 1'!BN161)-('Выборка 1'!BH161-'Выборка 1'!BM161))+(('Выборка 1'!BJ161-'Выборка 1'!BO161)-('Выборка 1'!BI161-'Выборка 1'!BN161))+(('Выборка 1'!BK161-'Выборка 1'!BP161)-('Выборка 1'!BJ161-'Выборка 1'!BO161)))/4000</f>
        <v>7</v>
      </c>
      <c r="H161" s="17">
        <f>(('Выборка 1'!BR161-'Выборка 1'!BQ161)+('Выборка 1'!BS161-'Выборка 1'!BR161)+('Выборка 1'!BT161-'Выборка 1'!BS161)+('Выборка 1'!BU161-'Выборка 1'!BT161))/4000</f>
        <v>-12209.25</v>
      </c>
    </row>
    <row r="162" spans="2:8" x14ac:dyDescent="0.25">
      <c r="B162" s="42">
        <f>('Выборка 1'!AL162+'Выборка 1'!AG162)/1000</f>
        <v>22915</v>
      </c>
      <c r="C162" s="17">
        <v>8</v>
      </c>
      <c r="D162" s="17">
        <f>(('Выборка 1'!E162-'Выборка 1'!D162)+('Выборка 1'!F162-'Выборка 1'!E162)+('Выборка 1'!G162-'Выборка 1'!F162)+('Выборка 1'!H162-'Выборка 1'!G162))/4000</f>
        <v>-1050.75</v>
      </c>
      <c r="E162" s="17">
        <f>(('Выборка 1'!O162-'Выборка 1'!N162)+('Выборка 1'!P162-'Выборка 1'!O162)+('Выборка 1'!Q162-'Выборка 1'!P162)+('Выборка 1'!R162-'Выборка 1'!Q162))/4000</f>
        <v>-1692</v>
      </c>
      <c r="F162" s="17">
        <f>(('Выборка 1'!AN162-'Выборка 1'!AM162)+('Выборка 1'!AO162-'Выборка 1'!AN162)+('Выборка 1'!AP162-'Выборка 1'!AO162)+('Выборка 1'!AQ162-'Выборка 1'!AP162))/4000</f>
        <v>-10366.25</v>
      </c>
      <c r="G162" s="17">
        <f>((('Выборка 1'!BH162-'Выборка 1'!BM162)-('Выборка 1'!BG162-'Выборка 1'!BL162))+(('Выборка 1'!BI162-'Выборка 1'!BN162)-('Выборка 1'!BH162-'Выборка 1'!BM162))+(('Выборка 1'!BJ162-'Выборка 1'!BO162)-('Выборка 1'!BI162-'Выборка 1'!BN162))+(('Выборка 1'!BK162-'Выборка 1'!BP162)-('Выборка 1'!BJ162-'Выборка 1'!BO162)))/4000</f>
        <v>-117</v>
      </c>
      <c r="H162" s="17">
        <f>(('Выборка 1'!BR162-'Выборка 1'!BQ162)+('Выборка 1'!BS162-'Выборка 1'!BR162)+('Выборка 1'!BT162-'Выборка 1'!BS162)+('Выборка 1'!BU162-'Выборка 1'!BT162))/4000</f>
        <v>-114.5</v>
      </c>
    </row>
    <row r="163" spans="2:8" x14ac:dyDescent="0.25">
      <c r="B163" s="42">
        <f>('Выборка 1'!AL163+'Выборка 1'!AG163)/1000</f>
        <v>0</v>
      </c>
      <c r="C163" s="17">
        <v>19</v>
      </c>
      <c r="D163" s="17">
        <f>(('Выборка 1'!E163-'Выборка 1'!D163)+('Выборка 1'!F163-'Выборка 1'!E163)+('Выборка 1'!G163-'Выборка 1'!F163)+('Выборка 1'!H163-'Выборка 1'!G163))/4000</f>
        <v>0</v>
      </c>
      <c r="E163" s="17">
        <f>(('Выборка 1'!O163-'Выборка 1'!N163)+('Выборка 1'!P163-'Выборка 1'!O163)+('Выборка 1'!Q163-'Выборка 1'!P163)+('Выборка 1'!R163-'Выборка 1'!Q163))/4000</f>
        <v>-350</v>
      </c>
      <c r="F163" s="17">
        <f>(('Выборка 1'!AN163-'Выборка 1'!AM163)+('Выборка 1'!AO163-'Выборка 1'!AN163)+('Выборка 1'!AP163-'Выборка 1'!AO163)+('Выборка 1'!AQ163-'Выборка 1'!AP163))/4000</f>
        <v>-190.75</v>
      </c>
      <c r="G163" s="17">
        <f>((('Выборка 1'!BH163-'Выборка 1'!BM163)-('Выборка 1'!BG163-'Выборка 1'!BL163))+(('Выборка 1'!BI163-'Выборка 1'!BN163)-('Выборка 1'!BH163-'Выборка 1'!BM163))+(('Выборка 1'!BJ163-'Выборка 1'!BO163)-('Выборка 1'!BI163-'Выборка 1'!BN163))+(('Выборка 1'!BK163-'Выборка 1'!BP163)-('Выборка 1'!BJ163-'Выборка 1'!BO163)))/4000</f>
        <v>-37.5</v>
      </c>
      <c r="H163" s="17">
        <f>(('Выборка 1'!BR163-'Выборка 1'!BQ163)+('Выборка 1'!BS163-'Выборка 1'!BR163)+('Выборка 1'!BT163-'Выборка 1'!BS163)+('Выборка 1'!BU163-'Выборка 1'!BT163))/4000</f>
        <v>-50.75</v>
      </c>
    </row>
    <row r="164" spans="2:8" x14ac:dyDescent="0.25">
      <c r="B164" s="42">
        <f>('Выборка 1'!AL164+'Выборка 1'!AG164)/1000</f>
        <v>0</v>
      </c>
      <c r="C164" s="17">
        <v>9</v>
      </c>
      <c r="D164" s="17">
        <f>(('Выборка 1'!E164-'Выборка 1'!D164)+('Выборка 1'!F164-'Выборка 1'!E164)+('Выборка 1'!G164-'Выборка 1'!F164)+('Выборка 1'!H164-'Выборка 1'!G164))/4000</f>
        <v>0</v>
      </c>
      <c r="E164" s="17">
        <f>(('Выборка 1'!O164-'Выборка 1'!N164)+('Выборка 1'!P164-'Выборка 1'!O164)+('Выборка 1'!Q164-'Выборка 1'!P164)+('Выборка 1'!R164-'Выборка 1'!Q164))/4000</f>
        <v>-1942.75</v>
      </c>
      <c r="F164" s="17">
        <f>(('Выборка 1'!AN164-'Выборка 1'!AM164)+('Выборка 1'!AO164-'Выборка 1'!AN164)+('Выборка 1'!AP164-'Выборка 1'!AO164)+('Выборка 1'!AQ164-'Выборка 1'!AP164))/4000</f>
        <v>0</v>
      </c>
      <c r="G164" s="17">
        <f>((('Выборка 1'!BH164-'Выборка 1'!BM164)-('Выборка 1'!BG164-'Выборка 1'!BL164))+(('Выборка 1'!BI164-'Выборка 1'!BN164)-('Выборка 1'!BH164-'Выборка 1'!BM164))+(('Выборка 1'!BJ164-'Выборка 1'!BO164)-('Выборка 1'!BI164-'Выборка 1'!BN164))+(('Выборка 1'!BK164-'Выборка 1'!BP164)-('Выборка 1'!BJ164-'Выборка 1'!BO164)))/4000</f>
        <v>2148.75</v>
      </c>
      <c r="H164" s="17">
        <f>(('Выборка 1'!BR164-'Выборка 1'!BQ164)+('Выборка 1'!BS164-'Выборка 1'!BR164)+('Выборка 1'!BT164-'Выборка 1'!BS164)+('Выборка 1'!BU164-'Выборка 1'!BT164))/4000</f>
        <v>2148.75</v>
      </c>
    </row>
    <row r="165" spans="2:8" x14ac:dyDescent="0.25">
      <c r="B165" s="42">
        <f>('Выборка 1'!AL165+'Выборка 1'!AG165)/1000</f>
        <v>56075</v>
      </c>
      <c r="C165" s="17">
        <v>11</v>
      </c>
      <c r="D165" s="17">
        <f>(('Выборка 1'!E165-'Выборка 1'!D165)+('Выборка 1'!F165-'Выборка 1'!E165)+('Выборка 1'!G165-'Выборка 1'!F165)+('Выборка 1'!H165-'Выборка 1'!G165))/4000</f>
        <v>0</v>
      </c>
      <c r="E165" s="17">
        <f>(('Выборка 1'!O165-'Выборка 1'!N165)+('Выборка 1'!P165-'Выборка 1'!O165)+('Выборка 1'!Q165-'Выборка 1'!P165)+('Выборка 1'!R165-'Выборка 1'!Q165))/4000</f>
        <v>-4326.5</v>
      </c>
      <c r="F165" s="17">
        <f>(('Выборка 1'!AN165-'Выборка 1'!AM165)+('Выборка 1'!AO165-'Выборка 1'!AN165)+('Выборка 1'!AP165-'Выборка 1'!AO165)+('Выборка 1'!AQ165-'Выборка 1'!AP165))/4000</f>
        <v>0</v>
      </c>
      <c r="G165" s="17">
        <f>((('Выборка 1'!BH165-'Выборка 1'!BM165)-('Выборка 1'!BG165-'Выборка 1'!BL165))+(('Выборка 1'!BI165-'Выборка 1'!BN165)-('Выборка 1'!BH165-'Выборка 1'!BM165))+(('Выборка 1'!BJ165-'Выборка 1'!BO165)-('Выборка 1'!BI165-'Выборка 1'!BN165))+(('Выборка 1'!BK165-'Выборка 1'!BP165)-('Выборка 1'!BJ165-'Выборка 1'!BO165)))/4000</f>
        <v>697.75</v>
      </c>
      <c r="H165" s="17">
        <f>(('Выборка 1'!BR165-'Выборка 1'!BQ165)+('Выборка 1'!BS165-'Выборка 1'!BR165)+('Выборка 1'!BT165-'Выборка 1'!BS165)+('Выборка 1'!BU165-'Выборка 1'!BT165))/4000</f>
        <v>695</v>
      </c>
    </row>
    <row r="166" spans="2:8" x14ac:dyDescent="0.25">
      <c r="B166" s="42">
        <f>('Выборка 1'!AL166+'Выборка 1'!AG166)/1000</f>
        <v>118953</v>
      </c>
      <c r="C166" s="17">
        <v>14</v>
      </c>
      <c r="D166" s="17">
        <f>(('Выборка 1'!E166-'Выборка 1'!D166)+('Выборка 1'!F166-'Выборка 1'!E166)+('Выборка 1'!G166-'Выборка 1'!F166)+('Выборка 1'!H166-'Выборка 1'!G166))/4000</f>
        <v>0</v>
      </c>
      <c r="E166" s="17">
        <f>(('Выборка 1'!O166-'Выборка 1'!N166)+('Выборка 1'!P166-'Выборка 1'!O166)+('Выборка 1'!Q166-'Выборка 1'!P166)+('Выборка 1'!R166-'Выборка 1'!Q166))/4000</f>
        <v>11192</v>
      </c>
      <c r="F166" s="17">
        <f>(('Выборка 1'!AN166-'Выборка 1'!AM166)+('Выборка 1'!AO166-'Выборка 1'!AN166)+('Выборка 1'!AP166-'Выборка 1'!AO166)+('Выборка 1'!AQ166-'Выборка 1'!AP166))/4000</f>
        <v>0</v>
      </c>
      <c r="G166" s="17">
        <f>((('Выборка 1'!BH166-'Выборка 1'!BM166)-('Выборка 1'!BG166-'Выборка 1'!BL166))+(('Выборка 1'!BI166-'Выборка 1'!BN166)-('Выборка 1'!BH166-'Выборка 1'!BM166))+(('Выборка 1'!BJ166-'Выборка 1'!BO166)-('Выборка 1'!BI166-'Выборка 1'!BN166))+(('Выборка 1'!BK166-'Выборка 1'!BP166)-('Выборка 1'!BJ166-'Выборка 1'!BO166)))/4000</f>
        <v>-7</v>
      </c>
      <c r="H166" s="17">
        <f>(('Выборка 1'!BR166-'Выборка 1'!BQ166)+('Выборка 1'!BS166-'Выборка 1'!BR166)+('Выборка 1'!BT166-'Выборка 1'!BS166)+('Выборка 1'!BU166-'Выборка 1'!BT166))/4000</f>
        <v>-314.75</v>
      </c>
    </row>
    <row r="167" spans="2:8" x14ac:dyDescent="0.25">
      <c r="B167" s="42">
        <f>('Выборка 1'!AL167+'Выборка 1'!AG167)/1000</f>
        <v>73791</v>
      </c>
      <c r="C167" s="17">
        <v>17</v>
      </c>
      <c r="D167" s="17">
        <f>(('Выборка 1'!E167-'Выборка 1'!D167)+('Выборка 1'!F167-'Выборка 1'!E167)+('Выборка 1'!G167-'Выборка 1'!F167)+('Выборка 1'!H167-'Выборка 1'!G167))/4000</f>
        <v>-72.5</v>
      </c>
      <c r="E167" s="17">
        <f>(('Выборка 1'!O167-'Выборка 1'!N167)+('Выборка 1'!P167-'Выборка 1'!O167)+('Выборка 1'!Q167-'Выборка 1'!P167)+('Выборка 1'!R167-'Выборка 1'!Q167))/4000</f>
        <v>5924.5</v>
      </c>
      <c r="F167" s="17">
        <f>(('Выборка 1'!AN167-'Выборка 1'!AM167)+('Выборка 1'!AO167-'Выборка 1'!AN167)+('Выборка 1'!AP167-'Выборка 1'!AO167)+('Выборка 1'!AQ167-'Выборка 1'!AP167))/4000</f>
        <v>-10855.75</v>
      </c>
      <c r="G167" s="17">
        <f>((('Выборка 1'!BH167-'Выборка 1'!BM167)-('Выборка 1'!BG167-'Выборка 1'!BL167))+(('Выборка 1'!BI167-'Выборка 1'!BN167)-('Выборка 1'!BH167-'Выборка 1'!BM167))+(('Выборка 1'!BJ167-'Выборка 1'!BO167)-('Выборка 1'!BI167-'Выборка 1'!BN167))+(('Выборка 1'!BK167-'Выборка 1'!BP167)-('Выборка 1'!BJ167-'Выборка 1'!BO167)))/4000</f>
        <v>4733</v>
      </c>
      <c r="H167" s="17">
        <f>(('Выборка 1'!BR167-'Выборка 1'!BQ167)+('Выборка 1'!BS167-'Выборка 1'!BR167)+('Выборка 1'!BT167-'Выборка 1'!BS167)+('Выборка 1'!BU167-'Выборка 1'!BT167))/4000</f>
        <v>4148</v>
      </c>
    </row>
    <row r="168" spans="2:8" x14ac:dyDescent="0.25">
      <c r="B168" s="42">
        <f>('Выборка 1'!AL168+'Выборка 1'!AG168)/1000</f>
        <v>712381</v>
      </c>
      <c r="C168" s="17">
        <v>11</v>
      </c>
      <c r="D168" s="17">
        <f>(('Выборка 1'!E168-'Выборка 1'!D168)+('Выборка 1'!F168-'Выборка 1'!E168)+('Выборка 1'!G168-'Выборка 1'!F168)+('Выборка 1'!H168-'Выборка 1'!G168))/4000</f>
        <v>-57346.5</v>
      </c>
      <c r="E168" s="17">
        <f>(('Выборка 1'!O168-'Выборка 1'!N168)+('Выборка 1'!P168-'Выборка 1'!O168)+('Выборка 1'!Q168-'Выборка 1'!P168)+('Выборка 1'!R168-'Выборка 1'!Q168))/4000</f>
        <v>7828.5</v>
      </c>
      <c r="F168" s="17">
        <f>(('Выборка 1'!AN168-'Выборка 1'!AM168)+('Выборка 1'!AO168-'Выборка 1'!AN168)+('Выборка 1'!AP168-'Выборка 1'!AO168)+('Выборка 1'!AQ168-'Выборка 1'!AP168))/4000</f>
        <v>20033.5</v>
      </c>
      <c r="G168" s="17">
        <f>((('Выборка 1'!BH168-'Выборка 1'!BM168)-('Выборка 1'!BG168-'Выборка 1'!BL168))+(('Выборка 1'!BI168-'Выборка 1'!BN168)-('Выборка 1'!BH168-'Выборка 1'!BM168))+(('Выборка 1'!BJ168-'Выборка 1'!BO168)-('Выборка 1'!BI168-'Выборка 1'!BN168))+(('Выборка 1'!BK168-'Выборка 1'!BP168)-('Выборка 1'!BJ168-'Выборка 1'!BO168)))/4000</f>
        <v>-25809</v>
      </c>
      <c r="H168" s="17">
        <f>(('Выборка 1'!BR168-'Выборка 1'!BQ168)+('Выборка 1'!BS168-'Выборка 1'!BR168)+('Выборка 1'!BT168-'Выборка 1'!BS168)+('Выборка 1'!BU168-'Выборка 1'!BT168))/4000</f>
        <v>-11368.75</v>
      </c>
    </row>
    <row r="169" spans="2:8" x14ac:dyDescent="0.25">
      <c r="B169" s="42">
        <f>('Выборка 1'!AL169+'Выборка 1'!AG169)/1000</f>
        <v>813193</v>
      </c>
      <c r="C169" s="17">
        <v>14</v>
      </c>
      <c r="D169" s="17">
        <f>(('Выборка 1'!E169-'Выборка 1'!D169)+('Выборка 1'!F169-'Выборка 1'!E169)+('Выборка 1'!G169-'Выборка 1'!F169)+('Выборка 1'!H169-'Выборка 1'!G169))/4000</f>
        <v>-1342.5</v>
      </c>
      <c r="E169" s="17">
        <f>(('Выборка 1'!O169-'Выборка 1'!N169)+('Выборка 1'!P169-'Выборка 1'!O169)+('Выборка 1'!Q169-'Выборка 1'!P169)+('Выборка 1'!R169-'Выборка 1'!Q169))/4000</f>
        <v>84386.5</v>
      </c>
      <c r="F169" s="17">
        <f>(('Выборка 1'!AN169-'Выборка 1'!AM169)+('Выборка 1'!AO169-'Выборка 1'!AN169)+('Выборка 1'!AP169-'Выборка 1'!AO169)+('Выборка 1'!AQ169-'Выборка 1'!AP169))/4000</f>
        <v>-102660</v>
      </c>
      <c r="G169" s="17">
        <f>((('Выборка 1'!BH169-'Выборка 1'!BM169)-('Выборка 1'!BG169-'Выборка 1'!BL169))+(('Выборка 1'!BI169-'Выборка 1'!BN169)-('Выборка 1'!BH169-'Выборка 1'!BM169))+(('Выборка 1'!BJ169-'Выборка 1'!BO169)-('Выборка 1'!BI169-'Выборка 1'!BN169))+(('Выборка 1'!BK169-'Выборка 1'!BP169)-('Выборка 1'!BJ169-'Выборка 1'!BO169)))/4000</f>
        <v>411.75</v>
      </c>
      <c r="H169" s="17">
        <f>(('Выборка 1'!BR169-'Выборка 1'!BQ169)+('Выборка 1'!BS169-'Выборка 1'!BR169)+('Выборка 1'!BT169-'Выборка 1'!BS169)+('Выборка 1'!BU169-'Выборка 1'!BT169))/4000</f>
        <v>-1810.75</v>
      </c>
    </row>
    <row r="170" spans="2:8" x14ac:dyDescent="0.25">
      <c r="B170" s="42">
        <f>('Выборка 1'!AL170+'Выборка 1'!AG170)/1000</f>
        <v>7427916</v>
      </c>
      <c r="C170" s="17">
        <v>32</v>
      </c>
      <c r="D170" s="17">
        <f>(('Выборка 1'!E170-'Выборка 1'!D170)+('Выборка 1'!F170-'Выборка 1'!E170)+('Выборка 1'!G170-'Выборка 1'!F170)+('Выборка 1'!H170-'Выборка 1'!G170))/4000</f>
        <v>-144845.5</v>
      </c>
      <c r="E170" s="17">
        <f>(('Выборка 1'!O170-'Выборка 1'!N170)+('Выборка 1'!P170-'Выборка 1'!O170)+('Выборка 1'!Q170-'Выборка 1'!P170)+('Выборка 1'!R170-'Выборка 1'!Q170))/4000</f>
        <v>-928624.25</v>
      </c>
      <c r="F170" s="17">
        <f>(('Выборка 1'!AN170-'Выборка 1'!AM170)+('Выборка 1'!AO170-'Выборка 1'!AN170)+('Выборка 1'!AP170-'Выборка 1'!AO170)+('Выборка 1'!AQ170-'Выборка 1'!AP170))/4000</f>
        <v>-1623495.75</v>
      </c>
      <c r="G170" s="17">
        <f>((('Выборка 1'!BH170-'Выборка 1'!BM170)-('Выборка 1'!BG170-'Выборка 1'!BL170))+(('Выборка 1'!BI170-'Выборка 1'!BN170)-('Выборка 1'!BH170-'Выборка 1'!BM170))+(('Выборка 1'!BJ170-'Выборка 1'!BO170)-('Выборка 1'!BI170-'Выборка 1'!BN170))+(('Выборка 1'!BK170-'Выборка 1'!BP170)-('Выборка 1'!BJ170-'Выборка 1'!BO170)))/4000</f>
        <v>417484.5</v>
      </c>
      <c r="H170" s="17">
        <f>(('Выборка 1'!BR170-'Выборка 1'!BQ170)+('Выборка 1'!BS170-'Выборка 1'!BR170)+('Выборка 1'!BT170-'Выборка 1'!BS170)+('Выборка 1'!BU170-'Выборка 1'!BT170))/4000</f>
        <v>212337.75</v>
      </c>
    </row>
    <row r="171" spans="2:8" x14ac:dyDescent="0.25">
      <c r="B171" s="42">
        <f>('Выборка 1'!AL171+'Выборка 1'!AG171)/1000</f>
        <v>19387</v>
      </c>
      <c r="C171" s="17">
        <v>12</v>
      </c>
      <c r="D171" s="17">
        <f>(('Выборка 1'!E171-'Выборка 1'!D171)+('Выборка 1'!F171-'Выборка 1'!E171)+('Выборка 1'!G171-'Выборка 1'!F171)+('Выборка 1'!H171-'Выборка 1'!G171))/4000</f>
        <v>-71.5</v>
      </c>
      <c r="E171" s="17">
        <f>(('Выборка 1'!O171-'Выборка 1'!N171)+('Выборка 1'!P171-'Выборка 1'!O171)+('Выборка 1'!Q171-'Выборка 1'!P171)+('Выборка 1'!R171-'Выборка 1'!Q171))/4000</f>
        <v>1549.5</v>
      </c>
      <c r="F171" s="17">
        <f>(('Выборка 1'!AN171-'Выборка 1'!AM171)+('Выборка 1'!AO171-'Выборка 1'!AN171)+('Выборка 1'!AP171-'Выборка 1'!AO171)+('Выборка 1'!AQ171-'Выборка 1'!AP171))/4000</f>
        <v>-15777.75</v>
      </c>
      <c r="G171" s="17">
        <f>((('Выборка 1'!BH171-'Выборка 1'!BM171)-('Выборка 1'!BG171-'Выборка 1'!BL171))+(('Выборка 1'!BI171-'Выборка 1'!BN171)-('Выборка 1'!BH171-'Выборка 1'!BM171))+(('Выборка 1'!BJ171-'Выборка 1'!BO171)-('Выборка 1'!BI171-'Выборка 1'!BN171))+(('Выборка 1'!BK171-'Выборка 1'!BP171)-('Выборка 1'!BJ171-'Выборка 1'!BO171)))/4000</f>
        <v>-523.75</v>
      </c>
      <c r="H171" s="17">
        <f>(('Выборка 1'!BR171-'Выборка 1'!BQ171)+('Выборка 1'!BS171-'Выборка 1'!BR171)+('Выборка 1'!BT171-'Выборка 1'!BS171)+('Выборка 1'!BU171-'Выборка 1'!BT171))/4000</f>
        <v>-30.25</v>
      </c>
    </row>
    <row r="172" spans="2:8" x14ac:dyDescent="0.25">
      <c r="B172" s="42">
        <f>('Выборка 1'!AL172+'Выборка 1'!AG172)/1000</f>
        <v>3832339</v>
      </c>
      <c r="C172" s="17">
        <v>22</v>
      </c>
      <c r="D172" s="17">
        <f>(('Выборка 1'!E172-'Выборка 1'!D172)+('Выборка 1'!F172-'Выборка 1'!E172)+('Выборка 1'!G172-'Выборка 1'!F172)+('Выборка 1'!H172-'Выборка 1'!G172))/4000</f>
        <v>-15427.75</v>
      </c>
      <c r="E172" s="17">
        <f>(('Выборка 1'!O172-'Выборка 1'!N172)+('Выборка 1'!P172-'Выборка 1'!O172)+('Выборка 1'!Q172-'Выборка 1'!P172)+('Выборка 1'!R172-'Выборка 1'!Q172))/4000</f>
        <v>-105600.25</v>
      </c>
      <c r="F172" s="17">
        <f>(('Выборка 1'!AN172-'Выборка 1'!AM172)+('Выборка 1'!AO172-'Выборка 1'!AN172)+('Выборка 1'!AP172-'Выборка 1'!AO172)+('Выборка 1'!AQ172-'Выборка 1'!AP172))/4000</f>
        <v>0</v>
      </c>
      <c r="G172" s="17">
        <f>((('Выборка 1'!BH172-'Выборка 1'!BM172)-('Выборка 1'!BG172-'Выборка 1'!BL172))+(('Выборка 1'!BI172-'Выборка 1'!BN172)-('Выборка 1'!BH172-'Выборка 1'!BM172))+(('Выборка 1'!BJ172-'Выборка 1'!BO172)-('Выборка 1'!BI172-'Выборка 1'!BN172))+(('Выборка 1'!BK172-'Выборка 1'!BP172)-('Выборка 1'!BJ172-'Выборка 1'!BO172)))/4000</f>
        <v>0</v>
      </c>
      <c r="H172" s="17">
        <f>(('Выборка 1'!BR172-'Выборка 1'!BQ172)+('Выборка 1'!BS172-'Выборка 1'!BR172)+('Выборка 1'!BT172-'Выборка 1'!BS172)+('Выборка 1'!BU172-'Выборка 1'!BT172))/4000</f>
        <v>0</v>
      </c>
    </row>
    <row r="173" spans="2:8" x14ac:dyDescent="0.25">
      <c r="B173" s="42">
        <f>('Выборка 1'!AL173+'Выборка 1'!AG173)/1000</f>
        <v>154823</v>
      </c>
      <c r="C173" s="17">
        <v>23</v>
      </c>
      <c r="D173" s="17">
        <f>(('Выборка 1'!E173-'Выборка 1'!D173)+('Выборка 1'!F173-'Выборка 1'!E173)+('Выборка 1'!G173-'Выборка 1'!F173)+('Выборка 1'!H173-'Выборка 1'!G173))/4000</f>
        <v>-21273</v>
      </c>
      <c r="E173" s="17">
        <f>(('Выборка 1'!O173-'Выборка 1'!N173)+('Выборка 1'!P173-'Выборка 1'!O173)+('Выборка 1'!Q173-'Выборка 1'!P173)+('Выборка 1'!R173-'Выборка 1'!Q173))/4000</f>
        <v>-1370</v>
      </c>
      <c r="F173" s="17">
        <f>(('Выборка 1'!AN173-'Выборка 1'!AM173)+('Выборка 1'!AO173-'Выборка 1'!AN173)+('Выборка 1'!AP173-'Выборка 1'!AO173)+('Выборка 1'!AQ173-'Выборка 1'!AP173))/4000</f>
        <v>437</v>
      </c>
      <c r="G173" s="17">
        <f>((('Выборка 1'!BH173-'Выборка 1'!BM173)-('Выборка 1'!BG173-'Выборка 1'!BL173))+(('Выборка 1'!BI173-'Выборка 1'!BN173)-('Выборка 1'!BH173-'Выборка 1'!BM173))+(('Выборка 1'!BJ173-'Выборка 1'!BO173)-('Выборка 1'!BI173-'Выборка 1'!BN173))+(('Выборка 1'!BK173-'Выборка 1'!BP173)-('Выборка 1'!BJ173-'Выборка 1'!BO173)))/4000</f>
        <v>52432.75</v>
      </c>
      <c r="H173" s="17">
        <f>(('Выборка 1'!BR173-'Выборка 1'!BQ173)+('Выборка 1'!BS173-'Выборка 1'!BR173)+('Выборка 1'!BT173-'Выборка 1'!BS173)+('Выборка 1'!BU173-'Выборка 1'!BT173))/4000</f>
        <v>52649.75</v>
      </c>
    </row>
    <row r="174" spans="2:8" x14ac:dyDescent="0.25">
      <c r="B174" s="42">
        <f>('Выборка 1'!AL174+'Выборка 1'!AG174)/1000</f>
        <v>1112640</v>
      </c>
      <c r="C174" s="17">
        <v>23</v>
      </c>
      <c r="D174" s="17">
        <f>(('Выборка 1'!E174-'Выборка 1'!D174)+('Выборка 1'!F174-'Выборка 1'!E174)+('Выборка 1'!G174-'Выборка 1'!F174)+('Выборка 1'!H174-'Выборка 1'!G174))/4000</f>
        <v>-21637</v>
      </c>
      <c r="E174" s="17">
        <f>(('Выборка 1'!O174-'Выборка 1'!N174)+('Выборка 1'!P174-'Выборка 1'!O174)+('Выборка 1'!Q174-'Выборка 1'!P174)+('Выборка 1'!R174-'Выборка 1'!Q174))/4000</f>
        <v>-45607</v>
      </c>
      <c r="F174" s="17">
        <f>(('Выборка 1'!AN174-'Выборка 1'!AM174)+('Выборка 1'!AO174-'Выборка 1'!AN174)+('Выборка 1'!AP174-'Выборка 1'!AO174)+('Выборка 1'!AQ174-'Выборка 1'!AP174))/4000</f>
        <v>-163550.75</v>
      </c>
      <c r="G174" s="17">
        <f>((('Выборка 1'!BH174-'Выборка 1'!BM174)-('Выборка 1'!BG174-'Выборка 1'!BL174))+(('Выборка 1'!BI174-'Выборка 1'!BN174)-('Выборка 1'!BH174-'Выборка 1'!BM174))+(('Выборка 1'!BJ174-'Выборка 1'!BO174)-('Выборка 1'!BI174-'Выборка 1'!BN174))+(('Выборка 1'!BK174-'Выборка 1'!BP174)-('Выборка 1'!BJ174-'Выборка 1'!BO174)))/4000</f>
        <v>-20921.5</v>
      </c>
      <c r="H174" s="17">
        <f>(('Выборка 1'!BR174-'Выборка 1'!BQ174)+('Выборка 1'!BS174-'Выборка 1'!BR174)+('Выборка 1'!BT174-'Выборка 1'!BS174)+('Выборка 1'!BU174-'Выборка 1'!BT174))/4000</f>
        <v>-10785</v>
      </c>
    </row>
    <row r="175" spans="2:8" x14ac:dyDescent="0.25">
      <c r="B175" s="42">
        <f>('Выборка 1'!AL175+'Выборка 1'!AG175)/1000</f>
        <v>335830</v>
      </c>
      <c r="C175" s="17">
        <v>16</v>
      </c>
      <c r="D175" s="17">
        <f>(('Выборка 1'!E175-'Выборка 1'!D175)+('Выборка 1'!F175-'Выборка 1'!E175)+('Выборка 1'!G175-'Выборка 1'!F175)+('Выборка 1'!H175-'Выборка 1'!G175))/4000</f>
        <v>258.75</v>
      </c>
      <c r="E175" s="17">
        <f>(('Выборка 1'!O175-'Выборка 1'!N175)+('Выборка 1'!P175-'Выборка 1'!O175)+('Выборка 1'!Q175-'Выборка 1'!P175)+('Выборка 1'!R175-'Выборка 1'!Q175))/4000</f>
        <v>2375</v>
      </c>
      <c r="F175" s="17">
        <f>(('Выборка 1'!AN175-'Выборка 1'!AM175)+('Выборка 1'!AO175-'Выборка 1'!AN175)+('Выборка 1'!AP175-'Выборка 1'!AO175)+('Выборка 1'!AQ175-'Выборка 1'!AP175))/4000</f>
        <v>549.25</v>
      </c>
      <c r="G175" s="17">
        <f>((('Выборка 1'!BH175-'Выборка 1'!BM175)-('Выборка 1'!BG175-'Выборка 1'!BL175))+(('Выборка 1'!BI175-'Выборка 1'!BN175)-('Выборка 1'!BH175-'Выборка 1'!BM175))+(('Выборка 1'!BJ175-'Выборка 1'!BO175)-('Выборка 1'!BI175-'Выборка 1'!BN175))+(('Выборка 1'!BK175-'Выборка 1'!BP175)-('Выборка 1'!BJ175-'Выборка 1'!BO175)))/4000</f>
        <v>-232090.5</v>
      </c>
      <c r="H175" s="17">
        <f>(('Выборка 1'!BR175-'Выборка 1'!BQ175)+('Выборка 1'!BS175-'Выборка 1'!BR175)+('Выборка 1'!BT175-'Выборка 1'!BS175)+('Выборка 1'!BU175-'Выборка 1'!BT175))/4000</f>
        <v>-235658.25</v>
      </c>
    </row>
    <row r="176" spans="2:8" x14ac:dyDescent="0.25">
      <c r="B176" s="42">
        <f>('Выборка 1'!AL176+'Выборка 1'!AG176)/1000</f>
        <v>0</v>
      </c>
      <c r="C176" s="17">
        <v>14</v>
      </c>
      <c r="D176" s="17">
        <f>(('Выборка 1'!E176-'Выборка 1'!D176)+('Выборка 1'!F176-'Выборка 1'!E176)+('Выборка 1'!G176-'Выборка 1'!F176)+('Выборка 1'!H176-'Выборка 1'!G176))/4000</f>
        <v>-3149.5</v>
      </c>
      <c r="E176" s="17">
        <f>(('Выборка 1'!O176-'Выборка 1'!N176)+('Выборка 1'!P176-'Выборка 1'!O176)+('Выборка 1'!Q176-'Выборка 1'!P176)+('Выборка 1'!R176-'Выборка 1'!Q176))/4000</f>
        <v>-4863.25</v>
      </c>
      <c r="F176" s="17">
        <f>(('Выборка 1'!AN176-'Выборка 1'!AM176)+('Выборка 1'!AO176-'Выборка 1'!AN176)+('Выборка 1'!AP176-'Выборка 1'!AO176)+('Выборка 1'!AQ176-'Выборка 1'!AP176))/4000</f>
        <v>-17685.25</v>
      </c>
      <c r="G176" s="17">
        <f>((('Выборка 1'!BH176-'Выборка 1'!BM176)-('Выборка 1'!BG176-'Выборка 1'!BL176))+(('Выборка 1'!BI176-'Выборка 1'!BN176)-('Выборка 1'!BH176-'Выборка 1'!BM176))+(('Выборка 1'!BJ176-'Выборка 1'!BO176)-('Выборка 1'!BI176-'Выборка 1'!BN176))+(('Выборка 1'!BK176-'Выборка 1'!BP176)-('Выборка 1'!BJ176-'Выборка 1'!BO176)))/4000</f>
        <v>-2009.25</v>
      </c>
      <c r="H176" s="17">
        <f>(('Выборка 1'!BR176-'Выборка 1'!BQ176)+('Выборка 1'!BS176-'Выборка 1'!BR176)+('Выборка 1'!BT176-'Выборка 1'!BS176)+('Выборка 1'!BU176-'Выборка 1'!BT176))/4000</f>
        <v>-571</v>
      </c>
    </row>
    <row r="177" spans="2:8" x14ac:dyDescent="0.25">
      <c r="B177" s="42">
        <f>('Выборка 1'!AL177+'Выборка 1'!AG177)/1000</f>
        <v>25389</v>
      </c>
      <c r="C177" s="17">
        <v>13</v>
      </c>
      <c r="D177" s="17">
        <f>(('Выборка 1'!E177-'Выборка 1'!D177)+('Выборка 1'!F177-'Выборка 1'!E177)+('Выборка 1'!G177-'Выборка 1'!F177)+('Выборка 1'!H177-'Выборка 1'!G177))/4000</f>
        <v>0</v>
      </c>
      <c r="E177" s="17">
        <f>(('Выборка 1'!O177-'Выборка 1'!N177)+('Выборка 1'!P177-'Выборка 1'!O177)+('Выборка 1'!Q177-'Выборка 1'!P177)+('Выборка 1'!R177-'Выборка 1'!Q177))/4000</f>
        <v>-7.5</v>
      </c>
      <c r="F177" s="17">
        <f>(('Выборка 1'!AN177-'Выборка 1'!AM177)+('Выборка 1'!AO177-'Выборка 1'!AN177)+('Выборка 1'!AP177-'Выборка 1'!AO177)+('Выборка 1'!AQ177-'Выборка 1'!AP177))/4000</f>
        <v>0</v>
      </c>
      <c r="G177" s="17">
        <f>((('Выборка 1'!BH177-'Выборка 1'!BM177)-('Выборка 1'!BG177-'Выборка 1'!BL177))+(('Выборка 1'!BI177-'Выборка 1'!BN177)-('Выборка 1'!BH177-'Выборка 1'!BM177))+(('Выборка 1'!BJ177-'Выборка 1'!BO177)-('Выборка 1'!BI177-'Выборка 1'!BN177))+(('Выборка 1'!BK177-'Выборка 1'!BP177)-('Выборка 1'!BJ177-'Выборка 1'!BO177)))/4000</f>
        <v>246.5</v>
      </c>
      <c r="H177" s="17">
        <f>(('Выборка 1'!BR177-'Выборка 1'!BQ177)+('Выборка 1'!BS177-'Выборка 1'!BR177)+('Выборка 1'!BT177-'Выборка 1'!BS177)+('Выборка 1'!BU177-'Выборка 1'!BT177))/4000</f>
        <v>356.75</v>
      </c>
    </row>
    <row r="178" spans="2:8" x14ac:dyDescent="0.25">
      <c r="B178" s="42">
        <f>('Выборка 1'!AL178+'Выборка 1'!AG178)/1000</f>
        <v>0</v>
      </c>
      <c r="C178" s="17">
        <v>23</v>
      </c>
      <c r="D178" s="17">
        <f>(('Выборка 1'!E178-'Выборка 1'!D178)+('Выборка 1'!F178-'Выборка 1'!E178)+('Выборка 1'!G178-'Выборка 1'!F178)+('Выборка 1'!H178-'Выборка 1'!G178))/4000</f>
        <v>0</v>
      </c>
      <c r="E178" s="17">
        <f>(('Выборка 1'!O178-'Выборка 1'!N178)+('Выборка 1'!P178-'Выборка 1'!O178)+('Выборка 1'!Q178-'Выборка 1'!P178)+('Выборка 1'!R178-'Выборка 1'!Q178))/4000</f>
        <v>0</v>
      </c>
      <c r="F178" s="17">
        <f>(('Выборка 1'!AN178-'Выборка 1'!AM178)+('Выборка 1'!AO178-'Выборка 1'!AN178)+('Выборка 1'!AP178-'Выборка 1'!AO178)+('Выборка 1'!AQ178-'Выборка 1'!AP178))/4000</f>
        <v>0</v>
      </c>
      <c r="G178" s="17">
        <f>((('Выборка 1'!BH178-'Выборка 1'!BM178)-('Выборка 1'!BG178-'Выборка 1'!BL178))+(('Выборка 1'!BI178-'Выборка 1'!BN178)-('Выборка 1'!BH178-'Выборка 1'!BM178))+(('Выборка 1'!BJ178-'Выборка 1'!BO178)-('Выборка 1'!BI178-'Выборка 1'!BN178))+(('Выборка 1'!BK178-'Выборка 1'!BP178)-('Выборка 1'!BJ178-'Выборка 1'!BO178)))/4000</f>
        <v>0</v>
      </c>
      <c r="H178" s="17">
        <f>(('Выборка 1'!BR178-'Выборка 1'!BQ178)+('Выборка 1'!BS178-'Выборка 1'!BR178)+('Выборка 1'!BT178-'Выборка 1'!BS178)+('Выборка 1'!BU178-'Выборка 1'!BT178))/4000</f>
        <v>0</v>
      </c>
    </row>
    <row r="179" spans="2:8" x14ac:dyDescent="0.25">
      <c r="B179" s="42">
        <f>('Выборка 1'!AL179+'Выборка 1'!AG179)/1000</f>
        <v>315011</v>
      </c>
      <c r="C179" s="17">
        <v>15</v>
      </c>
      <c r="D179" s="17">
        <f>(('Выборка 1'!E179-'Выборка 1'!D179)+('Выборка 1'!F179-'Выборка 1'!E179)+('Выборка 1'!G179-'Выборка 1'!F179)+('Выборка 1'!H179-'Выборка 1'!G179))/4000</f>
        <v>62291</v>
      </c>
      <c r="E179" s="17">
        <f>(('Выборка 1'!O179-'Выборка 1'!N179)+('Выборка 1'!P179-'Выборка 1'!O179)+('Выборка 1'!Q179-'Выборка 1'!P179)+('Выборка 1'!R179-'Выборка 1'!Q179))/4000</f>
        <v>22768.5</v>
      </c>
      <c r="F179" s="17">
        <f>(('Выборка 1'!AN179-'Выборка 1'!AM179)+('Выборка 1'!AO179-'Выборка 1'!AN179)+('Выборка 1'!AP179-'Выборка 1'!AO179)+('Выборка 1'!AQ179-'Выборка 1'!AP179))/4000</f>
        <v>-17013.5</v>
      </c>
      <c r="G179" s="17">
        <f>((('Выборка 1'!BH179-'Выборка 1'!BM179)-('Выборка 1'!BG179-'Выборка 1'!BL179))+(('Выборка 1'!BI179-'Выборка 1'!BN179)-('Выборка 1'!BH179-'Выборка 1'!BM179))+(('Выборка 1'!BJ179-'Выборка 1'!BO179)-('Выборка 1'!BI179-'Выборка 1'!BN179))+(('Выборка 1'!BK179-'Выборка 1'!BP179)-('Выборка 1'!BJ179-'Выборка 1'!BO179)))/4000</f>
        <v>-31349</v>
      </c>
      <c r="H179" s="17">
        <f>(('Выборка 1'!BR179-'Выборка 1'!BQ179)+('Выборка 1'!BS179-'Выборка 1'!BR179)+('Выборка 1'!BT179-'Выборка 1'!BS179)+('Выборка 1'!BU179-'Выборка 1'!BT179))/4000</f>
        <v>-43503.5</v>
      </c>
    </row>
    <row r="180" spans="2:8" x14ac:dyDescent="0.25">
      <c r="B180" s="42">
        <f>('Выборка 1'!AL180+'Выборка 1'!AG180)/1000</f>
        <v>0</v>
      </c>
      <c r="C180" s="17">
        <v>19</v>
      </c>
      <c r="D180" s="17">
        <f>(('Выборка 1'!E180-'Выборка 1'!D180)+('Выборка 1'!F180-'Выборка 1'!E180)+('Выборка 1'!G180-'Выборка 1'!F180)+('Выборка 1'!H180-'Выборка 1'!G180))/4000</f>
        <v>-12439.75</v>
      </c>
      <c r="E180" s="17">
        <f>(('Выборка 1'!O180-'Выборка 1'!N180)+('Выборка 1'!P180-'Выборка 1'!O180)+('Выборка 1'!Q180-'Выборка 1'!P180)+('Выборка 1'!R180-'Выборка 1'!Q180))/4000</f>
        <v>-4240.25</v>
      </c>
      <c r="F180" s="17">
        <f>(('Выборка 1'!AN180-'Выборка 1'!AM180)+('Выборка 1'!AO180-'Выборка 1'!AN180)+('Выборка 1'!AP180-'Выборка 1'!AO180)+('Выборка 1'!AQ180-'Выборка 1'!AP180))/4000</f>
        <v>-958.5</v>
      </c>
      <c r="G180" s="17">
        <f>((('Выборка 1'!BH180-'Выборка 1'!BM180)-('Выборка 1'!BG180-'Выборка 1'!BL180))+(('Выборка 1'!BI180-'Выборка 1'!BN180)-('Выборка 1'!BH180-'Выборка 1'!BM180))+(('Выборка 1'!BJ180-'Выборка 1'!BO180)-('Выборка 1'!BI180-'Выборка 1'!BN180))+(('Выборка 1'!BK180-'Выборка 1'!BP180)-('Выборка 1'!BJ180-'Выборка 1'!BO180)))/4000</f>
        <v>-172.5</v>
      </c>
      <c r="H180" s="17">
        <f>(('Выборка 1'!BR180-'Выборка 1'!BQ180)+('Выборка 1'!BS180-'Выборка 1'!BR180)+('Выборка 1'!BT180-'Выборка 1'!BS180)+('Выборка 1'!BU180-'Выборка 1'!BT180))/4000</f>
        <v>-23.75</v>
      </c>
    </row>
    <row r="181" spans="2:8" x14ac:dyDescent="0.25">
      <c r="B181" s="42">
        <f>('Выборка 1'!AL181+'Выборка 1'!AG181)/1000</f>
        <v>0</v>
      </c>
      <c r="C181" s="17">
        <v>32</v>
      </c>
      <c r="D181" s="17">
        <f>(('Выборка 1'!E181-'Выборка 1'!D181)+('Выборка 1'!F181-'Выборка 1'!E181)+('Выборка 1'!G181-'Выборка 1'!F181)+('Выборка 1'!H181-'Выборка 1'!G181))/4000</f>
        <v>-12583</v>
      </c>
      <c r="E181" s="17">
        <f>(('Выборка 1'!O181-'Выборка 1'!N181)+('Выборка 1'!P181-'Выборка 1'!O181)+('Выборка 1'!Q181-'Выборка 1'!P181)+('Выборка 1'!R181-'Выборка 1'!Q181))/4000</f>
        <v>-44384.75</v>
      </c>
      <c r="F181" s="17">
        <f>(('Выборка 1'!AN181-'Выборка 1'!AM181)+('Выборка 1'!AO181-'Выборка 1'!AN181)+('Выборка 1'!AP181-'Выборка 1'!AO181)+('Выборка 1'!AQ181-'Выборка 1'!AP181))/4000</f>
        <v>-13425.25</v>
      </c>
      <c r="G181" s="17">
        <f>((('Выборка 1'!BH181-'Выборка 1'!BM181)-('Выборка 1'!BG181-'Выборка 1'!BL181))+(('Выборка 1'!BI181-'Выборка 1'!BN181)-('Выборка 1'!BH181-'Выборка 1'!BM181))+(('Выборка 1'!BJ181-'Выборка 1'!BO181)-('Выборка 1'!BI181-'Выборка 1'!BN181))+(('Выборка 1'!BK181-'Выборка 1'!BP181)-('Выборка 1'!BJ181-'Выборка 1'!BO181)))/4000</f>
        <v>-1931</v>
      </c>
      <c r="H181" s="17">
        <f>(('Выборка 1'!BR181-'Выборка 1'!BQ181)+('Выборка 1'!BS181-'Выборка 1'!BR181)+('Выборка 1'!BT181-'Выборка 1'!BS181)+('Выборка 1'!BU181-'Выборка 1'!BT181))/4000</f>
        <v>647.25</v>
      </c>
    </row>
    <row r="182" spans="2:8" x14ac:dyDescent="0.25">
      <c r="B182" s="42">
        <f>('Выборка 1'!AL182+'Выборка 1'!AG182)/1000</f>
        <v>6554</v>
      </c>
      <c r="C182" s="17">
        <v>17</v>
      </c>
      <c r="D182" s="17">
        <f>(('Выборка 1'!E182-'Выборка 1'!D182)+('Выборка 1'!F182-'Выборка 1'!E182)+('Выборка 1'!G182-'Выборка 1'!F182)+('Выборка 1'!H182-'Выборка 1'!G182))/4000</f>
        <v>-5</v>
      </c>
      <c r="E182" s="17">
        <f>(('Выборка 1'!O182-'Выборка 1'!N182)+('Выборка 1'!P182-'Выборка 1'!O182)+('Выборка 1'!Q182-'Выборка 1'!P182)+('Выборка 1'!R182-'Выборка 1'!Q182))/4000</f>
        <v>4134.75</v>
      </c>
      <c r="F182" s="17">
        <f>(('Выборка 1'!AN182-'Выборка 1'!AM182)+('Выборка 1'!AO182-'Выборка 1'!AN182)+('Выборка 1'!AP182-'Выборка 1'!AO182)+('Выборка 1'!AQ182-'Выборка 1'!AP182))/4000</f>
        <v>-5056</v>
      </c>
      <c r="G182" s="17">
        <f>((('Выборка 1'!BH182-'Выборка 1'!BM182)-('Выборка 1'!BG182-'Выборка 1'!BL182))+(('Выборка 1'!BI182-'Выборка 1'!BN182)-('Выборка 1'!BH182-'Выборка 1'!BM182))+(('Выборка 1'!BJ182-'Выборка 1'!BO182)-('Выборка 1'!BI182-'Выборка 1'!BN182))+(('Выборка 1'!BK182-'Выборка 1'!BP182)-('Выборка 1'!BJ182-'Выборка 1'!BO182)))/4000</f>
        <v>5.5</v>
      </c>
      <c r="H182" s="17">
        <f>(('Выборка 1'!BR182-'Выборка 1'!BQ182)+('Выборка 1'!BS182-'Выборка 1'!BR182)+('Выборка 1'!BT182-'Выборка 1'!BS182)+('Выборка 1'!BU182-'Выборка 1'!BT182))/4000</f>
        <v>-61.75</v>
      </c>
    </row>
    <row r="183" spans="2:8" x14ac:dyDescent="0.25">
      <c r="B183" s="42">
        <f>('Выборка 1'!AL183+'Выборка 1'!AG183)/1000</f>
        <v>206330</v>
      </c>
      <c r="C183" s="17">
        <v>20</v>
      </c>
      <c r="D183" s="17">
        <f>(('Выборка 1'!E183-'Выборка 1'!D183)+('Выборка 1'!F183-'Выборка 1'!E183)+('Выборка 1'!G183-'Выборка 1'!F183)+('Выборка 1'!H183-'Выборка 1'!G183))/4000</f>
        <v>-40615</v>
      </c>
      <c r="E183" s="17">
        <f>(('Выборка 1'!O183-'Выборка 1'!N183)+('Выборка 1'!P183-'Выборка 1'!O183)+('Выборка 1'!Q183-'Выборка 1'!P183)+('Выборка 1'!R183-'Выборка 1'!Q183))/4000</f>
        <v>-20841.25</v>
      </c>
      <c r="F183" s="17">
        <f>(('Выборка 1'!AN183-'Выборка 1'!AM183)+('Выборка 1'!AO183-'Выборка 1'!AN183)+('Выборка 1'!AP183-'Выборка 1'!AO183)+('Выборка 1'!AQ183-'Выборка 1'!AP183))/4000</f>
        <v>-24091.75</v>
      </c>
      <c r="G183" s="17">
        <f>((('Выборка 1'!BH183-'Выборка 1'!BM183)-('Выборка 1'!BG183-'Выборка 1'!BL183))+(('Выборка 1'!BI183-'Выборка 1'!BN183)-('Выборка 1'!BH183-'Выборка 1'!BM183))+(('Выборка 1'!BJ183-'Выборка 1'!BO183)-('Выборка 1'!BI183-'Выборка 1'!BN183))+(('Выборка 1'!BK183-'Выборка 1'!BP183)-('Выборка 1'!BJ183-'Выборка 1'!BO183)))/4000</f>
        <v>-3546.25</v>
      </c>
      <c r="H183" s="17">
        <f>(('Выборка 1'!BR183-'Выборка 1'!BQ183)+('Выборка 1'!BS183-'Выборка 1'!BR183)+('Выборка 1'!BT183-'Выборка 1'!BS183)+('Выборка 1'!BU183-'Выборка 1'!BT183))/4000</f>
        <v>18731.25</v>
      </c>
    </row>
    <row r="184" spans="2:8" x14ac:dyDescent="0.25">
      <c r="B184" s="42">
        <f>('Выборка 1'!AL184+'Выборка 1'!AG184)/1000</f>
        <v>145210</v>
      </c>
      <c r="C184" s="17">
        <v>11</v>
      </c>
      <c r="D184" s="17">
        <f>(('Выборка 1'!E184-'Выборка 1'!D184)+('Выборка 1'!F184-'Выборка 1'!E184)+('Выборка 1'!G184-'Выборка 1'!F184)+('Выборка 1'!H184-'Выборка 1'!G184))/4000</f>
        <v>28801.5</v>
      </c>
      <c r="E184" s="17">
        <f>(('Выборка 1'!O184-'Выборка 1'!N184)+('Выборка 1'!P184-'Выборка 1'!O184)+('Выборка 1'!Q184-'Выборка 1'!P184)+('Выборка 1'!R184-'Выборка 1'!Q184))/4000</f>
        <v>5624.75</v>
      </c>
      <c r="F184" s="17">
        <f>(('Выборка 1'!AN184-'Выборка 1'!AM184)+('Выборка 1'!AO184-'Выборка 1'!AN184)+('Выборка 1'!AP184-'Выборка 1'!AO184)+('Выборка 1'!AQ184-'Выборка 1'!AP184))/4000</f>
        <v>16045.5</v>
      </c>
      <c r="G184" s="17">
        <f>((('Выборка 1'!BH184-'Выборка 1'!BM184)-('Выборка 1'!BG184-'Выборка 1'!BL184))+(('Выборка 1'!BI184-'Выборка 1'!BN184)-('Выборка 1'!BH184-'Выборка 1'!BM184))+(('Выборка 1'!BJ184-'Выборка 1'!BO184)-('Выборка 1'!BI184-'Выборка 1'!BN184))+(('Выборка 1'!BK184-'Выборка 1'!BP184)-('Выборка 1'!BJ184-'Выборка 1'!BO184)))/4000</f>
        <v>369.75</v>
      </c>
      <c r="H184" s="17">
        <f>(('Выборка 1'!BR184-'Выборка 1'!BQ184)+('Выборка 1'!BS184-'Выборка 1'!BR184)+('Выборка 1'!BT184-'Выборка 1'!BS184)+('Выборка 1'!BU184-'Выборка 1'!BT184))/4000</f>
        <v>3743</v>
      </c>
    </row>
    <row r="185" spans="2:8" x14ac:dyDescent="0.25">
      <c r="B185" s="42">
        <f>('Выборка 1'!AL185+'Выборка 1'!AG185)/1000</f>
        <v>0</v>
      </c>
      <c r="C185" s="17">
        <v>11</v>
      </c>
      <c r="D185" s="17">
        <f>(('Выборка 1'!E185-'Выборка 1'!D185)+('Выборка 1'!F185-'Выборка 1'!E185)+('Выборка 1'!G185-'Выборка 1'!F185)+('Выборка 1'!H185-'Выборка 1'!G185))/4000</f>
        <v>-6948.5</v>
      </c>
      <c r="E185" s="17">
        <f>(('Выборка 1'!O185-'Выборка 1'!N185)+('Выборка 1'!P185-'Выборка 1'!O185)+('Выборка 1'!Q185-'Выборка 1'!P185)+('Выборка 1'!R185-'Выборка 1'!Q185))/4000</f>
        <v>-8302.5</v>
      </c>
      <c r="F185" s="17">
        <f>(('Выборка 1'!AN185-'Выборка 1'!AM185)+('Выборка 1'!AO185-'Выборка 1'!AN185)+('Выборка 1'!AP185-'Выборка 1'!AO185)+('Выборка 1'!AQ185-'Выборка 1'!AP185))/4000</f>
        <v>-3100.75</v>
      </c>
      <c r="G185" s="17">
        <f>((('Выборка 1'!BH185-'Выборка 1'!BM185)-('Выборка 1'!BG185-'Выборка 1'!BL185))+(('Выборка 1'!BI185-'Выборка 1'!BN185)-('Выборка 1'!BH185-'Выборка 1'!BM185))+(('Выборка 1'!BJ185-'Выборка 1'!BO185)-('Выборка 1'!BI185-'Выборка 1'!BN185))+(('Выборка 1'!BK185-'Выборка 1'!BP185)-('Выборка 1'!BJ185-'Выборка 1'!BO185)))/4000</f>
        <v>0</v>
      </c>
      <c r="H185" s="17">
        <f>(('Выборка 1'!BR185-'Выборка 1'!BQ185)+('Выборка 1'!BS185-'Выборка 1'!BR185)+('Выборка 1'!BT185-'Выборка 1'!BS185)+('Выборка 1'!BU185-'Выборка 1'!BT185))/4000</f>
        <v>2044.25</v>
      </c>
    </row>
    <row r="186" spans="2:8" x14ac:dyDescent="0.25">
      <c r="B186" s="42">
        <f>('Выборка 1'!AL186+'Выборка 1'!AG186)/1000</f>
        <v>0</v>
      </c>
      <c r="C186" s="17">
        <v>11</v>
      </c>
      <c r="D186" s="17">
        <f>(('Выборка 1'!E186-'Выборка 1'!D186)+('Выборка 1'!F186-'Выборка 1'!E186)+('Выборка 1'!G186-'Выборка 1'!F186)+('Выборка 1'!H186-'Выборка 1'!G186))/4000</f>
        <v>-1039.25</v>
      </c>
      <c r="E186" s="17">
        <f>(('Выборка 1'!O186-'Выборка 1'!N186)+('Выборка 1'!P186-'Выборка 1'!O186)+('Выборка 1'!Q186-'Выборка 1'!P186)+('Выборка 1'!R186-'Выборка 1'!Q186))/4000</f>
        <v>-1310</v>
      </c>
      <c r="F186" s="17">
        <f>(('Выборка 1'!AN186-'Выборка 1'!AM186)+('Выборка 1'!AO186-'Выборка 1'!AN186)+('Выборка 1'!AP186-'Выборка 1'!AO186)+('Выборка 1'!AQ186-'Выборка 1'!AP186))/4000</f>
        <v>-3162.75</v>
      </c>
      <c r="G186" s="17">
        <f>((('Выборка 1'!BH186-'Выборка 1'!BM186)-('Выборка 1'!BG186-'Выборка 1'!BL186))+(('Выборка 1'!BI186-'Выборка 1'!BN186)-('Выборка 1'!BH186-'Выборка 1'!BM186))+(('Выборка 1'!BJ186-'Выборка 1'!BO186)-('Выборка 1'!BI186-'Выборка 1'!BN186))+(('Выборка 1'!BK186-'Выборка 1'!BP186)-('Выборка 1'!BJ186-'Выборка 1'!BO186)))/4000</f>
        <v>238.5</v>
      </c>
      <c r="H186" s="17">
        <f>(('Выборка 1'!BR186-'Выборка 1'!BQ186)+('Выборка 1'!BS186-'Выборка 1'!BR186)+('Выборка 1'!BT186-'Выборка 1'!BS186)+('Выборка 1'!BU186-'Выборка 1'!BT186))/4000</f>
        <v>320.25</v>
      </c>
    </row>
    <row r="187" spans="2:8" x14ac:dyDescent="0.25">
      <c r="B187" s="42">
        <f>('Выборка 1'!AL187+'Выборка 1'!AG187)/1000</f>
        <v>400476</v>
      </c>
      <c r="C187" s="17">
        <v>11</v>
      </c>
      <c r="D187" s="17">
        <f>(('Выборка 1'!E187-'Выборка 1'!D187)+('Выборка 1'!F187-'Выборка 1'!E187)+('Выборка 1'!G187-'Выборка 1'!F187)+('Выборка 1'!H187-'Выборка 1'!G187))/4000</f>
        <v>-3570.25</v>
      </c>
      <c r="E187" s="17">
        <f>(('Выборка 1'!O187-'Выборка 1'!N187)+('Выборка 1'!P187-'Выборка 1'!O187)+('Выборка 1'!Q187-'Выборка 1'!P187)+('Выборка 1'!R187-'Выборка 1'!Q187))/4000</f>
        <v>-70341.75</v>
      </c>
      <c r="F187" s="17">
        <f>(('Выборка 1'!AN187-'Выборка 1'!AM187)+('Выборка 1'!AO187-'Выборка 1'!AN187)+('Выборка 1'!AP187-'Выборка 1'!AO187)+('Выборка 1'!AQ187-'Выборка 1'!AP187))/4000</f>
        <v>-109946.25</v>
      </c>
      <c r="G187" s="17">
        <f>((('Выборка 1'!BH187-'Выборка 1'!BM187)-('Выборка 1'!BG187-'Выборка 1'!BL187))+(('Выборка 1'!BI187-'Выборка 1'!BN187)-('Выборка 1'!BH187-'Выборка 1'!BM187))+(('Выборка 1'!BJ187-'Выборка 1'!BO187)-('Выборка 1'!BI187-'Выборка 1'!BN187))+(('Выборка 1'!BK187-'Выборка 1'!BP187)-('Выборка 1'!BJ187-'Выборка 1'!BO187)))/4000</f>
        <v>-184.5</v>
      </c>
      <c r="H187" s="17">
        <f>(('Выборка 1'!BR187-'Выборка 1'!BQ187)+('Выборка 1'!BS187-'Выборка 1'!BR187)+('Выборка 1'!BT187-'Выборка 1'!BS187)+('Выборка 1'!BU187-'Выборка 1'!BT187))/4000</f>
        <v>-53430.25</v>
      </c>
    </row>
    <row r="188" spans="2:8" x14ac:dyDescent="0.25">
      <c r="B188" s="42">
        <f>('Выборка 1'!AL188+'Выборка 1'!AG188)/1000</f>
        <v>140761</v>
      </c>
      <c r="C188" s="17">
        <v>23</v>
      </c>
      <c r="D188" s="17">
        <f>(('Выборка 1'!E188-'Выборка 1'!D188)+('Выборка 1'!F188-'Выборка 1'!E188)+('Выборка 1'!G188-'Выборка 1'!F188)+('Выборка 1'!H188-'Выборка 1'!G188))/4000</f>
        <v>0</v>
      </c>
      <c r="E188" s="17">
        <f>(('Выборка 1'!O188-'Выборка 1'!N188)+('Выборка 1'!P188-'Выборка 1'!O188)+('Выборка 1'!Q188-'Выборка 1'!P188)+('Выборка 1'!R188-'Выборка 1'!Q188))/4000</f>
        <v>-28930.5</v>
      </c>
      <c r="F188" s="17">
        <f>(('Выборка 1'!AN188-'Выборка 1'!AM188)+('Выборка 1'!AO188-'Выборка 1'!AN188)+('Выборка 1'!AP188-'Выборка 1'!AO188)+('Выборка 1'!AQ188-'Выборка 1'!AP188))/4000</f>
        <v>-1691.5</v>
      </c>
      <c r="G188" s="17">
        <f>((('Выборка 1'!BH188-'Выборка 1'!BM188)-('Выборка 1'!BG188-'Выборка 1'!BL188))+(('Выборка 1'!BI188-'Выборка 1'!BN188)-('Выборка 1'!BH188-'Выборка 1'!BM188))+(('Выборка 1'!BJ188-'Выборка 1'!BO188)-('Выборка 1'!BI188-'Выборка 1'!BN188))+(('Выборка 1'!BK188-'Выборка 1'!BP188)-('Выборка 1'!BJ188-'Выборка 1'!BO188)))/4000</f>
        <v>-4870</v>
      </c>
      <c r="H188" s="17">
        <f>(('Выборка 1'!BR188-'Выборка 1'!BQ188)+('Выборка 1'!BS188-'Выборка 1'!BR188)+('Выборка 1'!BT188-'Выборка 1'!BS188)+('Выборка 1'!BU188-'Выборка 1'!BT188))/4000</f>
        <v>-5649.25</v>
      </c>
    </row>
    <row r="189" spans="2:8" x14ac:dyDescent="0.25">
      <c r="B189" s="42">
        <f>('Выборка 1'!AL189+'Выборка 1'!AG189)/1000</f>
        <v>0</v>
      </c>
      <c r="C189" s="17">
        <v>14</v>
      </c>
      <c r="D189" s="17">
        <f>(('Выборка 1'!E189-'Выборка 1'!D189)+('Выборка 1'!F189-'Выборка 1'!E189)+('Выборка 1'!G189-'Выборка 1'!F189)+('Выборка 1'!H189-'Выборка 1'!G189))/4000</f>
        <v>0</v>
      </c>
      <c r="E189" s="17">
        <f>(('Выборка 1'!O189-'Выборка 1'!N189)+('Выборка 1'!P189-'Выборка 1'!O189)+('Выборка 1'!Q189-'Выборка 1'!P189)+('Выборка 1'!R189-'Выборка 1'!Q189))/4000</f>
        <v>0</v>
      </c>
      <c r="F189" s="17">
        <f>(('Выборка 1'!AN189-'Выборка 1'!AM189)+('Выборка 1'!AO189-'Выборка 1'!AN189)+('Выборка 1'!AP189-'Выборка 1'!AO189)+('Выборка 1'!AQ189-'Выборка 1'!AP189))/4000</f>
        <v>0</v>
      </c>
      <c r="G189" s="17">
        <f>((('Выборка 1'!BH189-'Выборка 1'!BM189)-('Выборка 1'!BG189-'Выборка 1'!BL189))+(('Выборка 1'!BI189-'Выборка 1'!BN189)-('Выборка 1'!BH189-'Выборка 1'!BM189))+(('Выборка 1'!BJ189-'Выборка 1'!BO189)-('Выборка 1'!BI189-'Выборка 1'!BN189))+(('Выборка 1'!BK189-'Выборка 1'!BP189)-('Выборка 1'!BJ189-'Выборка 1'!BO189)))/4000</f>
        <v>0</v>
      </c>
      <c r="H189" s="17">
        <f>(('Выборка 1'!BR189-'Выборка 1'!BQ189)+('Выборка 1'!BS189-'Выборка 1'!BR189)+('Выборка 1'!BT189-'Выборка 1'!BS189)+('Выборка 1'!BU189-'Выборка 1'!BT189))/4000</f>
        <v>0</v>
      </c>
    </row>
    <row r="190" spans="2:8" x14ac:dyDescent="0.25">
      <c r="B190" s="42">
        <f>('Выборка 1'!AL190+'Выборка 1'!AG190)/1000</f>
        <v>4245</v>
      </c>
      <c r="C190" s="17">
        <v>20</v>
      </c>
      <c r="D190" s="17">
        <f>(('Выборка 1'!E190-'Выборка 1'!D190)+('Выборка 1'!F190-'Выборка 1'!E190)+('Выборка 1'!G190-'Выборка 1'!F190)+('Выборка 1'!H190-'Выборка 1'!G190))/4000</f>
        <v>0.25</v>
      </c>
      <c r="E190" s="17">
        <f>(('Выборка 1'!O190-'Выборка 1'!N190)+('Выборка 1'!P190-'Выборка 1'!O190)+('Выборка 1'!Q190-'Выборка 1'!P190)+('Выборка 1'!R190-'Выборка 1'!Q190))/4000</f>
        <v>-408.75</v>
      </c>
      <c r="F190" s="17">
        <f>(('Выборка 1'!AN190-'Выборка 1'!AM190)+('Выборка 1'!AO190-'Выборка 1'!AN190)+('Выборка 1'!AP190-'Выборка 1'!AO190)+('Выборка 1'!AQ190-'Выборка 1'!AP190))/4000</f>
        <v>-253.25</v>
      </c>
      <c r="G190" s="17">
        <f>((('Выборка 1'!BH190-'Выборка 1'!BM190)-('Выборка 1'!BG190-'Выборка 1'!BL190))+(('Выборка 1'!BI190-'Выборка 1'!BN190)-('Выборка 1'!BH190-'Выборка 1'!BM190))+(('Выборка 1'!BJ190-'Выборка 1'!BO190)-('Выборка 1'!BI190-'Выборка 1'!BN190))+(('Выборка 1'!BK190-'Выборка 1'!BP190)-('Выборка 1'!BJ190-'Выборка 1'!BO190)))/4000</f>
        <v>60.25</v>
      </c>
      <c r="H190" s="17">
        <f>(('Выборка 1'!BR190-'Выборка 1'!BQ190)+('Выборка 1'!BS190-'Выборка 1'!BR190)+('Выборка 1'!BT190-'Выборка 1'!BS190)+('Выборка 1'!BU190-'Выборка 1'!BT190))/4000</f>
        <v>-7.25</v>
      </c>
    </row>
    <row r="191" spans="2:8" x14ac:dyDescent="0.25">
      <c r="B191" s="42">
        <f>('Выборка 1'!AL191+'Выборка 1'!AG191)/1000</f>
        <v>44314</v>
      </c>
      <c r="C191" s="17">
        <v>14</v>
      </c>
      <c r="D191" s="17">
        <f>(('Выборка 1'!E191-'Выборка 1'!D191)+('Выборка 1'!F191-'Выборка 1'!E191)+('Выборка 1'!G191-'Выборка 1'!F191)+('Выборка 1'!H191-'Выборка 1'!G191))/4000</f>
        <v>-192.25</v>
      </c>
      <c r="E191" s="17">
        <f>(('Выборка 1'!O191-'Выборка 1'!N191)+('Выборка 1'!P191-'Выборка 1'!O191)+('Выборка 1'!Q191-'Выборка 1'!P191)+('Выборка 1'!R191-'Выборка 1'!Q191))/4000</f>
        <v>-4972</v>
      </c>
      <c r="F191" s="17">
        <f>(('Выборка 1'!AN191-'Выборка 1'!AM191)+('Выборка 1'!AO191-'Выборка 1'!AN191)+('Выборка 1'!AP191-'Выборка 1'!AO191)+('Выборка 1'!AQ191-'Выборка 1'!AP191))/4000</f>
        <v>-21620.25</v>
      </c>
      <c r="G191" s="17">
        <f>((('Выборка 1'!BH191-'Выборка 1'!BM191)-('Выборка 1'!BG191-'Выборка 1'!BL191))+(('Выборка 1'!BI191-'Выборка 1'!BN191)-('Выборка 1'!BH191-'Выборка 1'!BM191))+(('Выборка 1'!BJ191-'Выборка 1'!BO191)-('Выборка 1'!BI191-'Выборка 1'!BN191))+(('Выборка 1'!BK191-'Выборка 1'!BP191)-('Выборка 1'!BJ191-'Выборка 1'!BO191)))/4000</f>
        <v>9878</v>
      </c>
      <c r="H191" s="17">
        <f>(('Выборка 1'!BR191-'Выборка 1'!BQ191)+('Выборка 1'!BS191-'Выборка 1'!BR191)+('Выборка 1'!BT191-'Выборка 1'!BS191)+('Выборка 1'!BU191-'Выборка 1'!BT191))/4000</f>
        <v>14810</v>
      </c>
    </row>
    <row r="192" spans="2:8" x14ac:dyDescent="0.25">
      <c r="B192" s="42">
        <f>('Выборка 1'!AL192+'Выборка 1'!AG192)/1000</f>
        <v>0</v>
      </c>
      <c r="C192" s="17">
        <v>28</v>
      </c>
      <c r="D192" s="17">
        <f>(('Выборка 1'!E192-'Выборка 1'!D192)+('Выборка 1'!F192-'Выборка 1'!E192)+('Выборка 1'!G192-'Выборка 1'!F192)+('Выборка 1'!H192-'Выборка 1'!G192))/4000</f>
        <v>0</v>
      </c>
      <c r="E192" s="17">
        <f>(('Выборка 1'!O192-'Выборка 1'!N192)+('Выборка 1'!P192-'Выборка 1'!O192)+('Выборка 1'!Q192-'Выборка 1'!P192)+('Выборка 1'!R192-'Выборка 1'!Q192))/4000</f>
        <v>-5545.25</v>
      </c>
      <c r="F192" s="17">
        <f>(('Выборка 1'!AN192-'Выборка 1'!AM192)+('Выборка 1'!AO192-'Выборка 1'!AN192)+('Выборка 1'!AP192-'Выборка 1'!AO192)+('Выборка 1'!AQ192-'Выборка 1'!AP192))/4000</f>
        <v>-53.25</v>
      </c>
      <c r="G192" s="17">
        <f>((('Выборка 1'!BH192-'Выборка 1'!BM192)-('Выборка 1'!BG192-'Выборка 1'!BL192))+(('Выборка 1'!BI192-'Выборка 1'!BN192)-('Выборка 1'!BH192-'Выборка 1'!BM192))+(('Выборка 1'!BJ192-'Выборка 1'!BO192)-('Выборка 1'!BI192-'Выборка 1'!BN192))+(('Выборка 1'!BK192-'Выборка 1'!BP192)-('Выборка 1'!BJ192-'Выборка 1'!BO192)))/4000</f>
        <v>1264</v>
      </c>
      <c r="H192" s="17">
        <f>(('Выборка 1'!BR192-'Выборка 1'!BQ192)+('Выборка 1'!BS192-'Выборка 1'!BR192)+('Выборка 1'!BT192-'Выборка 1'!BS192)+('Выборка 1'!BU192-'Выборка 1'!BT192))/4000</f>
        <v>1302.5</v>
      </c>
    </row>
    <row r="193" spans="2:8" x14ac:dyDescent="0.25">
      <c r="B193" s="42">
        <f>('Выборка 1'!AL193+'Выборка 1'!AG193)/1000</f>
        <v>18591</v>
      </c>
      <c r="C193" s="17">
        <v>6</v>
      </c>
      <c r="D193" s="17">
        <f>(('Выборка 1'!E193-'Выборка 1'!D193)+('Выборка 1'!F193-'Выборка 1'!E193)+('Выборка 1'!G193-'Выборка 1'!F193)+('Выборка 1'!H193-'Выборка 1'!G193))/4000</f>
        <v>-173.25</v>
      </c>
      <c r="E193" s="17">
        <f>(('Выборка 1'!O193-'Выборка 1'!N193)+('Выборка 1'!P193-'Выборка 1'!O193)+('Выборка 1'!Q193-'Выборка 1'!P193)+('Выборка 1'!R193-'Выборка 1'!Q193))/4000</f>
        <v>-937.25</v>
      </c>
      <c r="F193" s="17">
        <f>(('Выборка 1'!AN193-'Выборка 1'!AM193)+('Выборка 1'!AO193-'Выборка 1'!AN193)+('Выборка 1'!AP193-'Выборка 1'!AO193)+('Выборка 1'!AQ193-'Выборка 1'!AP193))/4000</f>
        <v>-10425.25</v>
      </c>
      <c r="G193" s="17">
        <f>((('Выборка 1'!BH193-'Выборка 1'!BM193)-('Выборка 1'!BG193-'Выборка 1'!BL193))+(('Выборка 1'!BI193-'Выборка 1'!BN193)-('Выборка 1'!BH193-'Выборка 1'!BM193))+(('Выборка 1'!BJ193-'Выборка 1'!BO193)-('Выборка 1'!BI193-'Выборка 1'!BN193))+(('Выборка 1'!BK193-'Выборка 1'!BP193)-('Выборка 1'!BJ193-'Выборка 1'!BO193)))/4000</f>
        <v>-1112</v>
      </c>
      <c r="H193" s="17">
        <f>(('Выборка 1'!BR193-'Выборка 1'!BQ193)+('Выборка 1'!BS193-'Выборка 1'!BR193)+('Выборка 1'!BT193-'Выборка 1'!BS193)+('Выборка 1'!BU193-'Выборка 1'!BT193))/4000</f>
        <v>-822</v>
      </c>
    </row>
    <row r="194" spans="2:8" x14ac:dyDescent="0.25">
      <c r="B194" s="42">
        <f>('Выборка 1'!AL194+'Выборка 1'!AG194)/1000</f>
        <v>0</v>
      </c>
      <c r="C194" s="17">
        <v>6</v>
      </c>
      <c r="D194" s="17">
        <f>(('Выборка 1'!E194-'Выборка 1'!D194)+('Выборка 1'!F194-'Выборка 1'!E194)+('Выборка 1'!G194-'Выборка 1'!F194)+('Выборка 1'!H194-'Выборка 1'!G194))/4000</f>
        <v>0</v>
      </c>
      <c r="E194" s="17">
        <f>(('Выборка 1'!O194-'Выборка 1'!N194)+('Выборка 1'!P194-'Выборка 1'!O194)+('Выборка 1'!Q194-'Выборка 1'!P194)+('Выборка 1'!R194-'Выборка 1'!Q194))/4000</f>
        <v>0</v>
      </c>
      <c r="F194" s="17">
        <f>(('Выборка 1'!AN194-'Выборка 1'!AM194)+('Выборка 1'!AO194-'Выборка 1'!AN194)+('Выборка 1'!AP194-'Выборка 1'!AO194)+('Выборка 1'!AQ194-'Выборка 1'!AP194))/4000</f>
        <v>0</v>
      </c>
      <c r="G194" s="17">
        <f>((('Выборка 1'!BH194-'Выборка 1'!BM194)-('Выборка 1'!BG194-'Выборка 1'!BL194))+(('Выборка 1'!BI194-'Выборка 1'!BN194)-('Выборка 1'!BH194-'Выборка 1'!BM194))+(('Выборка 1'!BJ194-'Выборка 1'!BO194)-('Выборка 1'!BI194-'Выборка 1'!BN194))+(('Выборка 1'!BK194-'Выборка 1'!BP194)-('Выборка 1'!BJ194-'Выборка 1'!BO194)))/4000</f>
        <v>0</v>
      </c>
      <c r="H194" s="17">
        <f>(('Выборка 1'!BR194-'Выборка 1'!BQ194)+('Выборка 1'!BS194-'Выборка 1'!BR194)+('Выборка 1'!BT194-'Выборка 1'!BS194)+('Выборка 1'!BU194-'Выборка 1'!BT194))/4000</f>
        <v>0</v>
      </c>
    </row>
    <row r="195" spans="2:8" x14ac:dyDescent="0.25">
      <c r="B195" s="42">
        <f>('Выборка 1'!AL195+'Выборка 1'!AG195)/1000</f>
        <v>106192</v>
      </c>
      <c r="C195" s="17">
        <v>30</v>
      </c>
      <c r="D195" s="17">
        <f>(('Выборка 1'!E195-'Выборка 1'!D195)+('Выборка 1'!F195-'Выборка 1'!E195)+('Выборка 1'!G195-'Выборка 1'!F195)+('Выборка 1'!H195-'Выборка 1'!G195))/4000</f>
        <v>-11061.75</v>
      </c>
      <c r="E195" s="17">
        <f>(('Выборка 1'!O195-'Выборка 1'!N195)+('Выборка 1'!P195-'Выборка 1'!O195)+('Выборка 1'!Q195-'Выборка 1'!P195)+('Выборка 1'!R195-'Выборка 1'!Q195))/4000</f>
        <v>492.75</v>
      </c>
      <c r="F195" s="17">
        <f>(('Выборка 1'!AN195-'Выборка 1'!AM195)+('Выборка 1'!AO195-'Выборка 1'!AN195)+('Выборка 1'!AP195-'Выборка 1'!AO195)+('Выборка 1'!AQ195-'Выборка 1'!AP195))/4000</f>
        <v>-6442.5</v>
      </c>
      <c r="G195" s="17">
        <f>((('Выборка 1'!BH195-'Выборка 1'!BM195)-('Выборка 1'!BG195-'Выборка 1'!BL195))+(('Выборка 1'!BI195-'Выборка 1'!BN195)-('Выборка 1'!BH195-'Выборка 1'!BM195))+(('Выборка 1'!BJ195-'Выборка 1'!BO195)-('Выборка 1'!BI195-'Выборка 1'!BN195))+(('Выборка 1'!BK195-'Выборка 1'!BP195)-('Выборка 1'!BJ195-'Выборка 1'!BO195)))/4000</f>
        <v>-2071</v>
      </c>
      <c r="H195" s="17">
        <f>(('Выборка 1'!BR195-'Выборка 1'!BQ195)+('Выборка 1'!BS195-'Выборка 1'!BR195)+('Выборка 1'!BT195-'Выборка 1'!BS195)+('Выборка 1'!BU195-'Выборка 1'!BT195))/4000</f>
        <v>2321</v>
      </c>
    </row>
    <row r="196" spans="2:8" x14ac:dyDescent="0.25">
      <c r="B196" s="42">
        <f>('Выборка 1'!AL196+'Выборка 1'!AG196)/1000</f>
        <v>315206</v>
      </c>
      <c r="C196" s="17">
        <v>19</v>
      </c>
      <c r="D196" s="17">
        <f>(('Выборка 1'!E196-'Выборка 1'!D196)+('Выборка 1'!F196-'Выборка 1'!E196)+('Выборка 1'!G196-'Выборка 1'!F196)+('Выборка 1'!H196-'Выборка 1'!G196))/4000</f>
        <v>-973.5</v>
      </c>
      <c r="E196" s="17">
        <f>(('Выборка 1'!O196-'Выборка 1'!N196)+('Выборка 1'!P196-'Выборка 1'!O196)+('Выборка 1'!Q196-'Выборка 1'!P196)+('Выборка 1'!R196-'Выборка 1'!Q196))/4000</f>
        <v>-5843</v>
      </c>
      <c r="F196" s="17">
        <f>(('Выборка 1'!AN196-'Выборка 1'!AM196)+('Выборка 1'!AO196-'Выборка 1'!AN196)+('Выборка 1'!AP196-'Выборка 1'!AO196)+('Выборка 1'!AQ196-'Выборка 1'!AP196))/4000</f>
        <v>-14377</v>
      </c>
      <c r="G196" s="17">
        <f>((('Выборка 1'!BH196-'Выборка 1'!BM196)-('Выборка 1'!BG196-'Выборка 1'!BL196))+(('Выборка 1'!BI196-'Выборка 1'!BN196)-('Выборка 1'!BH196-'Выборка 1'!BM196))+(('Выборка 1'!BJ196-'Выборка 1'!BO196)-('Выборка 1'!BI196-'Выборка 1'!BN196))+(('Выборка 1'!BK196-'Выборка 1'!BP196)-('Выборка 1'!BJ196-'Выборка 1'!BO196)))/4000</f>
        <v>265.75</v>
      </c>
      <c r="H196" s="17">
        <f>(('Выборка 1'!BR196-'Выборка 1'!BQ196)+('Выборка 1'!BS196-'Выборка 1'!BR196)+('Выборка 1'!BT196-'Выборка 1'!BS196)+('Выборка 1'!BU196-'Выборка 1'!BT196))/4000</f>
        <v>1791.25</v>
      </c>
    </row>
    <row r="197" spans="2:8" x14ac:dyDescent="0.25">
      <c r="B197" s="42">
        <f>('Выборка 1'!AL197+'Выборка 1'!AG197)/1000</f>
        <v>206953</v>
      </c>
      <c r="C197" s="17">
        <v>33</v>
      </c>
      <c r="D197" s="17">
        <f>(('Выборка 1'!E197-'Выборка 1'!D197)+('Выборка 1'!F197-'Выборка 1'!E197)+('Выборка 1'!G197-'Выборка 1'!F197)+('Выборка 1'!H197-'Выборка 1'!G197))/4000</f>
        <v>-29587.75</v>
      </c>
      <c r="E197" s="17">
        <f>(('Выборка 1'!O197-'Выборка 1'!N197)+('Выборка 1'!P197-'Выборка 1'!O197)+('Выборка 1'!Q197-'Выборка 1'!P197)+('Выборка 1'!R197-'Выборка 1'!Q197))/4000</f>
        <v>-864</v>
      </c>
      <c r="F197" s="17">
        <f>(('Выборка 1'!AN197-'Выборка 1'!AM197)+('Выборка 1'!AO197-'Выборка 1'!AN197)+('Выборка 1'!AP197-'Выборка 1'!AO197)+('Выборка 1'!AQ197-'Выборка 1'!AP197))/4000</f>
        <v>-17138.5</v>
      </c>
      <c r="G197" s="17">
        <f>((('Выборка 1'!BH197-'Выборка 1'!BM197)-('Выборка 1'!BG197-'Выборка 1'!BL197))+(('Выборка 1'!BI197-'Выборка 1'!BN197)-('Выборка 1'!BH197-'Выборка 1'!BM197))+(('Выборка 1'!BJ197-'Выборка 1'!BO197)-('Выборка 1'!BI197-'Выборка 1'!BN197))+(('Выборка 1'!BK197-'Выборка 1'!BP197)-('Выборка 1'!BJ197-'Выборка 1'!BO197)))/4000</f>
        <v>-1374</v>
      </c>
      <c r="H197" s="17">
        <f>(('Выборка 1'!BR197-'Выборка 1'!BQ197)+('Выборка 1'!BS197-'Выборка 1'!BR197)+('Выборка 1'!BT197-'Выборка 1'!BS197)+('Выборка 1'!BU197-'Выборка 1'!BT197))/4000</f>
        <v>5662.25</v>
      </c>
    </row>
    <row r="198" spans="2:8" x14ac:dyDescent="0.25">
      <c r="B198" s="42">
        <f>('Выборка 1'!AL198+'Выборка 1'!AG198)/1000</f>
        <v>6268</v>
      </c>
      <c r="C198" s="17">
        <v>15</v>
      </c>
      <c r="D198" s="17">
        <f>(('Выборка 1'!E198-'Выборка 1'!D198)+('Выборка 1'!F198-'Выборка 1'!E198)+('Выборка 1'!G198-'Выборка 1'!F198)+('Выборка 1'!H198-'Выборка 1'!G198))/4000</f>
        <v>0</v>
      </c>
      <c r="E198" s="17">
        <f>(('Выборка 1'!O198-'Выборка 1'!N198)+('Выборка 1'!P198-'Выборка 1'!O198)+('Выборка 1'!Q198-'Выборка 1'!P198)+('Выборка 1'!R198-'Выборка 1'!Q198))/4000</f>
        <v>58</v>
      </c>
      <c r="F198" s="17">
        <f>(('Выборка 1'!AN198-'Выборка 1'!AM198)+('Выборка 1'!AO198-'Выборка 1'!AN198)+('Выборка 1'!AP198-'Выборка 1'!AO198)+('Выборка 1'!AQ198-'Выборка 1'!AP198))/4000</f>
        <v>0</v>
      </c>
      <c r="G198" s="17">
        <f>((('Выборка 1'!BH198-'Выборка 1'!BM198)-('Выборка 1'!BG198-'Выборка 1'!BL198))+(('Выборка 1'!BI198-'Выборка 1'!BN198)-('Выборка 1'!BH198-'Выборка 1'!BM198))+(('Выборка 1'!BJ198-'Выборка 1'!BO198)-('Выборка 1'!BI198-'Выборка 1'!BN198))+(('Выборка 1'!BK198-'Выборка 1'!BP198)-('Выборка 1'!BJ198-'Выборка 1'!BO198)))/4000</f>
        <v>-866.5</v>
      </c>
      <c r="H198" s="17">
        <f>(('Выборка 1'!BR198-'Выборка 1'!BQ198)+('Выборка 1'!BS198-'Выборка 1'!BR198)+('Выборка 1'!BT198-'Выборка 1'!BS198)+('Выборка 1'!BU198-'Выборка 1'!BT198))/4000</f>
        <v>-719.5</v>
      </c>
    </row>
    <row r="199" spans="2:8" x14ac:dyDescent="0.25">
      <c r="B199" s="42">
        <f>('Выборка 1'!AL199+'Выборка 1'!AG199)/1000</f>
        <v>200169</v>
      </c>
      <c r="C199" s="17">
        <v>13</v>
      </c>
      <c r="D199" s="17">
        <f>(('Выборка 1'!E199-'Выборка 1'!D199)+('Выборка 1'!F199-'Выборка 1'!E199)+('Выборка 1'!G199-'Выборка 1'!F199)+('Выборка 1'!H199-'Выборка 1'!G199))/4000</f>
        <v>-2188</v>
      </c>
      <c r="E199" s="17">
        <f>(('Выборка 1'!O199-'Выборка 1'!N199)+('Выборка 1'!P199-'Выборка 1'!O199)+('Выборка 1'!Q199-'Выборка 1'!P199)+('Выборка 1'!R199-'Выборка 1'!Q199))/4000</f>
        <v>45455.25</v>
      </c>
      <c r="F199" s="17">
        <f>(('Выборка 1'!AN199-'Выборка 1'!AM199)+('Выборка 1'!AO199-'Выборка 1'!AN199)+('Выборка 1'!AP199-'Выборка 1'!AO199)+('Выборка 1'!AQ199-'Выборка 1'!AP199))/4000</f>
        <v>-15456.25</v>
      </c>
      <c r="G199" s="17">
        <f>((('Выборка 1'!BH199-'Выборка 1'!BM199)-('Выборка 1'!BG199-'Выборка 1'!BL199))+(('Выборка 1'!BI199-'Выборка 1'!BN199)-('Выборка 1'!BH199-'Выборка 1'!BM199))+(('Выборка 1'!BJ199-'Выборка 1'!BO199)-('Выборка 1'!BI199-'Выборка 1'!BN199))+(('Выборка 1'!BK199-'Выборка 1'!BP199)-('Выборка 1'!BJ199-'Выборка 1'!BO199)))/4000</f>
        <v>-4092.75</v>
      </c>
      <c r="H199" s="17">
        <f>(('Выборка 1'!BR199-'Выборка 1'!BQ199)+('Выборка 1'!BS199-'Выборка 1'!BR199)+('Выборка 1'!BT199-'Выборка 1'!BS199)+('Выборка 1'!BU199-'Выборка 1'!BT199))/4000</f>
        <v>-1031.5</v>
      </c>
    </row>
    <row r="200" spans="2:8" x14ac:dyDescent="0.25">
      <c r="B200" s="42">
        <f>('Выборка 1'!AL200+'Выборка 1'!AG200)/1000</f>
        <v>0</v>
      </c>
      <c r="C200" s="17">
        <v>13</v>
      </c>
      <c r="D200" s="17">
        <f>(('Выборка 1'!E200-'Выборка 1'!D200)+('Выборка 1'!F200-'Выборка 1'!E200)+('Выборка 1'!G200-'Выборка 1'!F200)+('Выборка 1'!H200-'Выборка 1'!G200))/4000</f>
        <v>-8886</v>
      </c>
      <c r="E200" s="17">
        <f>(('Выборка 1'!O200-'Выборка 1'!N200)+('Выборка 1'!P200-'Выборка 1'!O200)+('Выборка 1'!Q200-'Выборка 1'!P200)+('Выборка 1'!R200-'Выборка 1'!Q200))/4000</f>
        <v>-1834.25</v>
      </c>
      <c r="F200" s="17">
        <f>(('Выборка 1'!AN200-'Выборка 1'!AM200)+('Выборка 1'!AO200-'Выборка 1'!AN200)+('Выборка 1'!AP200-'Выборка 1'!AO200)+('Выборка 1'!AQ200-'Выборка 1'!AP200))/4000</f>
        <v>-4871.75</v>
      </c>
      <c r="G200" s="17">
        <f>((('Выборка 1'!BH200-'Выборка 1'!BM200)-('Выборка 1'!BG200-'Выборка 1'!BL200))+(('Выборка 1'!BI200-'Выборка 1'!BN200)-('Выборка 1'!BH200-'Выборка 1'!BM200))+(('Выборка 1'!BJ200-'Выборка 1'!BO200)-('Выборка 1'!BI200-'Выборка 1'!BN200))+(('Выборка 1'!BK200-'Выборка 1'!BP200)-('Выборка 1'!BJ200-'Выборка 1'!BO200)))/4000</f>
        <v>-18.5</v>
      </c>
      <c r="H200" s="17">
        <f>(('Выборка 1'!BR200-'Выборка 1'!BQ200)+('Выборка 1'!BS200-'Выборка 1'!BR200)+('Выборка 1'!BT200-'Выборка 1'!BS200)+('Выборка 1'!BU200-'Выборка 1'!BT200))/4000</f>
        <v>-123.75</v>
      </c>
    </row>
    <row r="201" spans="2:8" x14ac:dyDescent="0.25">
      <c r="B201" s="42">
        <f>('Выборка 1'!AL201+'Выборка 1'!AG201)/1000</f>
        <v>3715</v>
      </c>
      <c r="C201" s="17">
        <v>19</v>
      </c>
      <c r="D201" s="17">
        <f>(('Выборка 1'!E201-'Выборка 1'!D201)+('Выборка 1'!F201-'Выборка 1'!E201)+('Выборка 1'!G201-'Выборка 1'!F201)+('Выборка 1'!H201-'Выборка 1'!G201))/4000</f>
        <v>0</v>
      </c>
      <c r="E201" s="17">
        <f>(('Выборка 1'!O201-'Выборка 1'!N201)+('Выборка 1'!P201-'Выборка 1'!O201)+('Выборка 1'!Q201-'Выборка 1'!P201)+('Выборка 1'!R201-'Выборка 1'!Q201))/4000</f>
        <v>0</v>
      </c>
      <c r="F201" s="17">
        <f>(('Выборка 1'!AN201-'Выборка 1'!AM201)+('Выборка 1'!AO201-'Выборка 1'!AN201)+('Выборка 1'!AP201-'Выборка 1'!AO201)+('Выборка 1'!AQ201-'Выборка 1'!AP201))/4000</f>
        <v>-1807.25</v>
      </c>
      <c r="G201" s="17">
        <f>((('Выборка 1'!BH201-'Выборка 1'!BM201)-('Выборка 1'!BG201-'Выборка 1'!BL201))+(('Выборка 1'!BI201-'Выборка 1'!BN201)-('Выборка 1'!BH201-'Выборка 1'!BM201))+(('Выборка 1'!BJ201-'Выборка 1'!BO201)-('Выборка 1'!BI201-'Выборка 1'!BN201))+(('Выборка 1'!BK201-'Выборка 1'!BP201)-('Выборка 1'!BJ201-'Выборка 1'!BO201)))/4000</f>
        <v>-115</v>
      </c>
      <c r="H201" s="17">
        <f>(('Выборка 1'!BR201-'Выборка 1'!BQ201)+('Выборка 1'!BS201-'Выборка 1'!BR201)+('Выборка 1'!BT201-'Выборка 1'!BS201)+('Выборка 1'!BU201-'Выборка 1'!BT201))/4000</f>
        <v>253.25</v>
      </c>
    </row>
    <row r="202" spans="2:8" x14ac:dyDescent="0.25">
      <c r="B202" s="42">
        <f>('Выборка 1'!AL202+'Выборка 1'!AG202)/1000</f>
        <v>0</v>
      </c>
      <c r="C202" s="17">
        <v>19</v>
      </c>
      <c r="D202" s="17">
        <f>(('Выборка 1'!E202-'Выборка 1'!D202)+('Выборка 1'!F202-'Выборка 1'!E202)+('Выборка 1'!G202-'Выборка 1'!F202)+('Выборка 1'!H202-'Выборка 1'!G202))/4000</f>
        <v>0</v>
      </c>
      <c r="E202" s="17">
        <f>(('Выборка 1'!O202-'Выборка 1'!N202)+('Выборка 1'!P202-'Выборка 1'!O202)+('Выборка 1'!Q202-'Выборка 1'!P202)+('Выборка 1'!R202-'Выборка 1'!Q202))/4000</f>
        <v>0</v>
      </c>
      <c r="F202" s="17">
        <f>(('Выборка 1'!AN202-'Выборка 1'!AM202)+('Выборка 1'!AO202-'Выборка 1'!AN202)+('Выборка 1'!AP202-'Выборка 1'!AO202)+('Выборка 1'!AQ202-'Выборка 1'!AP202))/4000</f>
        <v>0</v>
      </c>
      <c r="G202" s="17">
        <f>((('Выборка 1'!BH202-'Выборка 1'!BM202)-('Выборка 1'!BG202-'Выборка 1'!BL202))+(('Выборка 1'!BI202-'Выборка 1'!BN202)-('Выборка 1'!BH202-'Выборка 1'!BM202))+(('Выборка 1'!BJ202-'Выборка 1'!BO202)-('Выборка 1'!BI202-'Выборка 1'!BN202))+(('Выборка 1'!BK202-'Выборка 1'!BP202)-('Выборка 1'!BJ202-'Выборка 1'!BO202)))/4000</f>
        <v>0</v>
      </c>
      <c r="H202" s="17">
        <f>(('Выборка 1'!BR202-'Выборка 1'!BQ202)+('Выборка 1'!BS202-'Выборка 1'!BR202)+('Выборка 1'!BT202-'Выборка 1'!BS202)+('Выборка 1'!BU202-'Выборка 1'!BT202))/4000</f>
        <v>0</v>
      </c>
    </row>
    <row r="203" spans="2:8" x14ac:dyDescent="0.25">
      <c r="B203" s="42">
        <f>('Выборка 1'!AL203+'Выборка 1'!AG203)/1000</f>
        <v>0</v>
      </c>
      <c r="C203" s="17">
        <v>18</v>
      </c>
      <c r="D203" s="17">
        <f>(('Выборка 1'!E203-'Выборка 1'!D203)+('Выборка 1'!F203-'Выборка 1'!E203)+('Выборка 1'!G203-'Выборка 1'!F203)+('Выборка 1'!H203-'Выборка 1'!G203))/4000</f>
        <v>0</v>
      </c>
      <c r="E203" s="17">
        <f>(('Выборка 1'!O203-'Выборка 1'!N203)+('Выборка 1'!P203-'Выборка 1'!O203)+('Выборка 1'!Q203-'Выборка 1'!P203)+('Выборка 1'!R203-'Выборка 1'!Q203))/4000</f>
        <v>0</v>
      </c>
      <c r="F203" s="17">
        <f>(('Выборка 1'!AN203-'Выборка 1'!AM203)+('Выборка 1'!AO203-'Выборка 1'!AN203)+('Выборка 1'!AP203-'Выборка 1'!AO203)+('Выборка 1'!AQ203-'Выборка 1'!AP203))/4000</f>
        <v>0</v>
      </c>
      <c r="G203" s="17">
        <f>((('Выборка 1'!BH203-'Выборка 1'!BM203)-('Выборка 1'!BG203-'Выборка 1'!BL203))+(('Выборка 1'!BI203-'Выборка 1'!BN203)-('Выборка 1'!BH203-'Выборка 1'!BM203))+(('Выборка 1'!BJ203-'Выборка 1'!BO203)-('Выборка 1'!BI203-'Выборка 1'!BN203))+(('Выборка 1'!BK203-'Выборка 1'!BP203)-('Выборка 1'!BJ203-'Выборка 1'!BO203)))/4000</f>
        <v>0</v>
      </c>
      <c r="H203" s="17">
        <f>(('Выборка 1'!BR203-'Выборка 1'!BQ203)+('Выборка 1'!BS203-'Выборка 1'!BR203)+('Выборка 1'!BT203-'Выборка 1'!BS203)+('Выборка 1'!BU203-'Выборка 1'!BT203))/4000</f>
        <v>0</v>
      </c>
    </row>
    <row r="204" spans="2:8" x14ac:dyDescent="0.25">
      <c r="B204" s="42">
        <f>('Выборка 1'!AL204+'Выборка 1'!AG204)/1000</f>
        <v>533336</v>
      </c>
      <c r="C204" s="17">
        <v>18</v>
      </c>
      <c r="D204" s="17">
        <f>(('Выборка 1'!E204-'Выборка 1'!D204)+('Выборка 1'!F204-'Выборка 1'!E204)+('Выборка 1'!G204-'Выборка 1'!F204)+('Выборка 1'!H204-'Выборка 1'!G204))/4000</f>
        <v>-1742.5</v>
      </c>
      <c r="E204" s="17">
        <f>(('Выборка 1'!O204-'Выборка 1'!N204)+('Выборка 1'!P204-'Выборка 1'!O204)+('Выборка 1'!Q204-'Выборка 1'!P204)+('Выборка 1'!R204-'Выборка 1'!Q204))/4000</f>
        <v>-70301.75</v>
      </c>
      <c r="F204" s="17">
        <f>(('Выборка 1'!AN204-'Выборка 1'!AM204)+('Выборка 1'!AO204-'Выборка 1'!AN204)+('Выборка 1'!AP204-'Выборка 1'!AO204)+('Выборка 1'!AQ204-'Выборка 1'!AP204))/4000</f>
        <v>-273178.75</v>
      </c>
      <c r="G204" s="17">
        <f>((('Выборка 1'!BH204-'Выборка 1'!BM204)-('Выборка 1'!BG204-'Выборка 1'!BL204))+(('Выборка 1'!BI204-'Выборка 1'!BN204)-('Выборка 1'!BH204-'Выборка 1'!BM204))+(('Выборка 1'!BJ204-'Выборка 1'!BO204)-('Выборка 1'!BI204-'Выборка 1'!BN204))+(('Выборка 1'!BK204-'Выборка 1'!BP204)-('Выборка 1'!BJ204-'Выборка 1'!BO204)))/4000</f>
        <v>-264450.5</v>
      </c>
      <c r="H204" s="17">
        <f>(('Выборка 1'!BR204-'Выборка 1'!BQ204)+('Выборка 1'!BS204-'Выборка 1'!BR204)+('Выборка 1'!BT204-'Выборка 1'!BS204)+('Выборка 1'!BU204-'Выборка 1'!BT204))/4000</f>
        <v>-302126</v>
      </c>
    </row>
    <row r="205" spans="2:8" x14ac:dyDescent="0.25">
      <c r="B205" s="42">
        <f>('Выборка 1'!AL205+'Выборка 1'!AG205)/1000</f>
        <v>0</v>
      </c>
      <c r="C205" s="17">
        <v>6</v>
      </c>
      <c r="D205" s="17">
        <f>(('Выборка 1'!E205-'Выборка 1'!D205)+('Выборка 1'!F205-'Выборка 1'!E205)+('Выборка 1'!G205-'Выборка 1'!F205)+('Выборка 1'!H205-'Выборка 1'!G205))/4000</f>
        <v>-2225.75</v>
      </c>
      <c r="E205" s="17">
        <f>(('Выборка 1'!O205-'Выборка 1'!N205)+('Выборка 1'!P205-'Выборка 1'!O205)+('Выборка 1'!Q205-'Выборка 1'!P205)+('Выборка 1'!R205-'Выборка 1'!Q205))/4000</f>
        <v>-1420.25</v>
      </c>
      <c r="F205" s="17">
        <f>(('Выборка 1'!AN205-'Выборка 1'!AM205)+('Выборка 1'!AO205-'Выборка 1'!AN205)+('Выборка 1'!AP205-'Выборка 1'!AO205)+('Выборка 1'!AQ205-'Выборка 1'!AP205))/4000</f>
        <v>-20812.5</v>
      </c>
      <c r="G205" s="17">
        <f>((('Выборка 1'!BH205-'Выборка 1'!BM205)-('Выборка 1'!BG205-'Выборка 1'!BL205))+(('Выборка 1'!BI205-'Выборка 1'!BN205)-('Выборка 1'!BH205-'Выборка 1'!BM205))+(('Выборка 1'!BJ205-'Выборка 1'!BO205)-('Выборка 1'!BI205-'Выборка 1'!BN205))+(('Выборка 1'!BK205-'Выборка 1'!BP205)-('Выборка 1'!BJ205-'Выборка 1'!BO205)))/4000</f>
        <v>-336.5</v>
      </c>
      <c r="H205" s="17">
        <f>(('Выборка 1'!BR205-'Выборка 1'!BQ205)+('Выборка 1'!BS205-'Выборка 1'!BR205)+('Выборка 1'!BT205-'Выборка 1'!BS205)+('Выборка 1'!BU205-'Выборка 1'!BT205))/4000</f>
        <v>-1160</v>
      </c>
    </row>
    <row r="206" spans="2:8" x14ac:dyDescent="0.25">
      <c r="B206" s="42">
        <f>('Выборка 1'!AL206+'Выборка 1'!AG206)/1000</f>
        <v>566554</v>
      </c>
      <c r="C206" s="17">
        <v>33</v>
      </c>
      <c r="D206" s="17">
        <f>(('Выборка 1'!E206-'Выборка 1'!D206)+('Выборка 1'!F206-'Выборка 1'!E206)+('Выборка 1'!G206-'Выборка 1'!F206)+('Выборка 1'!H206-'Выборка 1'!G206))/4000</f>
        <v>-14583</v>
      </c>
      <c r="E206" s="17">
        <f>(('Выборка 1'!O206-'Выборка 1'!N206)+('Выборка 1'!P206-'Выборка 1'!O206)+('Выборка 1'!Q206-'Выборка 1'!P206)+('Выборка 1'!R206-'Выборка 1'!Q206))/4000</f>
        <v>-28778</v>
      </c>
      <c r="F206" s="17">
        <f>(('Выборка 1'!AN206-'Выборка 1'!AM206)+('Выборка 1'!AO206-'Выборка 1'!AN206)+('Выборка 1'!AP206-'Выборка 1'!AO206)+('Выборка 1'!AQ206-'Выборка 1'!AP206))/4000</f>
        <v>-36.5</v>
      </c>
      <c r="G206" s="17">
        <f>((('Выборка 1'!BH206-'Выборка 1'!BM206)-('Выборка 1'!BG206-'Выборка 1'!BL206))+(('Выборка 1'!BI206-'Выборка 1'!BN206)-('Выборка 1'!BH206-'Выборка 1'!BM206))+(('Выборка 1'!BJ206-'Выборка 1'!BO206)-('Выборка 1'!BI206-'Выборка 1'!BN206))+(('Выборка 1'!BK206-'Выборка 1'!BP206)-('Выборка 1'!BJ206-'Выборка 1'!BO206)))/4000</f>
        <v>-274.75</v>
      </c>
      <c r="H206" s="17">
        <f>(('Выборка 1'!BR206-'Выборка 1'!BQ206)+('Выборка 1'!BS206-'Выборка 1'!BR206)+('Выборка 1'!BT206-'Выборка 1'!BS206)+('Выборка 1'!BU206-'Выборка 1'!BT206))/4000</f>
        <v>4157.5</v>
      </c>
    </row>
    <row r="207" spans="2:8" x14ac:dyDescent="0.25">
      <c r="B207" s="42">
        <f>('Выборка 1'!AL207+'Выборка 1'!AG207)/1000</f>
        <v>719913</v>
      </c>
      <c r="C207" s="17">
        <v>25</v>
      </c>
      <c r="D207" s="17">
        <f>(('Выборка 1'!E207-'Выборка 1'!D207)+('Выборка 1'!F207-'Выборка 1'!E207)+('Выборка 1'!G207-'Выборка 1'!F207)+('Выборка 1'!H207-'Выборка 1'!G207))/4000</f>
        <v>-820</v>
      </c>
      <c r="E207" s="17">
        <f>(('Выборка 1'!O207-'Выборка 1'!N207)+('Выборка 1'!P207-'Выборка 1'!O207)+('Выборка 1'!Q207-'Выборка 1'!P207)+('Выборка 1'!R207-'Выборка 1'!Q207))/4000</f>
        <v>-57493.5</v>
      </c>
      <c r="F207" s="17">
        <f>(('Выборка 1'!AN207-'Выборка 1'!AM207)+('Выборка 1'!AO207-'Выборка 1'!AN207)+('Выборка 1'!AP207-'Выборка 1'!AO207)+('Выборка 1'!AQ207-'Выборка 1'!AP207))/4000</f>
        <v>-5527.75</v>
      </c>
      <c r="G207" s="17">
        <f>((('Выборка 1'!BH207-'Выборка 1'!BM207)-('Выборка 1'!BG207-'Выборка 1'!BL207))+(('Выборка 1'!BI207-'Выборка 1'!BN207)-('Выборка 1'!BH207-'Выборка 1'!BM207))+(('Выборка 1'!BJ207-'Выборка 1'!BO207)-('Выборка 1'!BI207-'Выборка 1'!BN207))+(('Выборка 1'!BK207-'Выборка 1'!BP207)-('Выборка 1'!BJ207-'Выборка 1'!BO207)))/4000</f>
        <v>1864</v>
      </c>
      <c r="H207" s="17">
        <f>(('Выборка 1'!BR207-'Выборка 1'!BQ207)+('Выборка 1'!BS207-'Выборка 1'!BR207)+('Выборка 1'!BT207-'Выборка 1'!BS207)+('Выборка 1'!BU207-'Выборка 1'!BT207))/4000</f>
        <v>44.5</v>
      </c>
    </row>
    <row r="208" spans="2:8" x14ac:dyDescent="0.25">
      <c r="B208" s="42">
        <f>('Выборка 1'!AL208+'Выборка 1'!AG208)/1000</f>
        <v>117038</v>
      </c>
      <c r="C208" s="17">
        <v>18</v>
      </c>
      <c r="D208" s="17">
        <f>(('Выборка 1'!E208-'Выборка 1'!D208)+('Выборка 1'!F208-'Выборка 1'!E208)+('Выборка 1'!G208-'Выборка 1'!F208)+('Выборка 1'!H208-'Выборка 1'!G208))/4000</f>
        <v>-9290.25</v>
      </c>
      <c r="E208" s="17">
        <f>(('Выборка 1'!O208-'Выборка 1'!N208)+('Выборка 1'!P208-'Выборка 1'!O208)+('Выборка 1'!Q208-'Выборка 1'!P208)+('Выборка 1'!R208-'Выборка 1'!Q208))/4000</f>
        <v>9512.5</v>
      </c>
      <c r="F208" s="17">
        <f>(('Выборка 1'!AN208-'Выборка 1'!AM208)+('Выборка 1'!AO208-'Выборка 1'!AN208)+('Выборка 1'!AP208-'Выборка 1'!AO208)+('Выборка 1'!AQ208-'Выборка 1'!AP208))/4000</f>
        <v>-15904.5</v>
      </c>
      <c r="G208" s="17">
        <f>((('Выборка 1'!BH208-'Выборка 1'!BM208)-('Выборка 1'!BG208-'Выборка 1'!BL208))+(('Выборка 1'!BI208-'Выборка 1'!BN208)-('Выборка 1'!BH208-'Выборка 1'!BM208))+(('Выборка 1'!BJ208-'Выборка 1'!BO208)-('Выборка 1'!BI208-'Выборка 1'!BN208))+(('Выборка 1'!BK208-'Выборка 1'!BP208)-('Выборка 1'!BJ208-'Выборка 1'!BO208)))/4000</f>
        <v>867.25</v>
      </c>
      <c r="H208" s="17">
        <f>(('Выборка 1'!BR208-'Выборка 1'!BQ208)+('Выборка 1'!BS208-'Выборка 1'!BR208)+('Выборка 1'!BT208-'Выборка 1'!BS208)+('Выборка 1'!BU208-'Выборка 1'!BT208))/4000</f>
        <v>6932</v>
      </c>
    </row>
    <row r="209" spans="2:8" x14ac:dyDescent="0.25">
      <c r="B209" s="42">
        <f>('Выборка 1'!AL209+'Выборка 1'!AG209)/1000</f>
        <v>0</v>
      </c>
      <c r="C209" s="17">
        <v>12</v>
      </c>
      <c r="D209" s="17">
        <f>(('Выборка 1'!E209-'Выборка 1'!D209)+('Выборка 1'!F209-'Выборка 1'!E209)+('Выборка 1'!G209-'Выборка 1'!F209)+('Выборка 1'!H209-'Выборка 1'!G209))/4000</f>
        <v>0</v>
      </c>
      <c r="E209" s="17">
        <f>(('Выборка 1'!O209-'Выборка 1'!N209)+('Выборка 1'!P209-'Выборка 1'!O209)+('Выборка 1'!Q209-'Выборка 1'!P209)+('Выборка 1'!R209-'Выборка 1'!Q209))/4000</f>
        <v>0</v>
      </c>
      <c r="F209" s="17">
        <f>(('Выборка 1'!AN209-'Выборка 1'!AM209)+('Выборка 1'!AO209-'Выборка 1'!AN209)+('Выборка 1'!AP209-'Выборка 1'!AO209)+('Выборка 1'!AQ209-'Выборка 1'!AP209))/4000</f>
        <v>0</v>
      </c>
      <c r="G209" s="17">
        <f>((('Выборка 1'!BH209-'Выборка 1'!BM209)-('Выборка 1'!BG209-'Выборка 1'!BL209))+(('Выборка 1'!BI209-'Выборка 1'!BN209)-('Выборка 1'!BH209-'Выборка 1'!BM209))+(('Выборка 1'!BJ209-'Выборка 1'!BO209)-('Выборка 1'!BI209-'Выборка 1'!BN209))+(('Выборка 1'!BK209-'Выборка 1'!BP209)-('Выборка 1'!BJ209-'Выборка 1'!BO209)))/4000</f>
        <v>0</v>
      </c>
      <c r="H209" s="17">
        <f>(('Выборка 1'!BR209-'Выборка 1'!BQ209)+('Выборка 1'!BS209-'Выборка 1'!BR209)+('Выборка 1'!BT209-'Выборка 1'!BS209)+('Выборка 1'!BU209-'Выборка 1'!BT209))/4000</f>
        <v>0</v>
      </c>
    </row>
    <row r="210" spans="2:8" x14ac:dyDescent="0.25">
      <c r="B210" s="42">
        <f>('Выборка 1'!AL210+'Выборка 1'!AG210)/1000</f>
        <v>2235</v>
      </c>
      <c r="C210" s="17">
        <v>16</v>
      </c>
      <c r="D210" s="17">
        <f>(('Выборка 1'!E210-'Выборка 1'!D210)+('Выборка 1'!F210-'Выборка 1'!E210)+('Выборка 1'!G210-'Выборка 1'!F210)+('Выборка 1'!H210-'Выборка 1'!G210))/4000</f>
        <v>-5848.25</v>
      </c>
      <c r="E210" s="17">
        <f>(('Выборка 1'!O210-'Выборка 1'!N210)+('Выборка 1'!P210-'Выборка 1'!O210)+('Выборка 1'!Q210-'Выборка 1'!P210)+('Выборка 1'!R210-'Выборка 1'!Q210))/4000</f>
        <v>3440.25</v>
      </c>
      <c r="F210" s="17">
        <f>(('Выборка 1'!AN210-'Выборка 1'!AM210)+('Выборка 1'!AO210-'Выборка 1'!AN210)+('Выборка 1'!AP210-'Выборка 1'!AO210)+('Выборка 1'!AQ210-'Выборка 1'!AP210))/4000</f>
        <v>-157.75</v>
      </c>
      <c r="G210" s="17">
        <f>((('Выборка 1'!BH210-'Выборка 1'!BM210)-('Выборка 1'!BG210-'Выборка 1'!BL210))+(('Выборка 1'!BI210-'Выборка 1'!BN210)-('Выборка 1'!BH210-'Выборка 1'!BM210))+(('Выборка 1'!BJ210-'Выборка 1'!BO210)-('Выборка 1'!BI210-'Выборка 1'!BN210))+(('Выборка 1'!BK210-'Выборка 1'!BP210)-('Выборка 1'!BJ210-'Выборка 1'!BO210)))/4000</f>
        <v>-76.5</v>
      </c>
      <c r="H210" s="17">
        <f>(('Выборка 1'!BR210-'Выборка 1'!BQ210)+('Выборка 1'!BS210-'Выборка 1'!BR210)+('Выборка 1'!BT210-'Выборка 1'!BS210)+('Выборка 1'!BU210-'Выборка 1'!BT210))/4000</f>
        <v>622</v>
      </c>
    </row>
    <row r="211" spans="2:8" x14ac:dyDescent="0.25">
      <c r="B211" s="42">
        <f>('Выборка 1'!AL211+'Выборка 1'!AG211)/1000</f>
        <v>344329</v>
      </c>
      <c r="C211" s="17">
        <v>11</v>
      </c>
      <c r="D211" s="17">
        <f>(('Выборка 1'!E211-'Выборка 1'!D211)+('Выборка 1'!F211-'Выборка 1'!E211)+('Выборка 1'!G211-'Выборка 1'!F211)+('Выборка 1'!H211-'Выборка 1'!G211))/4000</f>
        <v>-62013.5</v>
      </c>
      <c r="E211" s="17">
        <f>(('Выборка 1'!O211-'Выборка 1'!N211)+('Выборка 1'!P211-'Выборка 1'!O211)+('Выборка 1'!Q211-'Выборка 1'!P211)+('Выборка 1'!R211-'Выборка 1'!Q211))/4000</f>
        <v>-11812.75</v>
      </c>
      <c r="F211" s="17">
        <f>(('Выборка 1'!AN211-'Выборка 1'!AM211)+('Выборка 1'!AO211-'Выборка 1'!AN211)+('Выборка 1'!AP211-'Выборка 1'!AO211)+('Выборка 1'!AQ211-'Выборка 1'!AP211))/4000</f>
        <v>0</v>
      </c>
      <c r="G211" s="17">
        <f>((('Выборка 1'!BH211-'Выборка 1'!BM211)-('Выборка 1'!BG211-'Выборка 1'!BL211))+(('Выборка 1'!BI211-'Выборка 1'!BN211)-('Выборка 1'!BH211-'Выборка 1'!BM211))+(('Выборка 1'!BJ211-'Выборка 1'!BO211)-('Выборка 1'!BI211-'Выборка 1'!BN211))+(('Выборка 1'!BK211-'Выборка 1'!BP211)-('Выборка 1'!BJ211-'Выборка 1'!BO211)))/4000</f>
        <v>8923.75</v>
      </c>
      <c r="H211" s="17">
        <f>(('Выборка 1'!BR211-'Выборка 1'!BQ211)+('Выборка 1'!BS211-'Выборка 1'!BR211)+('Выборка 1'!BT211-'Выборка 1'!BS211)+('Выборка 1'!BU211-'Выборка 1'!BT211))/4000</f>
        <v>8923.75</v>
      </c>
    </row>
    <row r="212" spans="2:8" x14ac:dyDescent="0.25">
      <c r="B212" s="42">
        <f>('Выборка 1'!AL212+'Выборка 1'!AG212)/1000</f>
        <v>488859</v>
      </c>
      <c r="C212" s="17">
        <v>18</v>
      </c>
      <c r="D212" s="17">
        <f>(('Выборка 1'!E212-'Выборка 1'!D212)+('Выборка 1'!F212-'Выборка 1'!E212)+('Выборка 1'!G212-'Выборка 1'!F212)+('Выборка 1'!H212-'Выборка 1'!G212))/4000</f>
        <v>-21984</v>
      </c>
      <c r="E212" s="17">
        <f>(('Выборка 1'!O212-'Выборка 1'!N212)+('Выборка 1'!P212-'Выборка 1'!O212)+('Выборка 1'!Q212-'Выборка 1'!P212)+('Выборка 1'!R212-'Выборка 1'!Q212))/4000</f>
        <v>-12215</v>
      </c>
      <c r="F212" s="17">
        <f>(('Выборка 1'!AN212-'Выборка 1'!AM212)+('Выборка 1'!AO212-'Выборка 1'!AN212)+('Выборка 1'!AP212-'Выборка 1'!AO212)+('Выборка 1'!AQ212-'Выборка 1'!AP212))/4000</f>
        <v>-555.25</v>
      </c>
      <c r="G212" s="17">
        <f>((('Выборка 1'!BH212-'Выборка 1'!BM212)-('Выборка 1'!BG212-'Выборка 1'!BL212))+(('Выборка 1'!BI212-'Выборка 1'!BN212)-('Выборка 1'!BH212-'Выборка 1'!BM212))+(('Выборка 1'!BJ212-'Выборка 1'!BO212)-('Выборка 1'!BI212-'Выборка 1'!BN212))+(('Выборка 1'!BK212-'Выборка 1'!BP212)-('Выборка 1'!BJ212-'Выборка 1'!BO212)))/4000</f>
        <v>-18905.5</v>
      </c>
      <c r="H212" s="17">
        <f>(('Выборка 1'!BR212-'Выборка 1'!BQ212)+('Выборка 1'!BS212-'Выборка 1'!BR212)+('Выборка 1'!BT212-'Выборка 1'!BS212)+('Выборка 1'!BU212-'Выборка 1'!BT212))/4000</f>
        <v>-17569.25</v>
      </c>
    </row>
    <row r="213" spans="2:8" x14ac:dyDescent="0.25">
      <c r="B213" s="42">
        <f>('Выборка 1'!AL213+'Выборка 1'!AG213)/1000</f>
        <v>0</v>
      </c>
      <c r="C213" s="17">
        <v>10</v>
      </c>
      <c r="D213" s="17">
        <f>(('Выборка 1'!E213-'Выборка 1'!D213)+('Выборка 1'!F213-'Выборка 1'!E213)+('Выборка 1'!G213-'Выборка 1'!F213)+('Выборка 1'!H213-'Выборка 1'!G213))/4000</f>
        <v>0</v>
      </c>
      <c r="E213" s="17">
        <f>(('Выборка 1'!O213-'Выборка 1'!N213)+('Выборка 1'!P213-'Выборка 1'!O213)+('Выборка 1'!Q213-'Выборка 1'!P213)+('Выборка 1'!R213-'Выборка 1'!Q213))/4000</f>
        <v>-6089</v>
      </c>
      <c r="F213" s="17">
        <f>(('Выборка 1'!AN213-'Выборка 1'!AM213)+('Выборка 1'!AO213-'Выборка 1'!AN213)+('Выборка 1'!AP213-'Выборка 1'!AO213)+('Выборка 1'!AQ213-'Выборка 1'!AP213))/4000</f>
        <v>-6645</v>
      </c>
      <c r="G213" s="17">
        <f>((('Выборка 1'!BH213-'Выборка 1'!BM213)-('Выборка 1'!BG213-'Выборка 1'!BL213))+(('Выборка 1'!BI213-'Выборка 1'!BN213)-('Выборка 1'!BH213-'Выборка 1'!BM213))+(('Выборка 1'!BJ213-'Выборка 1'!BO213)-('Выборка 1'!BI213-'Выборка 1'!BN213))+(('Выборка 1'!BK213-'Выборка 1'!BP213)-('Выборка 1'!BJ213-'Выборка 1'!BO213)))/4000</f>
        <v>8.25</v>
      </c>
      <c r="H213" s="17">
        <f>(('Выборка 1'!BR213-'Выборка 1'!BQ213)+('Выборка 1'!BS213-'Выборка 1'!BR213)+('Выборка 1'!BT213-'Выборка 1'!BS213)+('Выборка 1'!BU213-'Выборка 1'!BT213))/4000</f>
        <v>-15.5</v>
      </c>
    </row>
    <row r="214" spans="2:8" x14ac:dyDescent="0.25">
      <c r="B214" s="42">
        <f>('Выборка 1'!AL214+'Выборка 1'!AG214)/1000</f>
        <v>0</v>
      </c>
      <c r="C214" s="17">
        <v>16</v>
      </c>
      <c r="D214" s="17">
        <f>(('Выборка 1'!E214-'Выборка 1'!D214)+('Выборка 1'!F214-'Выборка 1'!E214)+('Выборка 1'!G214-'Выборка 1'!F214)+('Выборка 1'!H214-'Выборка 1'!G214))/4000</f>
        <v>0</v>
      </c>
      <c r="E214" s="17">
        <f>(('Выборка 1'!O214-'Выборка 1'!N214)+('Выборка 1'!P214-'Выборка 1'!O214)+('Выборка 1'!Q214-'Выборка 1'!P214)+('Выборка 1'!R214-'Выборка 1'!Q214))/4000</f>
        <v>0</v>
      </c>
      <c r="F214" s="17">
        <f>(('Выборка 1'!AN214-'Выборка 1'!AM214)+('Выборка 1'!AO214-'Выборка 1'!AN214)+('Выборка 1'!AP214-'Выборка 1'!AO214)+('Выборка 1'!AQ214-'Выборка 1'!AP214))/4000</f>
        <v>0</v>
      </c>
      <c r="G214" s="17">
        <f>((('Выборка 1'!BH214-'Выборка 1'!BM214)-('Выборка 1'!BG214-'Выборка 1'!BL214))+(('Выборка 1'!BI214-'Выборка 1'!BN214)-('Выборка 1'!BH214-'Выборка 1'!BM214))+(('Выборка 1'!BJ214-'Выборка 1'!BO214)-('Выборка 1'!BI214-'Выборка 1'!BN214))+(('Выборка 1'!BK214-'Выборка 1'!BP214)-('Выборка 1'!BJ214-'Выборка 1'!BO214)))/4000</f>
        <v>0</v>
      </c>
      <c r="H214" s="17">
        <f>(('Выборка 1'!BR214-'Выборка 1'!BQ214)+('Выборка 1'!BS214-'Выборка 1'!BR214)+('Выборка 1'!BT214-'Выборка 1'!BS214)+('Выборка 1'!BU214-'Выборка 1'!BT214))/4000</f>
        <v>0</v>
      </c>
    </row>
    <row r="215" spans="2:8" x14ac:dyDescent="0.25">
      <c r="B215" s="42">
        <f>('Выборка 1'!AL215+'Выборка 1'!AG215)/1000</f>
        <v>0</v>
      </c>
      <c r="C215" s="17">
        <v>9</v>
      </c>
      <c r="D215" s="17">
        <f>(('Выборка 1'!E215-'Выборка 1'!D215)+('Выборка 1'!F215-'Выборка 1'!E215)+('Выборка 1'!G215-'Выборка 1'!F215)+('Выборка 1'!H215-'Выборка 1'!G215))/4000</f>
        <v>0</v>
      </c>
      <c r="E215" s="17">
        <f>(('Выборка 1'!O215-'Выборка 1'!N215)+('Выборка 1'!P215-'Выборка 1'!O215)+('Выборка 1'!Q215-'Выборка 1'!P215)+('Выборка 1'!R215-'Выборка 1'!Q215))/4000</f>
        <v>-458.25</v>
      </c>
      <c r="F215" s="17">
        <f>(('Выборка 1'!AN215-'Выборка 1'!AM215)+('Выборка 1'!AO215-'Выборка 1'!AN215)+('Выборка 1'!AP215-'Выборка 1'!AO215)+('Выборка 1'!AQ215-'Выборка 1'!AP215))/4000</f>
        <v>-2903.5</v>
      </c>
      <c r="G215" s="17">
        <f>((('Выборка 1'!BH215-'Выборка 1'!BM215)-('Выборка 1'!BG215-'Выборка 1'!BL215))+(('Выборка 1'!BI215-'Выборка 1'!BN215)-('Выборка 1'!BH215-'Выборка 1'!BM215))+(('Выборка 1'!BJ215-'Выборка 1'!BO215)-('Выборка 1'!BI215-'Выборка 1'!BN215))+(('Выборка 1'!BK215-'Выборка 1'!BP215)-('Выборка 1'!BJ215-'Выборка 1'!BO215)))/4000</f>
        <v>10.25</v>
      </c>
      <c r="H215" s="17">
        <f>(('Выборка 1'!BR215-'Выборка 1'!BQ215)+('Выборка 1'!BS215-'Выборка 1'!BR215)+('Выборка 1'!BT215-'Выборка 1'!BS215)+('Выборка 1'!BU215-'Выборка 1'!BT215))/4000</f>
        <v>46.75</v>
      </c>
    </row>
    <row r="216" spans="2:8" x14ac:dyDescent="0.25">
      <c r="B216" s="42">
        <f>('Выборка 1'!AL216+'Выборка 1'!AG216)/1000</f>
        <v>0</v>
      </c>
      <c r="C216" s="17">
        <v>18</v>
      </c>
      <c r="D216" s="17">
        <f>(('Выборка 1'!E216-'Выборка 1'!D216)+('Выборка 1'!F216-'Выборка 1'!E216)+('Выборка 1'!G216-'Выборка 1'!F216)+('Выборка 1'!H216-'Выборка 1'!G216))/4000</f>
        <v>0</v>
      </c>
      <c r="E216" s="17">
        <f>(('Выборка 1'!O216-'Выборка 1'!N216)+('Выборка 1'!P216-'Выборка 1'!O216)+('Выборка 1'!Q216-'Выборка 1'!P216)+('Выборка 1'!R216-'Выборка 1'!Q216))/4000</f>
        <v>0</v>
      </c>
      <c r="F216" s="17">
        <f>(('Выборка 1'!AN216-'Выборка 1'!AM216)+('Выборка 1'!AO216-'Выборка 1'!AN216)+('Выборка 1'!AP216-'Выборка 1'!AO216)+('Выборка 1'!AQ216-'Выборка 1'!AP216))/4000</f>
        <v>0</v>
      </c>
      <c r="G216" s="17">
        <f>((('Выборка 1'!BH216-'Выборка 1'!BM216)-('Выборка 1'!BG216-'Выборка 1'!BL216))+(('Выборка 1'!BI216-'Выборка 1'!BN216)-('Выборка 1'!BH216-'Выборка 1'!BM216))+(('Выборка 1'!BJ216-'Выборка 1'!BO216)-('Выборка 1'!BI216-'Выборка 1'!BN216))+(('Выборка 1'!BK216-'Выборка 1'!BP216)-('Выборка 1'!BJ216-'Выборка 1'!BO216)))/4000</f>
        <v>0</v>
      </c>
      <c r="H216" s="17">
        <f>(('Выборка 1'!BR216-'Выборка 1'!BQ216)+('Выборка 1'!BS216-'Выборка 1'!BR216)+('Выборка 1'!BT216-'Выборка 1'!BS216)+('Выборка 1'!BU216-'Выборка 1'!BT216))/4000</f>
        <v>0</v>
      </c>
    </row>
    <row r="217" spans="2:8" x14ac:dyDescent="0.25">
      <c r="B217" s="42">
        <f>('Выборка 1'!AL217+'Выборка 1'!AG217)/1000</f>
        <v>0</v>
      </c>
      <c r="C217" s="17">
        <v>8</v>
      </c>
      <c r="D217" s="17">
        <f>(('Выборка 1'!E217-'Выборка 1'!D217)+('Выборка 1'!F217-'Выборка 1'!E217)+('Выборка 1'!G217-'Выборка 1'!F217)+('Выборка 1'!H217-'Выборка 1'!G217))/4000</f>
        <v>0</v>
      </c>
      <c r="E217" s="17">
        <f>(('Выборка 1'!O217-'Выборка 1'!N217)+('Выборка 1'!P217-'Выборка 1'!O217)+('Выборка 1'!Q217-'Выборка 1'!P217)+('Выборка 1'!R217-'Выборка 1'!Q217))/4000</f>
        <v>2500</v>
      </c>
      <c r="F217" s="17">
        <f>(('Выборка 1'!AN217-'Выборка 1'!AM217)+('Выборка 1'!AO217-'Выборка 1'!AN217)+('Выборка 1'!AP217-'Выборка 1'!AO217)+('Выборка 1'!AQ217-'Выборка 1'!AP217))/4000</f>
        <v>0</v>
      </c>
      <c r="G217" s="17">
        <f>((('Выборка 1'!BH217-'Выборка 1'!BM217)-('Выборка 1'!BG217-'Выборка 1'!BL217))+(('Выборка 1'!BI217-'Выборка 1'!BN217)-('Выборка 1'!BH217-'Выборка 1'!BM217))+(('Выборка 1'!BJ217-'Выборка 1'!BO217)-('Выборка 1'!BI217-'Выборка 1'!BN217))+(('Выборка 1'!BK217-'Выборка 1'!BP217)-('Выборка 1'!BJ217-'Выборка 1'!BO217)))/4000</f>
        <v>0</v>
      </c>
      <c r="H217" s="17">
        <f>(('Выборка 1'!BR217-'Выборка 1'!BQ217)+('Выборка 1'!BS217-'Выборка 1'!BR217)+('Выборка 1'!BT217-'Выборка 1'!BS217)+('Выборка 1'!BU217-'Выборка 1'!BT217))/4000</f>
        <v>0</v>
      </c>
    </row>
    <row r="218" spans="2:8" x14ac:dyDescent="0.25">
      <c r="B218" s="42">
        <f>('Выборка 1'!AL218+'Выборка 1'!AG218)/1000</f>
        <v>0</v>
      </c>
      <c r="C218" s="17">
        <v>12</v>
      </c>
      <c r="D218" s="17">
        <f>(('Выборка 1'!E218-'Выборка 1'!D218)+('Выборка 1'!F218-'Выборка 1'!E218)+('Выборка 1'!G218-'Выборка 1'!F218)+('Выборка 1'!H218-'Выборка 1'!G218))/4000</f>
        <v>0</v>
      </c>
      <c r="E218" s="17">
        <f>(('Выборка 1'!O218-'Выборка 1'!N218)+('Выборка 1'!P218-'Выборка 1'!O218)+('Выборка 1'!Q218-'Выборка 1'!P218)+('Выборка 1'!R218-'Выборка 1'!Q218))/4000</f>
        <v>-6013.75</v>
      </c>
      <c r="F218" s="17">
        <f>(('Выборка 1'!AN218-'Выборка 1'!AM218)+('Выборка 1'!AO218-'Выборка 1'!AN218)+('Выборка 1'!AP218-'Выборка 1'!AO218)+('Выборка 1'!AQ218-'Выборка 1'!AP218))/4000</f>
        <v>-1762.5</v>
      </c>
      <c r="G218" s="17">
        <f>((('Выборка 1'!BH218-'Выборка 1'!BM218)-('Выборка 1'!BG218-'Выборка 1'!BL218))+(('Выборка 1'!BI218-'Выборка 1'!BN218)-('Выборка 1'!BH218-'Выборка 1'!BM218))+(('Выборка 1'!BJ218-'Выборка 1'!BO218)-('Выборка 1'!BI218-'Выборка 1'!BN218))+(('Выборка 1'!BK218-'Выборка 1'!BP218)-('Выборка 1'!BJ218-'Выборка 1'!BO218)))/4000</f>
        <v>1259.75</v>
      </c>
      <c r="H218" s="17">
        <f>(('Выборка 1'!BR218-'Выборка 1'!BQ218)+('Выборка 1'!BS218-'Выборка 1'!BR218)+('Выборка 1'!BT218-'Выборка 1'!BS218)+('Выборка 1'!BU218-'Выборка 1'!BT218))/4000</f>
        <v>1660.75</v>
      </c>
    </row>
    <row r="219" spans="2:8" x14ac:dyDescent="0.25">
      <c r="B219" s="42">
        <f>('Выборка 1'!AL219+'Выборка 1'!AG219)/1000</f>
        <v>2121965</v>
      </c>
      <c r="C219" s="17">
        <v>22</v>
      </c>
      <c r="D219" s="17">
        <f>(('Выборка 1'!E219-'Выборка 1'!D219)+('Выборка 1'!F219-'Выборка 1'!E219)+('Выборка 1'!G219-'Выборка 1'!F219)+('Выборка 1'!H219-'Выборка 1'!G219))/4000</f>
        <v>-19997.5</v>
      </c>
      <c r="E219" s="17">
        <f>(('Выборка 1'!O219-'Выборка 1'!N219)+('Выборка 1'!P219-'Выборка 1'!O219)+('Выборка 1'!Q219-'Выборка 1'!P219)+('Выборка 1'!R219-'Выборка 1'!Q219))/4000</f>
        <v>-392161</v>
      </c>
      <c r="F219" s="17">
        <f>(('Выборка 1'!AN219-'Выборка 1'!AM219)+('Выборка 1'!AO219-'Выборка 1'!AN219)+('Выборка 1'!AP219-'Выборка 1'!AO219)+('Выборка 1'!AQ219-'Выборка 1'!AP219))/4000</f>
        <v>-919418</v>
      </c>
      <c r="G219" s="17">
        <f>((('Выборка 1'!BH219-'Выборка 1'!BM219)-('Выборка 1'!BG219-'Выборка 1'!BL219))+(('Выборка 1'!BI219-'Выборка 1'!BN219)-('Выборка 1'!BH219-'Выборка 1'!BM219))+(('Выборка 1'!BJ219-'Выборка 1'!BO219)-('Выборка 1'!BI219-'Выборка 1'!BN219))+(('Выборка 1'!BK219-'Выборка 1'!BP219)-('Выборка 1'!BJ219-'Выборка 1'!BO219)))/4000</f>
        <v>-337328.25</v>
      </c>
      <c r="H219" s="17">
        <f>(('Выборка 1'!BR219-'Выборка 1'!BQ219)+('Выборка 1'!BS219-'Выборка 1'!BR219)+('Выборка 1'!BT219-'Выборка 1'!BS219)+('Выборка 1'!BU219-'Выборка 1'!BT219))/4000</f>
        <v>-294897.5</v>
      </c>
    </row>
    <row r="220" spans="2:8" x14ac:dyDescent="0.25">
      <c r="B220" s="42">
        <f>('Выборка 1'!AL220+'Выборка 1'!AG220)/1000</f>
        <v>326462</v>
      </c>
      <c r="C220" s="17">
        <v>31</v>
      </c>
      <c r="D220" s="17">
        <f>(('Выборка 1'!E220-'Выборка 1'!D220)+('Выборка 1'!F220-'Выборка 1'!E220)+('Выборка 1'!G220-'Выборка 1'!F220)+('Выборка 1'!H220-'Выборка 1'!G220))/4000</f>
        <v>-120093.25</v>
      </c>
      <c r="E220" s="17">
        <f>(('Выборка 1'!O220-'Выборка 1'!N220)+('Выборка 1'!P220-'Выборка 1'!O220)+('Выборка 1'!Q220-'Выборка 1'!P220)+('Выборка 1'!R220-'Выборка 1'!Q220))/4000</f>
        <v>-21530.75</v>
      </c>
      <c r="F220" s="17">
        <f>(('Выборка 1'!AN220-'Выборка 1'!AM220)+('Выборка 1'!AO220-'Выборка 1'!AN220)+('Выборка 1'!AP220-'Выборка 1'!AO220)+('Выборка 1'!AQ220-'Выборка 1'!AP220))/4000</f>
        <v>2685.5</v>
      </c>
      <c r="G220" s="17">
        <f>((('Выборка 1'!BH220-'Выборка 1'!BM220)-('Выборка 1'!BG220-'Выборка 1'!BL220))+(('Выборка 1'!BI220-'Выборка 1'!BN220)-('Выборка 1'!BH220-'Выборка 1'!BM220))+(('Выборка 1'!BJ220-'Выборка 1'!BO220)-('Выборка 1'!BI220-'Выборка 1'!BN220))+(('Выборка 1'!BK220-'Выборка 1'!BP220)-('Выборка 1'!BJ220-'Выборка 1'!BO220)))/4000</f>
        <v>10969.75</v>
      </c>
      <c r="H220" s="17">
        <f>(('Выборка 1'!BR220-'Выборка 1'!BQ220)+('Выборка 1'!BS220-'Выборка 1'!BR220)+('Выборка 1'!BT220-'Выборка 1'!BS220)+('Выборка 1'!BU220-'Выборка 1'!BT220))/4000</f>
        <v>35950.25</v>
      </c>
    </row>
    <row r="221" spans="2:8" x14ac:dyDescent="0.25">
      <c r="B221" s="42">
        <f>('Выборка 1'!AL221+'Выборка 1'!AG221)/1000</f>
        <v>857653</v>
      </c>
      <c r="C221" s="17">
        <v>22</v>
      </c>
      <c r="D221" s="17">
        <f>(('Выборка 1'!E221-'Выборка 1'!D221)+('Выборка 1'!F221-'Выборка 1'!E221)+('Выборка 1'!G221-'Выборка 1'!F221)+('Выборка 1'!H221-'Выборка 1'!G221))/4000</f>
        <v>-9110.25</v>
      </c>
      <c r="E221" s="17">
        <f>(('Выборка 1'!O221-'Выборка 1'!N221)+('Выборка 1'!P221-'Выборка 1'!O221)+('Выборка 1'!Q221-'Выборка 1'!P221)+('Выборка 1'!R221-'Выборка 1'!Q221))/4000</f>
        <v>-181069.25</v>
      </c>
      <c r="F221" s="17">
        <f>(('Выборка 1'!AN221-'Выборка 1'!AM221)+('Выборка 1'!AO221-'Выборка 1'!AN221)+('Выборка 1'!AP221-'Выборка 1'!AO221)+('Выборка 1'!AQ221-'Выборка 1'!AP221))/4000</f>
        <v>-858956.5</v>
      </c>
      <c r="G221" s="17">
        <f>((('Выборка 1'!BH221-'Выборка 1'!BM221)-('Выборка 1'!BG221-'Выборка 1'!BL221))+(('Выборка 1'!BI221-'Выборка 1'!BN221)-('Выборка 1'!BH221-'Выборка 1'!BM221))+(('Выборка 1'!BJ221-'Выборка 1'!BO221)-('Выборка 1'!BI221-'Выборка 1'!BN221))+(('Выборка 1'!BK221-'Выборка 1'!BP221)-('Выборка 1'!BJ221-'Выборка 1'!BO221)))/4000</f>
        <v>1650.5</v>
      </c>
      <c r="H221" s="17">
        <f>(('Выборка 1'!BR221-'Выборка 1'!BQ221)+('Выборка 1'!BS221-'Выборка 1'!BR221)+('Выборка 1'!BT221-'Выборка 1'!BS221)+('Выборка 1'!BU221-'Выборка 1'!BT221))/4000</f>
        <v>21708.25</v>
      </c>
    </row>
    <row r="222" spans="2:8" x14ac:dyDescent="0.25">
      <c r="B222" s="42">
        <f>('Выборка 1'!AL222+'Выборка 1'!AG222)/1000</f>
        <v>0</v>
      </c>
      <c r="C222" s="17">
        <v>11</v>
      </c>
      <c r="D222" s="17">
        <f>(('Выборка 1'!E222-'Выборка 1'!D222)+('Выборка 1'!F222-'Выборка 1'!E222)+('Выборка 1'!G222-'Выборка 1'!F222)+('Выборка 1'!H222-'Выборка 1'!G222))/4000</f>
        <v>54256.25</v>
      </c>
      <c r="E222" s="17">
        <f>(('Выборка 1'!O222-'Выборка 1'!N222)+('Выборка 1'!P222-'Выборка 1'!O222)+('Выборка 1'!Q222-'Выборка 1'!P222)+('Выборка 1'!R222-'Выборка 1'!Q222))/4000</f>
        <v>-72310.5</v>
      </c>
      <c r="F222" s="17">
        <f>(('Выборка 1'!AN222-'Выборка 1'!AM222)+('Выборка 1'!AO222-'Выборка 1'!AN222)+('Выборка 1'!AP222-'Выборка 1'!AO222)+('Выборка 1'!AQ222-'Выборка 1'!AP222))/4000</f>
        <v>-263201.75</v>
      </c>
      <c r="G222" s="17">
        <f>((('Выборка 1'!BH222-'Выборка 1'!BM222)-('Выборка 1'!BG222-'Выборка 1'!BL222))+(('Выборка 1'!BI222-'Выборка 1'!BN222)-('Выборка 1'!BH222-'Выборка 1'!BM222))+(('Выборка 1'!BJ222-'Выборка 1'!BO222)-('Выборка 1'!BI222-'Выборка 1'!BN222))+(('Выборка 1'!BK222-'Выборка 1'!BP222)-('Выборка 1'!BJ222-'Выборка 1'!BO222)))/4000</f>
        <v>49260.5</v>
      </c>
      <c r="H222" s="17">
        <f>(('Выборка 1'!BR222-'Выборка 1'!BQ222)+('Выборка 1'!BS222-'Выборка 1'!BR222)+('Выборка 1'!BT222-'Выборка 1'!BS222)+('Выборка 1'!BU222-'Выборка 1'!BT222))/4000</f>
        <v>15836.25</v>
      </c>
    </row>
    <row r="223" spans="2:8" x14ac:dyDescent="0.25">
      <c r="B223" s="42">
        <f>('Выборка 1'!AL223+'Выборка 1'!AG223)/1000</f>
        <v>0</v>
      </c>
      <c r="C223" s="17">
        <v>8</v>
      </c>
      <c r="D223" s="17">
        <f>(('Выборка 1'!E223-'Выборка 1'!D223)+('Выборка 1'!F223-'Выборка 1'!E223)+('Выборка 1'!G223-'Выборка 1'!F223)+('Выборка 1'!H223-'Выборка 1'!G223))/4000</f>
        <v>-3187.25</v>
      </c>
      <c r="E223" s="17">
        <f>(('Выборка 1'!O223-'Выборка 1'!N223)+('Выборка 1'!P223-'Выборка 1'!O223)+('Выборка 1'!Q223-'Выборка 1'!P223)+('Выборка 1'!R223-'Выборка 1'!Q223))/4000</f>
        <v>-5778.5</v>
      </c>
      <c r="F223" s="17">
        <f>(('Выборка 1'!AN223-'Выборка 1'!AM223)+('Выборка 1'!AO223-'Выборка 1'!AN223)+('Выборка 1'!AP223-'Выборка 1'!AO223)+('Выборка 1'!AQ223-'Выборка 1'!AP223))/4000</f>
        <v>-6912</v>
      </c>
      <c r="G223" s="17">
        <f>((('Выборка 1'!BH223-'Выборка 1'!BM223)-('Выборка 1'!BG223-'Выборка 1'!BL223))+(('Выборка 1'!BI223-'Выборка 1'!BN223)-('Выборка 1'!BH223-'Выборка 1'!BM223))+(('Выборка 1'!BJ223-'Выборка 1'!BO223)-('Выборка 1'!BI223-'Выборка 1'!BN223))+(('Выборка 1'!BK223-'Выборка 1'!BP223)-('Выборка 1'!BJ223-'Выборка 1'!BO223)))/4000</f>
        <v>-1133.5</v>
      </c>
      <c r="H223" s="17">
        <f>(('Выборка 1'!BR223-'Выборка 1'!BQ223)+('Выборка 1'!BS223-'Выборка 1'!BR223)+('Выборка 1'!BT223-'Выборка 1'!BS223)+('Выборка 1'!BU223-'Выборка 1'!BT223))/4000</f>
        <v>-113.5</v>
      </c>
    </row>
    <row r="224" spans="2:8" x14ac:dyDescent="0.25">
      <c r="B224" s="42">
        <f>('Выборка 1'!AL224+'Выборка 1'!AG224)/1000</f>
        <v>0</v>
      </c>
      <c r="C224" s="17">
        <v>16</v>
      </c>
      <c r="D224" s="17">
        <f>(('Выборка 1'!E224-'Выборка 1'!D224)+('Выборка 1'!F224-'Выборка 1'!E224)+('Выборка 1'!G224-'Выборка 1'!F224)+('Выборка 1'!H224-'Выборка 1'!G224))/4000</f>
        <v>0</v>
      </c>
      <c r="E224" s="17">
        <f>(('Выборка 1'!O224-'Выборка 1'!N224)+('Выборка 1'!P224-'Выборка 1'!O224)+('Выборка 1'!Q224-'Выборка 1'!P224)+('Выборка 1'!R224-'Выборка 1'!Q224))/4000</f>
        <v>0</v>
      </c>
      <c r="F224" s="17">
        <f>(('Выборка 1'!AN224-'Выборка 1'!AM224)+('Выборка 1'!AO224-'Выборка 1'!AN224)+('Выборка 1'!AP224-'Выборка 1'!AO224)+('Выборка 1'!AQ224-'Выборка 1'!AP224))/4000</f>
        <v>0</v>
      </c>
      <c r="G224" s="17">
        <f>((('Выборка 1'!BH224-'Выборка 1'!BM224)-('Выборка 1'!BG224-'Выборка 1'!BL224))+(('Выборка 1'!BI224-'Выборка 1'!BN224)-('Выборка 1'!BH224-'Выборка 1'!BM224))+(('Выборка 1'!BJ224-'Выборка 1'!BO224)-('Выборка 1'!BI224-'Выборка 1'!BN224))+(('Выборка 1'!BK224-'Выборка 1'!BP224)-('Выборка 1'!BJ224-'Выборка 1'!BO224)))/4000</f>
        <v>0</v>
      </c>
      <c r="H224" s="17">
        <f>(('Выборка 1'!BR224-'Выборка 1'!BQ224)+('Выборка 1'!BS224-'Выборка 1'!BR224)+('Выборка 1'!BT224-'Выборка 1'!BS224)+('Выборка 1'!BU224-'Выборка 1'!BT224))/4000</f>
        <v>0</v>
      </c>
    </row>
    <row r="225" spans="2:8" x14ac:dyDescent="0.25">
      <c r="B225" s="42">
        <f>('Выборка 1'!AL225+'Выборка 1'!AG225)/1000</f>
        <v>0</v>
      </c>
      <c r="C225" s="17">
        <v>32</v>
      </c>
      <c r="D225" s="17">
        <f>(('Выборка 1'!E225-'Выборка 1'!D225)+('Выборка 1'!F225-'Выборка 1'!E225)+('Выборка 1'!G225-'Выборка 1'!F225)+('Выборка 1'!H225-'Выборка 1'!G225))/4000</f>
        <v>-49582.5</v>
      </c>
      <c r="E225" s="17">
        <f>(('Выборка 1'!O225-'Выборка 1'!N225)+('Выборка 1'!P225-'Выборка 1'!O225)+('Выборка 1'!Q225-'Выборка 1'!P225)+('Выборка 1'!R225-'Выборка 1'!Q225))/4000</f>
        <v>-3714470.5</v>
      </c>
      <c r="F225" s="17">
        <f>(('Выборка 1'!AN225-'Выборка 1'!AM225)+('Выборка 1'!AO225-'Выборка 1'!AN225)+('Выборка 1'!AP225-'Выборка 1'!AO225)+('Выборка 1'!AQ225-'Выборка 1'!AP225))/4000</f>
        <v>-1381926.5</v>
      </c>
      <c r="G225" s="17">
        <f>((('Выборка 1'!BH225-'Выборка 1'!BM225)-('Выборка 1'!BG225-'Выборка 1'!BL225))+(('Выборка 1'!BI225-'Выборка 1'!BN225)-('Выборка 1'!BH225-'Выборка 1'!BM225))+(('Выборка 1'!BJ225-'Выборка 1'!BO225)-('Выборка 1'!BI225-'Выборка 1'!BN225))+(('Выборка 1'!BK225-'Выборка 1'!BP225)-('Выборка 1'!BJ225-'Выборка 1'!BO225)))/4000</f>
        <v>18771.25</v>
      </c>
      <c r="H225" s="17">
        <f>(('Выборка 1'!BR225-'Выборка 1'!BQ225)+('Выборка 1'!BS225-'Выборка 1'!BR225)+('Выборка 1'!BT225-'Выборка 1'!BS225)+('Выборка 1'!BU225-'Выборка 1'!BT225))/4000</f>
        <v>-6783.25</v>
      </c>
    </row>
    <row r="226" spans="2:8" x14ac:dyDescent="0.25">
      <c r="B226" s="42">
        <f>('Выборка 1'!AL226+'Выборка 1'!AG226)/1000</f>
        <v>1891841</v>
      </c>
      <c r="C226" s="17">
        <v>19</v>
      </c>
      <c r="D226" s="17">
        <f>(('Выборка 1'!E226-'Выборка 1'!D226)+('Выборка 1'!F226-'Выборка 1'!E226)+('Выборка 1'!G226-'Выборка 1'!F226)+('Выборка 1'!H226-'Выборка 1'!G226))/4000</f>
        <v>-14276.5</v>
      </c>
      <c r="E226" s="17">
        <f>(('Выборка 1'!O226-'Выборка 1'!N226)+('Выборка 1'!P226-'Выборка 1'!O226)+('Выборка 1'!Q226-'Выборка 1'!P226)+('Выборка 1'!R226-'Выборка 1'!Q226))/4000</f>
        <v>-415</v>
      </c>
      <c r="F226" s="17">
        <f>(('Выборка 1'!AN226-'Выборка 1'!AM226)+('Выборка 1'!AO226-'Выборка 1'!AN226)+('Выборка 1'!AP226-'Выборка 1'!AO226)+('Выборка 1'!AQ226-'Выборка 1'!AP226))/4000</f>
        <v>0</v>
      </c>
      <c r="G226" s="17">
        <f>((('Выборка 1'!BH226-'Выборка 1'!BM226)-('Выборка 1'!BG226-'Выборка 1'!BL226))+(('Выборка 1'!BI226-'Выборка 1'!BN226)-('Выборка 1'!BH226-'Выборка 1'!BM226))+(('Выборка 1'!BJ226-'Выборка 1'!BO226)-('Выборка 1'!BI226-'Выборка 1'!BN226))+(('Выборка 1'!BK226-'Выборка 1'!BP226)-('Выборка 1'!BJ226-'Выборка 1'!BO226)))/4000</f>
        <v>385609.75</v>
      </c>
      <c r="H226" s="17">
        <f>(('Выборка 1'!BR226-'Выборка 1'!BQ226)+('Выборка 1'!BS226-'Выборка 1'!BR226)+('Выборка 1'!BT226-'Выборка 1'!BS226)+('Выборка 1'!BU226-'Выборка 1'!BT226))/4000</f>
        <v>386408.5</v>
      </c>
    </row>
    <row r="227" spans="2:8" x14ac:dyDescent="0.25">
      <c r="B227" s="42">
        <f>('Выборка 1'!AL227+'Выборка 1'!AG227)/1000</f>
        <v>304914</v>
      </c>
      <c r="C227" s="17">
        <v>13</v>
      </c>
      <c r="D227" s="17">
        <f>(('Выборка 1'!E227-'Выборка 1'!D227)+('Выборка 1'!F227-'Выборка 1'!E227)+('Выборка 1'!G227-'Выборка 1'!F227)+('Выборка 1'!H227-'Выборка 1'!G227))/4000</f>
        <v>18131</v>
      </c>
      <c r="E227" s="17">
        <f>(('Выборка 1'!O227-'Выборка 1'!N227)+('Выборка 1'!P227-'Выборка 1'!O227)+('Выборка 1'!Q227-'Выборка 1'!P227)+('Выборка 1'!R227-'Выборка 1'!Q227))/4000</f>
        <v>-2503.25</v>
      </c>
      <c r="F227" s="17">
        <f>(('Выборка 1'!AN227-'Выборка 1'!AM227)+('Выборка 1'!AO227-'Выборка 1'!AN227)+('Выборка 1'!AP227-'Выборка 1'!AO227)+('Выборка 1'!AQ227-'Выборка 1'!AP227))/4000</f>
        <v>0</v>
      </c>
      <c r="G227" s="17">
        <f>((('Выборка 1'!BH227-'Выборка 1'!BM227)-('Выборка 1'!BG227-'Выборка 1'!BL227))+(('Выборка 1'!BI227-'Выборка 1'!BN227)-('Выборка 1'!BH227-'Выборка 1'!BM227))+(('Выборка 1'!BJ227-'Выборка 1'!BO227)-('Выборка 1'!BI227-'Выборка 1'!BN227))+(('Выборка 1'!BK227-'Выборка 1'!BP227)-('Выборка 1'!BJ227-'Выборка 1'!BO227)))/4000</f>
        <v>18472.5</v>
      </c>
      <c r="H227" s="17">
        <f>(('Выборка 1'!BR227-'Выборка 1'!BQ227)+('Выборка 1'!BS227-'Выборка 1'!BR227)+('Выборка 1'!BT227-'Выборка 1'!BS227)+('Выборка 1'!BU227-'Выборка 1'!BT227))/4000</f>
        <v>19183.75</v>
      </c>
    </row>
    <row r="228" spans="2:8" x14ac:dyDescent="0.25">
      <c r="B228" s="42">
        <f>('Выборка 1'!AL228+'Выборка 1'!AG228)/1000</f>
        <v>1870</v>
      </c>
      <c r="C228" s="17">
        <v>23</v>
      </c>
      <c r="D228" s="17">
        <f>(('Выборка 1'!E228-'Выборка 1'!D228)+('Выборка 1'!F228-'Выборка 1'!E228)+('Выборка 1'!G228-'Выборка 1'!F228)+('Выборка 1'!H228-'Выборка 1'!G228))/4000</f>
        <v>-19.5</v>
      </c>
      <c r="E228" s="17">
        <f>(('Выборка 1'!O228-'Выборка 1'!N228)+('Выборка 1'!P228-'Выборка 1'!O228)+('Выборка 1'!Q228-'Выборка 1'!P228)+('Выборка 1'!R228-'Выборка 1'!Q228))/4000</f>
        <v>3144</v>
      </c>
      <c r="F228" s="17">
        <f>(('Выборка 1'!AN228-'Выборка 1'!AM228)+('Выборка 1'!AO228-'Выборка 1'!AN228)+('Выборка 1'!AP228-'Выборка 1'!AO228)+('Выборка 1'!AQ228-'Выборка 1'!AP228))/4000</f>
        <v>-1270.5</v>
      </c>
      <c r="G228" s="17">
        <f>((('Выборка 1'!BH228-'Выборка 1'!BM228)-('Выборка 1'!BG228-'Выборка 1'!BL228))+(('Выборка 1'!BI228-'Выборка 1'!BN228)-('Выборка 1'!BH228-'Выборка 1'!BM228))+(('Выборка 1'!BJ228-'Выборка 1'!BO228)-('Выборка 1'!BI228-'Выборка 1'!BN228))+(('Выборка 1'!BK228-'Выборка 1'!BP228)-('Выборка 1'!BJ228-'Выборка 1'!BO228)))/4000</f>
        <v>10.25</v>
      </c>
      <c r="H228" s="17">
        <f>(('Выборка 1'!BR228-'Выборка 1'!BQ228)+('Выборка 1'!BS228-'Выборка 1'!BR228)+('Выборка 1'!BT228-'Выборка 1'!BS228)+('Выборка 1'!BU228-'Выборка 1'!BT228))/4000</f>
        <v>-6170.75</v>
      </c>
    </row>
    <row r="229" spans="2:8" x14ac:dyDescent="0.25">
      <c r="B229" s="42">
        <f>('Выборка 1'!AL229+'Выборка 1'!AG229)/1000</f>
        <v>179183</v>
      </c>
      <c r="C229" s="17">
        <v>29</v>
      </c>
      <c r="D229" s="17">
        <f>(('Выборка 1'!E229-'Выборка 1'!D229)+('Выборка 1'!F229-'Выборка 1'!E229)+('Выборка 1'!G229-'Выборка 1'!F229)+('Выборка 1'!H229-'Выборка 1'!G229))/4000</f>
        <v>-5568</v>
      </c>
      <c r="E229" s="17">
        <f>(('Выборка 1'!O229-'Выборка 1'!N229)+('Выборка 1'!P229-'Выборка 1'!O229)+('Выборка 1'!Q229-'Выборка 1'!P229)+('Выборка 1'!R229-'Выборка 1'!Q229))/4000</f>
        <v>-13989.5</v>
      </c>
      <c r="F229" s="17">
        <f>(('Выборка 1'!AN229-'Выборка 1'!AM229)+('Выборка 1'!AO229-'Выборка 1'!AN229)+('Выборка 1'!AP229-'Выборка 1'!AO229)+('Выборка 1'!AQ229-'Выборка 1'!AP229))/4000</f>
        <v>-124.5</v>
      </c>
      <c r="G229" s="17">
        <f>((('Выборка 1'!BH229-'Выборка 1'!BM229)-('Выборка 1'!BG229-'Выборка 1'!BL229))+(('Выборка 1'!BI229-'Выборка 1'!BN229)-('Выборка 1'!BH229-'Выборка 1'!BM229))+(('Выборка 1'!BJ229-'Выборка 1'!BO229)-('Выборка 1'!BI229-'Выборка 1'!BN229))+(('Выборка 1'!BK229-'Выборка 1'!BP229)-('Выборка 1'!BJ229-'Выборка 1'!BO229)))/4000</f>
        <v>-2561</v>
      </c>
      <c r="H229" s="17">
        <f>(('Выборка 1'!BR229-'Выборка 1'!BQ229)+('Выборка 1'!BS229-'Выборка 1'!BR229)+('Выборка 1'!BT229-'Выборка 1'!BS229)+('Выборка 1'!BU229-'Выборка 1'!BT229))/4000</f>
        <v>-1122.5</v>
      </c>
    </row>
    <row r="230" spans="2:8" x14ac:dyDescent="0.25">
      <c r="B230" s="42">
        <f>('Выборка 1'!AL230+'Выборка 1'!AG230)/1000</f>
        <v>1543922</v>
      </c>
      <c r="C230" s="17">
        <v>20</v>
      </c>
      <c r="D230" s="17">
        <f>(('Выборка 1'!E230-'Выборка 1'!D230)+('Выборка 1'!F230-'Выборка 1'!E230)+('Выборка 1'!G230-'Выборка 1'!F230)+('Выборка 1'!H230-'Выборка 1'!G230))/4000</f>
        <v>0</v>
      </c>
      <c r="E230" s="17">
        <f>(('Выборка 1'!O230-'Выборка 1'!N230)+('Выборка 1'!P230-'Выборка 1'!O230)+('Выборка 1'!Q230-'Выборка 1'!P230)+('Выборка 1'!R230-'Выборка 1'!Q230))/4000</f>
        <v>131945.5</v>
      </c>
      <c r="F230" s="17">
        <f>(('Выборка 1'!AN230-'Выборка 1'!AM230)+('Выборка 1'!AO230-'Выборка 1'!AN230)+('Выборка 1'!AP230-'Выборка 1'!AO230)+('Выборка 1'!AQ230-'Выборка 1'!AP230))/4000</f>
        <v>-526.75</v>
      </c>
      <c r="G230" s="17">
        <f>((('Выборка 1'!BH230-'Выборка 1'!BM230)-('Выборка 1'!BG230-'Выборка 1'!BL230))+(('Выборка 1'!BI230-'Выборка 1'!BN230)-('Выборка 1'!BH230-'Выборка 1'!BM230))+(('Выборка 1'!BJ230-'Выборка 1'!BO230)-('Выборка 1'!BI230-'Выборка 1'!BN230))+(('Выборка 1'!BK230-'Выборка 1'!BP230)-('Выборка 1'!BJ230-'Выборка 1'!BO230)))/4000</f>
        <v>619119</v>
      </c>
      <c r="H230" s="17">
        <f>(('Выборка 1'!BR230-'Выборка 1'!BQ230)+('Выборка 1'!BS230-'Выборка 1'!BR230)+('Выборка 1'!BT230-'Выборка 1'!BS230)+('Выборка 1'!BU230-'Выборка 1'!BT230))/4000</f>
        <v>619951.5</v>
      </c>
    </row>
    <row r="231" spans="2:8" x14ac:dyDescent="0.25">
      <c r="B231" s="42">
        <f>('Выборка 1'!AL231+'Выборка 1'!AG231)/1000</f>
        <v>46659</v>
      </c>
      <c r="C231" s="17">
        <v>19</v>
      </c>
      <c r="D231" s="17">
        <f>(('Выборка 1'!E231-'Выборка 1'!D231)+('Выборка 1'!F231-'Выборка 1'!E231)+('Выборка 1'!G231-'Выборка 1'!F231)+('Выборка 1'!H231-'Выборка 1'!G231))/4000</f>
        <v>-8574.25</v>
      </c>
      <c r="E231" s="17">
        <f>(('Выборка 1'!O231-'Выборка 1'!N231)+('Выборка 1'!P231-'Выборка 1'!O231)+('Выборка 1'!Q231-'Выборка 1'!P231)+('Выборка 1'!R231-'Выборка 1'!Q231))/4000</f>
        <v>-1450</v>
      </c>
      <c r="F231" s="17">
        <f>(('Выборка 1'!AN231-'Выборка 1'!AM231)+('Выборка 1'!AO231-'Выборка 1'!AN231)+('Выборка 1'!AP231-'Выборка 1'!AO231)+('Выборка 1'!AQ231-'Выборка 1'!AP231))/4000</f>
        <v>-42215.25</v>
      </c>
      <c r="G231" s="17">
        <f>((('Выборка 1'!BH231-'Выборка 1'!BM231)-('Выборка 1'!BG231-'Выборка 1'!BL231))+(('Выборка 1'!BI231-'Выборка 1'!BN231)-('Выборка 1'!BH231-'Выборка 1'!BM231))+(('Выборка 1'!BJ231-'Выборка 1'!BO231)-('Выборка 1'!BI231-'Выборка 1'!BN231))+(('Выборка 1'!BK231-'Выборка 1'!BP231)-('Выборка 1'!BJ231-'Выборка 1'!BO231)))/4000</f>
        <v>-950.75</v>
      </c>
      <c r="H231" s="17">
        <f>(('Выборка 1'!BR231-'Выборка 1'!BQ231)+('Выборка 1'!BS231-'Выборка 1'!BR231)+('Выборка 1'!BT231-'Выборка 1'!BS231)+('Выборка 1'!BU231-'Выборка 1'!BT231))/4000</f>
        <v>19845</v>
      </c>
    </row>
    <row r="232" spans="2:8" x14ac:dyDescent="0.25">
      <c r="B232" s="42">
        <f>('Выборка 1'!AL232+'Выборка 1'!AG232)/1000</f>
        <v>0</v>
      </c>
      <c r="C232" s="17">
        <v>10</v>
      </c>
      <c r="D232" s="17">
        <f>(('Выборка 1'!E232-'Выборка 1'!D232)+('Выборка 1'!F232-'Выборка 1'!E232)+('Выборка 1'!G232-'Выборка 1'!F232)+('Выборка 1'!H232-'Выборка 1'!G232))/4000</f>
        <v>-12016</v>
      </c>
      <c r="E232" s="17">
        <f>(('Выборка 1'!O232-'Выборка 1'!N232)+('Выборка 1'!P232-'Выборка 1'!O232)+('Выборка 1'!Q232-'Выборка 1'!P232)+('Выборка 1'!R232-'Выборка 1'!Q232))/4000</f>
        <v>-12717</v>
      </c>
      <c r="F232" s="17">
        <f>(('Выборка 1'!AN232-'Выборка 1'!AM232)+('Выборка 1'!AO232-'Выборка 1'!AN232)+('Выборка 1'!AP232-'Выборка 1'!AO232)+('Выборка 1'!AQ232-'Выборка 1'!AP232))/4000</f>
        <v>-23657.25</v>
      </c>
      <c r="G232" s="17">
        <f>((('Выборка 1'!BH232-'Выборка 1'!BM232)-('Выборка 1'!BG232-'Выборка 1'!BL232))+(('Выборка 1'!BI232-'Выборка 1'!BN232)-('Выборка 1'!BH232-'Выборка 1'!BM232))+(('Выборка 1'!BJ232-'Выборка 1'!BO232)-('Выборка 1'!BI232-'Выборка 1'!BN232))+(('Выборка 1'!BK232-'Выборка 1'!BP232)-('Выборка 1'!BJ232-'Выборка 1'!BO232)))/4000</f>
        <v>7452.5</v>
      </c>
      <c r="H232" s="17">
        <f>(('Выборка 1'!BR232-'Выборка 1'!BQ232)+('Выборка 1'!BS232-'Выборка 1'!BR232)+('Выборка 1'!BT232-'Выборка 1'!BS232)+('Выборка 1'!BU232-'Выборка 1'!BT232))/4000</f>
        <v>-947.5</v>
      </c>
    </row>
    <row r="233" spans="2:8" x14ac:dyDescent="0.25">
      <c r="B233" s="42">
        <f>('Выборка 1'!AL233+'Выборка 1'!AG233)/1000</f>
        <v>0</v>
      </c>
      <c r="C233" s="17">
        <v>10</v>
      </c>
      <c r="D233" s="17">
        <f>(('Выборка 1'!E233-'Выборка 1'!D233)+('Выборка 1'!F233-'Выборка 1'!E233)+('Выборка 1'!G233-'Выборка 1'!F233)+('Выборка 1'!H233-'Выборка 1'!G233))/4000</f>
        <v>-683</v>
      </c>
      <c r="E233" s="17">
        <f>(('Выборка 1'!O233-'Выборка 1'!N233)+('Выборка 1'!P233-'Выборка 1'!O233)+('Выборка 1'!Q233-'Выборка 1'!P233)+('Выборка 1'!R233-'Выборка 1'!Q233))/4000</f>
        <v>-22941.75</v>
      </c>
      <c r="F233" s="17">
        <f>(('Выборка 1'!AN233-'Выборка 1'!AM233)+('Выборка 1'!AO233-'Выборка 1'!AN233)+('Выборка 1'!AP233-'Выборка 1'!AO233)+('Выборка 1'!AQ233-'Выборка 1'!AP233))/4000</f>
        <v>-27270.25</v>
      </c>
      <c r="G233" s="17">
        <f>((('Выборка 1'!BH233-'Выборка 1'!BM233)-('Выборка 1'!BG233-'Выборка 1'!BL233))+(('Выборка 1'!BI233-'Выборка 1'!BN233)-('Выборка 1'!BH233-'Выборка 1'!BM233))+(('Выборка 1'!BJ233-'Выборка 1'!BO233)-('Выборка 1'!BI233-'Выборка 1'!BN233))+(('Выборка 1'!BK233-'Выборка 1'!BP233)-('Выборка 1'!BJ233-'Выборка 1'!BO233)))/4000</f>
        <v>6285.75</v>
      </c>
      <c r="H233" s="17">
        <f>(('Выборка 1'!BR233-'Выборка 1'!BQ233)+('Выборка 1'!BS233-'Выборка 1'!BR233)+('Выборка 1'!BT233-'Выборка 1'!BS233)+('Выборка 1'!BU233-'Выборка 1'!BT233))/4000</f>
        <v>-3046.5</v>
      </c>
    </row>
    <row r="234" spans="2:8" x14ac:dyDescent="0.25">
      <c r="B234" s="42">
        <f>('Выборка 1'!AL234+'Выборка 1'!AG234)/1000</f>
        <v>417000</v>
      </c>
      <c r="C234" s="17">
        <v>9</v>
      </c>
      <c r="D234" s="17">
        <f>(('Выборка 1'!E234-'Выборка 1'!D234)+('Выборка 1'!F234-'Выборка 1'!E234)+('Выборка 1'!G234-'Выборка 1'!F234)+('Выборка 1'!H234-'Выборка 1'!G234))/4000</f>
        <v>-13792</v>
      </c>
      <c r="E234" s="17">
        <f>(('Выборка 1'!O234-'Выборка 1'!N234)+('Выборка 1'!P234-'Выборка 1'!O234)+('Выборка 1'!Q234-'Выборка 1'!P234)+('Выборка 1'!R234-'Выборка 1'!Q234))/4000</f>
        <v>-73235</v>
      </c>
      <c r="F234" s="17">
        <f>(('Выборка 1'!AN234-'Выборка 1'!AM234)+('Выборка 1'!AO234-'Выборка 1'!AN234)+('Выборка 1'!AP234-'Выборка 1'!AO234)+('Выборка 1'!AQ234-'Выборка 1'!AP234))/4000</f>
        <v>-189422.5</v>
      </c>
      <c r="G234" s="17">
        <f>((('Выборка 1'!BH234-'Выборка 1'!BM234)-('Выборка 1'!BG234-'Выборка 1'!BL234))+(('Выборка 1'!BI234-'Выборка 1'!BN234)-('Выборка 1'!BH234-'Выборка 1'!BM234))+(('Выборка 1'!BJ234-'Выборка 1'!BO234)-('Выборка 1'!BI234-'Выборка 1'!BN234))+(('Выборка 1'!BK234-'Выборка 1'!BP234)-('Выборка 1'!BJ234-'Выборка 1'!BO234)))/4000</f>
        <v>12138.25</v>
      </c>
      <c r="H234" s="17">
        <f>(('Выборка 1'!BR234-'Выборка 1'!BQ234)+('Выборка 1'!BS234-'Выборка 1'!BR234)+('Выборка 1'!BT234-'Выборка 1'!BS234)+('Выборка 1'!BU234-'Выборка 1'!BT234))/4000</f>
        <v>-1372.5</v>
      </c>
    </row>
    <row r="235" spans="2:8" x14ac:dyDescent="0.25">
      <c r="B235" s="42">
        <f>('Выборка 1'!AL235+'Выборка 1'!AG235)/1000</f>
        <v>0</v>
      </c>
      <c r="C235" s="17">
        <v>9</v>
      </c>
      <c r="D235" s="17">
        <f>(('Выборка 1'!E235-'Выборка 1'!D235)+('Выборка 1'!F235-'Выборка 1'!E235)+('Выборка 1'!G235-'Выборка 1'!F235)+('Выборка 1'!H235-'Выборка 1'!G235))/4000</f>
        <v>-2895.75</v>
      </c>
      <c r="E235" s="17">
        <f>(('Выборка 1'!O235-'Выборка 1'!N235)+('Выборка 1'!P235-'Выборка 1'!O235)+('Выборка 1'!Q235-'Выборка 1'!P235)+('Выборка 1'!R235-'Выборка 1'!Q235))/4000</f>
        <v>-3851.25</v>
      </c>
      <c r="F235" s="17">
        <f>(('Выборка 1'!AN235-'Выборка 1'!AM235)+('Выборка 1'!AO235-'Выборка 1'!AN235)+('Выборка 1'!AP235-'Выборка 1'!AO235)+('Выборка 1'!AQ235-'Выборка 1'!AP235))/4000</f>
        <v>-7607.25</v>
      </c>
      <c r="G235" s="17">
        <f>((('Выборка 1'!BH235-'Выборка 1'!BM235)-('Выборка 1'!BG235-'Выборка 1'!BL235))+(('Выборка 1'!BI235-'Выборка 1'!BN235)-('Выборка 1'!BH235-'Выборка 1'!BM235))+(('Выборка 1'!BJ235-'Выборка 1'!BO235)-('Выборка 1'!BI235-'Выборка 1'!BN235))+(('Выборка 1'!BK235-'Выборка 1'!BP235)-('Выборка 1'!BJ235-'Выборка 1'!BO235)))/4000</f>
        <v>139.25</v>
      </c>
      <c r="H235" s="17">
        <f>(('Выборка 1'!BR235-'Выборка 1'!BQ235)+('Выборка 1'!BS235-'Выборка 1'!BR235)+('Выборка 1'!BT235-'Выборка 1'!BS235)+('Выборка 1'!BU235-'Выборка 1'!BT235))/4000</f>
        <v>-40.25</v>
      </c>
    </row>
    <row r="236" spans="2:8" x14ac:dyDescent="0.25">
      <c r="B236" s="42">
        <f>('Выборка 1'!AL236+'Выборка 1'!AG236)/1000</f>
        <v>0</v>
      </c>
      <c r="C236" s="17">
        <v>31</v>
      </c>
      <c r="D236" s="17">
        <f>(('Выборка 1'!E236-'Выборка 1'!D236)+('Выборка 1'!F236-'Выборка 1'!E236)+('Выборка 1'!G236-'Выборка 1'!F236)+('Выборка 1'!H236-'Выборка 1'!G236))/4000</f>
        <v>0</v>
      </c>
      <c r="E236" s="17">
        <f>(('Выборка 1'!O236-'Выборка 1'!N236)+('Выборка 1'!P236-'Выборка 1'!O236)+('Выборка 1'!Q236-'Выборка 1'!P236)+('Выборка 1'!R236-'Выборка 1'!Q236))/4000</f>
        <v>0</v>
      </c>
      <c r="F236" s="17">
        <f>(('Выборка 1'!AN236-'Выборка 1'!AM236)+('Выборка 1'!AO236-'Выборка 1'!AN236)+('Выборка 1'!AP236-'Выборка 1'!AO236)+('Выборка 1'!AQ236-'Выборка 1'!AP236))/4000</f>
        <v>0</v>
      </c>
      <c r="G236" s="17">
        <f>((('Выборка 1'!BH236-'Выборка 1'!BM236)-('Выборка 1'!BG236-'Выборка 1'!BL236))+(('Выборка 1'!BI236-'Выборка 1'!BN236)-('Выборка 1'!BH236-'Выборка 1'!BM236))+(('Выборка 1'!BJ236-'Выборка 1'!BO236)-('Выборка 1'!BI236-'Выборка 1'!BN236))+(('Выборка 1'!BK236-'Выборка 1'!BP236)-('Выборка 1'!BJ236-'Выборка 1'!BO236)))/4000</f>
        <v>0</v>
      </c>
      <c r="H236" s="17">
        <f>(('Выборка 1'!BR236-'Выборка 1'!BQ236)+('Выборка 1'!BS236-'Выборка 1'!BR236)+('Выборка 1'!BT236-'Выборка 1'!BS236)+('Выборка 1'!BU236-'Выборка 1'!BT236))/4000</f>
        <v>0</v>
      </c>
    </row>
    <row r="237" spans="2:8" x14ac:dyDescent="0.25">
      <c r="B237" s="42">
        <f>('Выборка 1'!AL237+'Выборка 1'!AG237)/1000</f>
        <v>0</v>
      </c>
      <c r="C237" s="17">
        <v>19</v>
      </c>
      <c r="D237" s="17">
        <f>(('Выборка 1'!E237-'Выборка 1'!D237)+('Выборка 1'!F237-'Выборка 1'!E237)+('Выборка 1'!G237-'Выборка 1'!F237)+('Выборка 1'!H237-'Выборка 1'!G237))/4000</f>
        <v>0</v>
      </c>
      <c r="E237" s="17">
        <f>(('Выборка 1'!O237-'Выборка 1'!N237)+('Выборка 1'!P237-'Выборка 1'!O237)+('Выборка 1'!Q237-'Выборка 1'!P237)+('Выборка 1'!R237-'Выборка 1'!Q237))/4000</f>
        <v>0</v>
      </c>
      <c r="F237" s="17">
        <f>(('Выборка 1'!AN237-'Выборка 1'!AM237)+('Выборка 1'!AO237-'Выборка 1'!AN237)+('Выборка 1'!AP237-'Выборка 1'!AO237)+('Выборка 1'!AQ237-'Выборка 1'!AP237))/4000</f>
        <v>0</v>
      </c>
      <c r="G237" s="17">
        <f>((('Выборка 1'!BH237-'Выборка 1'!BM237)-('Выборка 1'!BG237-'Выборка 1'!BL237))+(('Выборка 1'!BI237-'Выборка 1'!BN237)-('Выборка 1'!BH237-'Выборка 1'!BM237))+(('Выборка 1'!BJ237-'Выборка 1'!BO237)-('Выборка 1'!BI237-'Выборка 1'!BN237))+(('Выборка 1'!BK237-'Выборка 1'!BP237)-('Выборка 1'!BJ237-'Выборка 1'!BO237)))/4000</f>
        <v>0</v>
      </c>
      <c r="H237" s="17">
        <f>(('Выборка 1'!BR237-'Выборка 1'!BQ237)+('Выборка 1'!BS237-'Выборка 1'!BR237)+('Выборка 1'!BT237-'Выборка 1'!BS237)+('Выборка 1'!BU237-'Выборка 1'!BT237))/4000</f>
        <v>0</v>
      </c>
    </row>
    <row r="238" spans="2:8" x14ac:dyDescent="0.25">
      <c r="B238" s="42">
        <f>('Выборка 1'!AL238+'Выборка 1'!AG238)/1000</f>
        <v>0</v>
      </c>
      <c r="C238" s="17">
        <v>30</v>
      </c>
      <c r="D238" s="17">
        <f>(('Выборка 1'!E238-'Выборка 1'!D238)+('Выборка 1'!F238-'Выборка 1'!E238)+('Выборка 1'!G238-'Выборка 1'!F238)+('Выборка 1'!H238-'Выборка 1'!G238))/4000</f>
        <v>0</v>
      </c>
      <c r="E238" s="17">
        <f>(('Выборка 1'!O238-'Выборка 1'!N238)+('Выборка 1'!P238-'Выборка 1'!O238)+('Выборка 1'!Q238-'Выборка 1'!P238)+('Выборка 1'!R238-'Выборка 1'!Q238))/4000</f>
        <v>0</v>
      </c>
      <c r="F238" s="17">
        <f>(('Выборка 1'!AN238-'Выборка 1'!AM238)+('Выборка 1'!AO238-'Выборка 1'!AN238)+('Выборка 1'!AP238-'Выборка 1'!AO238)+('Выборка 1'!AQ238-'Выборка 1'!AP238))/4000</f>
        <v>0</v>
      </c>
      <c r="G238" s="17">
        <f>((('Выборка 1'!BH238-'Выборка 1'!BM238)-('Выборка 1'!BG238-'Выборка 1'!BL238))+(('Выборка 1'!BI238-'Выборка 1'!BN238)-('Выборка 1'!BH238-'Выборка 1'!BM238))+(('Выборка 1'!BJ238-'Выборка 1'!BO238)-('Выборка 1'!BI238-'Выборка 1'!BN238))+(('Выборка 1'!BK238-'Выборка 1'!BP238)-('Выборка 1'!BJ238-'Выборка 1'!BO238)))/4000</f>
        <v>0</v>
      </c>
      <c r="H238" s="17">
        <f>(('Выборка 1'!BR238-'Выборка 1'!BQ238)+('Выборка 1'!BS238-'Выборка 1'!BR238)+('Выборка 1'!BT238-'Выборка 1'!BS238)+('Выборка 1'!BU238-'Выборка 1'!BT238))/4000</f>
        <v>0</v>
      </c>
    </row>
    <row r="239" spans="2:8" x14ac:dyDescent="0.25">
      <c r="B239" s="42">
        <f>('Выборка 1'!AL239+'Выборка 1'!AG239)/1000</f>
        <v>0</v>
      </c>
      <c r="C239" s="17">
        <v>23</v>
      </c>
      <c r="D239" s="17">
        <f>(('Выборка 1'!E239-'Выборка 1'!D239)+('Выборка 1'!F239-'Выборка 1'!E239)+('Выборка 1'!G239-'Выборка 1'!F239)+('Выборка 1'!H239-'Выборка 1'!G239))/4000</f>
        <v>0</v>
      </c>
      <c r="E239" s="17">
        <f>(('Выборка 1'!O239-'Выборка 1'!N239)+('Выборка 1'!P239-'Выборка 1'!O239)+('Выборка 1'!Q239-'Выборка 1'!P239)+('Выборка 1'!R239-'Выборка 1'!Q239))/4000</f>
        <v>0</v>
      </c>
      <c r="F239" s="17">
        <f>(('Выборка 1'!AN239-'Выборка 1'!AM239)+('Выборка 1'!AO239-'Выборка 1'!AN239)+('Выборка 1'!AP239-'Выборка 1'!AO239)+('Выборка 1'!AQ239-'Выборка 1'!AP239))/4000</f>
        <v>0</v>
      </c>
      <c r="G239" s="17">
        <f>((('Выборка 1'!BH239-'Выборка 1'!BM239)-('Выборка 1'!BG239-'Выборка 1'!BL239))+(('Выборка 1'!BI239-'Выборка 1'!BN239)-('Выборка 1'!BH239-'Выборка 1'!BM239))+(('Выборка 1'!BJ239-'Выборка 1'!BO239)-('Выборка 1'!BI239-'Выборка 1'!BN239))+(('Выборка 1'!BK239-'Выборка 1'!BP239)-('Выборка 1'!BJ239-'Выборка 1'!BO239)))/4000</f>
        <v>0</v>
      </c>
      <c r="H239" s="17">
        <f>(('Выборка 1'!BR239-'Выборка 1'!BQ239)+('Выборка 1'!BS239-'Выборка 1'!BR239)+('Выборка 1'!BT239-'Выборка 1'!BS239)+('Выборка 1'!BU239-'Выборка 1'!BT239))/4000</f>
        <v>0</v>
      </c>
    </row>
    <row r="240" spans="2:8" x14ac:dyDescent="0.25">
      <c r="B240" s="42">
        <f>('Выборка 1'!AL240+'Выборка 1'!AG240)/1000</f>
        <v>0</v>
      </c>
      <c r="C240" s="17">
        <v>6</v>
      </c>
      <c r="D240" s="17">
        <f>(('Выборка 1'!E240-'Выборка 1'!D240)+('Выборка 1'!F240-'Выборка 1'!E240)+('Выборка 1'!G240-'Выборка 1'!F240)+('Выборка 1'!H240-'Выборка 1'!G240))/4000</f>
        <v>0</v>
      </c>
      <c r="E240" s="17">
        <f>(('Выборка 1'!O240-'Выборка 1'!N240)+('Выборка 1'!P240-'Выборка 1'!O240)+('Выборка 1'!Q240-'Выборка 1'!P240)+('Выборка 1'!R240-'Выборка 1'!Q240))/4000</f>
        <v>-2964.25</v>
      </c>
      <c r="F240" s="17">
        <f>(('Выборка 1'!AN240-'Выборка 1'!AM240)+('Выборка 1'!AO240-'Выборка 1'!AN240)+('Выборка 1'!AP240-'Выборка 1'!AO240)+('Выборка 1'!AQ240-'Выборка 1'!AP240))/4000</f>
        <v>-4846.75</v>
      </c>
      <c r="G240" s="17">
        <f>((('Выборка 1'!BH240-'Выборка 1'!BM240)-('Выборка 1'!BG240-'Выборка 1'!BL240))+(('Выборка 1'!BI240-'Выборка 1'!BN240)-('Выборка 1'!BH240-'Выборка 1'!BM240))+(('Выборка 1'!BJ240-'Выборка 1'!BO240)-('Выборка 1'!BI240-'Выборка 1'!BN240))+(('Выборка 1'!BK240-'Выборка 1'!BP240)-('Выборка 1'!BJ240-'Выборка 1'!BO240)))/4000</f>
        <v>113.75</v>
      </c>
      <c r="H240" s="17">
        <f>(('Выборка 1'!BR240-'Выборка 1'!BQ240)+('Выборка 1'!BS240-'Выборка 1'!BR240)+('Выборка 1'!BT240-'Выборка 1'!BS240)+('Выборка 1'!BU240-'Выборка 1'!BT240))/4000</f>
        <v>-16.75</v>
      </c>
    </row>
    <row r="241" spans="2:8" x14ac:dyDescent="0.25">
      <c r="B241" s="42">
        <f>('Выборка 1'!AL241+'Выборка 1'!AG241)/1000</f>
        <v>0</v>
      </c>
      <c r="C241" s="17">
        <v>34</v>
      </c>
      <c r="D241" s="17">
        <f>(('Выборка 1'!E241-'Выборка 1'!D241)+('Выборка 1'!F241-'Выборка 1'!E241)+('Выборка 1'!G241-'Выборка 1'!F241)+('Выборка 1'!H241-'Выборка 1'!G241))/4000</f>
        <v>0</v>
      </c>
      <c r="E241" s="17">
        <f>(('Выборка 1'!O241-'Выборка 1'!N241)+('Выборка 1'!P241-'Выборка 1'!O241)+('Выборка 1'!Q241-'Выборка 1'!P241)+('Выборка 1'!R241-'Выборка 1'!Q241))/4000</f>
        <v>0</v>
      </c>
      <c r="F241" s="17">
        <f>(('Выборка 1'!AN241-'Выборка 1'!AM241)+('Выборка 1'!AO241-'Выборка 1'!AN241)+('Выборка 1'!AP241-'Выборка 1'!AO241)+('Выборка 1'!AQ241-'Выборка 1'!AP241))/4000</f>
        <v>0</v>
      </c>
      <c r="G241" s="17">
        <f>((('Выборка 1'!BH241-'Выборка 1'!BM241)-('Выборка 1'!BG241-'Выборка 1'!BL241))+(('Выборка 1'!BI241-'Выборка 1'!BN241)-('Выборка 1'!BH241-'Выборка 1'!BM241))+(('Выборка 1'!BJ241-'Выборка 1'!BO241)-('Выборка 1'!BI241-'Выборка 1'!BN241))+(('Выборка 1'!BK241-'Выборка 1'!BP241)-('Выборка 1'!BJ241-'Выборка 1'!BO241)))/4000</f>
        <v>0</v>
      </c>
      <c r="H241" s="17">
        <f>(('Выборка 1'!BR241-'Выборка 1'!BQ241)+('Выборка 1'!BS241-'Выборка 1'!BR241)+('Выборка 1'!BT241-'Выборка 1'!BS241)+('Выборка 1'!BU241-'Выборка 1'!BT241))/4000</f>
        <v>0</v>
      </c>
    </row>
    <row r="242" spans="2:8" x14ac:dyDescent="0.25">
      <c r="B242" s="42">
        <f>('Выборка 1'!AL242+'Выборка 1'!AG242)/1000</f>
        <v>0</v>
      </c>
      <c r="C242" s="17">
        <v>30</v>
      </c>
      <c r="D242" s="17">
        <f>(('Выборка 1'!E242-'Выборка 1'!D242)+('Выборка 1'!F242-'Выборка 1'!E242)+('Выборка 1'!G242-'Выборка 1'!F242)+('Выборка 1'!H242-'Выборка 1'!G242))/4000</f>
        <v>0</v>
      </c>
      <c r="E242" s="17">
        <f>(('Выборка 1'!O242-'Выборка 1'!N242)+('Выборка 1'!P242-'Выборка 1'!O242)+('Выборка 1'!Q242-'Выборка 1'!P242)+('Выборка 1'!R242-'Выборка 1'!Q242))/4000</f>
        <v>0</v>
      </c>
      <c r="F242" s="17">
        <f>(('Выборка 1'!AN242-'Выборка 1'!AM242)+('Выборка 1'!AO242-'Выборка 1'!AN242)+('Выборка 1'!AP242-'Выборка 1'!AO242)+('Выборка 1'!AQ242-'Выборка 1'!AP242))/4000</f>
        <v>0</v>
      </c>
      <c r="G242" s="17">
        <f>((('Выборка 1'!BH242-'Выборка 1'!BM242)-('Выборка 1'!BG242-'Выборка 1'!BL242))+(('Выборка 1'!BI242-'Выборка 1'!BN242)-('Выборка 1'!BH242-'Выборка 1'!BM242))+(('Выборка 1'!BJ242-'Выборка 1'!BO242)-('Выборка 1'!BI242-'Выборка 1'!BN242))+(('Выборка 1'!BK242-'Выборка 1'!BP242)-('Выборка 1'!BJ242-'Выборка 1'!BO242)))/4000</f>
        <v>0</v>
      </c>
      <c r="H242" s="17">
        <f>(('Выборка 1'!BR242-'Выборка 1'!BQ242)+('Выборка 1'!BS242-'Выборка 1'!BR242)+('Выборка 1'!BT242-'Выборка 1'!BS242)+('Выборка 1'!BU242-'Выборка 1'!BT242))/4000</f>
        <v>0</v>
      </c>
    </row>
    <row r="243" spans="2:8" x14ac:dyDescent="0.25">
      <c r="B243" s="42">
        <f>('Выборка 1'!AL243+'Выборка 1'!AG243)/1000</f>
        <v>0</v>
      </c>
      <c r="C243" s="17">
        <v>32</v>
      </c>
      <c r="D243" s="17">
        <f>(('Выборка 1'!E243-'Выборка 1'!D243)+('Выборка 1'!F243-'Выборка 1'!E243)+('Выборка 1'!G243-'Выборка 1'!F243)+('Выборка 1'!H243-'Выборка 1'!G243))/4000</f>
        <v>0</v>
      </c>
      <c r="E243" s="17">
        <f>(('Выборка 1'!O243-'Выборка 1'!N243)+('Выборка 1'!P243-'Выборка 1'!O243)+('Выборка 1'!Q243-'Выборка 1'!P243)+('Выборка 1'!R243-'Выборка 1'!Q243))/4000</f>
        <v>0</v>
      </c>
      <c r="F243" s="17">
        <f>(('Выборка 1'!AN243-'Выборка 1'!AM243)+('Выборка 1'!AO243-'Выборка 1'!AN243)+('Выборка 1'!AP243-'Выборка 1'!AO243)+('Выборка 1'!AQ243-'Выборка 1'!AP243))/4000</f>
        <v>0</v>
      </c>
      <c r="G243" s="17">
        <f>((('Выборка 1'!BH243-'Выборка 1'!BM243)-('Выборка 1'!BG243-'Выборка 1'!BL243))+(('Выборка 1'!BI243-'Выборка 1'!BN243)-('Выборка 1'!BH243-'Выборка 1'!BM243))+(('Выборка 1'!BJ243-'Выборка 1'!BO243)-('Выборка 1'!BI243-'Выборка 1'!BN243))+(('Выборка 1'!BK243-'Выборка 1'!BP243)-('Выборка 1'!BJ243-'Выборка 1'!BO243)))/4000</f>
        <v>0</v>
      </c>
      <c r="H243" s="17">
        <f>(('Выборка 1'!BR243-'Выборка 1'!BQ243)+('Выборка 1'!BS243-'Выборка 1'!BR243)+('Выборка 1'!BT243-'Выборка 1'!BS243)+('Выборка 1'!BU243-'Выборка 1'!BT243))/4000</f>
        <v>0</v>
      </c>
    </row>
    <row r="244" spans="2:8" x14ac:dyDescent="0.25">
      <c r="B244" s="42">
        <f>('Выборка 1'!AL244+'Выборка 1'!AG244)/1000</f>
        <v>0</v>
      </c>
      <c r="C244" s="17">
        <v>31</v>
      </c>
      <c r="D244" s="17">
        <f>(('Выборка 1'!E244-'Выборка 1'!D244)+('Выборка 1'!F244-'Выборка 1'!E244)+('Выборка 1'!G244-'Выборка 1'!F244)+('Выборка 1'!H244-'Выборка 1'!G244))/4000</f>
        <v>0</v>
      </c>
      <c r="E244" s="17">
        <f>(('Выборка 1'!O244-'Выборка 1'!N244)+('Выборка 1'!P244-'Выборка 1'!O244)+('Выборка 1'!Q244-'Выборка 1'!P244)+('Выборка 1'!R244-'Выборка 1'!Q244))/4000</f>
        <v>0</v>
      </c>
      <c r="F244" s="17">
        <f>(('Выборка 1'!AN244-'Выборка 1'!AM244)+('Выборка 1'!AO244-'Выборка 1'!AN244)+('Выборка 1'!AP244-'Выборка 1'!AO244)+('Выборка 1'!AQ244-'Выборка 1'!AP244))/4000</f>
        <v>0</v>
      </c>
      <c r="G244" s="17">
        <f>((('Выборка 1'!BH244-'Выборка 1'!BM244)-('Выборка 1'!BG244-'Выборка 1'!BL244))+(('Выборка 1'!BI244-'Выборка 1'!BN244)-('Выборка 1'!BH244-'Выборка 1'!BM244))+(('Выборка 1'!BJ244-'Выборка 1'!BO244)-('Выборка 1'!BI244-'Выборка 1'!BN244))+(('Выборка 1'!BK244-'Выборка 1'!BP244)-('Выборка 1'!BJ244-'Выборка 1'!BO244)))/4000</f>
        <v>0</v>
      </c>
      <c r="H244" s="17">
        <f>(('Выборка 1'!BR244-'Выборка 1'!BQ244)+('Выборка 1'!BS244-'Выборка 1'!BR244)+('Выборка 1'!BT244-'Выборка 1'!BS244)+('Выборка 1'!BU244-'Выборка 1'!BT244))/4000</f>
        <v>0</v>
      </c>
    </row>
    <row r="245" spans="2:8" x14ac:dyDescent="0.25">
      <c r="B245" s="42">
        <f>('Выборка 1'!AL245+'Выборка 1'!AG245)/1000</f>
        <v>0</v>
      </c>
      <c r="C245" s="17">
        <v>35</v>
      </c>
      <c r="D245" s="17">
        <f>(('Выборка 1'!E245-'Выборка 1'!D245)+('Выборка 1'!F245-'Выборка 1'!E245)+('Выборка 1'!G245-'Выборка 1'!F245)+('Выборка 1'!H245-'Выборка 1'!G245))/4000</f>
        <v>0</v>
      </c>
      <c r="E245" s="17">
        <f>(('Выборка 1'!O245-'Выборка 1'!N245)+('Выборка 1'!P245-'Выборка 1'!O245)+('Выборка 1'!Q245-'Выборка 1'!P245)+('Выборка 1'!R245-'Выборка 1'!Q245))/4000</f>
        <v>0</v>
      </c>
      <c r="F245" s="17">
        <f>(('Выборка 1'!AN245-'Выборка 1'!AM245)+('Выборка 1'!AO245-'Выборка 1'!AN245)+('Выборка 1'!AP245-'Выборка 1'!AO245)+('Выборка 1'!AQ245-'Выборка 1'!AP245))/4000</f>
        <v>0</v>
      </c>
      <c r="G245" s="17">
        <f>((('Выборка 1'!BH245-'Выборка 1'!BM245)-('Выборка 1'!BG245-'Выборка 1'!BL245))+(('Выборка 1'!BI245-'Выборка 1'!BN245)-('Выборка 1'!BH245-'Выборка 1'!BM245))+(('Выборка 1'!BJ245-'Выборка 1'!BO245)-('Выборка 1'!BI245-'Выборка 1'!BN245))+(('Выборка 1'!BK245-'Выборка 1'!BP245)-('Выборка 1'!BJ245-'Выборка 1'!BO245)))/4000</f>
        <v>0</v>
      </c>
      <c r="H245" s="17">
        <f>(('Выборка 1'!BR245-'Выборка 1'!BQ245)+('Выборка 1'!BS245-'Выборка 1'!BR245)+('Выборка 1'!BT245-'Выборка 1'!BS245)+('Выборка 1'!BU245-'Выборка 1'!BT245))/4000</f>
        <v>0</v>
      </c>
    </row>
    <row r="246" spans="2:8" x14ac:dyDescent="0.25">
      <c r="B246" s="42">
        <f>('Выборка 1'!AL246+'Выборка 1'!AG246)/1000</f>
        <v>0</v>
      </c>
      <c r="C246" s="17">
        <v>31</v>
      </c>
      <c r="D246" s="17">
        <f>(('Выборка 1'!E246-'Выборка 1'!D246)+('Выборка 1'!F246-'Выборка 1'!E246)+('Выборка 1'!G246-'Выборка 1'!F246)+('Выборка 1'!H246-'Выборка 1'!G246))/4000</f>
        <v>0</v>
      </c>
      <c r="E246" s="17">
        <f>(('Выборка 1'!O246-'Выборка 1'!N246)+('Выборка 1'!P246-'Выборка 1'!O246)+('Выборка 1'!Q246-'Выборка 1'!P246)+('Выборка 1'!R246-'Выборка 1'!Q246))/4000</f>
        <v>0</v>
      </c>
      <c r="F246" s="17">
        <f>(('Выборка 1'!AN246-'Выборка 1'!AM246)+('Выборка 1'!AO246-'Выборка 1'!AN246)+('Выборка 1'!AP246-'Выборка 1'!AO246)+('Выборка 1'!AQ246-'Выборка 1'!AP246))/4000</f>
        <v>0</v>
      </c>
      <c r="G246" s="17">
        <f>((('Выборка 1'!BH246-'Выборка 1'!BM246)-('Выборка 1'!BG246-'Выборка 1'!BL246))+(('Выборка 1'!BI246-'Выборка 1'!BN246)-('Выборка 1'!BH246-'Выборка 1'!BM246))+(('Выборка 1'!BJ246-'Выборка 1'!BO246)-('Выборка 1'!BI246-'Выборка 1'!BN246))+(('Выборка 1'!BK246-'Выборка 1'!BP246)-('Выборка 1'!BJ246-'Выборка 1'!BO246)))/4000</f>
        <v>0</v>
      </c>
      <c r="H246" s="17">
        <f>(('Выборка 1'!BR246-'Выборка 1'!BQ246)+('Выборка 1'!BS246-'Выборка 1'!BR246)+('Выборка 1'!BT246-'Выборка 1'!BS246)+('Выборка 1'!BU246-'Выборка 1'!BT246))/4000</f>
        <v>0</v>
      </c>
    </row>
    <row r="247" spans="2:8" x14ac:dyDescent="0.25">
      <c r="B247" s="42">
        <f>('Выборка 1'!AL247+'Выборка 1'!AG247)/1000</f>
        <v>0</v>
      </c>
      <c r="C247" s="17">
        <v>34</v>
      </c>
      <c r="D247" s="17">
        <f>(('Выборка 1'!E247-'Выборка 1'!D247)+('Выборка 1'!F247-'Выборка 1'!E247)+('Выборка 1'!G247-'Выборка 1'!F247)+('Выборка 1'!H247-'Выборка 1'!G247))/4000</f>
        <v>0</v>
      </c>
      <c r="E247" s="17">
        <f>(('Выборка 1'!O247-'Выборка 1'!N247)+('Выборка 1'!P247-'Выборка 1'!O247)+('Выборка 1'!Q247-'Выборка 1'!P247)+('Выборка 1'!R247-'Выборка 1'!Q247))/4000</f>
        <v>0</v>
      </c>
      <c r="F247" s="17">
        <f>(('Выборка 1'!AN247-'Выборка 1'!AM247)+('Выборка 1'!AO247-'Выборка 1'!AN247)+('Выборка 1'!AP247-'Выборка 1'!AO247)+('Выборка 1'!AQ247-'Выборка 1'!AP247))/4000</f>
        <v>0</v>
      </c>
      <c r="G247" s="17">
        <f>((('Выборка 1'!BH247-'Выборка 1'!BM247)-('Выборка 1'!BG247-'Выборка 1'!BL247))+(('Выборка 1'!BI247-'Выборка 1'!BN247)-('Выборка 1'!BH247-'Выборка 1'!BM247))+(('Выборка 1'!BJ247-'Выборка 1'!BO247)-('Выборка 1'!BI247-'Выборка 1'!BN247))+(('Выборка 1'!BK247-'Выборка 1'!BP247)-('Выборка 1'!BJ247-'Выборка 1'!BO247)))/4000</f>
        <v>0</v>
      </c>
      <c r="H247" s="17">
        <f>(('Выборка 1'!BR247-'Выборка 1'!BQ247)+('Выборка 1'!BS247-'Выборка 1'!BR247)+('Выборка 1'!BT247-'Выборка 1'!BS247)+('Выборка 1'!BU247-'Выборка 1'!BT247))/4000</f>
        <v>0</v>
      </c>
    </row>
    <row r="248" spans="2:8" x14ac:dyDescent="0.25">
      <c r="B248" s="42">
        <f>('Выборка 1'!AL248+'Выборка 1'!AG248)/1000</f>
        <v>0</v>
      </c>
      <c r="C248" s="17">
        <v>33</v>
      </c>
      <c r="D248" s="17">
        <f>(('Выборка 1'!E248-'Выборка 1'!D248)+('Выборка 1'!F248-'Выборка 1'!E248)+('Выборка 1'!G248-'Выборка 1'!F248)+('Выборка 1'!H248-'Выборка 1'!G248))/4000</f>
        <v>0</v>
      </c>
      <c r="E248" s="17">
        <f>(('Выборка 1'!O248-'Выборка 1'!N248)+('Выборка 1'!P248-'Выборка 1'!O248)+('Выборка 1'!Q248-'Выборка 1'!P248)+('Выборка 1'!R248-'Выборка 1'!Q248))/4000</f>
        <v>0</v>
      </c>
      <c r="F248" s="17">
        <f>(('Выборка 1'!AN248-'Выборка 1'!AM248)+('Выборка 1'!AO248-'Выборка 1'!AN248)+('Выборка 1'!AP248-'Выборка 1'!AO248)+('Выборка 1'!AQ248-'Выборка 1'!AP248))/4000</f>
        <v>0</v>
      </c>
      <c r="G248" s="17">
        <f>((('Выборка 1'!BH248-'Выборка 1'!BM248)-('Выборка 1'!BG248-'Выборка 1'!BL248))+(('Выборка 1'!BI248-'Выборка 1'!BN248)-('Выборка 1'!BH248-'Выборка 1'!BM248))+(('Выборка 1'!BJ248-'Выборка 1'!BO248)-('Выборка 1'!BI248-'Выборка 1'!BN248))+(('Выборка 1'!BK248-'Выборка 1'!BP248)-('Выборка 1'!BJ248-'Выборка 1'!BO248)))/4000</f>
        <v>0</v>
      </c>
      <c r="H248" s="17">
        <f>(('Выборка 1'!BR248-'Выборка 1'!BQ248)+('Выборка 1'!BS248-'Выборка 1'!BR248)+('Выборка 1'!BT248-'Выборка 1'!BS248)+('Выборка 1'!BU248-'Выборка 1'!BT248))/4000</f>
        <v>0</v>
      </c>
    </row>
    <row r="249" spans="2:8" x14ac:dyDescent="0.25">
      <c r="B249" s="42">
        <f>('Выборка 1'!AL249+'Выборка 1'!AG249)/1000</f>
        <v>107694</v>
      </c>
      <c r="C249" s="17">
        <v>31</v>
      </c>
      <c r="D249" s="17">
        <f>(('Выборка 1'!E249-'Выборка 1'!D249)+('Выборка 1'!F249-'Выборка 1'!E249)+('Выборка 1'!G249-'Выборка 1'!F249)+('Выборка 1'!H249-'Выборка 1'!G249))/4000</f>
        <v>-837.75</v>
      </c>
      <c r="E249" s="17">
        <f>(('Выборка 1'!O249-'Выборка 1'!N249)+('Выборка 1'!P249-'Выборка 1'!O249)+('Выборка 1'!Q249-'Выборка 1'!P249)+('Выборка 1'!R249-'Выборка 1'!Q249))/4000</f>
        <v>-3606.75</v>
      </c>
      <c r="F249" s="17">
        <f>(('Выборка 1'!AN249-'Выборка 1'!AM249)+('Выборка 1'!AO249-'Выборка 1'!AN249)+('Выборка 1'!AP249-'Выборка 1'!AO249)+('Выборка 1'!AQ249-'Выборка 1'!AP249))/4000</f>
        <v>4071.5</v>
      </c>
      <c r="G249" s="17">
        <f>((('Выборка 1'!BH249-'Выборка 1'!BM249)-('Выборка 1'!BG249-'Выборка 1'!BL249))+(('Выборка 1'!BI249-'Выборка 1'!BN249)-('Выборка 1'!BH249-'Выборка 1'!BM249))+(('Выборка 1'!BJ249-'Выборка 1'!BO249)-('Выборка 1'!BI249-'Выборка 1'!BN249))+(('Выборка 1'!BK249-'Выборка 1'!BP249)-('Выборка 1'!BJ249-'Выборка 1'!BO249)))/4000</f>
        <v>4814.25</v>
      </c>
      <c r="H249" s="17">
        <f>(('Выборка 1'!BR249-'Выборка 1'!BQ249)+('Выборка 1'!BS249-'Выборка 1'!BR249)+('Выборка 1'!BT249-'Выборка 1'!BS249)+('Выборка 1'!BU249-'Выборка 1'!BT249))/4000</f>
        <v>5407.25</v>
      </c>
    </row>
    <row r="250" spans="2:8" x14ac:dyDescent="0.25">
      <c r="B250" s="42">
        <f>('Выборка 1'!AL250+'Выборка 1'!AG250)/1000</f>
        <v>17444</v>
      </c>
      <c r="C250" s="17">
        <v>24</v>
      </c>
      <c r="D250" s="17">
        <f>(('Выборка 1'!E250-'Выборка 1'!D250)+('Выборка 1'!F250-'Выборка 1'!E250)+('Выборка 1'!G250-'Выборка 1'!F250)+('Выборка 1'!H250-'Выборка 1'!G250))/4000</f>
        <v>-724.5</v>
      </c>
      <c r="E250" s="17">
        <f>(('Выборка 1'!O250-'Выборка 1'!N250)+('Выборка 1'!P250-'Выборка 1'!O250)+('Выборка 1'!Q250-'Выборка 1'!P250)+('Выборка 1'!R250-'Выборка 1'!Q250))/4000</f>
        <v>-282.75</v>
      </c>
      <c r="F250" s="17">
        <f>(('Выборка 1'!AN250-'Выборка 1'!AM250)+('Выборка 1'!AO250-'Выборка 1'!AN250)+('Выборка 1'!AP250-'Выборка 1'!AO250)+('Выборка 1'!AQ250-'Выборка 1'!AP250))/4000</f>
        <v>0</v>
      </c>
      <c r="G250" s="17">
        <f>((('Выборка 1'!BH250-'Выборка 1'!BM250)-('Выборка 1'!BG250-'Выборка 1'!BL250))+(('Выборка 1'!BI250-'Выборка 1'!BN250)-('Выборка 1'!BH250-'Выборка 1'!BM250))+(('Выборка 1'!BJ250-'Выборка 1'!BO250)-('Выборка 1'!BI250-'Выборка 1'!BN250))+(('Выборка 1'!BK250-'Выборка 1'!BP250)-('Выборка 1'!BJ250-'Выборка 1'!BO250)))/4000</f>
        <v>-155.5</v>
      </c>
      <c r="H250" s="17">
        <f>(('Выборка 1'!BR250-'Выборка 1'!BQ250)+('Выборка 1'!BS250-'Выборка 1'!BR250)+('Выборка 1'!BT250-'Выборка 1'!BS250)+('Выборка 1'!BU250-'Выборка 1'!BT250))/4000</f>
        <v>-402.5</v>
      </c>
    </row>
    <row r="251" spans="2:8" x14ac:dyDescent="0.25">
      <c r="B251" s="42">
        <f>('Выборка 1'!AL251+'Выборка 1'!AG251)/1000</f>
        <v>22416</v>
      </c>
      <c r="C251" s="17">
        <v>17</v>
      </c>
      <c r="D251" s="17">
        <f>(('Выборка 1'!E251-'Выборка 1'!D251)+('Выборка 1'!F251-'Выборка 1'!E251)+('Выборка 1'!G251-'Выборка 1'!F251)+('Выборка 1'!H251-'Выборка 1'!G251))/4000</f>
        <v>-2809.25</v>
      </c>
      <c r="E251" s="17">
        <f>(('Выборка 1'!O251-'Выборка 1'!N251)+('Выборка 1'!P251-'Выборка 1'!O251)+('Выборка 1'!Q251-'Выборка 1'!P251)+('Выборка 1'!R251-'Выборка 1'!Q251))/4000</f>
        <v>3512.5</v>
      </c>
      <c r="F251" s="17">
        <f>(('Выборка 1'!AN251-'Выборка 1'!AM251)+('Выборка 1'!AO251-'Выборка 1'!AN251)+('Выборка 1'!AP251-'Выборка 1'!AO251)+('Выборка 1'!AQ251-'Выборка 1'!AP251))/4000</f>
        <v>1406.75</v>
      </c>
      <c r="G251" s="17">
        <f>((('Выборка 1'!BH251-'Выборка 1'!BM251)-('Выборка 1'!BG251-'Выборка 1'!BL251))+(('Выборка 1'!BI251-'Выборка 1'!BN251)-('Выборка 1'!BH251-'Выборка 1'!BM251))+(('Выборка 1'!BJ251-'Выборка 1'!BO251)-('Выборка 1'!BI251-'Выборка 1'!BN251))+(('Выборка 1'!BK251-'Выборка 1'!BP251)-('Выборка 1'!BJ251-'Выборка 1'!BO251)))/4000</f>
        <v>1833.75</v>
      </c>
      <c r="H251" s="17">
        <f>(('Выборка 1'!BR251-'Выборка 1'!BQ251)+('Выборка 1'!BS251-'Выборка 1'!BR251)+('Выборка 1'!BT251-'Выборка 1'!BS251)+('Выборка 1'!BU251-'Выборка 1'!BT251))/4000</f>
        <v>-1152</v>
      </c>
    </row>
    <row r="252" spans="2:8" x14ac:dyDescent="0.25">
      <c r="B252" s="42">
        <f>('Выборка 1'!AL252+'Выборка 1'!AG252)/1000</f>
        <v>0</v>
      </c>
      <c r="C252" s="17">
        <v>13</v>
      </c>
      <c r="D252" s="17">
        <f>(('Выборка 1'!E252-'Выборка 1'!D252)+('Выборка 1'!F252-'Выборка 1'!E252)+('Выборка 1'!G252-'Выборка 1'!F252)+('Выборка 1'!H252-'Выборка 1'!G252))/4000</f>
        <v>10425</v>
      </c>
      <c r="E252" s="17">
        <f>(('Выборка 1'!O252-'Выборка 1'!N252)+('Выборка 1'!P252-'Выборка 1'!O252)+('Выборка 1'!Q252-'Выборка 1'!P252)+('Выборка 1'!R252-'Выборка 1'!Q252))/4000</f>
        <v>0</v>
      </c>
      <c r="F252" s="17">
        <f>(('Выборка 1'!AN252-'Выборка 1'!AM252)+('Выборка 1'!AO252-'Выборка 1'!AN252)+('Выборка 1'!AP252-'Выборка 1'!AO252)+('Выборка 1'!AQ252-'Выборка 1'!AP252))/4000</f>
        <v>0</v>
      </c>
      <c r="G252" s="17">
        <f>((('Выборка 1'!BH252-'Выборка 1'!BM252)-('Выборка 1'!BG252-'Выборка 1'!BL252))+(('Выборка 1'!BI252-'Выборка 1'!BN252)-('Выборка 1'!BH252-'Выборка 1'!BM252))+(('Выборка 1'!BJ252-'Выборка 1'!BO252)-('Выборка 1'!BI252-'Выборка 1'!BN252))+(('Выборка 1'!BK252-'Выборка 1'!BP252)-('Выборка 1'!BJ252-'Выборка 1'!BO252)))/4000</f>
        <v>1.75</v>
      </c>
      <c r="H252" s="17">
        <f>(('Выборка 1'!BR252-'Выборка 1'!BQ252)+('Выборка 1'!BS252-'Выборка 1'!BR252)+('Выборка 1'!BT252-'Выборка 1'!BS252)+('Выборка 1'!BU252-'Выборка 1'!BT252))/4000</f>
        <v>448.25</v>
      </c>
    </row>
    <row r="253" spans="2:8" x14ac:dyDescent="0.25">
      <c r="B253" s="42">
        <f>('Выборка 1'!AL253+'Выборка 1'!AG253)/1000</f>
        <v>520712</v>
      </c>
      <c r="C253" s="17">
        <v>21</v>
      </c>
      <c r="D253" s="17">
        <f>(('Выборка 1'!E253-'Выборка 1'!D253)+('Выборка 1'!F253-'Выборка 1'!E253)+('Выборка 1'!G253-'Выборка 1'!F253)+('Выборка 1'!H253-'Выборка 1'!G253))/4000</f>
        <v>-1899.75</v>
      </c>
      <c r="E253" s="17">
        <f>(('Выборка 1'!O253-'Выборка 1'!N253)+('Выборка 1'!P253-'Выборка 1'!O253)+('Выборка 1'!Q253-'Выборка 1'!P253)+('Выборка 1'!R253-'Выборка 1'!Q253))/4000</f>
        <v>-91675</v>
      </c>
      <c r="F253" s="17">
        <f>(('Выборка 1'!AN253-'Выборка 1'!AM253)+('Выборка 1'!AO253-'Выборка 1'!AN253)+('Выборка 1'!AP253-'Выборка 1'!AO253)+('Выборка 1'!AQ253-'Выборка 1'!AP253))/4000</f>
        <v>-174485.5</v>
      </c>
      <c r="G253" s="17">
        <f>((('Выборка 1'!BH253-'Выборка 1'!BM253)-('Выборка 1'!BG253-'Выборка 1'!BL253))+(('Выборка 1'!BI253-'Выборка 1'!BN253)-('Выборка 1'!BH253-'Выборка 1'!BM253))+(('Выборка 1'!BJ253-'Выборка 1'!BO253)-('Выборка 1'!BI253-'Выборка 1'!BN253))+(('Выборка 1'!BK253-'Выборка 1'!BP253)-('Выборка 1'!BJ253-'Выборка 1'!BO253)))/4000</f>
        <v>8038.25</v>
      </c>
      <c r="H253" s="17">
        <f>(('Выборка 1'!BR253-'Выборка 1'!BQ253)+('Выборка 1'!BS253-'Выборка 1'!BR253)+('Выборка 1'!BT253-'Выборка 1'!BS253)+('Выборка 1'!BU253-'Выборка 1'!BT253))/4000</f>
        <v>1730.75</v>
      </c>
    </row>
    <row r="255" spans="2:8" ht="30" x14ac:dyDescent="0.25">
      <c r="B255" s="43" t="s">
        <v>848</v>
      </c>
      <c r="C255" s="43"/>
    </row>
  </sheetData>
  <pageMargins left="0.75" right="0.75" top="0.75" bottom="0.5" header="0.5" footer="0.75"/>
  <pageSetup paperSize="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6"/>
  <sheetViews>
    <sheetView workbookViewId="0">
      <selection activeCell="B12" sqref="B12"/>
    </sheetView>
  </sheetViews>
  <sheetFormatPr defaultRowHeight="15" x14ac:dyDescent="0.25"/>
  <cols>
    <col min="1" max="1" width="57.42578125" customWidth="1"/>
    <col min="2" max="2" width="27.85546875" customWidth="1"/>
  </cols>
  <sheetData>
    <row r="1" spans="1:2" x14ac:dyDescent="0.25">
      <c r="A1" s="48" t="s">
        <v>847</v>
      </c>
      <c r="B1" s="48"/>
    </row>
    <row r="2" spans="1:2" x14ac:dyDescent="0.25">
      <c r="A2" s="23"/>
      <c r="B2" s="23"/>
    </row>
    <row r="3" spans="1:2" x14ac:dyDescent="0.25">
      <c r="A3" s="23" t="s">
        <v>833</v>
      </c>
      <c r="B3" s="54">
        <v>627512.82539682544</v>
      </c>
    </row>
    <row r="4" spans="1:2" x14ac:dyDescent="0.25">
      <c r="A4" s="23" t="s">
        <v>834</v>
      </c>
      <c r="B4" s="54">
        <v>241094.75349676443</v>
      </c>
    </row>
    <row r="5" spans="1:2" x14ac:dyDescent="0.25">
      <c r="A5" s="23" t="s">
        <v>835</v>
      </c>
      <c r="B5" s="54">
        <v>13693.5</v>
      </c>
    </row>
    <row r="6" spans="1:2" x14ac:dyDescent="0.25">
      <c r="A6" s="23" t="s">
        <v>836</v>
      </c>
      <c r="B6" s="54">
        <v>0</v>
      </c>
    </row>
    <row r="7" spans="1:2" x14ac:dyDescent="0.25">
      <c r="A7" s="23" t="s">
        <v>837</v>
      </c>
      <c r="B7" s="54">
        <v>3827260.5609291526</v>
      </c>
    </row>
    <row r="8" spans="1:2" x14ac:dyDescent="0.25">
      <c r="A8" s="23" t="s">
        <v>838</v>
      </c>
      <c r="B8" s="54">
        <v>14647923401243.73</v>
      </c>
    </row>
    <row r="9" spans="1:2" x14ac:dyDescent="0.25">
      <c r="A9" s="23" t="s">
        <v>839</v>
      </c>
      <c r="B9" s="54">
        <v>172.07008276148164</v>
      </c>
    </row>
    <row r="10" spans="1:2" x14ac:dyDescent="0.25">
      <c r="A10" s="23" t="s">
        <v>840</v>
      </c>
      <c r="B10" s="54">
        <v>12.393871505644103</v>
      </c>
    </row>
    <row r="11" spans="1:2" x14ac:dyDescent="0.25">
      <c r="A11" s="23" t="s">
        <v>841</v>
      </c>
      <c r="B11" s="54">
        <v>55544341</v>
      </c>
    </row>
    <row r="12" spans="1:2" x14ac:dyDescent="0.25">
      <c r="A12" s="23" t="s">
        <v>842</v>
      </c>
      <c r="B12" s="54">
        <v>0</v>
      </c>
    </row>
    <row r="13" spans="1:2" x14ac:dyDescent="0.25">
      <c r="A13" s="23" t="s">
        <v>843</v>
      </c>
      <c r="B13" s="54">
        <v>55544341</v>
      </c>
    </row>
    <row r="14" spans="1:2" x14ac:dyDescent="0.25">
      <c r="A14" s="23" t="s">
        <v>844</v>
      </c>
      <c r="B14" s="54">
        <v>158133232</v>
      </c>
    </row>
    <row r="15" spans="1:2" x14ac:dyDescent="0.25">
      <c r="A15" s="23" t="s">
        <v>845</v>
      </c>
      <c r="B15" s="54">
        <v>252</v>
      </c>
    </row>
    <row r="16" spans="1:2" ht="15.75" thickBot="1" x14ac:dyDescent="0.3">
      <c r="A16" s="24" t="s">
        <v>846</v>
      </c>
      <c r="B16" s="55">
        <v>474826.51443425391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8"/>
  <sheetViews>
    <sheetView workbookViewId="0">
      <selection activeCell="E16" sqref="E16"/>
    </sheetView>
  </sheetViews>
  <sheetFormatPr defaultColWidth="8.85546875" defaultRowHeight="12.75" x14ac:dyDescent="0.2"/>
  <cols>
    <col min="1" max="1" width="44.5703125" style="30" customWidth="1"/>
    <col min="2" max="8" width="17.28515625" style="30" customWidth="1"/>
    <col min="9" max="16384" width="8.85546875" style="30"/>
  </cols>
  <sheetData>
    <row r="1" spans="1:8" ht="102" x14ac:dyDescent="0.2">
      <c r="A1" s="46"/>
      <c r="B1" s="46" t="s">
        <v>847</v>
      </c>
      <c r="C1" s="46" t="s">
        <v>3</v>
      </c>
      <c r="D1" s="46" t="s">
        <v>820</v>
      </c>
      <c r="E1" s="46" t="s">
        <v>822</v>
      </c>
      <c r="F1" s="46" t="s">
        <v>827</v>
      </c>
      <c r="G1" s="46" t="s">
        <v>831</v>
      </c>
      <c r="H1" s="46" t="s">
        <v>832</v>
      </c>
    </row>
    <row r="2" spans="1:8" ht="25.5" x14ac:dyDescent="0.2">
      <c r="A2" s="47" t="s">
        <v>847</v>
      </c>
      <c r="B2" s="32">
        <v>1</v>
      </c>
      <c r="C2" s="32"/>
      <c r="D2" s="32"/>
      <c r="E2" s="32"/>
      <c r="F2" s="32"/>
      <c r="G2" s="32"/>
      <c r="H2" s="32"/>
    </row>
    <row r="3" spans="1:8" x14ac:dyDescent="0.2">
      <c r="A3" s="47" t="s">
        <v>3</v>
      </c>
      <c r="B3" s="32">
        <v>5.4195950069946E-2</v>
      </c>
      <c r="C3" s="32">
        <v>1</v>
      </c>
      <c r="D3" s="32"/>
      <c r="E3" s="32"/>
      <c r="F3" s="32"/>
      <c r="G3" s="32"/>
      <c r="H3" s="32"/>
    </row>
    <row r="4" spans="1:8" ht="25.5" x14ac:dyDescent="0.2">
      <c r="A4" s="47" t="s">
        <v>820</v>
      </c>
      <c r="B4" s="32">
        <v>-0.20605485112595384</v>
      </c>
      <c r="C4" s="32">
        <v>-4.3273838744875615E-2</v>
      </c>
      <c r="D4" s="32">
        <v>1</v>
      </c>
      <c r="E4" s="32"/>
      <c r="F4" s="32"/>
      <c r="G4" s="32"/>
      <c r="H4" s="32"/>
    </row>
    <row r="5" spans="1:8" ht="38.25" x14ac:dyDescent="0.2">
      <c r="A5" s="47" t="s">
        <v>822</v>
      </c>
      <c r="B5" s="32">
        <v>-0.7717925331715757</v>
      </c>
      <c r="C5" s="32">
        <v>-6.8394039663815354E-2</v>
      </c>
      <c r="D5" s="32">
        <v>0.17522809914502011</v>
      </c>
      <c r="E5" s="32">
        <v>1</v>
      </c>
      <c r="F5" s="32"/>
      <c r="G5" s="32"/>
      <c r="H5" s="32"/>
    </row>
    <row r="6" spans="1:8" ht="25.5" x14ac:dyDescent="0.2">
      <c r="A6" s="47" t="s">
        <v>827</v>
      </c>
      <c r="B6" s="32">
        <v>-0.90586609547109387</v>
      </c>
      <c r="C6" s="32">
        <v>-9.8010801572622243E-3</v>
      </c>
      <c r="D6" s="32">
        <v>0.16841151328489687</v>
      </c>
      <c r="E6" s="32">
        <v>0.85429576506561788</v>
      </c>
      <c r="F6" s="32">
        <v>1</v>
      </c>
      <c r="G6" s="32"/>
      <c r="H6" s="32"/>
    </row>
    <row r="7" spans="1:8" ht="38.25" x14ac:dyDescent="0.2">
      <c r="A7" s="47" t="s">
        <v>831</v>
      </c>
      <c r="B7" s="32">
        <v>0.15848705302061905</v>
      </c>
      <c r="C7" s="32">
        <v>4.7154251280694726E-2</v>
      </c>
      <c r="D7" s="32">
        <v>-9.6087404055642978E-2</v>
      </c>
      <c r="E7" s="32">
        <v>-0.17480082624377674</v>
      </c>
      <c r="F7" s="32">
        <v>-0.15755985321944521</v>
      </c>
      <c r="G7" s="32">
        <v>1</v>
      </c>
      <c r="H7" s="32"/>
    </row>
    <row r="8" spans="1:8" ht="25.5" x14ac:dyDescent="0.2">
      <c r="A8" s="47" t="s">
        <v>832</v>
      </c>
      <c r="B8" s="32">
        <v>0.13623976489398673</v>
      </c>
      <c r="C8" s="32">
        <v>5.3912662106758026E-2</v>
      </c>
      <c r="D8" s="32">
        <v>-9.7850592663568228E-2</v>
      </c>
      <c r="E8" s="32">
        <v>-0.12599816527711824</v>
      </c>
      <c r="F8" s="32">
        <v>-0.12986250730601542</v>
      </c>
      <c r="G8" s="32">
        <v>0.99176047532921996</v>
      </c>
      <c r="H8" s="32">
        <v>1</v>
      </c>
    </row>
  </sheetData>
  <conditionalFormatting sqref="B2:H8">
    <cfRule type="cellIs" dxfId="2" priority="1" operator="equal">
      <formula>1</formula>
    </cfRule>
    <cfRule type="cellIs" dxfId="1" priority="2" operator="between">
      <formula>-0.67</formula>
      <formula>0.67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7"/>
  <sheetViews>
    <sheetView workbookViewId="0">
      <selection sqref="A1:B17"/>
    </sheetView>
  </sheetViews>
  <sheetFormatPr defaultRowHeight="15" x14ac:dyDescent="0.25"/>
  <sheetData>
    <row r="1" spans="1:2" x14ac:dyDescent="0.25">
      <c r="A1" s="25" t="s">
        <v>852</v>
      </c>
      <c r="B1" s="25" t="s">
        <v>854</v>
      </c>
    </row>
    <row r="2" spans="1:2" x14ac:dyDescent="0.25">
      <c r="A2" s="23">
        <v>0</v>
      </c>
      <c r="B2" s="23">
        <v>113</v>
      </c>
    </row>
    <row r="3" spans="1:2" x14ac:dyDescent="0.25">
      <c r="A3" s="23">
        <v>3702956.0666666669</v>
      </c>
      <c r="B3" s="23">
        <v>128</v>
      </c>
    </row>
    <row r="4" spans="1:2" x14ac:dyDescent="0.25">
      <c r="A4" s="23">
        <v>7405912.1333333338</v>
      </c>
      <c r="B4" s="23">
        <v>6</v>
      </c>
    </row>
    <row r="5" spans="1:2" x14ac:dyDescent="0.25">
      <c r="A5" s="23">
        <v>11108868.200000001</v>
      </c>
      <c r="B5" s="23">
        <v>1</v>
      </c>
    </row>
    <row r="6" spans="1:2" x14ac:dyDescent="0.25">
      <c r="A6" s="23">
        <v>14811824.266666668</v>
      </c>
      <c r="B6" s="23">
        <v>1</v>
      </c>
    </row>
    <row r="7" spans="1:2" x14ac:dyDescent="0.25">
      <c r="A7" s="23">
        <v>18514780.333333336</v>
      </c>
      <c r="B7" s="23">
        <v>1</v>
      </c>
    </row>
    <row r="8" spans="1:2" x14ac:dyDescent="0.25">
      <c r="A8" s="23">
        <v>22217736.400000002</v>
      </c>
      <c r="B8" s="23">
        <v>0</v>
      </c>
    </row>
    <row r="9" spans="1:2" x14ac:dyDescent="0.25">
      <c r="A9" s="23">
        <v>25920692.466666669</v>
      </c>
      <c r="B9" s="23">
        <v>0</v>
      </c>
    </row>
    <row r="10" spans="1:2" x14ac:dyDescent="0.25">
      <c r="A10" s="23">
        <v>29623648.533333335</v>
      </c>
      <c r="B10" s="23">
        <v>0</v>
      </c>
    </row>
    <row r="11" spans="1:2" x14ac:dyDescent="0.25">
      <c r="A11" s="23">
        <v>33326604.600000001</v>
      </c>
      <c r="B11" s="23">
        <v>0</v>
      </c>
    </row>
    <row r="12" spans="1:2" x14ac:dyDescent="0.25">
      <c r="A12" s="23">
        <v>37029560.666666672</v>
      </c>
      <c r="B12" s="23">
        <v>0</v>
      </c>
    </row>
    <row r="13" spans="1:2" x14ac:dyDescent="0.25">
      <c r="A13" s="23">
        <v>40732516.733333334</v>
      </c>
      <c r="B13" s="23">
        <v>0</v>
      </c>
    </row>
    <row r="14" spans="1:2" x14ac:dyDescent="0.25">
      <c r="A14" s="23">
        <v>44435472.800000004</v>
      </c>
      <c r="B14" s="23">
        <v>0</v>
      </c>
    </row>
    <row r="15" spans="1:2" x14ac:dyDescent="0.25">
      <c r="A15" s="23">
        <v>48138428.866666667</v>
      </c>
      <c r="B15" s="23">
        <v>0</v>
      </c>
    </row>
    <row r="16" spans="1:2" x14ac:dyDescent="0.25">
      <c r="A16" s="23">
        <v>51841384.933333337</v>
      </c>
      <c r="B16" s="23">
        <v>0</v>
      </c>
    </row>
    <row r="17" spans="1:2" ht="15.75" thickBot="1" x14ac:dyDescent="0.3">
      <c r="A17" s="24" t="s">
        <v>853</v>
      </c>
      <c r="B17" s="24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3"/>
  <sheetViews>
    <sheetView workbookViewId="0">
      <selection activeCell="G19" sqref="G19"/>
    </sheetView>
  </sheetViews>
  <sheetFormatPr defaultColWidth="8.85546875" defaultRowHeight="12.75" x14ac:dyDescent="0.2"/>
  <cols>
    <col min="1" max="1" width="48" style="27" customWidth="1"/>
    <col min="2" max="2" width="17.85546875" style="30" customWidth="1"/>
    <col min="3" max="3" width="19.85546875" style="30" customWidth="1"/>
    <col min="4" max="9" width="17.85546875" style="30" customWidth="1"/>
    <col min="10" max="16384" width="8.85546875" style="30"/>
  </cols>
  <sheetData>
    <row r="1" spans="1:9" x14ac:dyDescent="0.2">
      <c r="A1" s="27" t="s">
        <v>855</v>
      </c>
    </row>
    <row r="2" spans="1:9" ht="13.5" thickBot="1" x14ac:dyDescent="0.25"/>
    <row r="3" spans="1:9" x14ac:dyDescent="0.2">
      <c r="A3" s="49" t="s">
        <v>856</v>
      </c>
      <c r="B3" s="50"/>
    </row>
    <row r="4" spans="1:9" x14ac:dyDescent="0.2">
      <c r="A4" s="36" t="s">
        <v>857</v>
      </c>
      <c r="B4" s="29">
        <v>0.90877016415019329</v>
      </c>
    </row>
    <row r="5" spans="1:9" x14ac:dyDescent="0.2">
      <c r="A5" s="51" t="s">
        <v>858</v>
      </c>
      <c r="B5" s="52">
        <v>0.82586321124956918</v>
      </c>
    </row>
    <row r="6" spans="1:9" x14ac:dyDescent="0.2">
      <c r="A6" s="36" t="s">
        <v>859</v>
      </c>
      <c r="B6" s="29">
        <v>0.82159863683119128</v>
      </c>
    </row>
    <row r="7" spans="1:9" x14ac:dyDescent="0.2">
      <c r="A7" s="36" t="s">
        <v>834</v>
      </c>
      <c r="B7" s="53">
        <v>1616542.4530070885</v>
      </c>
    </row>
    <row r="8" spans="1:9" ht="13.5" thickBot="1" x14ac:dyDescent="0.25">
      <c r="A8" s="37" t="s">
        <v>860</v>
      </c>
      <c r="B8" s="31">
        <v>252</v>
      </c>
    </row>
    <row r="10" spans="1:9" ht="13.5" thickBot="1" x14ac:dyDescent="0.25">
      <c r="A10" s="27" t="s">
        <v>861</v>
      </c>
    </row>
    <row r="11" spans="1:9" x14ac:dyDescent="0.2">
      <c r="A11" s="26"/>
      <c r="B11" s="35" t="s">
        <v>866</v>
      </c>
      <c r="C11" s="35" t="s">
        <v>867</v>
      </c>
      <c r="D11" s="35" t="s">
        <v>868</v>
      </c>
      <c r="E11" s="35" t="s">
        <v>869</v>
      </c>
      <c r="F11" s="35" t="s">
        <v>870</v>
      </c>
    </row>
    <row r="12" spans="1:9" x14ac:dyDescent="0.2">
      <c r="A12" s="36" t="s">
        <v>862</v>
      </c>
      <c r="B12" s="29">
        <v>6</v>
      </c>
      <c r="C12" s="29">
        <v>3036392445630505</v>
      </c>
      <c r="D12" s="29">
        <v>506065407605084.19</v>
      </c>
      <c r="E12" s="29">
        <v>193.65665368402702</v>
      </c>
      <c r="F12" s="29">
        <v>5.3727370710753946E-90</v>
      </c>
    </row>
    <row r="13" spans="1:9" x14ac:dyDescent="0.2">
      <c r="A13" s="36" t="s">
        <v>863</v>
      </c>
      <c r="B13" s="29">
        <v>245</v>
      </c>
      <c r="C13" s="29">
        <v>640236328081672.88</v>
      </c>
      <c r="D13" s="29">
        <v>2613209502374.1748</v>
      </c>
      <c r="E13" s="29"/>
      <c r="F13" s="29"/>
    </row>
    <row r="14" spans="1:9" ht="13.5" thickBot="1" x14ac:dyDescent="0.25">
      <c r="A14" s="37" t="s">
        <v>864</v>
      </c>
      <c r="B14" s="31">
        <v>251</v>
      </c>
      <c r="C14" s="31">
        <v>3676628773712178</v>
      </c>
      <c r="D14" s="31"/>
      <c r="E14" s="31"/>
      <c r="F14" s="31"/>
    </row>
    <row r="15" spans="1:9" ht="13.5" thickBot="1" x14ac:dyDescent="0.25"/>
    <row r="16" spans="1:9" x14ac:dyDescent="0.2">
      <c r="A16" s="26"/>
      <c r="B16" s="35" t="s">
        <v>871</v>
      </c>
      <c r="C16" s="35" t="s">
        <v>834</v>
      </c>
      <c r="D16" s="35" t="s">
        <v>872</v>
      </c>
      <c r="E16" s="35" t="s">
        <v>873</v>
      </c>
      <c r="F16" s="35" t="s">
        <v>874</v>
      </c>
      <c r="G16" s="35" t="s">
        <v>875</v>
      </c>
      <c r="H16" s="35" t="s">
        <v>876</v>
      </c>
      <c r="I16" s="35" t="s">
        <v>877</v>
      </c>
    </row>
    <row r="17" spans="1:9" x14ac:dyDescent="0.2">
      <c r="A17" s="36" t="s">
        <v>865</v>
      </c>
      <c r="B17" s="53">
        <v>-176087.64156236767</v>
      </c>
      <c r="C17" s="29">
        <v>250090.38959378056</v>
      </c>
      <c r="D17" s="29">
        <v>-0.70409599444578874</v>
      </c>
      <c r="E17" s="29">
        <v>0.48204167078853755</v>
      </c>
      <c r="F17" s="29">
        <v>-668689.14772530738</v>
      </c>
      <c r="G17" s="29">
        <v>316513.86460057198</v>
      </c>
      <c r="H17" s="29">
        <v>-668689.14772530738</v>
      </c>
      <c r="I17" s="29">
        <v>316513.86460057198</v>
      </c>
    </row>
    <row r="18" spans="1:9" x14ac:dyDescent="0.2">
      <c r="A18" s="36" t="s">
        <v>3</v>
      </c>
      <c r="B18" s="29">
        <v>21141.739712748975</v>
      </c>
      <c r="C18" s="29">
        <v>13417.732382042106</v>
      </c>
      <c r="D18" s="29">
        <v>1.5756566840641755</v>
      </c>
      <c r="E18" s="29">
        <v>0.11639530345964377</v>
      </c>
      <c r="F18" s="29">
        <v>-5287.0854469106671</v>
      </c>
      <c r="G18" s="29">
        <v>47570.56487240862</v>
      </c>
      <c r="H18" s="29">
        <v>-5287.0854469106671</v>
      </c>
      <c r="I18" s="29">
        <v>47570.56487240862</v>
      </c>
    </row>
    <row r="19" spans="1:9" ht="25.5" x14ac:dyDescent="0.2">
      <c r="A19" s="36" t="s">
        <v>820</v>
      </c>
      <c r="B19" s="29">
        <v>-3.2875393267610864</v>
      </c>
      <c r="C19" s="29">
        <v>1.7218749886040083</v>
      </c>
      <c r="D19" s="29">
        <v>-1.9092787505011752</v>
      </c>
      <c r="E19" s="29">
        <v>5.7394316166928375E-2</v>
      </c>
      <c r="F19" s="29">
        <v>-6.6791059286938896</v>
      </c>
      <c r="G19" s="29">
        <v>0.10402727517171639</v>
      </c>
      <c r="H19" s="29">
        <v>-6.6791059286938896</v>
      </c>
      <c r="I19" s="29">
        <v>0.10402727517171639</v>
      </c>
    </row>
    <row r="20" spans="1:9" ht="38.25" x14ac:dyDescent="0.2">
      <c r="A20" s="36" t="s">
        <v>822</v>
      </c>
      <c r="B20" s="29">
        <v>0.10692248762891761</v>
      </c>
      <c r="C20" s="29">
        <v>0.44399356770867221</v>
      </c>
      <c r="D20" s="29">
        <v>0.2408199023709171</v>
      </c>
      <c r="E20" s="29">
        <v>0.80989610573857995</v>
      </c>
      <c r="F20" s="29">
        <v>-0.76760891893652738</v>
      </c>
      <c r="G20" s="29">
        <v>0.98145389419436269</v>
      </c>
      <c r="H20" s="29">
        <v>-0.76760891893652738</v>
      </c>
      <c r="I20" s="29">
        <v>0.98145389419436269</v>
      </c>
    </row>
    <row r="21" spans="1:9" ht="25.5" x14ac:dyDescent="0.2">
      <c r="A21" s="36" t="s">
        <v>827</v>
      </c>
      <c r="B21" s="29">
        <v>-2.0541654510097351</v>
      </c>
      <c r="C21" s="29">
        <v>0.11975443398961771</v>
      </c>
      <c r="D21" s="29">
        <v>-17.153147341398849</v>
      </c>
      <c r="E21" s="29">
        <v>7.3702824255879071E-44</v>
      </c>
      <c r="F21" s="29">
        <v>-2.2900450249861479</v>
      </c>
      <c r="G21" s="29">
        <v>-1.8182858770333226</v>
      </c>
      <c r="H21" s="29">
        <v>-2.2900450249861479</v>
      </c>
      <c r="I21" s="29">
        <v>-1.8182858770333226</v>
      </c>
    </row>
    <row r="22" spans="1:9" ht="25.5" x14ac:dyDescent="0.2">
      <c r="A22" s="36" t="s">
        <v>831</v>
      </c>
      <c r="B22" s="29">
        <v>-2.168834559964437</v>
      </c>
      <c r="C22" s="29">
        <v>4.6073825560539863</v>
      </c>
      <c r="D22" s="29">
        <v>-0.47073029720847515</v>
      </c>
      <c r="E22" s="29">
        <v>0.63825216384707506</v>
      </c>
      <c r="F22" s="29">
        <v>-11.243967715890754</v>
      </c>
      <c r="G22" s="29">
        <v>6.9062985959618812</v>
      </c>
      <c r="H22" s="29">
        <v>-11.243967715890754</v>
      </c>
      <c r="I22" s="29">
        <v>6.9062985959618812</v>
      </c>
    </row>
    <row r="23" spans="1:9" ht="26.25" thickBot="1" x14ac:dyDescent="0.25">
      <c r="A23" s="37" t="s">
        <v>832</v>
      </c>
      <c r="B23" s="31">
        <v>2.4304566507254961</v>
      </c>
      <c r="C23" s="31">
        <v>4.649154535734386</v>
      </c>
      <c r="D23" s="31">
        <v>0.52277390051126327</v>
      </c>
      <c r="E23" s="31">
        <v>0.60160402639502508</v>
      </c>
      <c r="F23" s="31">
        <v>-6.726954517320344</v>
      </c>
      <c r="G23" s="31">
        <v>11.587867818771336</v>
      </c>
      <c r="H23" s="31">
        <v>-6.726954517320344</v>
      </c>
      <c r="I23" s="31">
        <v>11.587867818771336</v>
      </c>
    </row>
  </sheetData>
  <conditionalFormatting sqref="E17:E23">
    <cfRule type="cellIs" dxfId="0" priority="1" operator="lessThan">
      <formula>0.099999999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255"/>
  <sheetViews>
    <sheetView zoomScale="70" zoomScaleNormal="70" workbookViewId="0">
      <selection activeCell="R226" sqref="R226"/>
    </sheetView>
  </sheetViews>
  <sheetFormatPr defaultColWidth="8.85546875" defaultRowHeight="15" x14ac:dyDescent="0.25"/>
  <cols>
    <col min="1" max="1" width="6.7109375" style="19" customWidth="1"/>
    <col min="2" max="2" width="20.28515625" style="19" customWidth="1"/>
    <col min="3" max="3" width="25.7109375" style="19" customWidth="1"/>
    <col min="4" max="4" width="4" style="15" customWidth="1"/>
    <col min="5" max="7" width="8.85546875" style="15"/>
    <col min="8" max="8" width="16.7109375" style="15" customWidth="1"/>
    <col min="9" max="9" width="18.28515625" style="15" customWidth="1"/>
    <col min="10" max="16384" width="8.85546875" style="15"/>
  </cols>
  <sheetData>
    <row r="1" spans="2:9" ht="90" x14ac:dyDescent="0.25">
      <c r="B1" s="41" t="s">
        <v>847</v>
      </c>
      <c r="C1" s="13" t="s">
        <v>820</v>
      </c>
      <c r="E1" s="45"/>
      <c r="H1" s="41" t="s">
        <v>847</v>
      </c>
      <c r="I1" s="13" t="s">
        <v>827</v>
      </c>
    </row>
    <row r="2" spans="2:9" x14ac:dyDescent="0.25">
      <c r="B2" s="42">
        <f>('Выборка 1'!AL2+'Выборка 1'!AG2)/1000</f>
        <v>58</v>
      </c>
      <c r="C2" s="17">
        <f>(('Выборка 1'!E2-'Выборка 1'!D2)+('Выборка 1'!F2-'Выборка 1'!E2)+('Выборка 1'!G2-'Выборка 1'!F2)+('Выборка 1'!H2-'Выборка 1'!G2))/4/1000</f>
        <v>0</v>
      </c>
      <c r="H2" s="42">
        <f>('Выборка 1'!AS2+'Выборка 1'!AN2)/1000</f>
        <v>24928</v>
      </c>
      <c r="I2" s="17">
        <f>(('Выборка 1'!AU2-'Выборка 1'!AT2)+('Выборка 1'!AV2-'Выборка 1'!AU2)+('Выборка 1'!AW2-'Выборка 1'!AV2)+('Выборка 1'!AX2-'Выборка 1'!AW2))/4000</f>
        <v>-493.5</v>
      </c>
    </row>
    <row r="3" spans="2:9" x14ac:dyDescent="0.25">
      <c r="B3" s="42">
        <f>('Выборка 1'!AL3+'Выборка 1'!AG3)/1000</f>
        <v>16300</v>
      </c>
      <c r="C3" s="17">
        <f>(('Выборка 1'!E3-'Выборка 1'!D3)+('Выборка 1'!F3-'Выборка 1'!E3)+('Выборка 1'!G3-'Выборка 1'!F3)+('Выборка 1'!H3-'Выборка 1'!G3))/4000</f>
        <v>-374</v>
      </c>
      <c r="H3" s="42">
        <f>('Выборка 1'!AS3+'Выборка 1'!AN3)/1000</f>
        <v>60782</v>
      </c>
      <c r="I3" s="17">
        <f>(('Выборка 1'!AU3-'Выборка 1'!AT3)+('Выборка 1'!AV3-'Выборка 1'!AU3)+('Выборка 1'!AW3-'Выборка 1'!AV3)+('Выборка 1'!AX3-'Выборка 1'!AW3))/4000</f>
        <v>-3805.25</v>
      </c>
    </row>
    <row r="4" spans="2:9" x14ac:dyDescent="0.25">
      <c r="B4" s="42">
        <f>('Выборка 1'!AL4+'Выборка 1'!AG4)/1000</f>
        <v>0</v>
      </c>
      <c r="C4" s="17">
        <f>(('Выборка 1'!E4-'Выборка 1'!D4)+('Выборка 1'!F4-'Выборка 1'!E4)+('Выборка 1'!G4-'Выборка 1'!F4)+('Выборка 1'!H4-'Выборка 1'!G4))/4000</f>
        <v>0</v>
      </c>
      <c r="H4" s="42">
        <f>('Выборка 1'!AS4+'Выборка 1'!AN4)/1000</f>
        <v>0</v>
      </c>
      <c r="I4" s="17">
        <f>(('Выборка 1'!AU4-'Выборка 1'!AT4)+('Выборка 1'!AV4-'Выборка 1'!AU4)+('Выборка 1'!AW4-'Выборка 1'!AV4)+('Выборка 1'!AX4-'Выборка 1'!AW4))/4000</f>
        <v>0</v>
      </c>
    </row>
    <row r="5" spans="2:9" x14ac:dyDescent="0.25">
      <c r="B5" s="42">
        <f>('Выборка 1'!AL5+'Выборка 1'!AG5)/1000</f>
        <v>42556</v>
      </c>
      <c r="C5" s="17">
        <f>(('Выборка 1'!E5-'Выборка 1'!D5)+('Выборка 1'!F5-'Выборка 1'!E5)+('Выборка 1'!G5-'Выборка 1'!F5)+('Выборка 1'!H5-'Выборка 1'!G5))/4000</f>
        <v>0</v>
      </c>
      <c r="H5" s="42">
        <f>('Выборка 1'!AS5+'Выборка 1'!AN5)/1000</f>
        <v>148193</v>
      </c>
      <c r="I5" s="17">
        <f>(('Выборка 1'!AU5-'Выборка 1'!AT5)+('Выборка 1'!AV5-'Выборка 1'!AU5)+('Выборка 1'!AW5-'Выборка 1'!AV5)+('Выборка 1'!AX5-'Выборка 1'!AW5))/4000</f>
        <v>0</v>
      </c>
    </row>
    <row r="6" spans="2:9" x14ac:dyDescent="0.25">
      <c r="B6" s="42">
        <f>('Выборка 1'!AL6+'Выборка 1'!AG6)/1000</f>
        <v>0</v>
      </c>
      <c r="C6" s="17">
        <f>(('Выборка 1'!E6-'Выборка 1'!D6)+('Выборка 1'!F6-'Выборка 1'!E6)+('Выборка 1'!G6-'Выборка 1'!F6)+('Выборка 1'!H6-'Выборка 1'!G6))/4000</f>
        <v>0</v>
      </c>
      <c r="H6" s="42">
        <f>('Выборка 1'!AS6+'Выборка 1'!AN6)/1000</f>
        <v>0</v>
      </c>
      <c r="I6" s="17">
        <f>(('Выборка 1'!AU6-'Выборка 1'!AT6)+('Выборка 1'!AV6-'Выборка 1'!AU6)+('Выборка 1'!AW6-'Выборка 1'!AV6)+('Выборка 1'!AX6-'Выборка 1'!AW6))/4000</f>
        <v>0</v>
      </c>
    </row>
    <row r="7" spans="2:9" x14ac:dyDescent="0.25">
      <c r="B7" s="42">
        <f>('Выборка 1'!AL7+'Выборка 1'!AG7)/1000</f>
        <v>28101</v>
      </c>
      <c r="C7" s="17">
        <f>(('Выборка 1'!E7-'Выборка 1'!D7)+('Выборка 1'!F7-'Выборка 1'!E7)+('Выборка 1'!G7-'Выборка 1'!F7)+('Выборка 1'!H7-'Выборка 1'!G7))/4000</f>
        <v>-235.25</v>
      </c>
      <c r="H7" s="42">
        <f>('Выборка 1'!AS7+'Выборка 1'!AN7)/1000</f>
        <v>25999</v>
      </c>
      <c r="I7" s="17">
        <f>(('Выборка 1'!AU7-'Выборка 1'!AT7)+('Выборка 1'!AV7-'Выборка 1'!AU7)+('Выборка 1'!AW7-'Выборка 1'!AV7)+('Выборка 1'!AX7-'Выборка 1'!AW7))/4000</f>
        <v>-1361.5</v>
      </c>
    </row>
    <row r="8" spans="2:9" x14ac:dyDescent="0.25">
      <c r="B8" s="42">
        <f>('Выборка 1'!AL8+'Выборка 1'!AG8)/1000</f>
        <v>49764</v>
      </c>
      <c r="C8" s="17">
        <f>(('Выборка 1'!E8-'Выборка 1'!D8)+('Выборка 1'!F8-'Выборка 1'!E8)+('Выборка 1'!G8-'Выборка 1'!F8)+('Выборка 1'!H8-'Выборка 1'!G8))/4000</f>
        <v>0</v>
      </c>
      <c r="H8" s="42">
        <f>('Выборка 1'!AS8+'Выборка 1'!AN8)/1000</f>
        <v>0</v>
      </c>
      <c r="I8" s="17">
        <f>(('Выборка 1'!AU8-'Выборка 1'!AT8)+('Выборка 1'!AV8-'Выборка 1'!AU8)+('Выборка 1'!AW8-'Выборка 1'!AV8)+('Выборка 1'!AX8-'Выборка 1'!AW8))/4000</f>
        <v>0</v>
      </c>
    </row>
    <row r="9" spans="2:9" x14ac:dyDescent="0.25">
      <c r="B9" s="42">
        <f>('Выборка 1'!AL9+'Выборка 1'!AG9)/1000</f>
        <v>48749</v>
      </c>
      <c r="C9" s="17">
        <f>(('Выборка 1'!E9-'Выборка 1'!D9)+('Выборка 1'!F9-'Выборка 1'!E9)+('Выборка 1'!G9-'Выборка 1'!F9)+('Выборка 1'!H9-'Выборка 1'!G9))/4000</f>
        <v>0</v>
      </c>
      <c r="H9" s="42">
        <f>('Выборка 1'!AS9+'Выборка 1'!AN9)/1000</f>
        <v>0</v>
      </c>
      <c r="I9" s="17">
        <f>(('Выборка 1'!AU9-'Выборка 1'!AT9)+('Выборка 1'!AV9-'Выборка 1'!AU9)+('Выборка 1'!AW9-'Выборка 1'!AV9)+('Выборка 1'!AX9-'Выборка 1'!AW9))/4000</f>
        <v>0</v>
      </c>
    </row>
    <row r="10" spans="2:9" x14ac:dyDescent="0.25">
      <c r="B10" s="42">
        <f>('Выборка 1'!AL10+'Выборка 1'!AG10)/1000</f>
        <v>14648</v>
      </c>
      <c r="C10" s="17">
        <f>(('Выборка 1'!E10-'Выборка 1'!D10)+('Выборка 1'!F10-'Выборка 1'!E10)+('Выборка 1'!G10-'Выборка 1'!F10)+('Выборка 1'!H10-'Выборка 1'!G10))/4000</f>
        <v>0</v>
      </c>
      <c r="H10" s="42">
        <f>('Выборка 1'!AS10+'Выборка 1'!AN10)/1000</f>
        <v>13187</v>
      </c>
      <c r="I10" s="17">
        <f>(('Выборка 1'!AU10-'Выборка 1'!AT10)+('Выборка 1'!AV10-'Выборка 1'!AU10)+('Выборка 1'!AW10-'Выборка 1'!AV10)+('Выборка 1'!AX10-'Выборка 1'!AW10))/4000</f>
        <v>-336.75</v>
      </c>
    </row>
    <row r="11" spans="2:9" x14ac:dyDescent="0.25">
      <c r="B11" s="42">
        <f>('Выборка 1'!AL11+'Выборка 1'!AG11)/1000</f>
        <v>13128</v>
      </c>
      <c r="C11" s="17">
        <f>(('Выборка 1'!E11-'Выборка 1'!D11)+('Выборка 1'!F11-'Выборка 1'!E11)+('Выборка 1'!G11-'Выборка 1'!F11)+('Выборка 1'!H11-'Выборка 1'!G11))/4000</f>
        <v>0</v>
      </c>
      <c r="H11" s="42">
        <f>('Выборка 1'!AS11+'Выборка 1'!AN11)/1000</f>
        <v>0</v>
      </c>
      <c r="I11" s="17">
        <f>(('Выборка 1'!AU11-'Выборка 1'!AT11)+('Выборка 1'!AV11-'Выборка 1'!AU11)+('Выборка 1'!AW11-'Выборка 1'!AV11)+('Выборка 1'!AX11-'Выборка 1'!AW11))/4000</f>
        <v>0</v>
      </c>
    </row>
    <row r="12" spans="2:9" x14ac:dyDescent="0.25">
      <c r="B12" s="42">
        <f>('Выборка 1'!AL12+'Выборка 1'!AG12)/1000</f>
        <v>19281</v>
      </c>
      <c r="C12" s="17">
        <f>(('Выборка 1'!E12-'Выборка 1'!D12)+('Выборка 1'!F12-'Выборка 1'!E12)+('Выборка 1'!G12-'Выборка 1'!F12)+('Выборка 1'!H12-'Выборка 1'!G12))/4000</f>
        <v>0</v>
      </c>
      <c r="H12" s="42">
        <f>('Выборка 1'!AS12+'Выборка 1'!AN12)/1000</f>
        <v>0</v>
      </c>
      <c r="I12" s="17">
        <f>(('Выборка 1'!AU12-'Выборка 1'!AT12)+('Выборка 1'!AV12-'Выборка 1'!AU12)+('Выборка 1'!AW12-'Выборка 1'!AV12)+('Выборка 1'!AX12-'Выборка 1'!AW12))/4000</f>
        <v>-377.25</v>
      </c>
    </row>
    <row r="13" spans="2:9" x14ac:dyDescent="0.25">
      <c r="B13" s="42">
        <f>('Выборка 1'!AL13+'Выборка 1'!AG13)/1000</f>
        <v>0</v>
      </c>
      <c r="C13" s="17">
        <f>(('Выборка 1'!E13-'Выборка 1'!D13)+('Выборка 1'!F13-'Выборка 1'!E13)+('Выборка 1'!G13-'Выборка 1'!F13)+('Выборка 1'!H13-'Выборка 1'!G13))/4000</f>
        <v>0</v>
      </c>
      <c r="H13" s="42">
        <f>('Выборка 1'!AS13+'Выборка 1'!AN13)/1000</f>
        <v>0</v>
      </c>
      <c r="I13" s="17">
        <f>(('Выборка 1'!AU13-'Выборка 1'!AT13)+('Выборка 1'!AV13-'Выборка 1'!AU13)+('Выборка 1'!AW13-'Выборка 1'!AV13)+('Выборка 1'!AX13-'Выборка 1'!AW13))/4000</f>
        <v>0</v>
      </c>
    </row>
    <row r="14" spans="2:9" x14ac:dyDescent="0.25">
      <c r="B14" s="42">
        <f>('Выборка 1'!AL14+'Выборка 1'!AG14)/1000</f>
        <v>25389</v>
      </c>
      <c r="C14" s="17">
        <f>(('Выборка 1'!E14-'Выборка 1'!D14)+('Выборка 1'!F14-'Выборка 1'!E14)+('Выборка 1'!G14-'Выборка 1'!F14)+('Выборка 1'!H14-'Выборка 1'!G14))/4000</f>
        <v>0</v>
      </c>
      <c r="H14" s="42">
        <f>('Выборка 1'!AS14+'Выборка 1'!AN14)/1000</f>
        <v>940</v>
      </c>
      <c r="I14" s="17">
        <f>(('Выборка 1'!AU14-'Выборка 1'!AT14)+('Выборка 1'!AV14-'Выборка 1'!AU14)+('Выборка 1'!AW14-'Выборка 1'!AV14)+('Выборка 1'!AX14-'Выборка 1'!AW14))/4000</f>
        <v>0</v>
      </c>
    </row>
    <row r="15" spans="2:9" x14ac:dyDescent="0.25">
      <c r="B15" s="42">
        <f>('Выборка 1'!AL15+'Выборка 1'!AG15)/1000</f>
        <v>0</v>
      </c>
      <c r="C15" s="17">
        <f>(('Выборка 1'!E15-'Выборка 1'!D15)+('Выборка 1'!F15-'Выборка 1'!E15)+('Выборка 1'!G15-'Выборка 1'!F15)+('Выборка 1'!H15-'Выборка 1'!G15))/4000</f>
        <v>0</v>
      </c>
      <c r="H15" s="42">
        <f>('Выборка 1'!AS15+'Выборка 1'!AN15)/1000</f>
        <v>39384</v>
      </c>
      <c r="I15" s="17">
        <f>(('Выборка 1'!AU15-'Выборка 1'!AT15)+('Выборка 1'!AV15-'Выборка 1'!AU15)+('Выборка 1'!AW15-'Выборка 1'!AV15)+('Выборка 1'!AX15-'Выборка 1'!AW15))/4000</f>
        <v>-1352.75</v>
      </c>
    </row>
    <row r="16" spans="2:9" x14ac:dyDescent="0.25">
      <c r="B16" s="42">
        <f>('Выборка 1'!AL16+'Выборка 1'!AG16)/1000</f>
        <v>112471</v>
      </c>
      <c r="C16" s="17">
        <f>(('Выборка 1'!E16-'Выборка 1'!D16)+('Выборка 1'!F16-'Выборка 1'!E16)+('Выборка 1'!G16-'Выборка 1'!F16)+('Выборка 1'!H16-'Выборка 1'!G16))/4000</f>
        <v>0</v>
      </c>
      <c r="H16" s="42">
        <f>('Выборка 1'!AS16+'Выборка 1'!AN16)/1000</f>
        <v>769</v>
      </c>
      <c r="I16" s="17">
        <f>(('Выборка 1'!AU16-'Выборка 1'!AT16)+('Выборка 1'!AV16-'Выборка 1'!AU16)+('Выборка 1'!AW16-'Выборка 1'!AV16)+('Выборка 1'!AX16-'Выборка 1'!AW16))/4000</f>
        <v>0</v>
      </c>
    </row>
    <row r="17" spans="2:9" x14ac:dyDescent="0.25">
      <c r="B17" s="42">
        <f>('Выборка 1'!AL17+'Выборка 1'!AG17)/1000</f>
        <v>192795</v>
      </c>
      <c r="C17" s="17">
        <f>(('Выборка 1'!E17-'Выборка 1'!D17)+('Выборка 1'!F17-'Выборка 1'!E17)+('Выборка 1'!G17-'Выборка 1'!F17)+('Выборка 1'!H17-'Выборка 1'!G17))/4000</f>
        <v>0</v>
      </c>
      <c r="H17" s="42">
        <f>('Выборка 1'!AS17+'Выборка 1'!AN17)/1000</f>
        <v>0</v>
      </c>
      <c r="I17" s="17">
        <f>(('Выборка 1'!AU17-'Выборка 1'!AT17)+('Выборка 1'!AV17-'Выборка 1'!AU17)+('Выборка 1'!AW17-'Выборка 1'!AV17)+('Выборка 1'!AX17-'Выборка 1'!AW17))/4000</f>
        <v>0</v>
      </c>
    </row>
    <row r="18" spans="2:9" x14ac:dyDescent="0.25">
      <c r="B18" s="42">
        <f>('Выборка 1'!AL18+'Выборка 1'!AG18)/1000</f>
        <v>34499</v>
      </c>
      <c r="C18" s="17">
        <f>(('Выборка 1'!E18-'Выборка 1'!D18)+('Выборка 1'!F18-'Выборка 1'!E18)+('Выборка 1'!G18-'Выборка 1'!F18)+('Выборка 1'!H18-'Выборка 1'!G18))/4000</f>
        <v>0</v>
      </c>
      <c r="H18" s="42">
        <f>('Выборка 1'!AS18+'Выборка 1'!AN18)/1000</f>
        <v>0</v>
      </c>
      <c r="I18" s="17">
        <f>(('Выборка 1'!AU18-'Выборка 1'!AT18)+('Выборка 1'!AV18-'Выборка 1'!AU18)+('Выборка 1'!AW18-'Выборка 1'!AV18)+('Выборка 1'!AX18-'Выборка 1'!AW18))/4000</f>
        <v>0</v>
      </c>
    </row>
    <row r="19" spans="2:9" x14ac:dyDescent="0.25">
      <c r="B19" s="42">
        <f>('Выборка 1'!AL19+'Выборка 1'!AG19)/1000</f>
        <v>0</v>
      </c>
      <c r="C19" s="17">
        <f>(('Выборка 1'!E19-'Выборка 1'!D19)+('Выборка 1'!F19-'Выборка 1'!E19)+('Выборка 1'!G19-'Выборка 1'!F19)+('Выборка 1'!H19-'Выборка 1'!G19))/4000</f>
        <v>0</v>
      </c>
      <c r="H19" s="42">
        <f>('Выборка 1'!AS19+'Выборка 1'!AN19)/1000</f>
        <v>0</v>
      </c>
      <c r="I19" s="17">
        <f>(('Выборка 1'!AU19-'Выборка 1'!AT19)+('Выборка 1'!AV19-'Выборка 1'!AU19)+('Выборка 1'!AW19-'Выборка 1'!AV19)+('Выборка 1'!AX19-'Выборка 1'!AW19))/4000</f>
        <v>0</v>
      </c>
    </row>
    <row r="20" spans="2:9" x14ac:dyDescent="0.25">
      <c r="B20" s="42">
        <f>('Выборка 1'!AL20+'Выборка 1'!AG20)/1000</f>
        <v>18101</v>
      </c>
      <c r="C20" s="17">
        <f>(('Выборка 1'!E20-'Выборка 1'!D20)+('Выборка 1'!F20-'Выборка 1'!E20)+('Выборка 1'!G20-'Выборка 1'!F20)+('Выборка 1'!H20-'Выборка 1'!G20))/4000</f>
        <v>0</v>
      </c>
      <c r="H20" s="42">
        <f>('Выборка 1'!AS20+'Выборка 1'!AN20)/1000</f>
        <v>87706</v>
      </c>
      <c r="I20" s="17">
        <f>(('Выборка 1'!AU20-'Выборка 1'!AT20)+('Выборка 1'!AV20-'Выборка 1'!AU20)+('Выборка 1'!AW20-'Выборка 1'!AV20)+('Выборка 1'!AX20-'Выборка 1'!AW20))/4000</f>
        <v>-10933.25</v>
      </c>
    </row>
    <row r="21" spans="2:9" x14ac:dyDescent="0.25">
      <c r="B21" s="42">
        <f>('Выборка 1'!AL21+'Выборка 1'!AG21)/1000</f>
        <v>213870</v>
      </c>
      <c r="C21" s="17">
        <f>(('Выборка 1'!E21-'Выборка 1'!D21)+('Выборка 1'!F21-'Выборка 1'!E21)+('Выборка 1'!G21-'Выборка 1'!F21)+('Выборка 1'!H21-'Выборка 1'!G21))/4000</f>
        <v>0</v>
      </c>
      <c r="H21" s="42">
        <f>('Выборка 1'!AS21+'Выборка 1'!AN21)/1000</f>
        <v>1745</v>
      </c>
      <c r="I21" s="17">
        <f>(('Выборка 1'!AU21-'Выборка 1'!AT21)+('Выборка 1'!AV21-'Выборка 1'!AU21)+('Выборка 1'!AW21-'Выборка 1'!AV21)+('Выборка 1'!AX21-'Выборка 1'!AW21))/4000</f>
        <v>-353.5</v>
      </c>
    </row>
    <row r="22" spans="2:9" x14ac:dyDescent="0.25">
      <c r="B22" s="42">
        <f>('Выборка 1'!AL22+'Выборка 1'!AG22)/1000</f>
        <v>0</v>
      </c>
      <c r="C22" s="17">
        <f>(('Выборка 1'!E22-'Выборка 1'!D22)+('Выборка 1'!F22-'Выборка 1'!E22)+('Выборка 1'!G22-'Выборка 1'!F22)+('Выборка 1'!H22-'Выборка 1'!G22))/4000</f>
        <v>0</v>
      </c>
      <c r="H22" s="42">
        <f>('Выборка 1'!AS22+'Выборка 1'!AN22)/1000</f>
        <v>0</v>
      </c>
      <c r="I22" s="17">
        <f>(('Выборка 1'!AU22-'Выборка 1'!AT22)+('Выборка 1'!AV22-'Выборка 1'!AU22)+('Выборка 1'!AW22-'Выборка 1'!AV22)+('Выборка 1'!AX22-'Выборка 1'!AW22))/4000</f>
        <v>0</v>
      </c>
    </row>
    <row r="23" spans="2:9" x14ac:dyDescent="0.25">
      <c r="B23" s="42">
        <f>('Выборка 1'!AL23+'Выборка 1'!AG23)/1000</f>
        <v>0</v>
      </c>
      <c r="C23" s="17">
        <f>(('Выборка 1'!E23-'Выборка 1'!D23)+('Выборка 1'!F23-'Выборка 1'!E23)+('Выборка 1'!G23-'Выборка 1'!F23)+('Выборка 1'!H23-'Выборка 1'!G23))/4000</f>
        <v>0</v>
      </c>
      <c r="H23" s="42">
        <f>('Выборка 1'!AS23+'Выборка 1'!AN23)/1000</f>
        <v>107</v>
      </c>
      <c r="I23" s="17">
        <f>(('Выборка 1'!AU23-'Выборка 1'!AT23)+('Выборка 1'!AV23-'Выборка 1'!AU23)+('Выборка 1'!AW23-'Выборка 1'!AV23)+('Выборка 1'!AX23-'Выборка 1'!AW23))/4000</f>
        <v>-35.75</v>
      </c>
    </row>
    <row r="24" spans="2:9" x14ac:dyDescent="0.25">
      <c r="B24" s="42">
        <f>('Выборка 1'!AL24+'Выборка 1'!AG24)/1000</f>
        <v>63782</v>
      </c>
      <c r="C24" s="17">
        <f>(('Выборка 1'!E24-'Выборка 1'!D24)+('Выборка 1'!F24-'Выборка 1'!E24)+('Выборка 1'!G24-'Выборка 1'!F24)+('Выборка 1'!H24-'Выборка 1'!G24))/4000</f>
        <v>0</v>
      </c>
      <c r="H24" s="42">
        <f>('Выборка 1'!AS24+'Выборка 1'!AN24)/1000</f>
        <v>0</v>
      </c>
      <c r="I24" s="17">
        <f>(('Выборка 1'!AU24-'Выборка 1'!AT24)+('Выборка 1'!AV24-'Выборка 1'!AU24)+('Выборка 1'!AW24-'Выборка 1'!AV24)+('Выборка 1'!AX24-'Выборка 1'!AW24))/4000</f>
        <v>-7174.25</v>
      </c>
    </row>
    <row r="25" spans="2:9" x14ac:dyDescent="0.25">
      <c r="B25" s="42">
        <f>('Выборка 1'!AL25+'Выборка 1'!AG25)/1000</f>
        <v>103527</v>
      </c>
      <c r="C25" s="17">
        <f>(('Выборка 1'!E25-'Выборка 1'!D25)+('Выборка 1'!F25-'Выборка 1'!E25)+('Выборка 1'!G25-'Выборка 1'!F25)+('Выборка 1'!H25-'Выборка 1'!G25))/4000</f>
        <v>0</v>
      </c>
      <c r="H25" s="42">
        <f>('Выборка 1'!AS25+'Выборка 1'!AN25)/1000</f>
        <v>0</v>
      </c>
      <c r="I25" s="17">
        <f>(('Выборка 1'!AU25-'Выборка 1'!AT25)+('Выборка 1'!AV25-'Выборка 1'!AU25)+('Выборка 1'!AW25-'Выборка 1'!AV25)+('Выборка 1'!AX25-'Выборка 1'!AW25))/4000</f>
        <v>0</v>
      </c>
    </row>
    <row r="26" spans="2:9" x14ac:dyDescent="0.25">
      <c r="B26" s="42">
        <f>('Выборка 1'!AL26+'Выборка 1'!AG26)/1000</f>
        <v>0</v>
      </c>
      <c r="C26" s="17">
        <f>(('Выборка 1'!E26-'Выборка 1'!D26)+('Выборка 1'!F26-'Выборка 1'!E26)+('Выборка 1'!G26-'Выборка 1'!F26)+('Выборка 1'!H26-'Выборка 1'!G26))/4000</f>
        <v>0</v>
      </c>
      <c r="H26" s="42">
        <f>('Выборка 1'!AS26+'Выборка 1'!AN26)/1000</f>
        <v>122250</v>
      </c>
      <c r="I26" s="17">
        <f>(('Выборка 1'!AU26-'Выборка 1'!AT26)+('Выборка 1'!AV26-'Выборка 1'!AU26)+('Выборка 1'!AW26-'Выборка 1'!AV26)+('Выборка 1'!AX26-'Выборка 1'!AW26))/4000</f>
        <v>-7952.25</v>
      </c>
    </row>
    <row r="27" spans="2:9" x14ac:dyDescent="0.25">
      <c r="B27" s="42">
        <f>('Выборка 1'!AL27+'Выборка 1'!AG27)/1000</f>
        <v>209184</v>
      </c>
      <c r="C27" s="17">
        <f>(('Выборка 1'!E27-'Выборка 1'!D27)+('Выборка 1'!F27-'Выборка 1'!E27)+('Выборка 1'!G27-'Выборка 1'!F27)+('Выборка 1'!H27-'Выборка 1'!G27))/4000</f>
        <v>-13</v>
      </c>
      <c r="H27" s="42">
        <f>('Выборка 1'!AS27+'Выборка 1'!AN27)/1000</f>
        <v>578722</v>
      </c>
      <c r="I27" s="17">
        <f>(('Выборка 1'!AU27-'Выборка 1'!AT27)+('Выборка 1'!AV27-'Выборка 1'!AU27)+('Выборка 1'!AW27-'Выборка 1'!AV27)+('Выборка 1'!AX27-'Выборка 1'!AW27))/4000</f>
        <v>-32721.75</v>
      </c>
    </row>
    <row r="28" spans="2:9" x14ac:dyDescent="0.25">
      <c r="B28" s="42">
        <f>('Выборка 1'!AL28+'Выборка 1'!AG28)/1000</f>
        <v>317564</v>
      </c>
      <c r="C28" s="17">
        <f>(('Выборка 1'!E28-'Выборка 1'!D28)+('Выборка 1'!F28-'Выборка 1'!E28)+('Выборка 1'!G28-'Выборка 1'!F28)+('Выборка 1'!H28-'Выборка 1'!G28))/4000</f>
        <v>0</v>
      </c>
      <c r="H28" s="42">
        <f>('Выборка 1'!AS28+'Выборка 1'!AN28)/1000</f>
        <v>2489</v>
      </c>
      <c r="I28" s="17">
        <f>(('Выборка 1'!AU28-'Выборка 1'!AT28)+('Выборка 1'!AV28-'Выборка 1'!AU28)+('Выборка 1'!AW28-'Выборка 1'!AV28)+('Выборка 1'!AX28-'Выборка 1'!AW28))/4000</f>
        <v>-678.5</v>
      </c>
    </row>
    <row r="29" spans="2:9" x14ac:dyDescent="0.25">
      <c r="B29" s="42">
        <f>('Выборка 1'!AL29+'Выборка 1'!AG29)/1000</f>
        <v>0</v>
      </c>
      <c r="C29" s="17">
        <f>(('Выборка 1'!E29-'Выборка 1'!D29)+('Выборка 1'!F29-'Выборка 1'!E29)+('Выборка 1'!G29-'Выборка 1'!F29)+('Выборка 1'!H29-'Выборка 1'!G29))/4000</f>
        <v>0</v>
      </c>
      <c r="H29" s="42">
        <f>('Выборка 1'!AS29+'Выборка 1'!AN29)/1000</f>
        <v>0</v>
      </c>
      <c r="I29" s="17">
        <f>(('Выборка 1'!AU29-'Выборка 1'!AT29)+('Выборка 1'!AV29-'Выборка 1'!AU29)+('Выборка 1'!AW29-'Выборка 1'!AV29)+('Выборка 1'!AX29-'Выборка 1'!AW29))/4000</f>
        <v>0</v>
      </c>
    </row>
    <row r="30" spans="2:9" x14ac:dyDescent="0.25">
      <c r="B30" s="42">
        <f>('Выборка 1'!AL30+'Выборка 1'!AG30)/1000</f>
        <v>11594</v>
      </c>
      <c r="C30" s="17">
        <f>(('Выборка 1'!E30-'Выборка 1'!D30)+('Выборка 1'!F30-'Выборка 1'!E30)+('Выборка 1'!G30-'Выборка 1'!F30)+('Выборка 1'!H30-'Выборка 1'!G30))/4000</f>
        <v>25908.5</v>
      </c>
      <c r="H30" s="42">
        <f>('Выборка 1'!AS30+'Выборка 1'!AN30)/1000</f>
        <v>224521</v>
      </c>
      <c r="I30" s="17">
        <f>(('Выборка 1'!AU30-'Выборка 1'!AT30)+('Выборка 1'!AV30-'Выборка 1'!AU30)+('Выборка 1'!AW30-'Выборка 1'!AV30)+('Выборка 1'!AX30-'Выборка 1'!AW30))/4000</f>
        <v>-26698</v>
      </c>
    </row>
    <row r="31" spans="2:9" x14ac:dyDescent="0.25">
      <c r="B31" s="42">
        <f>('Выборка 1'!AL31+'Выборка 1'!AG31)/1000</f>
        <v>14883</v>
      </c>
      <c r="C31" s="17">
        <f>(('Выборка 1'!E31-'Выборка 1'!D31)+('Выборка 1'!F31-'Выборка 1'!E31)+('Выборка 1'!G31-'Выборка 1'!F31)+('Выборка 1'!H31-'Выборка 1'!G31))/4000</f>
        <v>0</v>
      </c>
      <c r="H31" s="42">
        <f>('Выборка 1'!AS31+'Выборка 1'!AN31)/1000</f>
        <v>0</v>
      </c>
      <c r="I31" s="17">
        <f>(('Выборка 1'!AU31-'Выборка 1'!AT31)+('Выборка 1'!AV31-'Выборка 1'!AU31)+('Выборка 1'!AW31-'Выборка 1'!AV31)+('Выборка 1'!AX31-'Выборка 1'!AW31))/4000</f>
        <v>-3972.75</v>
      </c>
    </row>
    <row r="32" spans="2:9" x14ac:dyDescent="0.25">
      <c r="B32" s="42">
        <f>('Выборка 1'!AL32+'Выборка 1'!AG32)/1000</f>
        <v>55544341</v>
      </c>
      <c r="C32" s="17">
        <f>(('Выборка 1'!E32-'Выборка 1'!D32)+('Выборка 1'!F32-'Выборка 1'!E32)+('Выборка 1'!G32-'Выборка 1'!F32)+('Выборка 1'!H32-'Выборка 1'!G32))/4000</f>
        <v>-158288.5</v>
      </c>
      <c r="H32" s="42">
        <f>('Выборка 1'!AS32+'Выборка 1'!AN32)/1000</f>
        <v>186926323</v>
      </c>
      <c r="I32" s="17">
        <f>(('Выборка 1'!AU32-'Выборка 1'!AT32)+('Выборка 1'!AV32-'Выборка 1'!AU32)+('Выборка 1'!AW32-'Выборка 1'!AV32)+('Выборка 1'!AX32-'Выборка 1'!AW32))/4000</f>
        <v>-4529794.75</v>
      </c>
    </row>
    <row r="33" spans="2:9" x14ac:dyDescent="0.25">
      <c r="B33" s="42">
        <f>('Выборка 1'!AL33+'Выборка 1'!AG33)/1000</f>
        <v>439717</v>
      </c>
      <c r="C33" s="17">
        <f>(('Выборка 1'!E33-'Выборка 1'!D33)+('Выборка 1'!F33-'Выборка 1'!E33)+('Выборка 1'!G33-'Выборка 1'!F33)+('Выборка 1'!H33-'Выборка 1'!G33))/4000</f>
        <v>89161.25</v>
      </c>
      <c r="H33" s="42">
        <f>('Выборка 1'!AS33+'Выборка 1'!AN33)/1000</f>
        <v>1525238</v>
      </c>
      <c r="I33" s="17">
        <f>(('Выборка 1'!AU33-'Выборка 1'!AT33)+('Выборка 1'!AV33-'Выборка 1'!AU33)+('Выборка 1'!AW33-'Выборка 1'!AV33)+('Выборка 1'!AX33-'Выборка 1'!AW33))/4000</f>
        <v>-46851.5</v>
      </c>
    </row>
    <row r="34" spans="2:9" x14ac:dyDescent="0.25">
      <c r="B34" s="42">
        <f>('Выборка 1'!AL34+'Выборка 1'!AG34)/1000</f>
        <v>16739</v>
      </c>
      <c r="C34" s="17">
        <f>(('Выборка 1'!E34-'Выборка 1'!D34)+('Выборка 1'!F34-'Выборка 1'!E34)+('Выборка 1'!G34-'Выборка 1'!F34)+('Выборка 1'!H34-'Выборка 1'!G34))/4000</f>
        <v>836.5</v>
      </c>
      <c r="H34" s="42">
        <f>('Выборка 1'!AS34+'Выборка 1'!AN34)/1000</f>
        <v>31446</v>
      </c>
      <c r="I34" s="17">
        <f>(('Выборка 1'!AU34-'Выборка 1'!AT34)+('Выборка 1'!AV34-'Выборка 1'!AU34)+('Выборка 1'!AW34-'Выборка 1'!AV34)+('Выборка 1'!AX34-'Выборка 1'!AW34))/4000</f>
        <v>-13336.25</v>
      </c>
    </row>
    <row r="35" spans="2:9" x14ac:dyDescent="0.25">
      <c r="B35" s="42">
        <f>('Выборка 1'!AL35+'Выборка 1'!AG35)/1000</f>
        <v>14259</v>
      </c>
      <c r="C35" s="17">
        <f>(('Выборка 1'!E35-'Выборка 1'!D35)+('Выборка 1'!F35-'Выборка 1'!E35)+('Выборка 1'!G35-'Выборка 1'!F35)+('Выборка 1'!H35-'Выборка 1'!G35))/4000</f>
        <v>0</v>
      </c>
      <c r="H35" s="42">
        <f>('Выборка 1'!AS35+'Выборка 1'!AN35)/1000</f>
        <v>0</v>
      </c>
      <c r="I35" s="17">
        <f>(('Выборка 1'!AU35-'Выборка 1'!AT35)+('Выборка 1'!AV35-'Выборка 1'!AU35)+('Выборка 1'!AW35-'Выборка 1'!AV35)+('Выборка 1'!AX35-'Выборка 1'!AW35))/4000</f>
        <v>0</v>
      </c>
    </row>
    <row r="36" spans="2:9" x14ac:dyDescent="0.25">
      <c r="B36" s="42">
        <f>('Выборка 1'!AL36+'Выборка 1'!AG36)/1000</f>
        <v>150756</v>
      </c>
      <c r="C36" s="17">
        <f>(('Выборка 1'!E36-'Выборка 1'!D36)+('Выборка 1'!F36-'Выборка 1'!E36)+('Выборка 1'!G36-'Выборка 1'!F36)+('Выборка 1'!H36-'Выборка 1'!G36))/4000</f>
        <v>2959.5</v>
      </c>
      <c r="H36" s="42">
        <f>('Выборка 1'!AS36+'Выборка 1'!AN36)/1000</f>
        <v>0</v>
      </c>
      <c r="I36" s="17">
        <f>(('Выборка 1'!AU36-'Выборка 1'!AT36)+('Выборка 1'!AV36-'Выборка 1'!AU36)+('Выборка 1'!AW36-'Выборка 1'!AV36)+('Выборка 1'!AX36-'Выборка 1'!AW36))/4000</f>
        <v>0</v>
      </c>
    </row>
    <row r="37" spans="2:9" x14ac:dyDescent="0.25">
      <c r="B37" s="42">
        <f>('Выборка 1'!AL37+'Выборка 1'!AG37)/1000</f>
        <v>24896</v>
      </c>
      <c r="C37" s="17">
        <f>(('Выборка 1'!E37-'Выборка 1'!D37)+('Выборка 1'!F37-'Выборка 1'!E37)+('Выборка 1'!G37-'Выборка 1'!F37)+('Выборка 1'!H37-'Выборка 1'!G37))/4000</f>
        <v>0</v>
      </c>
      <c r="H37" s="42">
        <f>('Выборка 1'!AS37+'Выборка 1'!AN37)/1000</f>
        <v>350689</v>
      </c>
      <c r="I37" s="17">
        <f>(('Выборка 1'!AU37-'Выборка 1'!AT37)+('Выборка 1'!AV37-'Выборка 1'!AU37)+('Выборка 1'!AW37-'Выборка 1'!AV37)+('Выборка 1'!AX37-'Выборка 1'!AW37))/4000</f>
        <v>-47436</v>
      </c>
    </row>
    <row r="38" spans="2:9" x14ac:dyDescent="0.25">
      <c r="B38" s="42">
        <f>('Выборка 1'!AL38+'Выборка 1'!AG38)/1000</f>
        <v>233055</v>
      </c>
      <c r="C38" s="17">
        <f>(('Выборка 1'!E38-'Выборка 1'!D38)+('Выборка 1'!F38-'Выборка 1'!E38)+('Выборка 1'!G38-'Выборка 1'!F38)+('Выборка 1'!H38-'Выборка 1'!G38))/4000</f>
        <v>-124</v>
      </c>
      <c r="H38" s="42">
        <f>('Выборка 1'!AS38+'Выборка 1'!AN38)/1000</f>
        <v>692688</v>
      </c>
      <c r="I38" s="17">
        <f>(('Выборка 1'!AU38-'Выборка 1'!AT38)+('Выборка 1'!AV38-'Выборка 1'!AU38)+('Выборка 1'!AW38-'Выборка 1'!AV38)+('Выборка 1'!AX38-'Выборка 1'!AW38))/4000</f>
        <v>-1501.5</v>
      </c>
    </row>
    <row r="39" spans="2:9" x14ac:dyDescent="0.25">
      <c r="B39" s="42">
        <f>('Выборка 1'!AL39+'Выборка 1'!AG39)/1000</f>
        <v>0</v>
      </c>
      <c r="C39" s="17">
        <f>(('Выборка 1'!E39-'Выборка 1'!D39)+('Выборка 1'!F39-'Выборка 1'!E39)+('Выборка 1'!G39-'Выборка 1'!F39)+('Выборка 1'!H39-'Выборка 1'!G39))/4000</f>
        <v>-20917.75</v>
      </c>
      <c r="H39" s="42">
        <f>('Выборка 1'!AS39+'Выборка 1'!AN39)/1000</f>
        <v>0</v>
      </c>
      <c r="I39" s="17">
        <f>(('Выборка 1'!AU39-'Выборка 1'!AT39)+('Выборка 1'!AV39-'Выборка 1'!AU39)+('Выборка 1'!AW39-'Выборка 1'!AV39)+('Выборка 1'!AX39-'Выборка 1'!AW39))/4000</f>
        <v>0</v>
      </c>
    </row>
    <row r="40" spans="2:9" x14ac:dyDescent="0.25">
      <c r="B40" s="42">
        <f>('Выборка 1'!AL40+'Выборка 1'!AG40)/1000</f>
        <v>18079219</v>
      </c>
      <c r="C40" s="17">
        <f>(('Выборка 1'!E40-'Выборка 1'!D40)+('Выборка 1'!F40-'Выборка 1'!E40)+('Выборка 1'!G40-'Выборка 1'!F40)+('Выборка 1'!H40-'Выборка 1'!G40))/4000</f>
        <v>-65190.25</v>
      </c>
      <c r="H40" s="42">
        <f>('Выборка 1'!AS40+'Выборка 1'!AN40)/1000</f>
        <v>8998467</v>
      </c>
      <c r="I40" s="17">
        <f>(('Выборка 1'!AU40-'Выборка 1'!AT40)+('Выборка 1'!AV40-'Выборка 1'!AU40)+('Выборка 1'!AW40-'Выборка 1'!AV40)+('Выборка 1'!AX40-'Выборка 1'!AW40))/4000</f>
        <v>-5104.25</v>
      </c>
    </row>
    <row r="41" spans="2:9" x14ac:dyDescent="0.25">
      <c r="B41" s="42">
        <f>('Выборка 1'!AL41+'Выборка 1'!AG41)/1000</f>
        <v>0</v>
      </c>
      <c r="C41" s="17">
        <f>(('Выборка 1'!E41-'Выборка 1'!D41)+('Выборка 1'!F41-'Выборка 1'!E41)+('Выборка 1'!G41-'Выборка 1'!F41)+('Выборка 1'!H41-'Выборка 1'!G41))/4000</f>
        <v>-1006.75</v>
      </c>
      <c r="H41" s="42">
        <f>('Выборка 1'!AS41+'Выборка 1'!AN41)/1000</f>
        <v>94541</v>
      </c>
      <c r="I41" s="17">
        <f>(('Выборка 1'!AU41-'Выборка 1'!AT41)+('Выборка 1'!AV41-'Выборка 1'!AU41)+('Выборка 1'!AW41-'Выборка 1'!AV41)+('Выборка 1'!AX41-'Выборка 1'!AW41))/4000</f>
        <v>-7318.5</v>
      </c>
    </row>
    <row r="42" spans="2:9" x14ac:dyDescent="0.25">
      <c r="B42" s="42">
        <f>('Выборка 1'!AL42+'Выборка 1'!AG42)/1000</f>
        <v>2836330</v>
      </c>
      <c r="C42" s="17">
        <f>(('Выборка 1'!E42-'Выборка 1'!D42)+('Выборка 1'!F42-'Выборка 1'!E42)+('Выборка 1'!G42-'Выборка 1'!F42)+('Выборка 1'!H42-'Выборка 1'!G42))/4000</f>
        <v>-322.75</v>
      </c>
      <c r="H42" s="42">
        <f>('Выборка 1'!AS42+'Выборка 1'!AN42)/1000</f>
        <v>1143883</v>
      </c>
      <c r="I42" s="17">
        <f>(('Выборка 1'!AU42-'Выборка 1'!AT42)+('Выборка 1'!AV42-'Выборка 1'!AU42)+('Выборка 1'!AW42-'Выборка 1'!AV42)+('Выборка 1'!AX42-'Выборка 1'!AW42))/4000</f>
        <v>70401.25</v>
      </c>
    </row>
    <row r="43" spans="2:9" x14ac:dyDescent="0.25">
      <c r="B43" s="42">
        <f>('Выборка 1'!AL43+'Выборка 1'!AG43)/1000</f>
        <v>4768889</v>
      </c>
      <c r="C43" s="17">
        <f>(('Выборка 1'!E43-'Выборка 1'!D43)+('Выборка 1'!F43-'Выборка 1'!E43)+('Выборка 1'!G43-'Выборка 1'!F43)+('Выборка 1'!H43-'Выборка 1'!G43))/4000</f>
        <v>-50525</v>
      </c>
      <c r="H43" s="42">
        <f>('Выборка 1'!AS43+'Выборка 1'!AN43)/1000</f>
        <v>17037318</v>
      </c>
      <c r="I43" s="17">
        <f>(('Выборка 1'!AU43-'Выборка 1'!AT43)+('Выборка 1'!AV43-'Выборка 1'!AU43)+('Выборка 1'!AW43-'Выборка 1'!AV43)+('Выборка 1'!AX43-'Выборка 1'!AW43))/4000</f>
        <v>555118.25</v>
      </c>
    </row>
    <row r="44" spans="2:9" x14ac:dyDescent="0.25">
      <c r="B44" s="42">
        <f>('Выборка 1'!AL44+'Выборка 1'!AG44)/1000</f>
        <v>0</v>
      </c>
      <c r="C44" s="17">
        <f>(('Выборка 1'!E44-'Выборка 1'!D44)+('Выборка 1'!F44-'Выборка 1'!E44)+('Выборка 1'!G44-'Выборка 1'!F44)+('Выборка 1'!H44-'Выборка 1'!G44))/4000</f>
        <v>-6.25</v>
      </c>
      <c r="H44" s="42">
        <f>('Выборка 1'!AS44+'Выборка 1'!AN44)/1000</f>
        <v>193720</v>
      </c>
      <c r="I44" s="17">
        <f>(('Выборка 1'!AU44-'Выборка 1'!AT44)+('Выборка 1'!AV44-'Выборка 1'!AU44)+('Выборка 1'!AW44-'Выборка 1'!AV44)+('Выборка 1'!AX44-'Выборка 1'!AW44))/4000</f>
        <v>-38162.25</v>
      </c>
    </row>
    <row r="45" spans="2:9" x14ac:dyDescent="0.25">
      <c r="B45" s="42">
        <f>('Выборка 1'!AL45+'Выборка 1'!AG45)/1000</f>
        <v>4578356</v>
      </c>
      <c r="C45" s="17">
        <f>(('Выборка 1'!E45-'Выборка 1'!D45)+('Выборка 1'!F45-'Выборка 1'!E45)+('Выборка 1'!G45-'Выборка 1'!F45)+('Выборка 1'!H45-'Выборка 1'!G45))/4000</f>
        <v>-14792.75</v>
      </c>
      <c r="H45" s="42">
        <f>('Выборка 1'!AS45+'Выборка 1'!AN45)/1000</f>
        <v>34334553</v>
      </c>
      <c r="I45" s="17">
        <f>(('Выборка 1'!AU45-'Выборка 1'!AT45)+('Выборка 1'!AV45-'Выборка 1'!AU45)+('Выборка 1'!AW45-'Выборка 1'!AV45)+('Выборка 1'!AX45-'Выборка 1'!AW45))/4000</f>
        <v>-3965209.5</v>
      </c>
    </row>
    <row r="46" spans="2:9" x14ac:dyDescent="0.25">
      <c r="B46" s="42">
        <f>('Выборка 1'!AL46+'Выборка 1'!AG46)/1000</f>
        <v>0</v>
      </c>
      <c r="C46" s="17">
        <f>(('Выборка 1'!E46-'Выборка 1'!D46)+('Выборка 1'!F46-'Выборка 1'!E46)+('Выборка 1'!G46-'Выборка 1'!F46)+('Выборка 1'!H46-'Выборка 1'!G46))/4000</f>
        <v>-26514.75</v>
      </c>
      <c r="H46" s="42">
        <f>('Выборка 1'!AS46+'Выборка 1'!AN46)/1000</f>
        <v>0</v>
      </c>
      <c r="I46" s="17">
        <f>(('Выборка 1'!AU46-'Выборка 1'!AT46)+('Выборка 1'!AV46-'Выборка 1'!AU46)+('Выборка 1'!AW46-'Выборка 1'!AV46)+('Выборка 1'!AX46-'Выборка 1'!AW46))/4000</f>
        <v>0</v>
      </c>
    </row>
    <row r="47" spans="2:9" x14ac:dyDescent="0.25">
      <c r="B47" s="42">
        <f>('Выборка 1'!AL47+'Выборка 1'!AG47)/1000</f>
        <v>2334086</v>
      </c>
      <c r="C47" s="17">
        <f>(('Выборка 1'!E47-'Выборка 1'!D47)+('Выборка 1'!F47-'Выборка 1'!E47)+('Выборка 1'!G47-'Выборка 1'!F47)+('Выборка 1'!H47-'Выборка 1'!G47))/4000</f>
        <v>-10441</v>
      </c>
      <c r="H47" s="42">
        <f>('Выборка 1'!AS47+'Выборка 1'!AN47)/1000</f>
        <v>86812</v>
      </c>
      <c r="I47" s="17">
        <f>(('Выборка 1'!AU47-'Выборка 1'!AT47)+('Выборка 1'!AV47-'Выборка 1'!AU47)+('Выборка 1'!AW47-'Выборка 1'!AV47)+('Выборка 1'!AX47-'Выборка 1'!AW47))/4000</f>
        <v>-30880</v>
      </c>
    </row>
    <row r="48" spans="2:9" x14ac:dyDescent="0.25">
      <c r="B48" s="42">
        <f>('Выборка 1'!AL48+'Выборка 1'!AG48)/1000</f>
        <v>0</v>
      </c>
      <c r="C48" s="17">
        <f>(('Выборка 1'!E48-'Выборка 1'!D48)+('Выборка 1'!F48-'Выборка 1'!E48)+('Выборка 1'!G48-'Выборка 1'!F48)+('Выборка 1'!H48-'Выборка 1'!G48))/4000</f>
        <v>-13603.25</v>
      </c>
      <c r="H48" s="42">
        <f>('Выборка 1'!AS48+'Выборка 1'!AN48)/1000</f>
        <v>0</v>
      </c>
      <c r="I48" s="17">
        <f>(('Выборка 1'!AU48-'Выборка 1'!AT48)+('Выборка 1'!AV48-'Выборка 1'!AU48)+('Выборка 1'!AW48-'Выборка 1'!AV48)+('Выборка 1'!AX48-'Выборка 1'!AW48))/4000</f>
        <v>0</v>
      </c>
    </row>
    <row r="49" spans="2:9" x14ac:dyDescent="0.25">
      <c r="B49" s="42">
        <f>('Выборка 1'!AL49+'Выборка 1'!AG49)/1000</f>
        <v>0</v>
      </c>
      <c r="C49" s="17">
        <f>(('Выборка 1'!E49-'Выборка 1'!D49)+('Выборка 1'!F49-'Выборка 1'!E49)+('Выборка 1'!G49-'Выборка 1'!F49)+('Выборка 1'!H49-'Выборка 1'!G49))/4000</f>
        <v>0</v>
      </c>
      <c r="H49" s="42">
        <f>('Выборка 1'!AS49+'Выборка 1'!AN49)/1000</f>
        <v>0</v>
      </c>
      <c r="I49" s="17">
        <f>(('Выборка 1'!AU49-'Выборка 1'!AT49)+('Выборка 1'!AV49-'Выборка 1'!AU49)+('Выборка 1'!AW49-'Выборка 1'!AV49)+('Выборка 1'!AX49-'Выборка 1'!AW49))/4000</f>
        <v>0</v>
      </c>
    </row>
    <row r="50" spans="2:9" x14ac:dyDescent="0.25">
      <c r="B50" s="42">
        <f>('Выборка 1'!AL50+'Выборка 1'!AG50)/1000</f>
        <v>12184</v>
      </c>
      <c r="C50" s="17">
        <f>(('Выборка 1'!E50-'Выборка 1'!D50)+('Выборка 1'!F50-'Выборка 1'!E50)+('Выборка 1'!G50-'Выборка 1'!F50)+('Выборка 1'!H50-'Выборка 1'!G50))/4000</f>
        <v>-1670.5</v>
      </c>
      <c r="H50" s="42">
        <f>('Выборка 1'!AS50+'Выборка 1'!AN50)/1000</f>
        <v>336009</v>
      </c>
      <c r="I50" s="17">
        <f>(('Выборка 1'!AU50-'Выборка 1'!AT50)+('Выборка 1'!AV50-'Выборка 1'!AU50)+('Выборка 1'!AW50-'Выборка 1'!AV50)+('Выборка 1'!AX50-'Выборка 1'!AW50))/4000</f>
        <v>-4483</v>
      </c>
    </row>
    <row r="51" spans="2:9" x14ac:dyDescent="0.25">
      <c r="B51" s="42">
        <f>('Выборка 1'!AL51+'Выборка 1'!AG51)/1000</f>
        <v>5655050</v>
      </c>
      <c r="C51" s="17">
        <f>(('Выборка 1'!E51-'Выборка 1'!D51)+('Выборка 1'!F51-'Выборка 1'!E51)+('Выборка 1'!G51-'Выборка 1'!F51)+('Выборка 1'!H51-'Выборка 1'!G51))/4000</f>
        <v>-1502.75</v>
      </c>
      <c r="H51" s="42">
        <f>('Выборка 1'!AS51+'Выборка 1'!AN51)/1000</f>
        <v>710908</v>
      </c>
      <c r="I51" s="17">
        <f>(('Выборка 1'!AU51-'Выборка 1'!AT51)+('Выборка 1'!AV51-'Выборка 1'!AU51)+('Выборка 1'!AW51-'Выборка 1'!AV51)+('Выборка 1'!AX51-'Выборка 1'!AW51))/4000</f>
        <v>810.25</v>
      </c>
    </row>
    <row r="52" spans="2:9" x14ac:dyDescent="0.25">
      <c r="B52" s="42">
        <f>('Выборка 1'!AL52+'Выборка 1'!AG52)/1000</f>
        <v>0</v>
      </c>
      <c r="C52" s="17">
        <f>(('Выборка 1'!E52-'Выборка 1'!D52)+('Выборка 1'!F52-'Выборка 1'!E52)+('Выборка 1'!G52-'Выборка 1'!F52)+('Выборка 1'!H52-'Выборка 1'!G52))/4000</f>
        <v>-12192.5</v>
      </c>
      <c r="H52" s="42">
        <f>('Выборка 1'!AS52+'Выборка 1'!AN52)/1000</f>
        <v>42232030</v>
      </c>
      <c r="I52" s="17">
        <f>(('Выборка 1'!AU52-'Выборка 1'!AT52)+('Выборка 1'!AV52-'Выборка 1'!AU52)+('Выборка 1'!AW52-'Выборка 1'!AV52)+('Выборка 1'!AX52-'Выборка 1'!AW52))/4000</f>
        <v>-965070.25</v>
      </c>
    </row>
    <row r="53" spans="2:9" x14ac:dyDescent="0.25">
      <c r="B53" s="42">
        <f>('Выборка 1'!AL53+'Выборка 1'!AG53)/1000</f>
        <v>187257</v>
      </c>
      <c r="C53" s="17">
        <f>(('Выборка 1'!E53-'Выборка 1'!D53)+('Выборка 1'!F53-'Выборка 1'!E53)+('Выборка 1'!G53-'Выборка 1'!F53)+('Выборка 1'!H53-'Выборка 1'!G53))/4000</f>
        <v>-966.75</v>
      </c>
      <c r="H53" s="42">
        <f>('Выборка 1'!AS53+'Выборка 1'!AN53)/1000</f>
        <v>322818</v>
      </c>
      <c r="I53" s="17">
        <f>(('Выборка 1'!AU53-'Выборка 1'!AT53)+('Выборка 1'!AV53-'Выборка 1'!AU53)+('Выборка 1'!AW53-'Выборка 1'!AV53)+('Выборка 1'!AX53-'Выборка 1'!AW53))/4000</f>
        <v>-1701.5</v>
      </c>
    </row>
    <row r="54" spans="2:9" x14ac:dyDescent="0.25">
      <c r="B54" s="42">
        <f>('Выборка 1'!AL54+'Выборка 1'!AG54)/1000</f>
        <v>0</v>
      </c>
      <c r="C54" s="17">
        <f>(('Выборка 1'!E54-'Выборка 1'!D54)+('Выборка 1'!F54-'Выборка 1'!E54)+('Выборка 1'!G54-'Выборка 1'!F54)+('Выборка 1'!H54-'Выборка 1'!G54))/4000</f>
        <v>0</v>
      </c>
      <c r="H54" s="42">
        <f>('Выборка 1'!AS54+'Выборка 1'!AN54)/1000</f>
        <v>192487</v>
      </c>
      <c r="I54" s="17">
        <f>(('Выборка 1'!AU54-'Выборка 1'!AT54)+('Выборка 1'!AV54-'Выборка 1'!AU54)+('Выборка 1'!AW54-'Выборка 1'!AV54)+('Выборка 1'!AX54-'Выборка 1'!AW54))/4000</f>
        <v>3038.5</v>
      </c>
    </row>
    <row r="55" spans="2:9" x14ac:dyDescent="0.25">
      <c r="B55" s="42">
        <f>('Выборка 1'!AL55+'Выборка 1'!AG55)/1000</f>
        <v>0</v>
      </c>
      <c r="C55" s="17">
        <f>(('Выборка 1'!E55-'Выборка 1'!D55)+('Выборка 1'!F55-'Выборка 1'!E55)+('Выборка 1'!G55-'Выборка 1'!F55)+('Выборка 1'!H55-'Выборка 1'!G55))/4000</f>
        <v>-814</v>
      </c>
      <c r="H55" s="42">
        <f>('Выборка 1'!AS55+'Выборка 1'!AN55)/1000</f>
        <v>0</v>
      </c>
      <c r="I55" s="17">
        <f>(('Выборка 1'!AU55-'Выборка 1'!AT55)+('Выборка 1'!AV55-'Выборка 1'!AU55)+('Выборка 1'!AW55-'Выборка 1'!AV55)+('Выборка 1'!AX55-'Выборка 1'!AW55))/4000</f>
        <v>0</v>
      </c>
    </row>
    <row r="56" spans="2:9" x14ac:dyDescent="0.25">
      <c r="B56" s="42">
        <f>('Выборка 1'!AL56+'Выборка 1'!AG56)/1000</f>
        <v>0</v>
      </c>
      <c r="C56" s="17">
        <f>(('Выборка 1'!E56-'Выборка 1'!D56)+('Выборка 1'!F56-'Выборка 1'!E56)+('Выборка 1'!G56-'Выборка 1'!F56)+('Выборка 1'!H56-'Выборка 1'!G56))/4000</f>
        <v>0</v>
      </c>
      <c r="H56" s="42">
        <f>('Выборка 1'!AS56+'Выборка 1'!AN56)/1000</f>
        <v>0</v>
      </c>
      <c r="I56" s="17">
        <f>(('Выборка 1'!AU56-'Выборка 1'!AT56)+('Выборка 1'!AV56-'Выборка 1'!AU56)+('Выборка 1'!AW56-'Выборка 1'!AV56)+('Выборка 1'!AX56-'Выборка 1'!AW56))/4000</f>
        <v>0</v>
      </c>
    </row>
    <row r="57" spans="2:9" x14ac:dyDescent="0.25">
      <c r="B57" s="42">
        <f>('Выборка 1'!AL57+'Выборка 1'!AG57)/1000</f>
        <v>0</v>
      </c>
      <c r="C57" s="17">
        <f>(('Выборка 1'!E57-'Выборка 1'!D57)+('Выборка 1'!F57-'Выборка 1'!E57)+('Выборка 1'!G57-'Выборка 1'!F57)+('Выборка 1'!H57-'Выборка 1'!G57))/4000</f>
        <v>-1465.5</v>
      </c>
      <c r="H57" s="42">
        <f>('Выборка 1'!AS57+'Выборка 1'!AN57)/1000</f>
        <v>300</v>
      </c>
      <c r="I57" s="17">
        <f>(('Выборка 1'!AU57-'Выборка 1'!AT57)+('Выборка 1'!AV57-'Выборка 1'!AU57)+('Выборка 1'!AW57-'Выборка 1'!AV57)+('Выборка 1'!AX57-'Выборка 1'!AW57))/4000</f>
        <v>0</v>
      </c>
    </row>
    <row r="58" spans="2:9" x14ac:dyDescent="0.25">
      <c r="B58" s="42">
        <f>('Выборка 1'!AL58+'Выборка 1'!AG58)/1000</f>
        <v>90922</v>
      </c>
      <c r="C58" s="17">
        <f>(('Выборка 1'!E58-'Выборка 1'!D58)+('Выборка 1'!F58-'Выборка 1'!E58)+('Выборка 1'!G58-'Выборка 1'!F58)+('Выборка 1'!H58-'Выборка 1'!G58))/4000</f>
        <v>-212.5</v>
      </c>
      <c r="H58" s="42">
        <f>('Выборка 1'!AS58+'Выборка 1'!AN58)/1000</f>
        <v>1380469</v>
      </c>
      <c r="I58" s="17">
        <f>(('Выборка 1'!AU58-'Выборка 1'!AT58)+('Выборка 1'!AV58-'Выборка 1'!AU58)+('Выборка 1'!AW58-'Выборка 1'!AV58)+('Выборка 1'!AX58-'Выборка 1'!AW58))/4000</f>
        <v>-815.25</v>
      </c>
    </row>
    <row r="59" spans="2:9" x14ac:dyDescent="0.25">
      <c r="B59" s="42">
        <f>('Выборка 1'!AL59+'Выборка 1'!AG59)/1000</f>
        <v>0</v>
      </c>
      <c r="C59" s="17">
        <f>(('Выборка 1'!E59-'Выборка 1'!D59)+('Выборка 1'!F59-'Выборка 1'!E59)+('Выборка 1'!G59-'Выборка 1'!F59)+('Выборка 1'!H59-'Выборка 1'!G59))/4000</f>
        <v>0</v>
      </c>
      <c r="H59" s="42">
        <f>('Выборка 1'!AS59+'Выборка 1'!AN59)/1000</f>
        <v>0</v>
      </c>
      <c r="I59" s="17">
        <f>(('Выборка 1'!AU59-'Выборка 1'!AT59)+('Выборка 1'!AV59-'Выборка 1'!AU59)+('Выборка 1'!AW59-'Выборка 1'!AV59)+('Выборка 1'!AX59-'Выборка 1'!AW59))/4000</f>
        <v>0</v>
      </c>
    </row>
    <row r="60" spans="2:9" x14ac:dyDescent="0.25">
      <c r="B60" s="42">
        <f>('Выборка 1'!AL60+'Выборка 1'!AG60)/1000</f>
        <v>0</v>
      </c>
      <c r="C60" s="17">
        <f>(('Выборка 1'!E60-'Выборка 1'!D60)+('Выборка 1'!F60-'Выборка 1'!E60)+('Выборка 1'!G60-'Выборка 1'!F60)+('Выборка 1'!H60-'Выборка 1'!G60))/4000</f>
        <v>0</v>
      </c>
      <c r="H60" s="42">
        <f>('Выборка 1'!AS60+'Выборка 1'!AN60)/1000</f>
        <v>225600</v>
      </c>
      <c r="I60" s="17">
        <f>(('Выборка 1'!AU60-'Выборка 1'!AT60)+('Выборка 1'!AV60-'Выборка 1'!AU60)+('Выборка 1'!AW60-'Выборка 1'!AV60)+('Выборка 1'!AX60-'Выборка 1'!AW60))/4000</f>
        <v>-31721.25</v>
      </c>
    </row>
    <row r="61" spans="2:9" x14ac:dyDescent="0.25">
      <c r="B61" s="42">
        <f>('Выборка 1'!AL61+'Выборка 1'!AG61)/1000</f>
        <v>27551</v>
      </c>
      <c r="C61" s="17">
        <f>(('Выборка 1'!E61-'Выборка 1'!D61)+('Выборка 1'!F61-'Выборка 1'!E61)+('Выборка 1'!G61-'Выборка 1'!F61)+('Выборка 1'!H61-'Выборка 1'!G61))/4000</f>
        <v>0</v>
      </c>
      <c r="H61" s="42">
        <f>('Выборка 1'!AS61+'Выборка 1'!AN61)/1000</f>
        <v>2908</v>
      </c>
      <c r="I61" s="17">
        <f>(('Выборка 1'!AU61-'Выборка 1'!AT61)+('Выборка 1'!AV61-'Выборка 1'!AU61)+('Выборка 1'!AW61-'Выборка 1'!AV61)+('Выборка 1'!AX61-'Выборка 1'!AW61))/4000</f>
        <v>0</v>
      </c>
    </row>
    <row r="62" spans="2:9" x14ac:dyDescent="0.25">
      <c r="B62" s="42">
        <f>('Выборка 1'!AL62+'Выборка 1'!AG62)/1000</f>
        <v>0</v>
      </c>
      <c r="C62" s="17">
        <f>(('Выборка 1'!E62-'Выборка 1'!D62)+('Выборка 1'!F62-'Выборка 1'!E62)+('Выборка 1'!G62-'Выборка 1'!F62)+('Выборка 1'!H62-'Выборка 1'!G62))/4000</f>
        <v>0</v>
      </c>
      <c r="H62" s="42">
        <f>('Выборка 1'!AS62+'Выборка 1'!AN62)/1000</f>
        <v>0</v>
      </c>
      <c r="I62" s="17">
        <f>(('Выборка 1'!AU62-'Выборка 1'!AT62)+('Выборка 1'!AV62-'Выборка 1'!AU62)+('Выборка 1'!AW62-'Выборка 1'!AV62)+('Выборка 1'!AX62-'Выборка 1'!AW62))/4000</f>
        <v>0</v>
      </c>
    </row>
    <row r="63" spans="2:9" x14ac:dyDescent="0.25">
      <c r="B63" s="42">
        <f>('Выборка 1'!AL63+'Выборка 1'!AG63)/1000</f>
        <v>0</v>
      </c>
      <c r="C63" s="17">
        <f>(('Выборка 1'!E63-'Выборка 1'!D63)+('Выборка 1'!F63-'Выборка 1'!E63)+('Выборка 1'!G63-'Выборка 1'!F63)+('Выборка 1'!H63-'Выборка 1'!G63))/4000</f>
        <v>-4585.5</v>
      </c>
      <c r="H63" s="42">
        <f>('Выборка 1'!AS63+'Выборка 1'!AN63)/1000</f>
        <v>256044</v>
      </c>
      <c r="I63" s="17">
        <f>(('Выборка 1'!AU63-'Выборка 1'!AT63)+('Выборка 1'!AV63-'Выборка 1'!AU63)+('Выборка 1'!AW63-'Выборка 1'!AV63)+('Выборка 1'!AX63-'Выборка 1'!AW63))/4000</f>
        <v>-16640.5</v>
      </c>
    </row>
    <row r="64" spans="2:9" x14ac:dyDescent="0.25">
      <c r="B64" s="42">
        <f>('Выборка 1'!AL64+'Выборка 1'!AG64)/1000</f>
        <v>0</v>
      </c>
      <c r="C64" s="17">
        <f>(('Выборка 1'!E64-'Выборка 1'!D64)+('Выборка 1'!F64-'Выборка 1'!E64)+('Выборка 1'!G64-'Выборка 1'!F64)+('Выборка 1'!H64-'Выборка 1'!G64))/4000</f>
        <v>0</v>
      </c>
      <c r="H64" s="42">
        <f>('Выборка 1'!AS64+'Выборка 1'!AN64)/1000</f>
        <v>0</v>
      </c>
      <c r="I64" s="17">
        <f>(('Выборка 1'!AU64-'Выборка 1'!AT64)+('Выборка 1'!AV64-'Выборка 1'!AU64)+('Выборка 1'!AW64-'Выборка 1'!AV64)+('Выборка 1'!AX64-'Выборка 1'!AW64))/4000</f>
        <v>0</v>
      </c>
    </row>
    <row r="65" spans="2:9" x14ac:dyDescent="0.25">
      <c r="B65" s="42">
        <f>('Выборка 1'!AL65+'Выборка 1'!AG65)/1000</f>
        <v>346623</v>
      </c>
      <c r="C65" s="17">
        <f>(('Выборка 1'!E65-'Выборка 1'!D65)+('Выборка 1'!F65-'Выборка 1'!E65)+('Выборка 1'!G65-'Выборка 1'!F65)+('Выборка 1'!H65-'Выборка 1'!G65))/4000</f>
        <v>0</v>
      </c>
      <c r="H65" s="42">
        <f>('Выборка 1'!AS65+'Выборка 1'!AN65)/1000</f>
        <v>0</v>
      </c>
      <c r="I65" s="17">
        <f>(('Выборка 1'!AU65-'Выборка 1'!AT65)+('Выборка 1'!AV65-'Выборка 1'!AU65)+('Выборка 1'!AW65-'Выборка 1'!AV65)+('Выборка 1'!AX65-'Выборка 1'!AW65))/4000</f>
        <v>0</v>
      </c>
    </row>
    <row r="66" spans="2:9" x14ac:dyDescent="0.25">
      <c r="B66" s="42">
        <f>('Выборка 1'!AL66+'Выборка 1'!AG66)/1000</f>
        <v>0</v>
      </c>
      <c r="C66" s="17">
        <f>(('Выборка 1'!E66-'Выборка 1'!D66)+('Выборка 1'!F66-'Выборка 1'!E66)+('Выборка 1'!G66-'Выборка 1'!F66)+('Выборка 1'!H66-'Выборка 1'!G66))/4000</f>
        <v>0</v>
      </c>
      <c r="H66" s="42">
        <f>('Выборка 1'!AS66+'Выборка 1'!AN66)/1000</f>
        <v>104046</v>
      </c>
      <c r="I66" s="17">
        <f>(('Выборка 1'!AU66-'Выборка 1'!AT66)+('Выборка 1'!AV66-'Выборка 1'!AU66)+('Выборка 1'!AW66-'Выборка 1'!AV66)+('Выборка 1'!AX66-'Выборка 1'!AW66))/4000</f>
        <v>5868.75</v>
      </c>
    </row>
    <row r="67" spans="2:9" x14ac:dyDescent="0.25">
      <c r="B67" s="42">
        <f>('Выборка 1'!AL67+'Выборка 1'!AG67)/1000</f>
        <v>0</v>
      </c>
      <c r="C67" s="17">
        <f>(('Выборка 1'!E67-'Выборка 1'!D67)+('Выборка 1'!F67-'Выборка 1'!E67)+('Выборка 1'!G67-'Выборка 1'!F67)+('Выборка 1'!H67-'Выборка 1'!G67))/4000</f>
        <v>-1004</v>
      </c>
      <c r="H67" s="42">
        <f>('Выборка 1'!AS67+'Выборка 1'!AN67)/1000</f>
        <v>64602</v>
      </c>
      <c r="I67" s="17">
        <f>(('Выборка 1'!AU67-'Выборка 1'!AT67)+('Выборка 1'!AV67-'Выборка 1'!AU67)+('Выборка 1'!AW67-'Выборка 1'!AV67)+('Выборка 1'!AX67-'Выборка 1'!AW67))/4000</f>
        <v>0</v>
      </c>
    </row>
    <row r="68" spans="2:9" x14ac:dyDescent="0.25">
      <c r="B68" s="42">
        <f>('Выборка 1'!AL68+'Выборка 1'!AG68)/1000</f>
        <v>0</v>
      </c>
      <c r="C68" s="17">
        <f>(('Выборка 1'!E68-'Выборка 1'!D68)+('Выборка 1'!F68-'Выборка 1'!E68)+('Выборка 1'!G68-'Выборка 1'!F68)+('Выборка 1'!H68-'Выборка 1'!G68))/4000</f>
        <v>0</v>
      </c>
      <c r="H68" s="42">
        <f>('Выборка 1'!AS68+'Выборка 1'!AN68)/1000</f>
        <v>0</v>
      </c>
      <c r="I68" s="17">
        <f>(('Выборка 1'!AU68-'Выборка 1'!AT68)+('Выборка 1'!AV68-'Выборка 1'!AU68)+('Выборка 1'!AW68-'Выборка 1'!AV68)+('Выборка 1'!AX68-'Выборка 1'!AW68))/4000</f>
        <v>0</v>
      </c>
    </row>
    <row r="69" spans="2:9" x14ac:dyDescent="0.25">
      <c r="B69" s="42">
        <f>('Выборка 1'!AL69+'Выборка 1'!AG69)/1000</f>
        <v>0</v>
      </c>
      <c r="C69" s="17">
        <f>(('Выборка 1'!E69-'Выборка 1'!D69)+('Выборка 1'!F69-'Выборка 1'!E69)+('Выборка 1'!G69-'Выборка 1'!F69)+('Выборка 1'!H69-'Выборка 1'!G69))/4000</f>
        <v>-274.5</v>
      </c>
      <c r="H69" s="42">
        <f>('Выборка 1'!AS69+'Выборка 1'!AN69)/1000</f>
        <v>22301</v>
      </c>
      <c r="I69" s="17">
        <f>(('Выборка 1'!AU69-'Выборка 1'!AT69)+('Выборка 1'!AV69-'Выборка 1'!AU69)+('Выборка 1'!AW69-'Выборка 1'!AV69)+('Выборка 1'!AX69-'Выборка 1'!AW69))/4000</f>
        <v>-1401</v>
      </c>
    </row>
    <row r="70" spans="2:9" x14ac:dyDescent="0.25">
      <c r="B70" s="42">
        <f>('Выборка 1'!AL70+'Выборка 1'!AG70)/1000</f>
        <v>32615</v>
      </c>
      <c r="C70" s="17">
        <f>(('Выборка 1'!E70-'Выборка 1'!D70)+('Выборка 1'!F70-'Выборка 1'!E70)+('Выборка 1'!G70-'Выборка 1'!F70)+('Выборка 1'!H70-'Выборка 1'!G70))/4000</f>
        <v>418.5</v>
      </c>
      <c r="H70" s="42">
        <f>('Выборка 1'!AS70+'Выборка 1'!AN70)/1000</f>
        <v>19740</v>
      </c>
      <c r="I70" s="17">
        <f>(('Выборка 1'!AU70-'Выборка 1'!AT70)+('Выборка 1'!AV70-'Выборка 1'!AU70)+('Выборка 1'!AW70-'Выборка 1'!AV70)+('Выборка 1'!AX70-'Выборка 1'!AW70))/4000</f>
        <v>-115.25</v>
      </c>
    </row>
    <row r="71" spans="2:9" x14ac:dyDescent="0.25">
      <c r="B71" s="42">
        <f>('Выборка 1'!AL71+'Выборка 1'!AG71)/1000</f>
        <v>693280</v>
      </c>
      <c r="C71" s="17">
        <f>(('Выборка 1'!E71-'Выборка 1'!D71)+('Выборка 1'!F71-'Выборка 1'!E71)+('Выборка 1'!G71-'Выборка 1'!F71)+('Выборка 1'!H71-'Выборка 1'!G71))/4000</f>
        <v>-179.5</v>
      </c>
      <c r="H71" s="42">
        <f>('Выборка 1'!AS71+'Выборка 1'!AN71)/1000</f>
        <v>0</v>
      </c>
      <c r="I71" s="17">
        <f>(('Выборка 1'!AU71-'Выборка 1'!AT71)+('Выборка 1'!AV71-'Выборка 1'!AU71)+('Выборка 1'!AW71-'Выборка 1'!AV71)+('Выборка 1'!AX71-'Выборка 1'!AW71))/4000</f>
        <v>0</v>
      </c>
    </row>
    <row r="72" spans="2:9" x14ac:dyDescent="0.25">
      <c r="B72" s="42">
        <f>('Выборка 1'!AL72+'Выборка 1'!AG72)/1000</f>
        <v>111203</v>
      </c>
      <c r="C72" s="17">
        <f>(('Выборка 1'!E72-'Выборка 1'!D72)+('Выборка 1'!F72-'Выборка 1'!E72)+('Выборка 1'!G72-'Выборка 1'!F72)+('Выборка 1'!H72-'Выборка 1'!G72))/4000</f>
        <v>-396.75</v>
      </c>
      <c r="H72" s="42">
        <f>('Выборка 1'!AS72+'Выборка 1'!AN72)/1000</f>
        <v>376111</v>
      </c>
      <c r="I72" s="17">
        <f>(('Выборка 1'!AU72-'Выборка 1'!AT72)+('Выборка 1'!AV72-'Выборка 1'!AU72)+('Выборка 1'!AW72-'Выборка 1'!AV72)+('Выборка 1'!AX72-'Выборка 1'!AW72))/4000</f>
        <v>-98818.75</v>
      </c>
    </row>
    <row r="73" spans="2:9" x14ac:dyDescent="0.25">
      <c r="B73" s="42">
        <f>('Выборка 1'!AL73+'Выборка 1'!AG73)/1000</f>
        <v>406146</v>
      </c>
      <c r="C73" s="17">
        <f>(('Выборка 1'!E73-'Выборка 1'!D73)+('Выборка 1'!F73-'Выборка 1'!E73)+('Выборка 1'!G73-'Выборка 1'!F73)+('Выборка 1'!H73-'Выборка 1'!G73))/4000</f>
        <v>-19319.25</v>
      </c>
      <c r="H73" s="42">
        <f>('Выборка 1'!AS73+'Выборка 1'!AN73)/1000</f>
        <v>1145</v>
      </c>
      <c r="I73" s="17">
        <f>(('Выборка 1'!AU73-'Выборка 1'!AT73)+('Выборка 1'!AV73-'Выборка 1'!AU73)+('Выборка 1'!AW73-'Выборка 1'!AV73)+('Выборка 1'!AX73-'Выборка 1'!AW73))/4000</f>
        <v>0</v>
      </c>
    </row>
    <row r="74" spans="2:9" x14ac:dyDescent="0.25">
      <c r="B74" s="42">
        <f>('Выборка 1'!AL74+'Выборка 1'!AG74)/1000</f>
        <v>72737</v>
      </c>
      <c r="C74" s="17">
        <f>(('Выборка 1'!E74-'Выборка 1'!D74)+('Выборка 1'!F74-'Выборка 1'!E74)+('Выборка 1'!G74-'Выборка 1'!F74)+('Выборка 1'!H74-'Выборка 1'!G74))/4000</f>
        <v>-4</v>
      </c>
      <c r="H74" s="42">
        <f>('Выборка 1'!AS74+'Выборка 1'!AN74)/1000</f>
        <v>93234</v>
      </c>
      <c r="I74" s="17">
        <f>(('Выборка 1'!AU74-'Выборка 1'!AT74)+('Выборка 1'!AV74-'Выборка 1'!AU74)+('Выборка 1'!AW74-'Выборка 1'!AV74)+('Выборка 1'!AX74-'Выборка 1'!AW74))/4000</f>
        <v>-22923.5</v>
      </c>
    </row>
    <row r="75" spans="2:9" x14ac:dyDescent="0.25">
      <c r="B75" s="42">
        <f>('Выборка 1'!AL75+'Выборка 1'!AG75)/1000</f>
        <v>3855700</v>
      </c>
      <c r="C75" s="17">
        <f>(('Выборка 1'!E75-'Выборка 1'!D75)+('Выборка 1'!F75-'Выборка 1'!E75)+('Выборка 1'!G75-'Выборка 1'!F75)+('Выборка 1'!H75-'Выборка 1'!G75))/4000</f>
        <v>-63644.5</v>
      </c>
      <c r="H75" s="42">
        <f>('Выборка 1'!AS75+'Выборка 1'!AN75)/1000</f>
        <v>277748</v>
      </c>
      <c r="I75" s="17">
        <f>(('Выборка 1'!AU75-'Выборка 1'!AT75)+('Выборка 1'!AV75-'Выборка 1'!AU75)+('Выборка 1'!AW75-'Выборка 1'!AV75)+('Выборка 1'!AX75-'Выборка 1'!AW75))/4000</f>
        <v>-23796.25</v>
      </c>
    </row>
    <row r="76" spans="2:9" x14ac:dyDescent="0.25">
      <c r="B76" s="42">
        <f>('Выборка 1'!AL76+'Выборка 1'!AG76)/1000</f>
        <v>319280</v>
      </c>
      <c r="C76" s="17">
        <f>(('Выборка 1'!E76-'Выборка 1'!D76)+('Выборка 1'!F76-'Выборка 1'!E76)+('Выборка 1'!G76-'Выборка 1'!F76)+('Выборка 1'!H76-'Выборка 1'!G76))/4000</f>
        <v>0</v>
      </c>
      <c r="H76" s="42">
        <f>('Выборка 1'!AS76+'Выборка 1'!AN76)/1000</f>
        <v>0</v>
      </c>
      <c r="I76" s="17">
        <f>(('Выборка 1'!AU76-'Выборка 1'!AT76)+('Выборка 1'!AV76-'Выборка 1'!AU76)+('Выборка 1'!AW76-'Выборка 1'!AV76)+('Выборка 1'!AX76-'Выборка 1'!AW76))/4000</f>
        <v>-0.25</v>
      </c>
    </row>
    <row r="77" spans="2:9" x14ac:dyDescent="0.25">
      <c r="B77" s="42">
        <f>('Выборка 1'!AL77+'Выборка 1'!AG77)/1000</f>
        <v>31648</v>
      </c>
      <c r="C77" s="17">
        <f>(('Выборка 1'!E77-'Выборка 1'!D77)+('Выборка 1'!F77-'Выборка 1'!E77)+('Выборка 1'!G77-'Выборка 1'!F77)+('Выборка 1'!H77-'Выборка 1'!G77))/4000</f>
        <v>1760.75</v>
      </c>
      <c r="H77" s="42">
        <f>('Выборка 1'!AS77+'Выборка 1'!AN77)/1000</f>
        <v>93631</v>
      </c>
      <c r="I77" s="17">
        <f>(('Выборка 1'!AU77-'Выборка 1'!AT77)+('Выборка 1'!AV77-'Выборка 1'!AU77)+('Выборка 1'!AW77-'Выборка 1'!AV77)+('Выборка 1'!AX77-'Выборка 1'!AW77))/4000</f>
        <v>-18180.5</v>
      </c>
    </row>
    <row r="78" spans="2:9" x14ac:dyDescent="0.25">
      <c r="B78" s="42">
        <f>('Выборка 1'!AL78+'Выборка 1'!AG78)/1000</f>
        <v>0</v>
      </c>
      <c r="C78" s="17">
        <f>(('Выборка 1'!E78-'Выборка 1'!D78)+('Выборка 1'!F78-'Выборка 1'!E78)+('Выборка 1'!G78-'Выборка 1'!F78)+('Выборка 1'!H78-'Выборка 1'!G78))/4000</f>
        <v>0</v>
      </c>
      <c r="H78" s="42">
        <f>('Выборка 1'!AS78+'Выборка 1'!AN78)/1000</f>
        <v>0</v>
      </c>
      <c r="I78" s="17">
        <f>(('Выборка 1'!AU78-'Выборка 1'!AT78)+('Выборка 1'!AV78-'Выборка 1'!AU78)+('Выборка 1'!AW78-'Выборка 1'!AV78)+('Выборка 1'!AX78-'Выборка 1'!AW78))/4000</f>
        <v>0</v>
      </c>
    </row>
    <row r="79" spans="2:9" x14ac:dyDescent="0.25">
      <c r="B79" s="42">
        <f>('Выборка 1'!AL79+'Выборка 1'!AG79)/1000</f>
        <v>0</v>
      </c>
      <c r="C79" s="17">
        <f>(('Выборка 1'!E79-'Выборка 1'!D79)+('Выборка 1'!F79-'Выборка 1'!E79)+('Выборка 1'!G79-'Выборка 1'!F79)+('Выборка 1'!H79-'Выборка 1'!G79))/4000</f>
        <v>-186.5</v>
      </c>
      <c r="H79" s="42">
        <f>('Выборка 1'!AS79+'Выборка 1'!AN79)/1000</f>
        <v>58873</v>
      </c>
      <c r="I79" s="17">
        <f>(('Выборка 1'!AU79-'Выборка 1'!AT79)+('Выборка 1'!AV79-'Выборка 1'!AU79)+('Выборка 1'!AW79-'Выборка 1'!AV79)+('Выборка 1'!AX79-'Выборка 1'!AW79))/4000</f>
        <v>-12883.75</v>
      </c>
    </row>
    <row r="80" spans="2:9" x14ac:dyDescent="0.25">
      <c r="B80" s="42">
        <f>('Выборка 1'!AL80+'Выборка 1'!AG80)/1000</f>
        <v>0</v>
      </c>
      <c r="C80" s="17">
        <f>(('Выборка 1'!E80-'Выборка 1'!D80)+('Выборка 1'!F80-'Выборка 1'!E80)+('Выборка 1'!G80-'Выборка 1'!F80)+('Выборка 1'!H80-'Выборка 1'!G80))/4000</f>
        <v>0</v>
      </c>
      <c r="H80" s="42">
        <f>('Выборка 1'!AS80+'Выборка 1'!AN80)/1000</f>
        <v>0</v>
      </c>
      <c r="I80" s="17">
        <f>(('Выборка 1'!AU80-'Выборка 1'!AT80)+('Выборка 1'!AV80-'Выборка 1'!AU80)+('Выборка 1'!AW80-'Выборка 1'!AV80)+('Выборка 1'!AX80-'Выборка 1'!AW80))/4000</f>
        <v>0</v>
      </c>
    </row>
    <row r="81" spans="2:9" x14ac:dyDescent="0.25">
      <c r="B81" s="42">
        <f>('Выборка 1'!AL81+'Выборка 1'!AG81)/1000</f>
        <v>0</v>
      </c>
      <c r="C81" s="17">
        <f>(('Выборка 1'!E81-'Выборка 1'!D81)+('Выборка 1'!F81-'Выборка 1'!E81)+('Выборка 1'!G81-'Выборка 1'!F81)+('Выборка 1'!H81-'Выборка 1'!G81))/4000</f>
        <v>0</v>
      </c>
      <c r="H81" s="42">
        <f>('Выборка 1'!AS81+'Выборка 1'!AN81)/1000</f>
        <v>0</v>
      </c>
      <c r="I81" s="17">
        <f>(('Выборка 1'!AU81-'Выборка 1'!AT81)+('Выборка 1'!AV81-'Выборка 1'!AU81)+('Выборка 1'!AW81-'Выборка 1'!AV81)+('Выборка 1'!AX81-'Выборка 1'!AW81))/4000</f>
        <v>0</v>
      </c>
    </row>
    <row r="82" spans="2:9" x14ac:dyDescent="0.25">
      <c r="B82" s="42">
        <f>('Выборка 1'!AL82+'Выборка 1'!AG82)/1000</f>
        <v>0</v>
      </c>
      <c r="C82" s="17">
        <f>(('Выборка 1'!E82-'Выборка 1'!D82)+('Выборка 1'!F82-'Выборка 1'!E82)+('Выборка 1'!G82-'Выборка 1'!F82)+('Выборка 1'!H82-'Выборка 1'!G82))/4000</f>
        <v>-38</v>
      </c>
      <c r="H82" s="42">
        <f>('Выборка 1'!AS82+'Выборка 1'!AN82)/1000</f>
        <v>60732</v>
      </c>
      <c r="I82" s="17">
        <f>(('Выборка 1'!AU82-'Выборка 1'!AT82)+('Выборка 1'!AV82-'Выборка 1'!AU82)+('Выборка 1'!AW82-'Выборка 1'!AV82)+('Выборка 1'!AX82-'Выборка 1'!AW82))/4000</f>
        <v>0</v>
      </c>
    </row>
    <row r="83" spans="2:9" x14ac:dyDescent="0.25">
      <c r="B83" s="42">
        <f>('Выборка 1'!AL83+'Выборка 1'!AG83)/1000</f>
        <v>0</v>
      </c>
      <c r="C83" s="17">
        <f>(('Выборка 1'!E83-'Выборка 1'!D83)+('Выборка 1'!F83-'Выборка 1'!E83)+('Выборка 1'!G83-'Выборка 1'!F83)+('Выборка 1'!H83-'Выборка 1'!G83))/4000</f>
        <v>-907</v>
      </c>
      <c r="H83" s="42">
        <f>('Выборка 1'!AS83+'Выборка 1'!AN83)/1000</f>
        <v>4663</v>
      </c>
      <c r="I83" s="17">
        <f>(('Выборка 1'!AU83-'Выборка 1'!AT83)+('Выборка 1'!AV83-'Выборка 1'!AU83)+('Выборка 1'!AW83-'Выборка 1'!AV83)+('Выборка 1'!AX83-'Выборка 1'!AW83))/4000</f>
        <v>-432.5</v>
      </c>
    </row>
    <row r="84" spans="2:9" x14ac:dyDescent="0.25">
      <c r="B84" s="42">
        <f>('Выборка 1'!AL84+'Выборка 1'!AG84)/1000</f>
        <v>25088</v>
      </c>
      <c r="C84" s="17">
        <f>(('Выборка 1'!E84-'Выборка 1'!D84)+('Выборка 1'!F84-'Выборка 1'!E84)+('Выборка 1'!G84-'Выборка 1'!F84)+('Выборка 1'!H84-'Выборка 1'!G84))/4000</f>
        <v>0</v>
      </c>
      <c r="H84" s="42">
        <f>('Выборка 1'!AS84+'Выборка 1'!AN84)/1000</f>
        <v>1294</v>
      </c>
      <c r="I84" s="17">
        <f>(('Выборка 1'!AU84-'Выборка 1'!AT84)+('Выборка 1'!AV84-'Выборка 1'!AU84)+('Выборка 1'!AW84-'Выборка 1'!AV84)+('Выборка 1'!AX84-'Выборка 1'!AW84))/4000</f>
        <v>-203</v>
      </c>
    </row>
    <row r="85" spans="2:9" x14ac:dyDescent="0.25">
      <c r="B85" s="42">
        <f>('Выборка 1'!AL85+'Выборка 1'!AG85)/1000</f>
        <v>0</v>
      </c>
      <c r="C85" s="17">
        <f>(('Выборка 1'!E85-'Выборка 1'!D85)+('Выборка 1'!F85-'Выборка 1'!E85)+('Выборка 1'!G85-'Выборка 1'!F85)+('Выборка 1'!H85-'Выборка 1'!G85))/4000</f>
        <v>0</v>
      </c>
      <c r="H85" s="42">
        <f>('Выборка 1'!AS85+'Выборка 1'!AN85)/1000</f>
        <v>0</v>
      </c>
      <c r="I85" s="17">
        <f>(('Выборка 1'!AU85-'Выборка 1'!AT85)+('Выборка 1'!AV85-'Выборка 1'!AU85)+('Выборка 1'!AW85-'Выборка 1'!AV85)+('Выборка 1'!AX85-'Выборка 1'!AW85))/4000</f>
        <v>0</v>
      </c>
    </row>
    <row r="86" spans="2:9" x14ac:dyDescent="0.25">
      <c r="B86" s="42">
        <f>('Выборка 1'!AL86+'Выборка 1'!AG86)/1000</f>
        <v>15629</v>
      </c>
      <c r="C86" s="17">
        <f>(('Выборка 1'!E86-'Выборка 1'!D86)+('Выборка 1'!F86-'Выборка 1'!E86)+('Выборка 1'!G86-'Выборка 1'!F86)+('Выборка 1'!H86-'Выборка 1'!G86))/4000</f>
        <v>110.25</v>
      </c>
      <c r="H86" s="42">
        <f>('Выборка 1'!AS86+'Выборка 1'!AN86)/1000</f>
        <v>61403</v>
      </c>
      <c r="I86" s="17">
        <f>(('Выборка 1'!AU86-'Выборка 1'!AT86)+('Выборка 1'!AV86-'Выборка 1'!AU86)+('Выборка 1'!AW86-'Выборка 1'!AV86)+('Выборка 1'!AX86-'Выборка 1'!AW86))/4000</f>
        <v>-5939.75</v>
      </c>
    </row>
    <row r="87" spans="2:9" x14ac:dyDescent="0.25">
      <c r="B87" s="42">
        <f>('Выборка 1'!AL87+'Выборка 1'!AG87)/1000</f>
        <v>100071</v>
      </c>
      <c r="C87" s="17">
        <f>(('Выборка 1'!E87-'Выборка 1'!D87)+('Выборка 1'!F87-'Выборка 1'!E87)+('Выборка 1'!G87-'Выборка 1'!F87)+('Выборка 1'!H87-'Выборка 1'!G87))/4000</f>
        <v>-246.25</v>
      </c>
      <c r="H87" s="42">
        <f>('Выборка 1'!AS87+'Выборка 1'!AN87)/1000</f>
        <v>7515</v>
      </c>
      <c r="I87" s="17">
        <f>(('Выборка 1'!AU87-'Выборка 1'!AT87)+('Выборка 1'!AV87-'Выборка 1'!AU87)+('Выборка 1'!AW87-'Выборка 1'!AV87)+('Выборка 1'!AX87-'Выборка 1'!AW87))/4000</f>
        <v>-9680.5</v>
      </c>
    </row>
    <row r="88" spans="2:9" x14ac:dyDescent="0.25">
      <c r="B88" s="42">
        <f>('Выборка 1'!AL88+'Выборка 1'!AG88)/1000</f>
        <v>184316</v>
      </c>
      <c r="C88" s="17">
        <f>(('Выборка 1'!E88-'Выборка 1'!D88)+('Выборка 1'!F88-'Выборка 1'!E88)+('Выборка 1'!G88-'Выборка 1'!F88)+('Выборка 1'!H88-'Выборка 1'!G88))/4000</f>
        <v>-1958.75</v>
      </c>
      <c r="H88" s="42">
        <f>('Выборка 1'!AS88+'Выборка 1'!AN88)/1000</f>
        <v>425992</v>
      </c>
      <c r="I88" s="17">
        <f>(('Выборка 1'!AU88-'Выборка 1'!AT88)+('Выборка 1'!AV88-'Выборка 1'!AU88)+('Выборка 1'!AW88-'Выборка 1'!AV88)+('Выборка 1'!AX88-'Выборка 1'!AW88))/4000</f>
        <v>-67904.75</v>
      </c>
    </row>
    <row r="89" spans="2:9" x14ac:dyDescent="0.25">
      <c r="B89" s="42">
        <f>('Выборка 1'!AL89+'Выборка 1'!AG89)/1000</f>
        <v>24589</v>
      </c>
      <c r="C89" s="17">
        <f>(('Выборка 1'!E89-'Выборка 1'!D89)+('Выборка 1'!F89-'Выборка 1'!E89)+('Выборка 1'!G89-'Выборка 1'!F89)+('Выборка 1'!H89-'Выборка 1'!G89))/4000</f>
        <v>0</v>
      </c>
      <c r="H89" s="42">
        <f>('Выборка 1'!AS89+'Выборка 1'!AN89)/1000</f>
        <v>0</v>
      </c>
      <c r="I89" s="17">
        <f>(('Выборка 1'!AU89-'Выборка 1'!AT89)+('Выборка 1'!AV89-'Выборка 1'!AU89)+('Выборка 1'!AW89-'Выборка 1'!AV89)+('Выборка 1'!AX89-'Выборка 1'!AW89))/4000</f>
        <v>6.25</v>
      </c>
    </row>
    <row r="90" spans="2:9" x14ac:dyDescent="0.25">
      <c r="B90" s="42">
        <f>('Выборка 1'!AL90+'Выборка 1'!AG90)/1000</f>
        <v>18822</v>
      </c>
      <c r="C90" s="17">
        <f>(('Выборка 1'!E90-'Выборка 1'!D90)+('Выборка 1'!F90-'Выборка 1'!E90)+('Выборка 1'!G90-'Выборка 1'!F90)+('Выборка 1'!H90-'Выборка 1'!G90))/4000</f>
        <v>0</v>
      </c>
      <c r="H90" s="42">
        <f>('Выборка 1'!AS90+'Выборка 1'!AN90)/1000</f>
        <v>0</v>
      </c>
      <c r="I90" s="17">
        <f>(('Выборка 1'!AU90-'Выборка 1'!AT90)+('Выборка 1'!AV90-'Выборка 1'!AU90)+('Выборка 1'!AW90-'Выборка 1'!AV90)+('Выборка 1'!AX90-'Выборка 1'!AW90))/4000</f>
        <v>0</v>
      </c>
    </row>
    <row r="91" spans="2:9" x14ac:dyDescent="0.25">
      <c r="B91" s="42">
        <f>('Выборка 1'!AL91+'Выборка 1'!AG91)/1000</f>
        <v>79128</v>
      </c>
      <c r="C91" s="17">
        <f>(('Выборка 1'!E91-'Выборка 1'!D91)+('Выборка 1'!F91-'Выборка 1'!E91)+('Выборка 1'!G91-'Выборка 1'!F91)+('Выборка 1'!H91-'Выборка 1'!G91))/4000</f>
        <v>233.75</v>
      </c>
      <c r="H91" s="42">
        <f>('Выборка 1'!AS91+'Выборка 1'!AN91)/1000</f>
        <v>4761</v>
      </c>
      <c r="I91" s="17">
        <f>(('Выборка 1'!AU91-'Выборка 1'!AT91)+('Выборка 1'!AV91-'Выборка 1'!AU91)+('Выборка 1'!AW91-'Выборка 1'!AV91)+('Выборка 1'!AX91-'Выборка 1'!AW91))/4000</f>
        <v>0</v>
      </c>
    </row>
    <row r="92" spans="2:9" x14ac:dyDescent="0.25">
      <c r="B92" s="42">
        <f>('Выборка 1'!AL92+'Выборка 1'!AG92)/1000</f>
        <v>0</v>
      </c>
      <c r="C92" s="17">
        <f>(('Выборка 1'!E92-'Выборка 1'!D92)+('Выборка 1'!F92-'Выборка 1'!E92)+('Выборка 1'!G92-'Выборка 1'!F92)+('Выборка 1'!H92-'Выборка 1'!G92))/4000</f>
        <v>-5704.5</v>
      </c>
      <c r="H92" s="42">
        <f>('Выборка 1'!AS92+'Выборка 1'!AN92)/1000</f>
        <v>402298</v>
      </c>
      <c r="I92" s="17">
        <f>(('Выборка 1'!AU92-'Выборка 1'!AT92)+('Выборка 1'!AV92-'Выборка 1'!AU92)+('Выборка 1'!AW92-'Выборка 1'!AV92)+('Выборка 1'!AX92-'Выборка 1'!AW92))/4000</f>
        <v>-64435.75</v>
      </c>
    </row>
    <row r="93" spans="2:9" x14ac:dyDescent="0.25">
      <c r="B93" s="42">
        <f>('Выборка 1'!AL93+'Выборка 1'!AG93)/1000</f>
        <v>0</v>
      </c>
      <c r="C93" s="17">
        <f>(('Выборка 1'!E93-'Выборка 1'!D93)+('Выборка 1'!F93-'Выборка 1'!E93)+('Выборка 1'!G93-'Выборка 1'!F93)+('Выборка 1'!H93-'Выборка 1'!G93))/4000</f>
        <v>-1132.75</v>
      </c>
      <c r="H93" s="42">
        <f>('Выборка 1'!AS93+'Выборка 1'!AN93)/1000</f>
        <v>1018857</v>
      </c>
      <c r="I93" s="17">
        <f>(('Выборка 1'!AU93-'Выборка 1'!AT93)+('Выборка 1'!AV93-'Выборка 1'!AU93)+('Выборка 1'!AW93-'Выборка 1'!AV93)+('Выборка 1'!AX93-'Выборка 1'!AW93))/4000</f>
        <v>-116976.75</v>
      </c>
    </row>
    <row r="94" spans="2:9" x14ac:dyDescent="0.25">
      <c r="B94" s="42">
        <f>('Выборка 1'!AL94+'Выборка 1'!AG94)/1000</f>
        <v>0</v>
      </c>
      <c r="C94" s="17">
        <f>(('Выборка 1'!E94-'Выборка 1'!D94)+('Выборка 1'!F94-'Выборка 1'!E94)+('Выборка 1'!G94-'Выборка 1'!F94)+('Выборка 1'!H94-'Выборка 1'!G94))/4000</f>
        <v>-279.25</v>
      </c>
      <c r="H94" s="42">
        <f>('Выборка 1'!AS94+'Выборка 1'!AN94)/1000</f>
        <v>0</v>
      </c>
      <c r="I94" s="17">
        <f>(('Выборка 1'!AU94-'Выборка 1'!AT94)+('Выборка 1'!AV94-'Выборка 1'!AU94)+('Выборка 1'!AW94-'Выборка 1'!AV94)+('Выборка 1'!AX94-'Выборка 1'!AW94))/4000</f>
        <v>0</v>
      </c>
    </row>
    <row r="95" spans="2:9" x14ac:dyDescent="0.25">
      <c r="B95" s="42">
        <f>('Выборка 1'!AL95+'Выборка 1'!AG95)/1000</f>
        <v>755586</v>
      </c>
      <c r="C95" s="17">
        <f>(('Выборка 1'!E95-'Выборка 1'!D95)+('Выборка 1'!F95-'Выборка 1'!E95)+('Выборка 1'!G95-'Выборка 1'!F95)+('Выборка 1'!H95-'Выборка 1'!G95))/4000</f>
        <v>-11765</v>
      </c>
      <c r="H95" s="42">
        <f>('Выборка 1'!AS95+'Выборка 1'!AN95)/1000</f>
        <v>1892811</v>
      </c>
      <c r="I95" s="17">
        <f>(('Выборка 1'!AU95-'Выборка 1'!AT95)+('Выборка 1'!AV95-'Выборка 1'!AU95)+('Выборка 1'!AW95-'Выборка 1'!AV95)+('Выборка 1'!AX95-'Выборка 1'!AW95))/4000</f>
        <v>-160090.75</v>
      </c>
    </row>
    <row r="96" spans="2:9" x14ac:dyDescent="0.25">
      <c r="B96" s="42">
        <f>('Выборка 1'!AL96+'Выборка 1'!AG96)/1000</f>
        <v>110123</v>
      </c>
      <c r="C96" s="17">
        <f>(('Выборка 1'!E96-'Выборка 1'!D96)+('Выборка 1'!F96-'Выборка 1'!E96)+('Выборка 1'!G96-'Выборка 1'!F96)+('Выборка 1'!H96-'Выборка 1'!G96))/4000</f>
        <v>-1494.75</v>
      </c>
      <c r="H96" s="42">
        <f>('Выборка 1'!AS96+'Выборка 1'!AN96)/1000</f>
        <v>67537</v>
      </c>
      <c r="I96" s="17">
        <f>(('Выборка 1'!AU96-'Выборка 1'!AT96)+('Выборка 1'!AV96-'Выборка 1'!AU96)+('Выборка 1'!AW96-'Выборка 1'!AV96)+('Выборка 1'!AX96-'Выборка 1'!AW96))/4000</f>
        <v>0</v>
      </c>
    </row>
    <row r="97" spans="2:9" x14ac:dyDescent="0.25">
      <c r="B97" s="42">
        <f>('Выборка 1'!AL97+'Выборка 1'!AG97)/1000</f>
        <v>11798</v>
      </c>
      <c r="C97" s="17">
        <f>(('Выборка 1'!E97-'Выборка 1'!D97)+('Выборка 1'!F97-'Выборка 1'!E97)+('Выборка 1'!G97-'Выборка 1'!F97)+('Выборка 1'!H97-'Выборка 1'!G97))/4000</f>
        <v>-246.25</v>
      </c>
      <c r="H97" s="42">
        <f>('Выборка 1'!AS97+'Выборка 1'!AN97)/1000</f>
        <v>0</v>
      </c>
      <c r="I97" s="17">
        <f>(('Выборка 1'!AU97-'Выборка 1'!AT97)+('Выборка 1'!AV97-'Выборка 1'!AU97)+('Выборка 1'!AW97-'Выборка 1'!AV97)+('Выборка 1'!AX97-'Выборка 1'!AW97))/4000</f>
        <v>0</v>
      </c>
    </row>
    <row r="98" spans="2:9" x14ac:dyDescent="0.25">
      <c r="B98" s="42">
        <f>('Выборка 1'!AL98+'Выборка 1'!AG98)/1000</f>
        <v>0</v>
      </c>
      <c r="C98" s="17">
        <f>(('Выборка 1'!E98-'Выборка 1'!D98)+('Выборка 1'!F98-'Выборка 1'!E98)+('Выборка 1'!G98-'Выборка 1'!F98)+('Выборка 1'!H98-'Выборка 1'!G98))/4000</f>
        <v>-19455.75</v>
      </c>
      <c r="H98" s="42">
        <f>('Выборка 1'!AS98+'Выборка 1'!AN98)/1000</f>
        <v>111028</v>
      </c>
      <c r="I98" s="17">
        <f>(('Выборка 1'!AU98-'Выборка 1'!AT98)+('Выборка 1'!AV98-'Выборка 1'!AU98)+('Выборка 1'!AW98-'Выборка 1'!AV98)+('Выборка 1'!AX98-'Выборка 1'!AW98))/4000</f>
        <v>-14291.75</v>
      </c>
    </row>
    <row r="99" spans="2:9" x14ac:dyDescent="0.25">
      <c r="B99" s="42">
        <f>('Выборка 1'!AL99+'Выборка 1'!AG99)/1000</f>
        <v>1231009</v>
      </c>
      <c r="C99" s="17">
        <f>(('Выборка 1'!E99-'Выборка 1'!D99)+('Выборка 1'!F99-'Выборка 1'!E99)+('Выборка 1'!G99-'Выборка 1'!F99)+('Выборка 1'!H99-'Выборка 1'!G99))/4000</f>
        <v>-17670</v>
      </c>
      <c r="H99" s="42">
        <f>('Выборка 1'!AS99+'Выборка 1'!AN99)/1000</f>
        <v>68314</v>
      </c>
      <c r="I99" s="17">
        <f>(('Выборка 1'!AU99-'Выборка 1'!AT99)+('Выборка 1'!AV99-'Выборка 1'!AU99)+('Выборка 1'!AW99-'Выборка 1'!AV99)+('Выборка 1'!AX99-'Выборка 1'!AW99))/4000</f>
        <v>-5760</v>
      </c>
    </row>
    <row r="100" spans="2:9" x14ac:dyDescent="0.25">
      <c r="B100" s="42">
        <f>('Выборка 1'!AL100+'Выборка 1'!AG100)/1000</f>
        <v>0</v>
      </c>
      <c r="C100" s="17">
        <f>(('Выборка 1'!E100-'Выборка 1'!D100)+('Выборка 1'!F100-'Выборка 1'!E100)+('Выборка 1'!G100-'Выборка 1'!F100)+('Выборка 1'!H100-'Выборка 1'!G100))/4000</f>
        <v>0</v>
      </c>
      <c r="H100" s="42">
        <f>('Выборка 1'!AS100+'Выборка 1'!AN100)/1000</f>
        <v>0</v>
      </c>
      <c r="I100" s="17">
        <f>(('Выборка 1'!AU100-'Выборка 1'!AT100)+('Выборка 1'!AV100-'Выборка 1'!AU100)+('Выборка 1'!AW100-'Выборка 1'!AV100)+('Выборка 1'!AX100-'Выборка 1'!AW100))/4000</f>
        <v>0</v>
      </c>
    </row>
    <row r="101" spans="2:9" x14ac:dyDescent="0.25">
      <c r="B101" s="42">
        <f>('Выборка 1'!AL101+'Выборка 1'!AG101)/1000</f>
        <v>0</v>
      </c>
      <c r="C101" s="17">
        <f>(('Выборка 1'!E101-'Выборка 1'!D101)+('Выборка 1'!F101-'Выборка 1'!E101)+('Выборка 1'!G101-'Выборка 1'!F101)+('Выборка 1'!H101-'Выборка 1'!G101))/4000</f>
        <v>-6.75</v>
      </c>
      <c r="H101" s="42">
        <f>('Выборка 1'!AS101+'Выборка 1'!AN101)/1000</f>
        <v>2281</v>
      </c>
      <c r="I101" s="17">
        <f>(('Выборка 1'!AU101-'Выборка 1'!AT101)+('Выборка 1'!AV101-'Выборка 1'!AU101)+('Выборка 1'!AW101-'Выборка 1'!AV101)+('Выборка 1'!AX101-'Выборка 1'!AW101))/4000</f>
        <v>-121.75</v>
      </c>
    </row>
    <row r="102" spans="2:9" x14ac:dyDescent="0.25">
      <c r="B102" s="42">
        <f>('Выборка 1'!AL102+'Выборка 1'!AG102)/1000</f>
        <v>120275</v>
      </c>
      <c r="C102" s="17">
        <f>(('Выборка 1'!E102-'Выборка 1'!D102)+('Выборка 1'!F102-'Выборка 1'!E102)+('Выборка 1'!G102-'Выборка 1'!F102)+('Выборка 1'!H102-'Выборка 1'!G102))/4000</f>
        <v>-2616.25</v>
      </c>
      <c r="H102" s="42">
        <f>('Выборка 1'!AS102+'Выборка 1'!AN102)/1000</f>
        <v>76913</v>
      </c>
      <c r="I102" s="17">
        <f>(('Выборка 1'!AU102-'Выборка 1'!AT102)+('Выборка 1'!AV102-'Выборка 1'!AU102)+('Выборка 1'!AW102-'Выборка 1'!AV102)+('Выборка 1'!AX102-'Выборка 1'!AW102))/4000</f>
        <v>0</v>
      </c>
    </row>
    <row r="103" spans="2:9" x14ac:dyDescent="0.25">
      <c r="B103" s="42">
        <f>('Выборка 1'!AL103+'Выборка 1'!AG103)/1000</f>
        <v>530709</v>
      </c>
      <c r="C103" s="17">
        <f>(('Выборка 1'!E103-'Выборка 1'!D103)+('Выборка 1'!F103-'Выборка 1'!E103)+('Выборка 1'!G103-'Выборка 1'!F103)+('Выборка 1'!H103-'Выборка 1'!G103))/4000</f>
        <v>-865.75</v>
      </c>
      <c r="H103" s="42">
        <f>('Выборка 1'!AS103+'Выборка 1'!AN103)/1000</f>
        <v>280941</v>
      </c>
      <c r="I103" s="17">
        <f>(('Выборка 1'!AU103-'Выборка 1'!AT103)+('Выборка 1'!AV103-'Выборка 1'!AU103)+('Выборка 1'!AW103-'Выборка 1'!AV103)+('Выборка 1'!AX103-'Выборка 1'!AW103))/4000</f>
        <v>0</v>
      </c>
    </row>
    <row r="104" spans="2:9" x14ac:dyDescent="0.25">
      <c r="B104" s="42">
        <f>('Выборка 1'!AL104+'Выборка 1'!AG104)/1000</f>
        <v>120863</v>
      </c>
      <c r="C104" s="17">
        <f>(('Выборка 1'!E104-'Выборка 1'!D104)+('Выборка 1'!F104-'Выборка 1'!E104)+('Выборка 1'!G104-'Выборка 1'!F104)+('Выборка 1'!H104-'Выборка 1'!G104))/4000</f>
        <v>-36316</v>
      </c>
      <c r="H104" s="42">
        <f>('Выборка 1'!AS104+'Выборка 1'!AN104)/1000</f>
        <v>0</v>
      </c>
      <c r="I104" s="17">
        <f>(('Выборка 1'!AU104-'Выборка 1'!AT104)+('Выборка 1'!AV104-'Выборка 1'!AU104)+('Выборка 1'!AW104-'Выборка 1'!AV104)+('Выборка 1'!AX104-'Выборка 1'!AW104))/4000</f>
        <v>0</v>
      </c>
    </row>
    <row r="105" spans="2:9" x14ac:dyDescent="0.25">
      <c r="B105" s="42">
        <f>('Выборка 1'!AL105+'Выборка 1'!AG105)/1000</f>
        <v>0</v>
      </c>
      <c r="C105" s="17">
        <f>(('Выборка 1'!E105-'Выборка 1'!D105)+('Выборка 1'!F105-'Выборка 1'!E105)+('Выборка 1'!G105-'Выборка 1'!F105)+('Выборка 1'!H105-'Выборка 1'!G105))/4000</f>
        <v>-333.75</v>
      </c>
      <c r="H105" s="42">
        <f>('Выборка 1'!AS105+'Выборка 1'!AN105)/1000</f>
        <v>205809</v>
      </c>
      <c r="I105" s="17">
        <f>(('Выборка 1'!AU105-'Выборка 1'!AT105)+('Выборка 1'!AV105-'Выборка 1'!AU105)+('Выборка 1'!AW105-'Выборка 1'!AV105)+('Выборка 1'!AX105-'Выборка 1'!AW105))/4000</f>
        <v>-6612.25</v>
      </c>
    </row>
    <row r="106" spans="2:9" x14ac:dyDescent="0.25">
      <c r="B106" s="42">
        <f>('Выборка 1'!AL106+'Выборка 1'!AG106)/1000</f>
        <v>0</v>
      </c>
      <c r="C106" s="17">
        <f>(('Выборка 1'!E106-'Выборка 1'!D106)+('Выборка 1'!F106-'Выборка 1'!E106)+('Выборка 1'!G106-'Выборка 1'!F106)+('Выборка 1'!H106-'Выборка 1'!G106))/4000</f>
        <v>0</v>
      </c>
      <c r="H106" s="42">
        <f>('Выборка 1'!AS106+'Выборка 1'!AN106)/1000</f>
        <v>0</v>
      </c>
      <c r="I106" s="17">
        <f>(('Выборка 1'!AU106-'Выборка 1'!AT106)+('Выборка 1'!AV106-'Выборка 1'!AU106)+('Выборка 1'!AW106-'Выборка 1'!AV106)+('Выборка 1'!AX106-'Выборка 1'!AW106))/4000</f>
        <v>0</v>
      </c>
    </row>
    <row r="107" spans="2:9" x14ac:dyDescent="0.25">
      <c r="B107" s="42">
        <f>('Выборка 1'!AL107+'Выборка 1'!AG107)/1000</f>
        <v>0</v>
      </c>
      <c r="C107" s="17">
        <f>(('Выборка 1'!E107-'Выборка 1'!D107)+('Выборка 1'!F107-'Выборка 1'!E107)+('Выборка 1'!G107-'Выборка 1'!F107)+('Выборка 1'!H107-'Выборка 1'!G107))/4000</f>
        <v>0</v>
      </c>
      <c r="H107" s="42">
        <f>('Выборка 1'!AS107+'Выборка 1'!AN107)/1000</f>
        <v>51415</v>
      </c>
      <c r="I107" s="17">
        <f>(('Выборка 1'!AU107-'Выборка 1'!AT107)+('Выборка 1'!AV107-'Выборка 1'!AU107)+('Выборка 1'!AW107-'Выборка 1'!AV107)+('Выборка 1'!AX107-'Выборка 1'!AW107))/4000</f>
        <v>-8717.5</v>
      </c>
    </row>
    <row r="108" spans="2:9" x14ac:dyDescent="0.25">
      <c r="B108" s="42">
        <f>('Выборка 1'!AL108+'Выборка 1'!AG108)/1000</f>
        <v>158927</v>
      </c>
      <c r="C108" s="17">
        <f>(('Выборка 1'!E108-'Выборка 1'!D108)+('Выборка 1'!F108-'Выборка 1'!E108)+('Выборка 1'!G108-'Выборка 1'!F108)+('Выборка 1'!H108-'Выборка 1'!G108))/4000</f>
        <v>0</v>
      </c>
      <c r="H108" s="42">
        <f>('Выборка 1'!AS108+'Выборка 1'!AN108)/1000</f>
        <v>0</v>
      </c>
      <c r="I108" s="17">
        <f>(('Выборка 1'!AU108-'Выборка 1'!AT108)+('Выборка 1'!AV108-'Выборка 1'!AU108)+('Выборка 1'!AW108-'Выборка 1'!AV108)+('Выборка 1'!AX108-'Выборка 1'!AW108))/4000</f>
        <v>0</v>
      </c>
    </row>
    <row r="109" spans="2:9" x14ac:dyDescent="0.25">
      <c r="B109" s="42">
        <f>('Выборка 1'!AL109+'Выборка 1'!AG109)/1000</f>
        <v>17503</v>
      </c>
      <c r="C109" s="17">
        <f>(('Выборка 1'!E109-'Выборка 1'!D109)+('Выборка 1'!F109-'Выборка 1'!E109)+('Выборка 1'!G109-'Выборка 1'!F109)+('Выборка 1'!H109-'Выборка 1'!G109))/4000</f>
        <v>-1710.25</v>
      </c>
      <c r="H109" s="42">
        <f>('Выборка 1'!AS109+'Выборка 1'!AN109)/1000</f>
        <v>59714</v>
      </c>
      <c r="I109" s="17">
        <f>(('Выборка 1'!AU109-'Выборка 1'!AT109)+('Выборка 1'!AV109-'Выборка 1'!AU109)+('Выборка 1'!AW109-'Выборка 1'!AV109)+('Выборка 1'!AX109-'Выборка 1'!AW109))/4000</f>
        <v>-3281.25</v>
      </c>
    </row>
    <row r="110" spans="2:9" x14ac:dyDescent="0.25">
      <c r="B110" s="42">
        <f>('Выборка 1'!AL110+'Выборка 1'!AG110)/1000</f>
        <v>0</v>
      </c>
      <c r="C110" s="17">
        <f>(('Выборка 1'!E110-'Выборка 1'!D110)+('Выборка 1'!F110-'Выборка 1'!E110)+('Выборка 1'!G110-'Выборка 1'!F110)+('Выборка 1'!H110-'Выборка 1'!G110))/4000</f>
        <v>0</v>
      </c>
      <c r="H110" s="42">
        <f>('Выборка 1'!AS110+'Выборка 1'!AN110)/1000</f>
        <v>0</v>
      </c>
      <c r="I110" s="17">
        <f>(('Выборка 1'!AU110-'Выборка 1'!AT110)+('Выборка 1'!AV110-'Выборка 1'!AU110)+('Выборка 1'!AW110-'Выборка 1'!AV110)+('Выборка 1'!AX110-'Выборка 1'!AW110))/4000</f>
        <v>0</v>
      </c>
    </row>
    <row r="111" spans="2:9" x14ac:dyDescent="0.25">
      <c r="B111" s="42">
        <f>('Выборка 1'!AL111+'Выборка 1'!AG111)/1000</f>
        <v>57608</v>
      </c>
      <c r="C111" s="17">
        <f>(('Выборка 1'!E111-'Выборка 1'!D111)+('Выборка 1'!F111-'Выборка 1'!E111)+('Выборка 1'!G111-'Выборка 1'!F111)+('Выборка 1'!H111-'Выборка 1'!G111))/4000</f>
        <v>-345</v>
      </c>
      <c r="H111" s="42">
        <f>('Выборка 1'!AS111+'Выборка 1'!AN111)/1000</f>
        <v>11660</v>
      </c>
      <c r="I111" s="17">
        <f>(('Выборка 1'!AU111-'Выборка 1'!AT111)+('Выборка 1'!AV111-'Выборка 1'!AU111)+('Выборка 1'!AW111-'Выборка 1'!AV111)+('Выборка 1'!AX111-'Выборка 1'!AW111))/4000</f>
        <v>-1401.5</v>
      </c>
    </row>
    <row r="112" spans="2:9" x14ac:dyDescent="0.25">
      <c r="B112" s="42">
        <f>('Выборка 1'!AL112+'Выборка 1'!AG112)/1000</f>
        <v>48359</v>
      </c>
      <c r="C112" s="17">
        <f>(('Выборка 1'!E112-'Выборка 1'!D112)+('Выборка 1'!F112-'Выборка 1'!E112)+('Выборка 1'!G112-'Выборка 1'!F112)+('Выборка 1'!H112-'Выборка 1'!G112))/4000</f>
        <v>-3943</v>
      </c>
      <c r="H112" s="42">
        <f>('Выборка 1'!AS112+'Выборка 1'!AN112)/1000</f>
        <v>109148</v>
      </c>
      <c r="I112" s="17">
        <f>(('Выборка 1'!AU112-'Выборка 1'!AT112)+('Выборка 1'!AV112-'Выборка 1'!AU112)+('Выборка 1'!AW112-'Выборка 1'!AV112)+('Выборка 1'!AX112-'Выборка 1'!AW112))/4000</f>
        <v>-874.25</v>
      </c>
    </row>
    <row r="113" spans="2:9" x14ac:dyDescent="0.25">
      <c r="B113" s="42">
        <f>('Выборка 1'!AL113+'Выборка 1'!AG113)/1000</f>
        <v>11800443</v>
      </c>
      <c r="C113" s="17">
        <f>(('Выборка 1'!E113-'Выборка 1'!D113)+('Выборка 1'!F113-'Выборка 1'!E113)+('Выборка 1'!G113-'Выборка 1'!F113)+('Выборка 1'!H113-'Выборка 1'!G113))/4000</f>
        <v>29733.75</v>
      </c>
      <c r="H113" s="42">
        <f>('Выборка 1'!AS113+'Выборка 1'!AN113)/1000</f>
        <v>2976885</v>
      </c>
      <c r="I113" s="17">
        <f>(('Выборка 1'!AU113-'Выборка 1'!AT113)+('Выборка 1'!AV113-'Выборка 1'!AU113)+('Выборка 1'!AW113-'Выборка 1'!AV113)+('Выборка 1'!AX113-'Выборка 1'!AW113))/4000</f>
        <v>-1283559</v>
      </c>
    </row>
    <row r="114" spans="2:9" x14ac:dyDescent="0.25">
      <c r="B114" s="42">
        <f>('Выборка 1'!AL114+'Выборка 1'!AG114)/1000</f>
        <v>219371</v>
      </c>
      <c r="C114" s="17">
        <f>(('Выборка 1'!E114-'Выборка 1'!D114)+('Выборка 1'!F114-'Выборка 1'!E114)+('Выборка 1'!G114-'Выборка 1'!F114)+('Выборка 1'!H114-'Выборка 1'!G114))/4000</f>
        <v>-870.5</v>
      </c>
      <c r="H114" s="42">
        <f>('Выборка 1'!AS114+'Выборка 1'!AN114)/1000</f>
        <v>115656</v>
      </c>
      <c r="I114" s="17">
        <f>(('Выборка 1'!AU114-'Выборка 1'!AT114)+('Выборка 1'!AV114-'Выборка 1'!AU114)+('Выборка 1'!AW114-'Выборка 1'!AV114)+('Выборка 1'!AX114-'Выборка 1'!AW114))/4000</f>
        <v>0</v>
      </c>
    </row>
    <row r="115" spans="2:9" x14ac:dyDescent="0.25">
      <c r="B115" s="42">
        <f>('Выборка 1'!AL115+'Выборка 1'!AG115)/1000</f>
        <v>0</v>
      </c>
      <c r="C115" s="17">
        <f>(('Выборка 1'!E115-'Выборка 1'!D115)+('Выборка 1'!F115-'Выборка 1'!E115)+('Выборка 1'!G115-'Выборка 1'!F115)+('Выборка 1'!H115-'Выборка 1'!G115))/4000</f>
        <v>-6689.75</v>
      </c>
      <c r="H115" s="42">
        <f>('Выборка 1'!AS115+'Выборка 1'!AN115)/1000</f>
        <v>0</v>
      </c>
      <c r="I115" s="17">
        <f>(('Выборка 1'!AU115-'Выборка 1'!AT115)+('Выборка 1'!AV115-'Выборка 1'!AU115)+('Выборка 1'!AW115-'Выборка 1'!AV115)+('Выборка 1'!AX115-'Выборка 1'!AW115))/4000</f>
        <v>-47189</v>
      </c>
    </row>
    <row r="116" spans="2:9" x14ac:dyDescent="0.25">
      <c r="B116" s="42">
        <f>('Выборка 1'!AL116+'Выборка 1'!AG116)/1000</f>
        <v>75414</v>
      </c>
      <c r="C116" s="17">
        <f>(('Выборка 1'!E116-'Выборка 1'!D116)+('Выборка 1'!F116-'Выборка 1'!E116)+('Выборка 1'!G116-'Выборка 1'!F116)+('Выборка 1'!H116-'Выборка 1'!G116))/4000</f>
        <v>-2649.75</v>
      </c>
      <c r="H116" s="42">
        <f>('Выборка 1'!AS116+'Выборка 1'!AN116)/1000</f>
        <v>16747</v>
      </c>
      <c r="I116" s="17">
        <f>(('Выборка 1'!AU116-'Выборка 1'!AT116)+('Выборка 1'!AV116-'Выборка 1'!AU116)+('Выборка 1'!AW116-'Выборка 1'!AV116)+('Выборка 1'!AX116-'Выборка 1'!AW116))/4000</f>
        <v>0</v>
      </c>
    </row>
    <row r="117" spans="2:9" x14ac:dyDescent="0.25">
      <c r="B117" s="42">
        <f>('Выборка 1'!AL117+'Выборка 1'!AG117)/1000</f>
        <v>49302</v>
      </c>
      <c r="C117" s="17">
        <f>(('Выборка 1'!E117-'Выборка 1'!D117)+('Выборка 1'!F117-'Выборка 1'!E117)+('Выборка 1'!G117-'Выборка 1'!F117)+('Выборка 1'!H117-'Выборка 1'!G117))/4000</f>
        <v>-987.75</v>
      </c>
      <c r="H117" s="42">
        <f>('Выборка 1'!AS117+'Выборка 1'!AN117)/1000</f>
        <v>4081</v>
      </c>
      <c r="I117" s="17">
        <f>(('Выборка 1'!AU117-'Выборка 1'!AT117)+('Выборка 1'!AV117-'Выборка 1'!AU117)+('Выборка 1'!AW117-'Выборка 1'!AV117)+('Выборка 1'!AX117-'Выборка 1'!AW117))/4000</f>
        <v>0</v>
      </c>
    </row>
    <row r="118" spans="2:9" x14ac:dyDescent="0.25">
      <c r="B118" s="42">
        <f>('Выборка 1'!AL118+'Выборка 1'!AG118)/1000</f>
        <v>1934258</v>
      </c>
      <c r="C118" s="17">
        <f>(('Выборка 1'!E118-'Выборка 1'!D118)+('Выборка 1'!F118-'Выборка 1'!E118)+('Выборка 1'!G118-'Выборка 1'!F118)+('Выборка 1'!H118-'Выборка 1'!G118))/4000</f>
        <v>-12031</v>
      </c>
      <c r="H118" s="42">
        <f>('Выборка 1'!AS118+'Выборка 1'!AN118)/1000</f>
        <v>0</v>
      </c>
      <c r="I118" s="17">
        <f>(('Выборка 1'!AU118-'Выборка 1'!AT118)+('Выборка 1'!AV118-'Выборка 1'!AU118)+('Выборка 1'!AW118-'Выборка 1'!AV118)+('Выборка 1'!AX118-'Выборка 1'!AW118))/4000</f>
        <v>0</v>
      </c>
    </row>
    <row r="119" spans="2:9" x14ac:dyDescent="0.25">
      <c r="B119" s="42">
        <f>('Выборка 1'!AL119+'Выборка 1'!AG119)/1000</f>
        <v>0</v>
      </c>
      <c r="C119" s="17">
        <f>(('Выборка 1'!E119-'Выборка 1'!D119)+('Выборка 1'!F119-'Выборка 1'!E119)+('Выборка 1'!G119-'Выборка 1'!F119)+('Выборка 1'!H119-'Выборка 1'!G119))/4000</f>
        <v>-420.5</v>
      </c>
      <c r="H119" s="42">
        <f>('Выборка 1'!AS119+'Выборка 1'!AN119)/1000</f>
        <v>4186</v>
      </c>
      <c r="I119" s="17">
        <f>(('Выборка 1'!AU119-'Выборка 1'!AT119)+('Выборка 1'!AV119-'Выборка 1'!AU119)+('Выборка 1'!AW119-'Выборка 1'!AV119)+('Выборка 1'!AX119-'Выборка 1'!AW119))/4000</f>
        <v>0</v>
      </c>
    </row>
    <row r="120" spans="2:9" x14ac:dyDescent="0.25">
      <c r="B120" s="42">
        <f>('Выборка 1'!AL120+'Выборка 1'!AG120)/1000</f>
        <v>0</v>
      </c>
      <c r="C120" s="17">
        <f>(('Выборка 1'!E120-'Выборка 1'!D120)+('Выборка 1'!F120-'Выборка 1'!E120)+('Выборка 1'!G120-'Выборка 1'!F120)+('Выборка 1'!H120-'Выборка 1'!G120))/4000</f>
        <v>-12160.25</v>
      </c>
      <c r="H120" s="42">
        <f>('Выборка 1'!AS120+'Выборка 1'!AN120)/1000</f>
        <v>347272</v>
      </c>
      <c r="I120" s="17">
        <f>(('Выборка 1'!AU120-'Выборка 1'!AT120)+('Выборка 1'!AV120-'Выборка 1'!AU120)+('Выборка 1'!AW120-'Выборка 1'!AV120)+('Выборка 1'!AX120-'Выборка 1'!AW120))/4000</f>
        <v>0</v>
      </c>
    </row>
    <row r="121" spans="2:9" x14ac:dyDescent="0.25">
      <c r="B121" s="42">
        <f>('Выборка 1'!AL121+'Выборка 1'!AG121)/1000</f>
        <v>0</v>
      </c>
      <c r="C121" s="17">
        <f>(('Выборка 1'!E121-'Выборка 1'!D121)+('Выборка 1'!F121-'Выборка 1'!E121)+('Выборка 1'!G121-'Выборка 1'!F121)+('Выборка 1'!H121-'Выборка 1'!G121))/4000</f>
        <v>0</v>
      </c>
      <c r="H121" s="42">
        <f>('Выборка 1'!AS121+'Выборка 1'!AN121)/1000</f>
        <v>0</v>
      </c>
      <c r="I121" s="17">
        <f>(('Выборка 1'!AU121-'Выборка 1'!AT121)+('Выборка 1'!AV121-'Выборка 1'!AU121)+('Выборка 1'!AW121-'Выборка 1'!AV121)+('Выборка 1'!AX121-'Выборка 1'!AW121))/4000</f>
        <v>0</v>
      </c>
    </row>
    <row r="122" spans="2:9" x14ac:dyDescent="0.25">
      <c r="B122" s="42">
        <f>('Выборка 1'!AL122+'Выборка 1'!AG122)/1000</f>
        <v>0</v>
      </c>
      <c r="C122" s="17">
        <f>(('Выборка 1'!E122-'Выборка 1'!D122)+('Выборка 1'!F122-'Выборка 1'!E122)+('Выборка 1'!G122-'Выборка 1'!F122)+('Выборка 1'!H122-'Выборка 1'!G122))/4000</f>
        <v>0</v>
      </c>
      <c r="H122" s="42">
        <f>('Выборка 1'!AS122+'Выборка 1'!AN122)/1000</f>
        <v>0</v>
      </c>
      <c r="I122" s="17">
        <f>(('Выборка 1'!AU122-'Выборка 1'!AT122)+('Выборка 1'!AV122-'Выборка 1'!AU122)+('Выборка 1'!AW122-'Выборка 1'!AV122)+('Выборка 1'!AX122-'Выборка 1'!AW122))/4000</f>
        <v>0</v>
      </c>
    </row>
    <row r="123" spans="2:9" x14ac:dyDescent="0.25">
      <c r="B123" s="42">
        <f>('Выборка 1'!AL123+'Выборка 1'!AG123)/1000</f>
        <v>72428</v>
      </c>
      <c r="C123" s="17">
        <f>(('Выборка 1'!E123-'Выборка 1'!D123)+('Выборка 1'!F123-'Выборка 1'!E123)+('Выборка 1'!G123-'Выборка 1'!F123)+('Выборка 1'!H123-'Выборка 1'!G123))/4000</f>
        <v>0</v>
      </c>
      <c r="H123" s="42">
        <f>('Выборка 1'!AS123+'Выборка 1'!AN123)/1000</f>
        <v>0</v>
      </c>
      <c r="I123" s="17">
        <f>(('Выборка 1'!AU123-'Выборка 1'!AT123)+('Выборка 1'!AV123-'Выборка 1'!AU123)+('Выборка 1'!AW123-'Выборка 1'!AV123)+('Выборка 1'!AX123-'Выборка 1'!AW123))/4000</f>
        <v>0</v>
      </c>
    </row>
    <row r="124" spans="2:9" x14ac:dyDescent="0.25">
      <c r="B124" s="42">
        <f>('Выборка 1'!AL124+'Выборка 1'!AG124)/1000</f>
        <v>47116</v>
      </c>
      <c r="C124" s="17">
        <f>(('Выборка 1'!E124-'Выборка 1'!D124)+('Выборка 1'!F124-'Выборка 1'!E124)+('Выборка 1'!G124-'Выборка 1'!F124)+('Выборка 1'!H124-'Выборка 1'!G124))/4000</f>
        <v>-90.5</v>
      </c>
      <c r="H124" s="42">
        <f>('Выборка 1'!AS124+'Выборка 1'!AN124)/1000</f>
        <v>373018</v>
      </c>
      <c r="I124" s="17">
        <f>(('Выборка 1'!AU124-'Выборка 1'!AT124)+('Выборка 1'!AV124-'Выборка 1'!AU124)+('Выборка 1'!AW124-'Выборка 1'!AV124)+('Выборка 1'!AX124-'Выборка 1'!AW124))/4000</f>
        <v>-10475</v>
      </c>
    </row>
    <row r="125" spans="2:9" x14ac:dyDescent="0.25">
      <c r="B125" s="42">
        <f>('Выборка 1'!AL125+'Выборка 1'!AG125)/1000</f>
        <v>0</v>
      </c>
      <c r="C125" s="17">
        <f>(('Выборка 1'!E125-'Выборка 1'!D125)+('Выборка 1'!F125-'Выборка 1'!E125)+('Выборка 1'!G125-'Выборка 1'!F125)+('Выборка 1'!H125-'Выборка 1'!G125))/4000</f>
        <v>-1226.75</v>
      </c>
      <c r="H125" s="42">
        <f>('Выборка 1'!AS125+'Выборка 1'!AN125)/1000</f>
        <v>216</v>
      </c>
      <c r="I125" s="17">
        <f>(('Выборка 1'!AU125-'Выборка 1'!AT125)+('Выборка 1'!AV125-'Выборка 1'!AU125)+('Выборка 1'!AW125-'Выборка 1'!AV125)+('Выборка 1'!AX125-'Выборка 1'!AW125))/4000</f>
        <v>-20.25</v>
      </c>
    </row>
    <row r="126" spans="2:9" x14ac:dyDescent="0.25">
      <c r="B126" s="42">
        <f>('Выборка 1'!AL126+'Выборка 1'!AG126)/1000</f>
        <v>0</v>
      </c>
      <c r="C126" s="17">
        <f>(('Выборка 1'!E126-'Выборка 1'!D126)+('Выборка 1'!F126-'Выборка 1'!E126)+('Выборка 1'!G126-'Выборка 1'!F126)+('Выборка 1'!H126-'Выборка 1'!G126))/4000</f>
        <v>-752.25</v>
      </c>
      <c r="H126" s="42">
        <f>('Выборка 1'!AS126+'Выборка 1'!AN126)/1000</f>
        <v>1250</v>
      </c>
      <c r="I126" s="17">
        <f>(('Выборка 1'!AU126-'Выборка 1'!AT126)+('Выборка 1'!AV126-'Выборка 1'!AU126)+('Выборка 1'!AW126-'Выборка 1'!AV126)+('Выборка 1'!AX126-'Выборка 1'!AW126))/4000</f>
        <v>-77.25</v>
      </c>
    </row>
    <row r="127" spans="2:9" x14ac:dyDescent="0.25">
      <c r="B127" s="42">
        <f>('Выборка 1'!AL127+'Выборка 1'!AG127)/1000</f>
        <v>0</v>
      </c>
      <c r="C127" s="17">
        <f>(('Выборка 1'!E127-'Выборка 1'!D127)+('Выборка 1'!F127-'Выборка 1'!E127)+('Выборка 1'!G127-'Выборка 1'!F127)+('Выборка 1'!H127-'Выборка 1'!G127))/4000</f>
        <v>-35879.75</v>
      </c>
      <c r="H127" s="42">
        <f>('Выборка 1'!AS127+'Выборка 1'!AN127)/1000</f>
        <v>271012</v>
      </c>
      <c r="I127" s="17">
        <f>(('Выборка 1'!AU127-'Выборка 1'!AT127)+('Выборка 1'!AV127-'Выборка 1'!AU127)+('Выборка 1'!AW127-'Выборка 1'!AV127)+('Выборка 1'!AX127-'Выборка 1'!AW127))/4000</f>
        <v>-19011.75</v>
      </c>
    </row>
    <row r="128" spans="2:9" x14ac:dyDescent="0.25">
      <c r="B128" s="42">
        <f>('Выборка 1'!AL128+'Выборка 1'!AG128)/1000</f>
        <v>343454</v>
      </c>
      <c r="C128" s="17">
        <f>(('Выборка 1'!E128-'Выборка 1'!D128)+('Выборка 1'!F128-'Выборка 1'!E128)+('Выборка 1'!G128-'Выборка 1'!F128)+('Выборка 1'!H128-'Выборка 1'!G128))/4000</f>
        <v>-63355.5</v>
      </c>
      <c r="H128" s="42">
        <f>('Выборка 1'!AS128+'Выборка 1'!AN128)/1000</f>
        <v>267692</v>
      </c>
      <c r="I128" s="17">
        <f>(('Выборка 1'!AU128-'Выборка 1'!AT128)+('Выборка 1'!AV128-'Выборка 1'!AU128)+('Выборка 1'!AW128-'Выборка 1'!AV128)+('Выборка 1'!AX128-'Выборка 1'!AW128))/4000</f>
        <v>-11199.25</v>
      </c>
    </row>
    <row r="129" spans="2:9" x14ac:dyDescent="0.25">
      <c r="B129" s="42">
        <f>('Выборка 1'!AL129+'Выборка 1'!AG129)/1000</f>
        <v>0</v>
      </c>
      <c r="C129" s="17">
        <f>(('Выборка 1'!E129-'Выборка 1'!D129)+('Выборка 1'!F129-'Выборка 1'!E129)+('Выборка 1'!G129-'Выборка 1'!F129)+('Выборка 1'!H129-'Выборка 1'!G129))/4000</f>
        <v>-51002</v>
      </c>
      <c r="H129" s="42">
        <f>('Выборка 1'!AS129+'Выборка 1'!AN129)/1000</f>
        <v>0</v>
      </c>
      <c r="I129" s="17">
        <f>(('Выборка 1'!AU129-'Выборка 1'!AT129)+('Выборка 1'!AV129-'Выборка 1'!AU129)+('Выборка 1'!AW129-'Выборка 1'!AV129)+('Выборка 1'!AX129-'Выборка 1'!AW129))/4000</f>
        <v>-3347</v>
      </c>
    </row>
    <row r="130" spans="2:9" x14ac:dyDescent="0.25">
      <c r="B130" s="42">
        <f>('Выборка 1'!AL130+'Выборка 1'!AG130)/1000</f>
        <v>489206</v>
      </c>
      <c r="C130" s="17">
        <f>(('Выборка 1'!E130-'Выборка 1'!D130)+('Выборка 1'!F130-'Выборка 1'!E130)+('Выборка 1'!G130-'Выборка 1'!F130)+('Выборка 1'!H130-'Выборка 1'!G130))/4000</f>
        <v>-17053.5</v>
      </c>
      <c r="H130" s="42">
        <f>('Выборка 1'!AS130+'Выборка 1'!AN130)/1000</f>
        <v>833819</v>
      </c>
      <c r="I130" s="17">
        <f>(('Выборка 1'!AU130-'Выборка 1'!AT130)+('Выборка 1'!AV130-'Выборка 1'!AU130)+('Выборка 1'!AW130-'Выборка 1'!AV130)+('Выборка 1'!AX130-'Выборка 1'!AW130))/4000</f>
        <v>-79446</v>
      </c>
    </row>
    <row r="131" spans="2:9" x14ac:dyDescent="0.25">
      <c r="B131" s="42">
        <f>('Выборка 1'!AL131+'Выборка 1'!AG131)/1000</f>
        <v>0</v>
      </c>
      <c r="C131" s="17">
        <f>(('Выборка 1'!E131-'Выборка 1'!D131)+('Выборка 1'!F131-'Выборка 1'!E131)+('Выборка 1'!G131-'Выборка 1'!F131)+('Выборка 1'!H131-'Выборка 1'!G131))/4000</f>
        <v>-24</v>
      </c>
      <c r="H131" s="42">
        <f>('Выборка 1'!AS131+'Выборка 1'!AN131)/1000</f>
        <v>133</v>
      </c>
      <c r="I131" s="17">
        <f>(('Выборка 1'!AU131-'Выборка 1'!AT131)+('Выборка 1'!AV131-'Выборка 1'!AU131)+('Выборка 1'!AW131-'Выборка 1'!AV131)+('Выборка 1'!AX131-'Выборка 1'!AW131))/4000</f>
        <v>0</v>
      </c>
    </row>
    <row r="132" spans="2:9" x14ac:dyDescent="0.25">
      <c r="B132" s="42">
        <f>('Выборка 1'!AL132+'Выборка 1'!AG132)/1000</f>
        <v>0</v>
      </c>
      <c r="C132" s="17">
        <f>(('Выборка 1'!E132-'Выборка 1'!D132)+('Выборка 1'!F132-'Выборка 1'!E132)+('Выборка 1'!G132-'Выборка 1'!F132)+('Выборка 1'!H132-'Выборка 1'!G132))/4000</f>
        <v>0</v>
      </c>
      <c r="H132" s="42">
        <f>('Выборка 1'!AS132+'Выборка 1'!AN132)/1000</f>
        <v>0</v>
      </c>
      <c r="I132" s="17">
        <f>(('Выборка 1'!AU132-'Выборка 1'!AT132)+('Выборка 1'!AV132-'Выборка 1'!AU132)+('Выборка 1'!AW132-'Выборка 1'!AV132)+('Выборка 1'!AX132-'Выборка 1'!AW132))/4000</f>
        <v>0</v>
      </c>
    </row>
    <row r="133" spans="2:9" x14ac:dyDescent="0.25">
      <c r="B133" s="42">
        <f>('Выборка 1'!AL133+'Выборка 1'!AG133)/1000</f>
        <v>0</v>
      </c>
      <c r="C133" s="17">
        <f>(('Выборка 1'!E133-'Выборка 1'!D133)+('Выборка 1'!F133-'Выборка 1'!E133)+('Выборка 1'!G133-'Выборка 1'!F133)+('Выборка 1'!H133-'Выборка 1'!G133))/4000</f>
        <v>-4007</v>
      </c>
      <c r="H133" s="42">
        <f>('Выборка 1'!AS133+'Выборка 1'!AN133)/1000</f>
        <v>506074</v>
      </c>
      <c r="I133" s="17">
        <f>(('Выборка 1'!AU133-'Выборка 1'!AT133)+('Выборка 1'!AV133-'Выборка 1'!AU133)+('Выборка 1'!AW133-'Выборка 1'!AV133)+('Выборка 1'!AX133-'Выборка 1'!AW133))/4000</f>
        <v>-37686</v>
      </c>
    </row>
    <row r="134" spans="2:9" x14ac:dyDescent="0.25">
      <c r="B134" s="42">
        <f>('Выборка 1'!AL134+'Выборка 1'!AG134)/1000</f>
        <v>0</v>
      </c>
      <c r="C134" s="17">
        <f>(('Выборка 1'!E134-'Выборка 1'!D134)+('Выборка 1'!F134-'Выборка 1'!E134)+('Выборка 1'!G134-'Выборка 1'!F134)+('Выборка 1'!H134-'Выборка 1'!G134))/4000</f>
        <v>0</v>
      </c>
      <c r="H134" s="42">
        <f>('Выборка 1'!AS134+'Выборка 1'!AN134)/1000</f>
        <v>0</v>
      </c>
      <c r="I134" s="17">
        <f>(('Выборка 1'!AU134-'Выборка 1'!AT134)+('Выборка 1'!AV134-'Выборка 1'!AU134)+('Выборка 1'!AW134-'Выборка 1'!AV134)+('Выборка 1'!AX134-'Выборка 1'!AW134))/4000</f>
        <v>0</v>
      </c>
    </row>
    <row r="135" spans="2:9" x14ac:dyDescent="0.25">
      <c r="B135" s="42">
        <f>('Выборка 1'!AL135+'Выборка 1'!AG135)/1000</f>
        <v>32545</v>
      </c>
      <c r="C135" s="17">
        <f>(('Выборка 1'!E135-'Выборка 1'!D135)+('Выборка 1'!F135-'Выборка 1'!E135)+('Выборка 1'!G135-'Выборка 1'!F135)+('Выборка 1'!H135-'Выборка 1'!G135))/4000</f>
        <v>-50.5</v>
      </c>
      <c r="H135" s="42">
        <f>('Выборка 1'!AS135+'Выборка 1'!AN135)/1000</f>
        <v>55953</v>
      </c>
      <c r="I135" s="17">
        <f>(('Выборка 1'!AU135-'Выборка 1'!AT135)+('Выборка 1'!AV135-'Выборка 1'!AU135)+('Выборка 1'!AW135-'Выборка 1'!AV135)+('Выборка 1'!AX135-'Выборка 1'!AW135))/4000</f>
        <v>-8119</v>
      </c>
    </row>
    <row r="136" spans="2:9" x14ac:dyDescent="0.25">
      <c r="B136" s="42">
        <f>('Выборка 1'!AL136+'Выборка 1'!AG136)/1000</f>
        <v>53951</v>
      </c>
      <c r="C136" s="17">
        <f>(('Выборка 1'!E136-'Выборка 1'!D136)+('Выборка 1'!F136-'Выборка 1'!E136)+('Выборка 1'!G136-'Выборка 1'!F136)+('Выборка 1'!H136-'Выборка 1'!G136))/4000</f>
        <v>0</v>
      </c>
      <c r="H136" s="42">
        <f>('Выборка 1'!AS136+'Выборка 1'!AN136)/1000</f>
        <v>37746</v>
      </c>
      <c r="I136" s="17">
        <f>(('Выборка 1'!AU136-'Выборка 1'!AT136)+('Выборка 1'!AV136-'Выборка 1'!AU136)+('Выборка 1'!AW136-'Выборка 1'!AV136)+('Выборка 1'!AX136-'Выборка 1'!AW136))/4000</f>
        <v>-4913.75</v>
      </c>
    </row>
    <row r="137" spans="2:9" x14ac:dyDescent="0.25">
      <c r="B137" s="42">
        <f>('Выборка 1'!AL137+'Выборка 1'!AG137)/1000</f>
        <v>53201</v>
      </c>
      <c r="C137" s="17">
        <f>(('Выборка 1'!E137-'Выборка 1'!D137)+('Выборка 1'!F137-'Выборка 1'!E137)+('Выборка 1'!G137-'Выборка 1'!F137)+('Выборка 1'!H137-'Выборка 1'!G137))/4000</f>
        <v>-2421.5</v>
      </c>
      <c r="H137" s="42">
        <f>('Выборка 1'!AS137+'Выборка 1'!AN137)/1000</f>
        <v>12718</v>
      </c>
      <c r="I137" s="17">
        <f>(('Выборка 1'!AU137-'Выборка 1'!AT137)+('Выборка 1'!AV137-'Выборка 1'!AU137)+('Выборка 1'!AW137-'Выборка 1'!AV137)+('Выборка 1'!AX137-'Выборка 1'!AW137))/4000</f>
        <v>-159.25</v>
      </c>
    </row>
    <row r="138" spans="2:9" x14ac:dyDescent="0.25">
      <c r="B138" s="42">
        <f>('Выборка 1'!AL138+'Выборка 1'!AG138)/1000</f>
        <v>0</v>
      </c>
      <c r="C138" s="17">
        <f>(('Выборка 1'!E138-'Выборка 1'!D138)+('Выборка 1'!F138-'Выборка 1'!E138)+('Выборка 1'!G138-'Выборка 1'!F138)+('Выборка 1'!H138-'Выборка 1'!G138))/4000</f>
        <v>-248.25</v>
      </c>
      <c r="H138" s="42">
        <f>('Выборка 1'!AS138+'Выборка 1'!AN138)/1000</f>
        <v>167356</v>
      </c>
      <c r="I138" s="17">
        <f>(('Выборка 1'!AU138-'Выборка 1'!AT138)+('Выборка 1'!AV138-'Выборка 1'!AU138)+('Выборка 1'!AW138-'Выборка 1'!AV138)+('Выборка 1'!AX138-'Выборка 1'!AW138))/4000</f>
        <v>-1790</v>
      </c>
    </row>
    <row r="139" spans="2:9" x14ac:dyDescent="0.25">
      <c r="B139" s="42">
        <f>('Выборка 1'!AL139+'Выборка 1'!AG139)/1000</f>
        <v>136295</v>
      </c>
      <c r="C139" s="17">
        <f>(('Выборка 1'!E139-'Выборка 1'!D139)+('Выборка 1'!F139-'Выборка 1'!E139)+('Выборка 1'!G139-'Выборка 1'!F139)+('Выборка 1'!H139-'Выборка 1'!G139))/4000</f>
        <v>327.5</v>
      </c>
      <c r="H139" s="42">
        <f>('Выборка 1'!AS139+'Выборка 1'!AN139)/1000</f>
        <v>153173</v>
      </c>
      <c r="I139" s="17">
        <f>(('Выборка 1'!AU139-'Выборка 1'!AT139)+('Выборка 1'!AV139-'Выборка 1'!AU139)+('Выборка 1'!AW139-'Выборка 1'!AV139)+('Выборка 1'!AX139-'Выборка 1'!AW139))/4000</f>
        <v>-29287.25</v>
      </c>
    </row>
    <row r="140" spans="2:9" x14ac:dyDescent="0.25">
      <c r="B140" s="42">
        <f>('Выборка 1'!AL140+'Выборка 1'!AG140)/1000</f>
        <v>0</v>
      </c>
      <c r="C140" s="17">
        <f>(('Выборка 1'!E140-'Выборка 1'!D140)+('Выборка 1'!F140-'Выборка 1'!E140)+('Выборка 1'!G140-'Выборка 1'!F140)+('Выборка 1'!H140-'Выборка 1'!G140))/4000</f>
        <v>0</v>
      </c>
      <c r="H140" s="42">
        <f>('Выборка 1'!AS140+'Выборка 1'!AN140)/1000</f>
        <v>0</v>
      </c>
      <c r="I140" s="17">
        <f>(('Выборка 1'!AU140-'Выборка 1'!AT140)+('Выборка 1'!AV140-'Выборка 1'!AU140)+('Выборка 1'!AW140-'Выборка 1'!AV140)+('Выборка 1'!AX140-'Выборка 1'!AW140))/4000</f>
        <v>0</v>
      </c>
    </row>
    <row r="141" spans="2:9" x14ac:dyDescent="0.25">
      <c r="B141" s="42">
        <f>('Выборка 1'!AL141+'Выборка 1'!AG141)/1000</f>
        <v>0</v>
      </c>
      <c r="C141" s="17">
        <f>(('Выборка 1'!E141-'Выборка 1'!D141)+('Выборка 1'!F141-'Выборка 1'!E141)+('Выборка 1'!G141-'Выборка 1'!F141)+('Выборка 1'!H141-'Выборка 1'!G141))/4000</f>
        <v>-10.25</v>
      </c>
      <c r="H141" s="42">
        <f>('Выборка 1'!AS141+'Выборка 1'!AN141)/1000</f>
        <v>11745</v>
      </c>
      <c r="I141" s="17">
        <f>(('Выборка 1'!AU141-'Выборка 1'!AT141)+('Выборка 1'!AV141-'Выборка 1'!AU141)+('Выборка 1'!AW141-'Выборка 1'!AV141)+('Выборка 1'!AX141-'Выборка 1'!AW141))/4000</f>
        <v>0</v>
      </c>
    </row>
    <row r="142" spans="2:9" x14ac:dyDescent="0.25">
      <c r="B142" s="42">
        <f>('Выборка 1'!AL142+'Выборка 1'!AG142)/1000</f>
        <v>1014206</v>
      </c>
      <c r="C142" s="17">
        <f>(('Выборка 1'!E142-'Выборка 1'!D142)+('Выборка 1'!F142-'Выборка 1'!E142)+('Выборка 1'!G142-'Выборка 1'!F142)+('Выборка 1'!H142-'Выборка 1'!G142))/4000</f>
        <v>0</v>
      </c>
      <c r="H142" s="42">
        <f>('Выборка 1'!AS142+'Выборка 1'!AN142)/1000</f>
        <v>0</v>
      </c>
      <c r="I142" s="17">
        <f>(('Выборка 1'!AU142-'Выборка 1'!AT142)+('Выборка 1'!AV142-'Выборка 1'!AU142)+('Выборка 1'!AW142-'Выборка 1'!AV142)+('Выборка 1'!AX142-'Выборка 1'!AW142))/4000</f>
        <v>0</v>
      </c>
    </row>
    <row r="143" spans="2:9" x14ac:dyDescent="0.25">
      <c r="B143" s="42">
        <f>('Выборка 1'!AL143+'Выборка 1'!AG143)/1000</f>
        <v>0</v>
      </c>
      <c r="C143" s="17">
        <f>(('Выборка 1'!E143-'Выборка 1'!D143)+('Выборка 1'!F143-'Выборка 1'!E143)+('Выборка 1'!G143-'Выборка 1'!F143)+('Выборка 1'!H143-'Выборка 1'!G143))/4000</f>
        <v>0</v>
      </c>
      <c r="H143" s="42">
        <f>('Выборка 1'!AS143+'Выборка 1'!AN143)/1000</f>
        <v>0</v>
      </c>
      <c r="I143" s="17">
        <f>(('Выборка 1'!AU143-'Выборка 1'!AT143)+('Выборка 1'!AV143-'Выборка 1'!AU143)+('Выборка 1'!AW143-'Выборка 1'!AV143)+('Выборка 1'!AX143-'Выборка 1'!AW143))/4000</f>
        <v>0</v>
      </c>
    </row>
    <row r="144" spans="2:9" x14ac:dyDescent="0.25">
      <c r="B144" s="42">
        <f>('Выборка 1'!AL144+'Выборка 1'!AG144)/1000</f>
        <v>127645</v>
      </c>
      <c r="C144" s="17">
        <f>(('Выборка 1'!E144-'Выборка 1'!D144)+('Выборка 1'!F144-'Выборка 1'!E144)+('Выборка 1'!G144-'Выборка 1'!F144)+('Выборка 1'!H144-'Выборка 1'!G144))/4000</f>
        <v>6595.25</v>
      </c>
      <c r="H144" s="42">
        <f>('Выборка 1'!AS144+'Выборка 1'!AN144)/1000</f>
        <v>412064</v>
      </c>
      <c r="I144" s="17">
        <f>(('Выборка 1'!AU144-'Выборка 1'!AT144)+('Выборка 1'!AV144-'Выборка 1'!AU144)+('Выборка 1'!AW144-'Выборка 1'!AV144)+('Выборка 1'!AX144-'Выборка 1'!AW144))/4000</f>
        <v>-30032.25</v>
      </c>
    </row>
    <row r="145" spans="2:9" x14ac:dyDescent="0.25">
      <c r="B145" s="42">
        <f>('Выборка 1'!AL145+'Выборка 1'!AG145)/1000</f>
        <v>42217</v>
      </c>
      <c r="C145" s="17">
        <f>(('Выборка 1'!E145-'Выборка 1'!D145)+('Выборка 1'!F145-'Выборка 1'!E145)+('Выборка 1'!G145-'Выборка 1'!F145)+('Выборка 1'!H145-'Выборка 1'!G145))/4000</f>
        <v>-3214.75</v>
      </c>
      <c r="H145" s="42">
        <f>('Выборка 1'!AS145+'Выборка 1'!AN145)/1000</f>
        <v>371058</v>
      </c>
      <c r="I145" s="17">
        <f>(('Выборка 1'!AU145-'Выборка 1'!AT145)+('Выборка 1'!AV145-'Выборка 1'!AU145)+('Выборка 1'!AW145-'Выборка 1'!AV145)+('Выборка 1'!AX145-'Выборка 1'!AW145))/4000</f>
        <v>-30018.75</v>
      </c>
    </row>
    <row r="146" spans="2:9" x14ac:dyDescent="0.25">
      <c r="B146" s="42">
        <f>('Выборка 1'!AL146+'Выборка 1'!AG146)/1000</f>
        <v>972761</v>
      </c>
      <c r="C146" s="17">
        <f>(('Выборка 1'!E146-'Выборка 1'!D146)+('Выборка 1'!F146-'Выборка 1'!E146)+('Выборка 1'!G146-'Выборка 1'!F146)+('Выборка 1'!H146-'Выборка 1'!G146))/4000</f>
        <v>3694.25</v>
      </c>
      <c r="H146" s="42">
        <f>('Выборка 1'!AS146+'Выборка 1'!AN146)/1000</f>
        <v>1922026</v>
      </c>
      <c r="I146" s="17">
        <f>(('Выборка 1'!AU146-'Выборка 1'!AT146)+('Выборка 1'!AV146-'Выборка 1'!AU146)+('Выборка 1'!AW146-'Выборка 1'!AV146)+('Выборка 1'!AX146-'Выборка 1'!AW146))/4000</f>
        <v>-175731.25</v>
      </c>
    </row>
    <row r="147" spans="2:9" x14ac:dyDescent="0.25">
      <c r="B147" s="42">
        <f>('Выборка 1'!AL147+'Выборка 1'!AG147)/1000</f>
        <v>0</v>
      </c>
      <c r="C147" s="17">
        <f>(('Выборка 1'!E147-'Выборка 1'!D147)+('Выборка 1'!F147-'Выборка 1'!E147)+('Выборка 1'!G147-'Выборка 1'!F147)+('Выборка 1'!H147-'Выборка 1'!G147))/4000</f>
        <v>-13</v>
      </c>
      <c r="H147" s="42">
        <f>('Выборка 1'!AS147+'Выборка 1'!AN147)/1000</f>
        <v>0</v>
      </c>
      <c r="I147" s="17">
        <f>(('Выборка 1'!AU147-'Выборка 1'!AT147)+('Выборка 1'!AV147-'Выборка 1'!AU147)+('Выборка 1'!AW147-'Выборка 1'!AV147)+('Выборка 1'!AX147-'Выборка 1'!AW147))/4000</f>
        <v>181</v>
      </c>
    </row>
    <row r="148" spans="2:9" x14ac:dyDescent="0.25">
      <c r="B148" s="42">
        <f>('Выборка 1'!AL148+'Выборка 1'!AG148)/1000</f>
        <v>0</v>
      </c>
      <c r="C148" s="17">
        <f>(('Выборка 1'!E148-'Выборка 1'!D148)+('Выборка 1'!F148-'Выборка 1'!E148)+('Выборка 1'!G148-'Выборка 1'!F148)+('Выборка 1'!H148-'Выборка 1'!G148))/4000</f>
        <v>-5988.5</v>
      </c>
      <c r="H148" s="42">
        <f>('Выборка 1'!AS148+'Выборка 1'!AN148)/1000</f>
        <v>0</v>
      </c>
      <c r="I148" s="17">
        <f>(('Выборка 1'!AU148-'Выборка 1'!AT148)+('Выборка 1'!AV148-'Выборка 1'!AU148)+('Выборка 1'!AW148-'Выборка 1'!AV148)+('Выборка 1'!AX148-'Выборка 1'!AW148))/4000</f>
        <v>0</v>
      </c>
    </row>
    <row r="149" spans="2:9" x14ac:dyDescent="0.25">
      <c r="B149" s="42">
        <f>('Выборка 1'!AL149+'Выборка 1'!AG149)/1000</f>
        <v>0</v>
      </c>
      <c r="C149" s="17">
        <f>(('Выборка 1'!E149-'Выборка 1'!D149)+('Выборка 1'!F149-'Выборка 1'!E149)+('Выборка 1'!G149-'Выборка 1'!F149)+('Выборка 1'!H149-'Выборка 1'!G149))/4000</f>
        <v>-673.75</v>
      </c>
      <c r="H149" s="42">
        <f>('Выборка 1'!AS149+'Выборка 1'!AN149)/1000</f>
        <v>798389</v>
      </c>
      <c r="I149" s="17">
        <f>(('Выборка 1'!AU149-'Выборка 1'!AT149)+('Выборка 1'!AV149-'Выборка 1'!AU149)+('Выборка 1'!AW149-'Выборка 1'!AV149)+('Выборка 1'!AX149-'Выборка 1'!AW149))/4000</f>
        <v>0</v>
      </c>
    </row>
    <row r="150" spans="2:9" x14ac:dyDescent="0.25">
      <c r="B150" s="42">
        <f>('Выборка 1'!AL150+'Выборка 1'!AG150)/1000</f>
        <v>1730943</v>
      </c>
      <c r="C150" s="17">
        <f>(('Выборка 1'!E150-'Выборка 1'!D150)+('Выборка 1'!F150-'Выборка 1'!E150)+('Выборка 1'!G150-'Выборка 1'!F150)+('Выборка 1'!H150-'Выборка 1'!G150))/4000</f>
        <v>-906188.75</v>
      </c>
      <c r="H150" s="42">
        <f>('Выборка 1'!AS150+'Выборка 1'!AN150)/1000</f>
        <v>0</v>
      </c>
      <c r="I150" s="17">
        <f>(('Выборка 1'!AU150-'Выборка 1'!AT150)+('Выборка 1'!AV150-'Выборка 1'!AU150)+('Выборка 1'!AW150-'Выборка 1'!AV150)+('Выборка 1'!AX150-'Выборка 1'!AW150))/4000</f>
        <v>0</v>
      </c>
    </row>
    <row r="151" spans="2:9" x14ac:dyDescent="0.25">
      <c r="B151" s="42">
        <f>('Выборка 1'!AL151+'Выборка 1'!AG151)/1000</f>
        <v>4581753</v>
      </c>
      <c r="C151" s="17">
        <f>(('Выборка 1'!E151-'Выборка 1'!D151)+('Выборка 1'!F151-'Выборка 1'!E151)+('Выборка 1'!G151-'Выборка 1'!F151)+('Выборка 1'!H151-'Выборка 1'!G151))/4000</f>
        <v>-39981.5</v>
      </c>
      <c r="H151" s="42">
        <f>('Выборка 1'!AS151+'Выборка 1'!AN151)/1000</f>
        <v>36643</v>
      </c>
      <c r="I151" s="17">
        <f>(('Выборка 1'!AU151-'Выборка 1'!AT151)+('Выборка 1'!AV151-'Выборка 1'!AU151)+('Выборка 1'!AW151-'Выборка 1'!AV151)+('Выборка 1'!AX151-'Выборка 1'!AW151))/4000</f>
        <v>-2119</v>
      </c>
    </row>
    <row r="152" spans="2:9" x14ac:dyDescent="0.25">
      <c r="B152" s="42">
        <f>('Выборка 1'!AL152+'Выборка 1'!AG152)/1000</f>
        <v>99845</v>
      </c>
      <c r="C152" s="17">
        <f>(('Выборка 1'!E152-'Выборка 1'!D152)+('Выборка 1'!F152-'Выборка 1'!E152)+('Выборка 1'!G152-'Выборка 1'!F152)+('Выборка 1'!H152-'Выборка 1'!G152))/4000</f>
        <v>0</v>
      </c>
      <c r="H152" s="42">
        <f>('Выборка 1'!AS152+'Выборка 1'!AN152)/1000</f>
        <v>0</v>
      </c>
      <c r="I152" s="17">
        <f>(('Выборка 1'!AU152-'Выборка 1'!AT152)+('Выборка 1'!AV152-'Выборка 1'!AU152)+('Выборка 1'!AW152-'Выборка 1'!AV152)+('Выборка 1'!AX152-'Выборка 1'!AW152))/4000</f>
        <v>0</v>
      </c>
    </row>
    <row r="153" spans="2:9" x14ac:dyDescent="0.25">
      <c r="B153" s="42">
        <f>('Выборка 1'!AL153+'Выборка 1'!AG153)/1000</f>
        <v>10885</v>
      </c>
      <c r="C153" s="17">
        <f>(('Выборка 1'!E153-'Выборка 1'!D153)+('Выборка 1'!F153-'Выборка 1'!E153)+('Выборка 1'!G153-'Выборка 1'!F153)+('Выборка 1'!H153-'Выборка 1'!G153))/4000</f>
        <v>-30.75</v>
      </c>
      <c r="H153" s="42">
        <f>('Выборка 1'!AS153+'Выборка 1'!AN153)/1000</f>
        <v>18084</v>
      </c>
      <c r="I153" s="17">
        <f>(('Выборка 1'!AU153-'Выборка 1'!AT153)+('Выборка 1'!AV153-'Выборка 1'!AU153)+('Выборка 1'!AW153-'Выборка 1'!AV153)+('Выборка 1'!AX153-'Выборка 1'!AW153))/4000</f>
        <v>-1386.25</v>
      </c>
    </row>
    <row r="154" spans="2:9" x14ac:dyDescent="0.25">
      <c r="B154" s="42">
        <f>('Выборка 1'!AL154+'Выборка 1'!AG154)/1000</f>
        <v>0</v>
      </c>
      <c r="C154" s="17">
        <f>(('Выборка 1'!E154-'Выборка 1'!D154)+('Выборка 1'!F154-'Выборка 1'!E154)+('Выборка 1'!G154-'Выборка 1'!F154)+('Выборка 1'!H154-'Выборка 1'!G154))/4000</f>
        <v>-2643.5</v>
      </c>
      <c r="H154" s="42">
        <f>('Выборка 1'!AS154+'Выборка 1'!AN154)/1000</f>
        <v>236385</v>
      </c>
      <c r="I154" s="17">
        <f>(('Выборка 1'!AU154-'Выборка 1'!AT154)+('Выборка 1'!AV154-'Выборка 1'!AU154)+('Выборка 1'!AW154-'Выборка 1'!AV154)+('Выборка 1'!AX154-'Выборка 1'!AW154))/4000</f>
        <v>-66342.75</v>
      </c>
    </row>
    <row r="155" spans="2:9" x14ac:dyDescent="0.25">
      <c r="B155" s="42">
        <f>('Выборка 1'!AL155+'Выборка 1'!AG155)/1000</f>
        <v>189291</v>
      </c>
      <c r="C155" s="17">
        <f>(('Выборка 1'!E155-'Выборка 1'!D155)+('Выборка 1'!F155-'Выборка 1'!E155)+('Выборка 1'!G155-'Выборка 1'!F155)+('Выборка 1'!H155-'Выборка 1'!G155))/4000</f>
        <v>-4144</v>
      </c>
      <c r="H155" s="42">
        <f>('Выборка 1'!AS155+'Выборка 1'!AN155)/1000</f>
        <v>123008</v>
      </c>
      <c r="I155" s="17">
        <f>(('Выборка 1'!AU155-'Выборка 1'!AT155)+('Выборка 1'!AV155-'Выборка 1'!AU155)+('Выборка 1'!AW155-'Выборка 1'!AV155)+('Выборка 1'!AX155-'Выборка 1'!AW155))/4000</f>
        <v>-25003.75</v>
      </c>
    </row>
    <row r="156" spans="2:9" x14ac:dyDescent="0.25">
      <c r="B156" s="42">
        <f>('Выборка 1'!AL156+'Выборка 1'!AG156)/1000</f>
        <v>7119</v>
      </c>
      <c r="C156" s="17">
        <f>(('Выборка 1'!E156-'Выборка 1'!D156)+('Выборка 1'!F156-'Выборка 1'!E156)+('Выборка 1'!G156-'Выборка 1'!F156)+('Выборка 1'!H156-'Выборка 1'!G156))/4000</f>
        <v>-48.5</v>
      </c>
      <c r="H156" s="42">
        <f>('Выборка 1'!AS156+'Выборка 1'!AN156)/1000</f>
        <v>16565</v>
      </c>
      <c r="I156" s="17">
        <f>(('Выборка 1'!AU156-'Выборка 1'!AT156)+('Выборка 1'!AV156-'Выборка 1'!AU156)+('Выборка 1'!AW156-'Выборка 1'!AV156)+('Выборка 1'!AX156-'Выборка 1'!AW156))/4000</f>
        <v>-530.25</v>
      </c>
    </row>
    <row r="157" spans="2:9" x14ac:dyDescent="0.25">
      <c r="B157" s="42">
        <f>('Выборка 1'!AL157+'Выборка 1'!AG157)/1000</f>
        <v>0</v>
      </c>
      <c r="C157" s="17">
        <f>(('Выборка 1'!E157-'Выборка 1'!D157)+('Выборка 1'!F157-'Выборка 1'!E157)+('Выборка 1'!G157-'Выборка 1'!F157)+('Выборка 1'!H157-'Выборка 1'!G157))/4000</f>
        <v>-387.75</v>
      </c>
      <c r="H157" s="42">
        <f>('Выборка 1'!AS157+'Выборка 1'!AN157)/1000</f>
        <v>649412</v>
      </c>
      <c r="I157" s="17">
        <f>(('Выборка 1'!AU157-'Выборка 1'!AT157)+('Выборка 1'!AV157-'Выборка 1'!AU157)+('Выборка 1'!AW157-'Выборка 1'!AV157)+('Выборка 1'!AX157-'Выборка 1'!AW157))/4000</f>
        <v>-87999.25</v>
      </c>
    </row>
    <row r="158" spans="2:9" x14ac:dyDescent="0.25">
      <c r="B158" s="42">
        <f>('Выборка 1'!AL158+'Выборка 1'!AG158)/1000</f>
        <v>19257</v>
      </c>
      <c r="C158" s="17">
        <f>(('Выборка 1'!E158-'Выборка 1'!D158)+('Выборка 1'!F158-'Выборка 1'!E158)+('Выборка 1'!G158-'Выборка 1'!F158)+('Выборка 1'!H158-'Выборка 1'!G158))/4000</f>
        <v>-3074.75</v>
      </c>
      <c r="H158" s="42">
        <f>('Выборка 1'!AS158+'Выборка 1'!AN158)/1000</f>
        <v>158108</v>
      </c>
      <c r="I158" s="17">
        <f>(('Выборка 1'!AU158-'Выборка 1'!AT158)+('Выборка 1'!AV158-'Выборка 1'!AU158)+('Выборка 1'!AW158-'Выборка 1'!AV158)+('Выборка 1'!AX158-'Выборка 1'!AW158))/4000</f>
        <v>-7249.5</v>
      </c>
    </row>
    <row r="159" spans="2:9" x14ac:dyDescent="0.25">
      <c r="B159" s="42">
        <f>('Выборка 1'!AL159+'Выборка 1'!AG159)/1000</f>
        <v>0</v>
      </c>
      <c r="C159" s="17">
        <f>(('Выборка 1'!E159-'Выборка 1'!D159)+('Выборка 1'!F159-'Выборка 1'!E159)+('Выборка 1'!G159-'Выборка 1'!F159)+('Выборка 1'!H159-'Выборка 1'!G159))/4000</f>
        <v>-834.25</v>
      </c>
      <c r="H159" s="42">
        <f>('Выборка 1'!AS159+'Выборка 1'!AN159)/1000</f>
        <v>35668</v>
      </c>
      <c r="I159" s="17">
        <f>(('Выборка 1'!AU159-'Выборка 1'!AT159)+('Выборка 1'!AV159-'Выборка 1'!AU159)+('Выборка 1'!AW159-'Выборка 1'!AV159)+('Выборка 1'!AX159-'Выборка 1'!AW159))/4000</f>
        <v>-2228.25</v>
      </c>
    </row>
    <row r="160" spans="2:9" x14ac:dyDescent="0.25">
      <c r="B160" s="42">
        <f>('Выборка 1'!AL160+'Выборка 1'!AG160)/1000</f>
        <v>0</v>
      </c>
      <c r="C160" s="17">
        <f>(('Выборка 1'!E160-'Выборка 1'!D160)+('Выборка 1'!F160-'Выборка 1'!E160)+('Выборка 1'!G160-'Выборка 1'!F160)+('Выборка 1'!H160-'Выборка 1'!G160))/4000</f>
        <v>0</v>
      </c>
      <c r="H160" s="42">
        <f>('Выборка 1'!AS160+'Выборка 1'!AN160)/1000</f>
        <v>0</v>
      </c>
      <c r="I160" s="17">
        <f>(('Выборка 1'!AU160-'Выборка 1'!AT160)+('Выборка 1'!AV160-'Выборка 1'!AU160)+('Выборка 1'!AW160-'Выборка 1'!AV160)+('Выборка 1'!AX160-'Выборка 1'!AW160))/4000</f>
        <v>0</v>
      </c>
    </row>
    <row r="161" spans="2:9" x14ac:dyDescent="0.25">
      <c r="B161" s="42">
        <f>('Выборка 1'!AL161+'Выборка 1'!AG161)/1000</f>
        <v>49214</v>
      </c>
      <c r="C161" s="17">
        <f>(('Выборка 1'!E161-'Выборка 1'!D161)+('Выборка 1'!F161-'Выборка 1'!E161)+('Выборка 1'!G161-'Выборка 1'!F161)+('Выборка 1'!H161-'Выборка 1'!G161))/4000</f>
        <v>0</v>
      </c>
      <c r="H161" s="42">
        <f>('Выборка 1'!AS161+'Выборка 1'!AN161)/1000</f>
        <v>416924</v>
      </c>
      <c r="I161" s="17">
        <f>(('Выборка 1'!AU161-'Выборка 1'!AT161)+('Выборка 1'!AV161-'Выборка 1'!AU161)+('Выборка 1'!AW161-'Выборка 1'!AV161)+('Выборка 1'!AX161-'Выборка 1'!AW161))/4000</f>
        <v>-15839.5</v>
      </c>
    </row>
    <row r="162" spans="2:9" x14ac:dyDescent="0.25">
      <c r="B162" s="42">
        <f>('Выборка 1'!AL162+'Выборка 1'!AG162)/1000</f>
        <v>22915</v>
      </c>
      <c r="C162" s="17">
        <f>(('Выборка 1'!E162-'Выборка 1'!D162)+('Выборка 1'!F162-'Выборка 1'!E162)+('Выборка 1'!G162-'Выборка 1'!F162)+('Выборка 1'!H162-'Выборка 1'!G162))/4000</f>
        <v>-1050.75</v>
      </c>
      <c r="H162" s="42">
        <f>('Выборка 1'!AS162+'Выборка 1'!AN162)/1000</f>
        <v>79012</v>
      </c>
      <c r="I162" s="17">
        <f>(('Выборка 1'!AU162-'Выборка 1'!AT162)+('Выборка 1'!AV162-'Выборка 1'!AU162)+('Выборка 1'!AW162-'Выборка 1'!AV162)+('Выборка 1'!AX162-'Выборка 1'!AW162))/4000</f>
        <v>-9426.75</v>
      </c>
    </row>
    <row r="163" spans="2:9" x14ac:dyDescent="0.25">
      <c r="B163" s="42">
        <f>('Выборка 1'!AL163+'Выборка 1'!AG163)/1000</f>
        <v>0</v>
      </c>
      <c r="C163" s="17">
        <f>(('Выборка 1'!E163-'Выборка 1'!D163)+('Выборка 1'!F163-'Выборка 1'!E163)+('Выборка 1'!G163-'Выборка 1'!F163)+('Выборка 1'!H163-'Выборка 1'!G163))/4000</f>
        <v>0</v>
      </c>
      <c r="H163" s="42">
        <f>('Выборка 1'!AS163+'Выборка 1'!AN163)/1000</f>
        <v>0</v>
      </c>
      <c r="I163" s="17">
        <f>(('Выборка 1'!AU163-'Выборка 1'!AT163)+('Выборка 1'!AV163-'Выборка 1'!AU163)+('Выборка 1'!AW163-'Выборка 1'!AV163)+('Выборка 1'!AX163-'Выборка 1'!AW163))/4000</f>
        <v>-1942</v>
      </c>
    </row>
    <row r="164" spans="2:9" x14ac:dyDescent="0.25">
      <c r="B164" s="42">
        <f>('Выборка 1'!AL164+'Выборка 1'!AG164)/1000</f>
        <v>0</v>
      </c>
      <c r="C164" s="17">
        <f>(('Выборка 1'!E164-'Выборка 1'!D164)+('Выборка 1'!F164-'Выборка 1'!E164)+('Выборка 1'!G164-'Выборка 1'!F164)+('Выборка 1'!H164-'Выборка 1'!G164))/4000</f>
        <v>0</v>
      </c>
      <c r="H164" s="42">
        <f>('Выборка 1'!AS164+'Выборка 1'!AN164)/1000</f>
        <v>0</v>
      </c>
      <c r="I164" s="17">
        <f>(('Выборка 1'!AU164-'Выборка 1'!AT164)+('Выборка 1'!AV164-'Выборка 1'!AU164)+('Выборка 1'!AW164-'Выборка 1'!AV164)+('Выборка 1'!AX164-'Выборка 1'!AW164))/4000</f>
        <v>0</v>
      </c>
    </row>
    <row r="165" spans="2:9" x14ac:dyDescent="0.25">
      <c r="B165" s="42">
        <f>('Выборка 1'!AL165+'Выборка 1'!AG165)/1000</f>
        <v>56075</v>
      </c>
      <c r="C165" s="17">
        <f>(('Выборка 1'!E165-'Выборка 1'!D165)+('Выборка 1'!F165-'Выборка 1'!E165)+('Выборка 1'!G165-'Выборка 1'!F165)+('Выборка 1'!H165-'Выборка 1'!G165))/4000</f>
        <v>0</v>
      </c>
      <c r="H165" s="42">
        <f>('Выборка 1'!AS165+'Выборка 1'!AN165)/1000</f>
        <v>0</v>
      </c>
      <c r="I165" s="17">
        <f>(('Выборка 1'!AU165-'Выборка 1'!AT165)+('Выборка 1'!AV165-'Выборка 1'!AU165)+('Выборка 1'!AW165-'Выборка 1'!AV165)+('Выборка 1'!AX165-'Выборка 1'!AW165))/4000</f>
        <v>0</v>
      </c>
    </row>
    <row r="166" spans="2:9" x14ac:dyDescent="0.25">
      <c r="B166" s="42">
        <f>('Выборка 1'!AL166+'Выборка 1'!AG166)/1000</f>
        <v>118953</v>
      </c>
      <c r="C166" s="17">
        <f>(('Выборка 1'!E166-'Выборка 1'!D166)+('Выборка 1'!F166-'Выборка 1'!E166)+('Выборка 1'!G166-'Выборка 1'!F166)+('Выборка 1'!H166-'Выборка 1'!G166))/4000</f>
        <v>0</v>
      </c>
      <c r="H166" s="42">
        <f>('Выборка 1'!AS166+'Выборка 1'!AN166)/1000</f>
        <v>0</v>
      </c>
      <c r="I166" s="17">
        <f>(('Выборка 1'!AU166-'Выборка 1'!AT166)+('Выборка 1'!AV166-'Выборка 1'!AU166)+('Выборка 1'!AW166-'Выборка 1'!AV166)+('Выборка 1'!AX166-'Выборка 1'!AW166))/4000</f>
        <v>-14413.25</v>
      </c>
    </row>
    <row r="167" spans="2:9" x14ac:dyDescent="0.25">
      <c r="B167" s="42">
        <f>('Выборка 1'!AL167+'Выборка 1'!AG167)/1000</f>
        <v>73791</v>
      </c>
      <c r="C167" s="17">
        <f>(('Выборка 1'!E167-'Выборка 1'!D167)+('Выборка 1'!F167-'Выборка 1'!E167)+('Выборка 1'!G167-'Выборка 1'!F167)+('Выборка 1'!H167-'Выборка 1'!G167))/4000</f>
        <v>-72.5</v>
      </c>
      <c r="H167" s="42">
        <f>('Выборка 1'!AS167+'Выборка 1'!AN167)/1000</f>
        <v>184080</v>
      </c>
      <c r="I167" s="17">
        <f>(('Выборка 1'!AU167-'Выборка 1'!AT167)+('Выборка 1'!AV167-'Выборка 1'!AU167)+('Выборка 1'!AW167-'Выборка 1'!AV167)+('Выборка 1'!AX167-'Выборка 1'!AW167))/4000</f>
        <v>-23357.75</v>
      </c>
    </row>
    <row r="168" spans="2:9" x14ac:dyDescent="0.25">
      <c r="B168" s="42">
        <f>('Выборка 1'!AL168+'Выборка 1'!AG168)/1000</f>
        <v>712381</v>
      </c>
      <c r="C168" s="17">
        <f>(('Выборка 1'!E168-'Выборка 1'!D168)+('Выборка 1'!F168-'Выборка 1'!E168)+('Выборка 1'!G168-'Выборка 1'!F168)+('Выборка 1'!H168-'Выборка 1'!G168))/4000</f>
        <v>-57346.5</v>
      </c>
      <c r="H168" s="42">
        <f>('Выборка 1'!AS168+'Выборка 1'!AN168)/1000</f>
        <v>564269</v>
      </c>
      <c r="I168" s="17">
        <f>(('Выборка 1'!AU168-'Выборка 1'!AT168)+('Выборка 1'!AV168-'Выборка 1'!AU168)+('Выборка 1'!AW168-'Выборка 1'!AV168)+('Выборка 1'!AX168-'Выборка 1'!AW168))/4000</f>
        <v>-81551</v>
      </c>
    </row>
    <row r="169" spans="2:9" x14ac:dyDescent="0.25">
      <c r="B169" s="42">
        <f>('Выборка 1'!AL169+'Выборка 1'!AG169)/1000</f>
        <v>813193</v>
      </c>
      <c r="C169" s="17">
        <f>(('Выборка 1'!E169-'Выборка 1'!D169)+('Выборка 1'!F169-'Выборка 1'!E169)+('Выборка 1'!G169-'Выборка 1'!F169)+('Выборка 1'!H169-'Выборка 1'!G169))/4000</f>
        <v>-1342.5</v>
      </c>
      <c r="H169" s="42">
        <f>('Выборка 1'!AS169+'Выборка 1'!AN169)/1000</f>
        <v>775688</v>
      </c>
      <c r="I169" s="17">
        <f>(('Выборка 1'!AU169-'Выборка 1'!AT169)+('Выборка 1'!AV169-'Выборка 1'!AU169)+('Выборка 1'!AW169-'Выборка 1'!AV169)+('Выборка 1'!AX169-'Выборка 1'!AW169))/4000</f>
        <v>102.5</v>
      </c>
    </row>
    <row r="170" spans="2:9" x14ac:dyDescent="0.25">
      <c r="B170" s="42">
        <f>('Выборка 1'!AL170+'Выборка 1'!AG170)/1000</f>
        <v>7427916</v>
      </c>
      <c r="C170" s="17">
        <f>(('Выборка 1'!E170-'Выборка 1'!D170)+('Выборка 1'!F170-'Выборка 1'!E170)+('Выборка 1'!G170-'Выборка 1'!F170)+('Выборка 1'!H170-'Выборка 1'!G170))/4000</f>
        <v>-144845.5</v>
      </c>
      <c r="H170" s="42">
        <f>('Выборка 1'!AS170+'Выборка 1'!AN170)/1000</f>
        <v>9922924</v>
      </c>
      <c r="I170" s="17">
        <f>(('Выборка 1'!AU170-'Выборка 1'!AT170)+('Выборка 1'!AV170-'Выборка 1'!AU170)+('Выборка 1'!AW170-'Выборка 1'!AV170)+('Выборка 1'!AX170-'Выборка 1'!AW170))/4000</f>
        <v>-547292.5</v>
      </c>
    </row>
    <row r="171" spans="2:9" x14ac:dyDescent="0.25">
      <c r="B171" s="42">
        <f>('Выборка 1'!AL171+'Выборка 1'!AG171)/1000</f>
        <v>19387</v>
      </c>
      <c r="C171" s="17">
        <f>(('Выборка 1'!E171-'Выборка 1'!D171)+('Выборка 1'!F171-'Выборка 1'!E171)+('Выборка 1'!G171-'Выборка 1'!F171)+('Выборка 1'!H171-'Выборка 1'!G171))/4000</f>
        <v>-71.5</v>
      </c>
      <c r="H171" s="42">
        <f>('Выборка 1'!AS171+'Выборка 1'!AN171)/1000</f>
        <v>157473</v>
      </c>
      <c r="I171" s="17">
        <f>(('Выборка 1'!AU171-'Выборка 1'!AT171)+('Выборка 1'!AV171-'Выборка 1'!AU171)+('Выборка 1'!AW171-'Выборка 1'!AV171)+('Выборка 1'!AX171-'Выборка 1'!AW171))/4000</f>
        <v>-13095.25</v>
      </c>
    </row>
    <row r="172" spans="2:9" x14ac:dyDescent="0.25">
      <c r="B172" s="42">
        <f>('Выборка 1'!AL172+'Выборка 1'!AG172)/1000</f>
        <v>3832339</v>
      </c>
      <c r="C172" s="17">
        <f>(('Выборка 1'!E172-'Выборка 1'!D172)+('Выборка 1'!F172-'Выборка 1'!E172)+('Выборка 1'!G172-'Выборка 1'!F172)+('Выборка 1'!H172-'Выборка 1'!G172))/4000</f>
        <v>-15427.75</v>
      </c>
      <c r="H172" s="42">
        <f>('Выборка 1'!AS172+'Выборка 1'!AN172)/1000</f>
        <v>0</v>
      </c>
      <c r="I172" s="17">
        <f>(('Выборка 1'!AU172-'Выборка 1'!AT172)+('Выборка 1'!AV172-'Выборка 1'!AU172)+('Выборка 1'!AW172-'Выборка 1'!AV172)+('Выборка 1'!AX172-'Выборка 1'!AW172))/4000</f>
        <v>-73.25</v>
      </c>
    </row>
    <row r="173" spans="2:9" x14ac:dyDescent="0.25">
      <c r="B173" s="42">
        <f>('Выборка 1'!AL173+'Выборка 1'!AG173)/1000</f>
        <v>154823</v>
      </c>
      <c r="C173" s="17">
        <f>(('Выборка 1'!E173-'Выборка 1'!D173)+('Выборка 1'!F173-'Выборка 1'!E173)+('Выборка 1'!G173-'Выборка 1'!F173)+('Выборка 1'!H173-'Выборка 1'!G173))/4000</f>
        <v>-21273</v>
      </c>
      <c r="H173" s="42">
        <f>('Выборка 1'!AS173+'Выборка 1'!AN173)/1000</f>
        <v>0</v>
      </c>
      <c r="I173" s="17">
        <f>(('Выборка 1'!AU173-'Выборка 1'!AT173)+('Выборка 1'!AV173-'Выборка 1'!AU173)+('Выборка 1'!AW173-'Выборка 1'!AV173)+('Выборка 1'!AX173-'Выборка 1'!AW173))/4000</f>
        <v>0</v>
      </c>
    </row>
    <row r="174" spans="2:9" x14ac:dyDescent="0.25">
      <c r="B174" s="42">
        <f>('Выборка 1'!AL174+'Выборка 1'!AG174)/1000</f>
        <v>1112640</v>
      </c>
      <c r="C174" s="17">
        <f>(('Выборка 1'!E174-'Выборка 1'!D174)+('Выборка 1'!F174-'Выборка 1'!E174)+('Выборка 1'!G174-'Выборка 1'!F174)+('Выборка 1'!H174-'Выборка 1'!G174))/4000</f>
        <v>-21637</v>
      </c>
      <c r="H174" s="42">
        <f>('Выборка 1'!AS174+'Выборка 1'!AN174)/1000</f>
        <v>3112151</v>
      </c>
      <c r="I174" s="17">
        <f>(('Выборка 1'!AU174-'Выборка 1'!AT174)+('Выборка 1'!AV174-'Выборка 1'!AU174)+('Выборка 1'!AW174-'Выборка 1'!AV174)+('Выборка 1'!AX174-'Выборка 1'!AW174))/4000</f>
        <v>-238178.75</v>
      </c>
    </row>
    <row r="175" spans="2:9" x14ac:dyDescent="0.25">
      <c r="B175" s="42">
        <f>('Выборка 1'!AL175+'Выборка 1'!AG175)/1000</f>
        <v>335830</v>
      </c>
      <c r="C175" s="17">
        <f>(('Выборка 1'!E175-'Выборка 1'!D175)+('Выборка 1'!F175-'Выборка 1'!E175)+('Выборка 1'!G175-'Выборка 1'!F175)+('Выборка 1'!H175-'Выборка 1'!G175))/4000</f>
        <v>258.75</v>
      </c>
      <c r="H175" s="42">
        <f>('Выборка 1'!AS175+'Выборка 1'!AN175)/1000</f>
        <v>0</v>
      </c>
      <c r="I175" s="17">
        <f>(('Выборка 1'!AU175-'Выборка 1'!AT175)+('Выборка 1'!AV175-'Выборка 1'!AU175)+('Выборка 1'!AW175-'Выборка 1'!AV175)+('Выборка 1'!AX175-'Выборка 1'!AW175))/4000</f>
        <v>0</v>
      </c>
    </row>
    <row r="176" spans="2:9" x14ac:dyDescent="0.25">
      <c r="B176" s="42">
        <f>('Выборка 1'!AL176+'Выборка 1'!AG176)/1000</f>
        <v>0</v>
      </c>
      <c r="C176" s="17">
        <f>(('Выборка 1'!E176-'Выборка 1'!D176)+('Выборка 1'!F176-'Выборка 1'!E176)+('Выборка 1'!G176-'Выборка 1'!F176)+('Выборка 1'!H176-'Выборка 1'!G176))/4000</f>
        <v>-3149.5</v>
      </c>
      <c r="H176" s="42">
        <f>('Выборка 1'!AS176+'Выборка 1'!AN176)/1000</f>
        <v>43897</v>
      </c>
      <c r="I176" s="17">
        <f>(('Выборка 1'!AU176-'Выборка 1'!AT176)+('Выборка 1'!AV176-'Выборка 1'!AU176)+('Выборка 1'!AW176-'Выборка 1'!AV176)+('Выборка 1'!AX176-'Выборка 1'!AW176))/4000</f>
        <v>-279.5</v>
      </c>
    </row>
    <row r="177" spans="2:9" x14ac:dyDescent="0.25">
      <c r="B177" s="42">
        <f>('Выборка 1'!AL177+'Выборка 1'!AG177)/1000</f>
        <v>25389</v>
      </c>
      <c r="C177" s="17">
        <f>(('Выборка 1'!E177-'Выборка 1'!D177)+('Выборка 1'!F177-'Выборка 1'!E177)+('Выборка 1'!G177-'Выборка 1'!F177)+('Выборка 1'!H177-'Выборка 1'!G177))/4000</f>
        <v>0</v>
      </c>
      <c r="H177" s="42">
        <f>('Выборка 1'!AS177+'Выборка 1'!AN177)/1000</f>
        <v>0</v>
      </c>
      <c r="I177" s="17">
        <f>(('Выборка 1'!AU177-'Выборка 1'!AT177)+('Выборка 1'!AV177-'Выборка 1'!AU177)+('Выборка 1'!AW177-'Выборка 1'!AV177)+('Выборка 1'!AX177-'Выборка 1'!AW177))/4000</f>
        <v>90</v>
      </c>
    </row>
    <row r="178" spans="2:9" x14ac:dyDescent="0.25">
      <c r="B178" s="42">
        <f>('Выборка 1'!AL178+'Выборка 1'!AG178)/1000</f>
        <v>0</v>
      </c>
      <c r="C178" s="17">
        <f>(('Выборка 1'!E178-'Выборка 1'!D178)+('Выборка 1'!F178-'Выборка 1'!E178)+('Выборка 1'!G178-'Выборка 1'!F178)+('Выборка 1'!H178-'Выборка 1'!G178))/4000</f>
        <v>0</v>
      </c>
      <c r="H178" s="42">
        <f>('Выборка 1'!AS178+'Выборка 1'!AN178)/1000</f>
        <v>0</v>
      </c>
      <c r="I178" s="17">
        <f>(('Выборка 1'!AU178-'Выборка 1'!AT178)+('Выборка 1'!AV178-'Выборка 1'!AU178)+('Выборка 1'!AW178-'Выборка 1'!AV178)+('Выборка 1'!AX178-'Выборка 1'!AW178))/4000</f>
        <v>0</v>
      </c>
    </row>
    <row r="179" spans="2:9" x14ac:dyDescent="0.25">
      <c r="B179" s="42">
        <f>('Выборка 1'!AL179+'Выборка 1'!AG179)/1000</f>
        <v>315011</v>
      </c>
      <c r="C179" s="17">
        <f>(('Выборка 1'!E179-'Выборка 1'!D179)+('Выборка 1'!F179-'Выборка 1'!E179)+('Выборка 1'!G179-'Выборка 1'!F179)+('Выборка 1'!H179-'Выборка 1'!G179))/4000</f>
        <v>62291</v>
      </c>
      <c r="H179" s="42">
        <f>('Выборка 1'!AS179+'Выборка 1'!AN179)/1000</f>
        <v>209568</v>
      </c>
      <c r="I179" s="17">
        <f>(('Выборка 1'!AU179-'Выборка 1'!AT179)+('Выборка 1'!AV179-'Выборка 1'!AU179)+('Выборка 1'!AW179-'Выборка 1'!AV179)+('Выборка 1'!AX179-'Выборка 1'!AW179))/4000</f>
        <v>-45887.5</v>
      </c>
    </row>
    <row r="180" spans="2:9" x14ac:dyDescent="0.25">
      <c r="B180" s="42">
        <f>('Выборка 1'!AL180+'Выборка 1'!AG180)/1000</f>
        <v>0</v>
      </c>
      <c r="C180" s="17">
        <f>(('Выборка 1'!E180-'Выборка 1'!D180)+('Выборка 1'!F180-'Выборка 1'!E180)+('Выборка 1'!G180-'Выборка 1'!F180)+('Выборка 1'!H180-'Выборка 1'!G180))/4000</f>
        <v>-12439.75</v>
      </c>
      <c r="H180" s="42">
        <f>('Выборка 1'!AS180+'Выборка 1'!AN180)/1000</f>
        <v>0</v>
      </c>
      <c r="I180" s="17">
        <f>(('Выборка 1'!AU180-'Выборка 1'!AT180)+('Выборка 1'!AV180-'Выборка 1'!AU180)+('Выборка 1'!AW180-'Выборка 1'!AV180)+('Выборка 1'!AX180-'Выборка 1'!AW180))/4000</f>
        <v>0</v>
      </c>
    </row>
    <row r="181" spans="2:9" x14ac:dyDescent="0.25">
      <c r="B181" s="42">
        <f>('Выборка 1'!AL181+'Выборка 1'!AG181)/1000</f>
        <v>0</v>
      </c>
      <c r="C181" s="17">
        <f>(('Выборка 1'!E181-'Выборка 1'!D181)+('Выборка 1'!F181-'Выборка 1'!E181)+('Выборка 1'!G181-'Выборка 1'!F181)+('Выборка 1'!H181-'Выборка 1'!G181))/4000</f>
        <v>-12583</v>
      </c>
      <c r="H181" s="42">
        <f>('Выборка 1'!AS181+'Выборка 1'!AN181)/1000</f>
        <v>19164</v>
      </c>
      <c r="I181" s="17">
        <f>(('Выборка 1'!AU181-'Выборка 1'!AT181)+('Выборка 1'!AV181-'Выборка 1'!AU181)+('Выборка 1'!AW181-'Выборка 1'!AV181)+('Выборка 1'!AX181-'Выборка 1'!AW181))/4000</f>
        <v>-1087.75</v>
      </c>
    </row>
    <row r="182" spans="2:9" x14ac:dyDescent="0.25">
      <c r="B182" s="42">
        <f>('Выборка 1'!AL182+'Выборка 1'!AG182)/1000</f>
        <v>6554</v>
      </c>
      <c r="C182" s="17">
        <f>(('Выборка 1'!E182-'Выборка 1'!D182)+('Выборка 1'!F182-'Выборка 1'!E182)+('Выборка 1'!G182-'Выборка 1'!F182)+('Выборка 1'!H182-'Выборка 1'!G182))/4000</f>
        <v>-5</v>
      </c>
      <c r="H182" s="42">
        <f>('Выборка 1'!AS182+'Выборка 1'!AN182)/1000</f>
        <v>17745</v>
      </c>
      <c r="I182" s="17">
        <f>(('Выборка 1'!AU182-'Выборка 1'!AT182)+('Выборка 1'!AV182-'Выборка 1'!AU182)+('Выборка 1'!AW182-'Выборка 1'!AV182)+('Выборка 1'!AX182-'Выборка 1'!AW182))/4000</f>
        <v>-3129</v>
      </c>
    </row>
    <row r="183" spans="2:9" x14ac:dyDescent="0.25">
      <c r="B183" s="42">
        <f>('Выборка 1'!AL183+'Выборка 1'!AG183)/1000</f>
        <v>206330</v>
      </c>
      <c r="C183" s="17">
        <f>(('Выборка 1'!E183-'Выборка 1'!D183)+('Выборка 1'!F183-'Выборка 1'!E183)+('Выборка 1'!G183-'Выборка 1'!F183)+('Выборка 1'!H183-'Выборка 1'!G183))/4000</f>
        <v>-40615</v>
      </c>
      <c r="H183" s="42">
        <f>('Выборка 1'!AS183+'Выборка 1'!AN183)/1000</f>
        <v>170783</v>
      </c>
      <c r="I183" s="17">
        <f>(('Выборка 1'!AU183-'Выборка 1'!AT183)+('Выборка 1'!AV183-'Выборка 1'!AU183)+('Выборка 1'!AW183-'Выборка 1'!AV183)+('Выборка 1'!AX183-'Выборка 1'!AW183))/4000</f>
        <v>-17115.75</v>
      </c>
    </row>
    <row r="184" spans="2:9" x14ac:dyDescent="0.25">
      <c r="B184" s="42">
        <f>('Выборка 1'!AL184+'Выборка 1'!AG184)/1000</f>
        <v>145210</v>
      </c>
      <c r="C184" s="17">
        <f>(('Выборка 1'!E184-'Выборка 1'!D184)+('Выборка 1'!F184-'Выборка 1'!E184)+('Выборка 1'!G184-'Выборка 1'!F184)+('Выборка 1'!H184-'Выборка 1'!G184))/4000</f>
        <v>28801.5</v>
      </c>
      <c r="H184" s="42">
        <f>('Выборка 1'!AS184+'Выборка 1'!AN184)/1000</f>
        <v>192199</v>
      </c>
      <c r="I184" s="17">
        <f>(('Выборка 1'!AU184-'Выборка 1'!AT184)+('Выборка 1'!AV184-'Выборка 1'!AU184)+('Выборка 1'!AW184-'Выборка 1'!AV184)+('Выборка 1'!AX184-'Выборка 1'!AW184))/4000</f>
        <v>-20462.25</v>
      </c>
    </row>
    <row r="185" spans="2:9" x14ac:dyDescent="0.25">
      <c r="B185" s="42">
        <f>('Выборка 1'!AL185+'Выборка 1'!AG185)/1000</f>
        <v>0</v>
      </c>
      <c r="C185" s="17">
        <f>(('Выборка 1'!E185-'Выборка 1'!D185)+('Выборка 1'!F185-'Выборка 1'!E185)+('Выборка 1'!G185-'Выборка 1'!F185)+('Выборка 1'!H185-'Выборка 1'!G185))/4000</f>
        <v>-6948.5</v>
      </c>
      <c r="H185" s="42">
        <f>('Выборка 1'!AS185+'Выборка 1'!AN185)/1000</f>
        <v>36656</v>
      </c>
      <c r="I185" s="17">
        <f>(('Выборка 1'!AU185-'Выборка 1'!AT185)+('Выборка 1'!AV185-'Выборка 1'!AU185)+('Выборка 1'!AW185-'Выборка 1'!AV185)+('Выборка 1'!AX185-'Выборка 1'!AW185))/4000</f>
        <v>-4297.25</v>
      </c>
    </row>
    <row r="186" spans="2:9" x14ac:dyDescent="0.25">
      <c r="B186" s="42">
        <f>('Выборка 1'!AL186+'Выборка 1'!AG186)/1000</f>
        <v>0</v>
      </c>
      <c r="C186" s="17">
        <f>(('Выборка 1'!E186-'Выборка 1'!D186)+('Выборка 1'!F186-'Выборка 1'!E186)+('Выборка 1'!G186-'Выборка 1'!F186)+('Выборка 1'!H186-'Выборка 1'!G186))/4000</f>
        <v>-1039.25</v>
      </c>
      <c r="H186" s="42">
        <f>('Выборка 1'!AS186+'Выборка 1'!AN186)/1000</f>
        <v>37063</v>
      </c>
      <c r="I186" s="17">
        <f>(('Выборка 1'!AU186-'Выборка 1'!AT186)+('Выборка 1'!AV186-'Выборка 1'!AU186)+('Выборка 1'!AW186-'Выборка 1'!AV186)+('Выборка 1'!AX186-'Выборка 1'!AW186))/4000</f>
        <v>-4545</v>
      </c>
    </row>
    <row r="187" spans="2:9" x14ac:dyDescent="0.25">
      <c r="B187" s="42">
        <f>('Выборка 1'!AL187+'Выборка 1'!AG187)/1000</f>
        <v>400476</v>
      </c>
      <c r="C187" s="17">
        <f>(('Выборка 1'!E187-'Выборка 1'!D187)+('Выборка 1'!F187-'Выборка 1'!E187)+('Выборка 1'!G187-'Выборка 1'!F187)+('Выборка 1'!H187-'Выборка 1'!G187))/4000</f>
        <v>-3570.25</v>
      </c>
      <c r="H187" s="42">
        <f>('Выборка 1'!AS187+'Выборка 1'!AN187)/1000</f>
        <v>234912</v>
      </c>
      <c r="I187" s="17">
        <f>(('Выборка 1'!AU187-'Выборка 1'!AT187)+('Выборка 1'!AV187-'Выборка 1'!AU187)+('Выборка 1'!AW187-'Выборка 1'!AV187)+('Выборка 1'!AX187-'Выборка 1'!AW187))/4000</f>
        <v>-4289.5</v>
      </c>
    </row>
    <row r="188" spans="2:9" x14ac:dyDescent="0.25">
      <c r="B188" s="42">
        <f>('Выборка 1'!AL188+'Выборка 1'!AG188)/1000</f>
        <v>140761</v>
      </c>
      <c r="C188" s="17">
        <f>(('Выборка 1'!E188-'Выборка 1'!D188)+('Выборка 1'!F188-'Выборка 1'!E188)+('Выборка 1'!G188-'Выборка 1'!F188)+('Выборка 1'!H188-'Выборка 1'!G188))/4000</f>
        <v>0</v>
      </c>
      <c r="H188" s="42">
        <f>('Выборка 1'!AS188+'Выборка 1'!AN188)/1000</f>
        <v>0</v>
      </c>
      <c r="I188" s="17">
        <f>(('Выборка 1'!AU188-'Выборка 1'!AT188)+('Выборка 1'!AV188-'Выборка 1'!AU188)+('Выборка 1'!AW188-'Выборка 1'!AV188)+('Выборка 1'!AX188-'Выборка 1'!AW188))/4000</f>
        <v>0</v>
      </c>
    </row>
    <row r="189" spans="2:9" x14ac:dyDescent="0.25">
      <c r="B189" s="42">
        <f>('Выборка 1'!AL189+'Выборка 1'!AG189)/1000</f>
        <v>0</v>
      </c>
      <c r="C189" s="17">
        <f>(('Выборка 1'!E189-'Выборка 1'!D189)+('Выборка 1'!F189-'Выборка 1'!E189)+('Выборка 1'!G189-'Выборка 1'!F189)+('Выборка 1'!H189-'Выборка 1'!G189))/4000</f>
        <v>0</v>
      </c>
      <c r="H189" s="42">
        <f>('Выборка 1'!AS189+'Выборка 1'!AN189)/1000</f>
        <v>0</v>
      </c>
      <c r="I189" s="17">
        <f>(('Выборка 1'!AU189-'Выборка 1'!AT189)+('Выборка 1'!AV189-'Выборка 1'!AU189)+('Выборка 1'!AW189-'Выборка 1'!AV189)+('Выборка 1'!AX189-'Выборка 1'!AW189))/4000</f>
        <v>0</v>
      </c>
    </row>
    <row r="190" spans="2:9" x14ac:dyDescent="0.25">
      <c r="B190" s="42">
        <f>('Выборка 1'!AL190+'Выборка 1'!AG190)/1000</f>
        <v>4245</v>
      </c>
      <c r="C190" s="17">
        <f>(('Выборка 1'!E190-'Выборка 1'!D190)+('Выборка 1'!F190-'Выборка 1'!E190)+('Выборка 1'!G190-'Выборка 1'!F190)+('Выборка 1'!H190-'Выборка 1'!G190))/4000</f>
        <v>0.25</v>
      </c>
      <c r="H190" s="42">
        <f>('Выборка 1'!AS190+'Выборка 1'!AN190)/1000</f>
        <v>854</v>
      </c>
      <c r="I190" s="17">
        <f>(('Выборка 1'!AU190-'Выборка 1'!AT190)+('Выборка 1'!AV190-'Выборка 1'!AU190)+('Выборка 1'!AW190-'Выборка 1'!AV190)+('Выборка 1'!AX190-'Выборка 1'!AW190))/4000</f>
        <v>-1386.5</v>
      </c>
    </row>
    <row r="191" spans="2:9" x14ac:dyDescent="0.25">
      <c r="B191" s="42">
        <f>('Выборка 1'!AL191+'Выборка 1'!AG191)/1000</f>
        <v>44314</v>
      </c>
      <c r="C191" s="17">
        <f>(('Выборка 1'!E191-'Выборка 1'!D191)+('Выборка 1'!F191-'Выборка 1'!E191)+('Выборка 1'!G191-'Выборка 1'!F191)+('Выборка 1'!H191-'Выборка 1'!G191))/4000</f>
        <v>-192.25</v>
      </c>
      <c r="H191" s="42">
        <f>('Выборка 1'!AS191+'Выборка 1'!AN191)/1000</f>
        <v>0</v>
      </c>
      <c r="I191" s="17">
        <f>(('Выборка 1'!AU191-'Выборка 1'!AT191)+('Выборка 1'!AV191-'Выборка 1'!AU191)+('Выборка 1'!AW191-'Выборка 1'!AV191)+('Выборка 1'!AX191-'Выборка 1'!AW191))/4000</f>
        <v>0</v>
      </c>
    </row>
    <row r="192" spans="2:9" x14ac:dyDescent="0.25">
      <c r="B192" s="42">
        <f>('Выборка 1'!AL192+'Выборка 1'!AG192)/1000</f>
        <v>0</v>
      </c>
      <c r="C192" s="17">
        <f>(('Выборка 1'!E192-'Выборка 1'!D192)+('Выборка 1'!F192-'Выборка 1'!E192)+('Выборка 1'!G192-'Выборка 1'!F192)+('Выборка 1'!H192-'Выборка 1'!G192))/4000</f>
        <v>0</v>
      </c>
      <c r="H192" s="42">
        <f>('Выборка 1'!AS192+'Выборка 1'!AN192)/1000</f>
        <v>0</v>
      </c>
      <c r="I192" s="17">
        <f>(('Выборка 1'!AU192-'Выборка 1'!AT192)+('Выборка 1'!AV192-'Выборка 1'!AU192)+('Выборка 1'!AW192-'Выборка 1'!AV192)+('Выборка 1'!AX192-'Выборка 1'!AW192))/4000</f>
        <v>0</v>
      </c>
    </row>
    <row r="193" spans="2:9" x14ac:dyDescent="0.25">
      <c r="B193" s="42">
        <f>('Выборка 1'!AL193+'Выборка 1'!AG193)/1000</f>
        <v>18591</v>
      </c>
      <c r="C193" s="17">
        <f>(('Выборка 1'!E193-'Выборка 1'!D193)+('Выборка 1'!F193-'Выборка 1'!E193)+('Выборка 1'!G193-'Выборка 1'!F193)+('Выборка 1'!H193-'Выборка 1'!G193))/4000</f>
        <v>-173.25</v>
      </c>
      <c r="H193" s="42">
        <f>('Выборка 1'!AS193+'Выборка 1'!AN193)/1000</f>
        <v>48621</v>
      </c>
      <c r="I193" s="17">
        <f>(('Выборка 1'!AU193-'Выборка 1'!AT193)+('Выборка 1'!AV193-'Выборка 1'!AU193)+('Выборка 1'!AW193-'Выборка 1'!AV193)+('Выборка 1'!AX193-'Выборка 1'!AW193))/4000</f>
        <v>-1620.25</v>
      </c>
    </row>
    <row r="194" spans="2:9" x14ac:dyDescent="0.25">
      <c r="B194" s="42">
        <f>('Выборка 1'!AL194+'Выборка 1'!AG194)/1000</f>
        <v>0</v>
      </c>
      <c r="C194" s="17">
        <f>(('Выборка 1'!E194-'Выборка 1'!D194)+('Выборка 1'!F194-'Выборка 1'!E194)+('Выборка 1'!G194-'Выборка 1'!F194)+('Выборка 1'!H194-'Выборка 1'!G194))/4000</f>
        <v>0</v>
      </c>
      <c r="H194" s="42">
        <f>('Выборка 1'!AS194+'Выборка 1'!AN194)/1000</f>
        <v>0</v>
      </c>
      <c r="I194" s="17">
        <f>(('Выборка 1'!AU194-'Выборка 1'!AT194)+('Выборка 1'!AV194-'Выборка 1'!AU194)+('Выборка 1'!AW194-'Выборка 1'!AV194)+('Выборка 1'!AX194-'Выборка 1'!AW194))/4000</f>
        <v>0</v>
      </c>
    </row>
    <row r="195" spans="2:9" x14ac:dyDescent="0.25">
      <c r="B195" s="42">
        <f>('Выборка 1'!AL195+'Выборка 1'!AG195)/1000</f>
        <v>106192</v>
      </c>
      <c r="C195" s="17">
        <f>(('Выборка 1'!E195-'Выборка 1'!D195)+('Выборка 1'!F195-'Выборка 1'!E195)+('Выборка 1'!G195-'Выборка 1'!F195)+('Выборка 1'!H195-'Выборка 1'!G195))/4000</f>
        <v>-11061.75</v>
      </c>
      <c r="H195" s="42">
        <f>('Выборка 1'!AS195+'Выборка 1'!AN195)/1000</f>
        <v>162950</v>
      </c>
      <c r="I195" s="17">
        <f>(('Выборка 1'!AU195-'Выборка 1'!AT195)+('Выборка 1'!AV195-'Выборка 1'!AU195)+('Выборка 1'!AW195-'Выборка 1'!AV195)+('Выборка 1'!AX195-'Выборка 1'!AW195))/4000</f>
        <v>-19161.5</v>
      </c>
    </row>
    <row r="196" spans="2:9" x14ac:dyDescent="0.25">
      <c r="B196" s="42">
        <f>('Выборка 1'!AL196+'Выборка 1'!AG196)/1000</f>
        <v>315206</v>
      </c>
      <c r="C196" s="17">
        <f>(('Выборка 1'!E196-'Выборка 1'!D196)+('Выборка 1'!F196-'Выборка 1'!E196)+('Выборка 1'!G196-'Выборка 1'!F196)+('Выборка 1'!H196-'Выборка 1'!G196))/4000</f>
        <v>-973.5</v>
      </c>
      <c r="H196" s="42">
        <f>('Выборка 1'!AS196+'Выборка 1'!AN196)/1000</f>
        <v>145941</v>
      </c>
      <c r="I196" s="17">
        <f>(('Выборка 1'!AU196-'Выборка 1'!AT196)+('Выборка 1'!AV196-'Выборка 1'!AU196)+('Выборка 1'!AW196-'Выборка 1'!AV196)+('Выборка 1'!AX196-'Выборка 1'!AW196))/4000</f>
        <v>-5163.25</v>
      </c>
    </row>
    <row r="197" spans="2:9" x14ac:dyDescent="0.25">
      <c r="B197" s="42">
        <f>('Выборка 1'!AL197+'Выборка 1'!AG197)/1000</f>
        <v>206953</v>
      </c>
      <c r="C197" s="17">
        <f>(('Выборка 1'!E197-'Выборка 1'!D197)+('Выборка 1'!F197-'Выборка 1'!E197)+('Выборка 1'!G197-'Выборка 1'!F197)+('Выборка 1'!H197-'Выборка 1'!G197))/4000</f>
        <v>-29587.75</v>
      </c>
      <c r="H197" s="42">
        <f>('Выборка 1'!AS197+'Выборка 1'!AN197)/1000</f>
        <v>179617</v>
      </c>
      <c r="I197" s="17">
        <f>(('Выборка 1'!AU197-'Выборка 1'!AT197)+('Выборка 1'!AV197-'Выборка 1'!AU197)+('Выборка 1'!AW197-'Выборка 1'!AV197)+('Выборка 1'!AX197-'Выборка 1'!AW197))/4000</f>
        <v>-9445.75</v>
      </c>
    </row>
    <row r="198" spans="2:9" x14ac:dyDescent="0.25">
      <c r="B198" s="42">
        <f>('Выборка 1'!AL198+'Выборка 1'!AG198)/1000</f>
        <v>6268</v>
      </c>
      <c r="C198" s="17">
        <f>(('Выборка 1'!E198-'Выборка 1'!D198)+('Выборка 1'!F198-'Выборка 1'!E198)+('Выборка 1'!G198-'Выборка 1'!F198)+('Выборка 1'!H198-'Выборка 1'!G198))/4000</f>
        <v>0</v>
      </c>
      <c r="H198" s="42">
        <f>('Выборка 1'!AS198+'Выборка 1'!AN198)/1000</f>
        <v>0</v>
      </c>
      <c r="I198" s="17">
        <f>(('Выборка 1'!AU198-'Выборка 1'!AT198)+('Выборка 1'!AV198-'Выборка 1'!AU198)+('Выборка 1'!AW198-'Выборка 1'!AV198)+('Выборка 1'!AX198-'Выборка 1'!AW198))/4000</f>
        <v>0</v>
      </c>
    </row>
    <row r="199" spans="2:9" x14ac:dyDescent="0.25">
      <c r="B199" s="42">
        <f>('Выборка 1'!AL199+'Выборка 1'!AG199)/1000</f>
        <v>200169</v>
      </c>
      <c r="C199" s="17">
        <f>(('Выборка 1'!E199-'Выборка 1'!D199)+('Выборка 1'!F199-'Выборка 1'!E199)+('Выборка 1'!G199-'Выборка 1'!F199)+('Выборка 1'!H199-'Выборка 1'!G199))/4000</f>
        <v>-2188</v>
      </c>
      <c r="H199" s="42">
        <f>('Выборка 1'!AS199+'Выборка 1'!AN199)/1000</f>
        <v>144413</v>
      </c>
      <c r="I199" s="17">
        <f>(('Выборка 1'!AU199-'Выборка 1'!AT199)+('Выборка 1'!AV199-'Выборка 1'!AU199)+('Выборка 1'!AW199-'Выборка 1'!AV199)+('Выборка 1'!AX199-'Выборка 1'!AW199))/4000</f>
        <v>-58701.5</v>
      </c>
    </row>
    <row r="200" spans="2:9" x14ac:dyDescent="0.25">
      <c r="B200" s="42">
        <f>('Выборка 1'!AL200+'Выборка 1'!AG200)/1000</f>
        <v>0</v>
      </c>
      <c r="C200" s="17">
        <f>(('Выборка 1'!E200-'Выборка 1'!D200)+('Выборка 1'!F200-'Выборка 1'!E200)+('Выборка 1'!G200-'Выборка 1'!F200)+('Выборка 1'!H200-'Выборка 1'!G200))/4000</f>
        <v>-8886</v>
      </c>
      <c r="H200" s="42">
        <f>('Выборка 1'!AS200+'Выборка 1'!AN200)/1000</f>
        <v>0</v>
      </c>
      <c r="I200" s="17">
        <f>(('Выборка 1'!AU200-'Выборка 1'!AT200)+('Выборка 1'!AV200-'Выборка 1'!AU200)+('Выборка 1'!AW200-'Выборка 1'!AV200)+('Выборка 1'!AX200-'Выборка 1'!AW200))/4000</f>
        <v>0</v>
      </c>
    </row>
    <row r="201" spans="2:9" x14ac:dyDescent="0.25">
      <c r="B201" s="42">
        <f>('Выборка 1'!AL201+'Выборка 1'!AG201)/1000</f>
        <v>3715</v>
      </c>
      <c r="C201" s="17">
        <f>(('Выборка 1'!E201-'Выборка 1'!D201)+('Выборка 1'!F201-'Выборка 1'!E201)+('Выборка 1'!G201-'Выборка 1'!F201)+('Выборка 1'!H201-'Выборка 1'!G201))/4000</f>
        <v>0</v>
      </c>
      <c r="H201" s="42">
        <f>('Выборка 1'!AS201+'Выборка 1'!AN201)/1000</f>
        <v>21483</v>
      </c>
      <c r="I201" s="17">
        <f>(('Выборка 1'!AU201-'Выборка 1'!AT201)+('Выборка 1'!AV201-'Выборка 1'!AU201)+('Выборка 1'!AW201-'Выборка 1'!AV201)+('Выборка 1'!AX201-'Выборка 1'!AW201))/4000</f>
        <v>-1831.75</v>
      </c>
    </row>
    <row r="202" spans="2:9" x14ac:dyDescent="0.25">
      <c r="B202" s="42">
        <f>('Выборка 1'!AL202+'Выборка 1'!AG202)/1000</f>
        <v>0</v>
      </c>
      <c r="C202" s="17">
        <f>(('Выборка 1'!E202-'Выборка 1'!D202)+('Выборка 1'!F202-'Выборка 1'!E202)+('Выборка 1'!G202-'Выборка 1'!F202)+('Выборка 1'!H202-'Выборка 1'!G202))/4000</f>
        <v>0</v>
      </c>
      <c r="H202" s="42">
        <f>('Выборка 1'!AS202+'Выборка 1'!AN202)/1000</f>
        <v>0</v>
      </c>
      <c r="I202" s="17">
        <f>(('Выборка 1'!AU202-'Выборка 1'!AT202)+('Выборка 1'!AV202-'Выборка 1'!AU202)+('Выборка 1'!AW202-'Выборка 1'!AV202)+('Выборка 1'!AX202-'Выборка 1'!AW202))/4000</f>
        <v>0</v>
      </c>
    </row>
    <row r="203" spans="2:9" x14ac:dyDescent="0.25">
      <c r="B203" s="42">
        <f>('Выборка 1'!AL203+'Выборка 1'!AG203)/1000</f>
        <v>0</v>
      </c>
      <c r="C203" s="17">
        <f>(('Выборка 1'!E203-'Выборка 1'!D203)+('Выборка 1'!F203-'Выборка 1'!E203)+('Выборка 1'!G203-'Выборка 1'!F203)+('Выборка 1'!H203-'Выборка 1'!G203))/4000</f>
        <v>0</v>
      </c>
      <c r="H203" s="42">
        <f>('Выборка 1'!AS203+'Выборка 1'!AN203)/1000</f>
        <v>0</v>
      </c>
      <c r="I203" s="17">
        <f>(('Выборка 1'!AU203-'Выборка 1'!AT203)+('Выборка 1'!AV203-'Выборка 1'!AU203)+('Выборка 1'!AW203-'Выборка 1'!AV203)+('Выборка 1'!AX203-'Выборка 1'!AW203))/4000</f>
        <v>0</v>
      </c>
    </row>
    <row r="204" spans="2:9" x14ac:dyDescent="0.25">
      <c r="B204" s="42">
        <f>('Выборка 1'!AL204+'Выборка 1'!AG204)/1000</f>
        <v>533336</v>
      </c>
      <c r="C204" s="17">
        <f>(('Выборка 1'!E204-'Выборка 1'!D204)+('Выборка 1'!F204-'Выборка 1'!E204)+('Выборка 1'!G204-'Выборка 1'!F204)+('Выборка 1'!H204-'Выборка 1'!G204))/4000</f>
        <v>-1742.5</v>
      </c>
      <c r="H204" s="42">
        <f>('Выборка 1'!AS204+'Выборка 1'!AN204)/1000</f>
        <v>4860634</v>
      </c>
      <c r="I204" s="17">
        <f>(('Выборка 1'!AU204-'Выборка 1'!AT204)+('Выборка 1'!AV204-'Выборка 1'!AU204)+('Выборка 1'!AW204-'Выборка 1'!AV204)+('Выборка 1'!AX204-'Выборка 1'!AW204))/4000</f>
        <v>-502962.5</v>
      </c>
    </row>
    <row r="205" spans="2:9" x14ac:dyDescent="0.25">
      <c r="B205" s="42">
        <f>('Выборка 1'!AL205+'Выборка 1'!AG205)/1000</f>
        <v>0</v>
      </c>
      <c r="C205" s="17">
        <f>(('Выборка 1'!E205-'Выборка 1'!D205)+('Выборка 1'!F205-'Выборка 1'!E205)+('Выборка 1'!G205-'Выборка 1'!F205)+('Выборка 1'!H205-'Выборка 1'!G205))/4000</f>
        <v>-2225.75</v>
      </c>
      <c r="H205" s="42">
        <f>('Выборка 1'!AS205+'Выборка 1'!AN205)/1000</f>
        <v>515374</v>
      </c>
      <c r="I205" s="17">
        <f>(('Выборка 1'!AU205-'Выборка 1'!AT205)+('Выборка 1'!AV205-'Выборка 1'!AU205)+('Выборка 1'!AW205-'Выборка 1'!AV205)+('Выборка 1'!AX205-'Выборка 1'!AW205))/4000</f>
        <v>-170060.75</v>
      </c>
    </row>
    <row r="206" spans="2:9" x14ac:dyDescent="0.25">
      <c r="B206" s="42">
        <f>('Выборка 1'!AL206+'Выборка 1'!AG206)/1000</f>
        <v>566554</v>
      </c>
      <c r="C206" s="17">
        <f>(('Выборка 1'!E206-'Выборка 1'!D206)+('Выборка 1'!F206-'Выборка 1'!E206)+('Выборка 1'!G206-'Выборка 1'!F206)+('Выборка 1'!H206-'Выборка 1'!G206))/4000</f>
        <v>-14583</v>
      </c>
      <c r="H206" s="42">
        <f>('Выборка 1'!AS206+'Выборка 1'!AN206)/1000</f>
        <v>3698</v>
      </c>
      <c r="I206" s="17">
        <f>(('Выборка 1'!AU206-'Выборка 1'!AT206)+('Выборка 1'!AV206-'Выборка 1'!AU206)+('Выборка 1'!AW206-'Выборка 1'!AV206)+('Выборка 1'!AX206-'Выборка 1'!AW206))/4000</f>
        <v>0</v>
      </c>
    </row>
    <row r="207" spans="2:9" x14ac:dyDescent="0.25">
      <c r="B207" s="42">
        <f>('Выборка 1'!AL207+'Выборка 1'!AG207)/1000</f>
        <v>719913</v>
      </c>
      <c r="C207" s="17">
        <f>(('Выборка 1'!E207-'Выборка 1'!D207)+('Выборка 1'!F207-'Выборка 1'!E207)+('Выборка 1'!G207-'Выборка 1'!F207)+('Выборка 1'!H207-'Выборка 1'!G207))/4000</f>
        <v>-820</v>
      </c>
      <c r="H207" s="42">
        <f>('Выборка 1'!AS207+'Выборка 1'!AN207)/1000</f>
        <v>8686</v>
      </c>
      <c r="I207" s="17">
        <f>(('Выборка 1'!AU207-'Выборка 1'!AT207)+('Выборка 1'!AV207-'Выборка 1'!AU207)+('Выборка 1'!AW207-'Выборка 1'!AV207)+('Выборка 1'!AX207-'Выборка 1'!AW207))/4000</f>
        <v>0</v>
      </c>
    </row>
    <row r="208" spans="2:9" x14ac:dyDescent="0.25">
      <c r="B208" s="42">
        <f>('Выборка 1'!AL208+'Выборка 1'!AG208)/1000</f>
        <v>117038</v>
      </c>
      <c r="C208" s="17">
        <f>(('Выборка 1'!E208-'Выборка 1'!D208)+('Выборка 1'!F208-'Выборка 1'!E208)+('Выборка 1'!G208-'Выборка 1'!F208)+('Выборка 1'!H208-'Выборка 1'!G208))/4000</f>
        <v>-9290.25</v>
      </c>
      <c r="H208" s="42">
        <f>('Выборка 1'!AS208+'Выборка 1'!AN208)/1000</f>
        <v>592724</v>
      </c>
      <c r="I208" s="17">
        <f>(('Выборка 1'!AU208-'Выборка 1'!AT208)+('Выборка 1'!AV208-'Выборка 1'!AU208)+('Выборка 1'!AW208-'Выборка 1'!AV208)+('Выборка 1'!AX208-'Выборка 1'!AW208))/4000</f>
        <v>-12687.25</v>
      </c>
    </row>
    <row r="209" spans="2:9" x14ac:dyDescent="0.25">
      <c r="B209" s="42">
        <f>('Выборка 1'!AL209+'Выборка 1'!AG209)/1000</f>
        <v>0</v>
      </c>
      <c r="C209" s="17">
        <f>(('Выборка 1'!E209-'Выборка 1'!D209)+('Выборка 1'!F209-'Выборка 1'!E209)+('Выборка 1'!G209-'Выборка 1'!F209)+('Выборка 1'!H209-'Выборка 1'!G209))/4000</f>
        <v>0</v>
      </c>
      <c r="H209" s="42">
        <f>('Выборка 1'!AS209+'Выборка 1'!AN209)/1000</f>
        <v>0</v>
      </c>
      <c r="I209" s="17">
        <f>(('Выборка 1'!AU209-'Выборка 1'!AT209)+('Выборка 1'!AV209-'Выборка 1'!AU209)+('Выборка 1'!AW209-'Выборка 1'!AV209)+('Выборка 1'!AX209-'Выборка 1'!AW209))/4000</f>
        <v>0</v>
      </c>
    </row>
    <row r="210" spans="2:9" x14ac:dyDescent="0.25">
      <c r="B210" s="42">
        <f>('Выборка 1'!AL210+'Выборка 1'!AG210)/1000</f>
        <v>2235</v>
      </c>
      <c r="C210" s="17">
        <f>(('Выборка 1'!E210-'Выборка 1'!D210)+('Выборка 1'!F210-'Выборка 1'!E210)+('Выборка 1'!G210-'Выборка 1'!F210)+('Выборка 1'!H210-'Выборка 1'!G210))/4000</f>
        <v>-5848.25</v>
      </c>
      <c r="H210" s="42">
        <f>('Выборка 1'!AS210+'Выборка 1'!AN210)/1000</f>
        <v>0</v>
      </c>
      <c r="I210" s="17">
        <f>(('Выборка 1'!AU210-'Выборка 1'!AT210)+('Выборка 1'!AV210-'Выборка 1'!AU210)+('Выборка 1'!AW210-'Выборка 1'!AV210)+('Выборка 1'!AX210-'Выборка 1'!AW210))/4000</f>
        <v>0</v>
      </c>
    </row>
    <row r="211" spans="2:9" x14ac:dyDescent="0.25">
      <c r="B211" s="42">
        <f>('Выборка 1'!AL211+'Выборка 1'!AG211)/1000</f>
        <v>344329</v>
      </c>
      <c r="C211" s="17">
        <f>(('Выборка 1'!E211-'Выборка 1'!D211)+('Выборка 1'!F211-'Выборка 1'!E211)+('Выборка 1'!G211-'Выборка 1'!F211)+('Выборка 1'!H211-'Выборка 1'!G211))/4000</f>
        <v>-62013.5</v>
      </c>
      <c r="H211" s="42">
        <f>('Выборка 1'!AS211+'Выборка 1'!AN211)/1000</f>
        <v>0</v>
      </c>
      <c r="I211" s="17">
        <f>(('Выборка 1'!AU211-'Выборка 1'!AT211)+('Выборка 1'!AV211-'Выборка 1'!AU211)+('Выборка 1'!AW211-'Выборка 1'!AV211)+('Выборка 1'!AX211-'Выборка 1'!AW211))/4000</f>
        <v>0</v>
      </c>
    </row>
    <row r="212" spans="2:9" x14ac:dyDescent="0.25">
      <c r="B212" s="42">
        <f>('Выборка 1'!AL212+'Выборка 1'!AG212)/1000</f>
        <v>488859</v>
      </c>
      <c r="C212" s="17">
        <f>(('Выборка 1'!E212-'Выборка 1'!D212)+('Выборка 1'!F212-'Выборка 1'!E212)+('Выборка 1'!G212-'Выборка 1'!F212)+('Выборка 1'!H212-'Выборка 1'!G212))/4000</f>
        <v>-21984</v>
      </c>
      <c r="H212" s="42">
        <f>('Выборка 1'!AS212+'Выборка 1'!AN212)/1000</f>
        <v>1744</v>
      </c>
      <c r="I212" s="17">
        <f>(('Выборка 1'!AU212-'Выборка 1'!AT212)+('Выборка 1'!AV212-'Выборка 1'!AU212)+('Выборка 1'!AW212-'Выборка 1'!AV212)+('Выборка 1'!AX212-'Выборка 1'!AW212))/4000</f>
        <v>-149.5</v>
      </c>
    </row>
    <row r="213" spans="2:9" x14ac:dyDescent="0.25">
      <c r="B213" s="42">
        <f>('Выборка 1'!AL213+'Выборка 1'!AG213)/1000</f>
        <v>0</v>
      </c>
      <c r="C213" s="17">
        <f>(('Выборка 1'!E213-'Выборка 1'!D213)+('Выборка 1'!F213-'Выборка 1'!E213)+('Выборка 1'!G213-'Выборка 1'!F213)+('Выборка 1'!H213-'Выборка 1'!G213))/4000</f>
        <v>0</v>
      </c>
      <c r="H213" s="42">
        <f>('Выборка 1'!AS213+'Выборка 1'!AN213)/1000</f>
        <v>0</v>
      </c>
      <c r="I213" s="17">
        <f>(('Выборка 1'!AU213-'Выборка 1'!AT213)+('Выборка 1'!AV213-'Выборка 1'!AU213)+('Выборка 1'!AW213-'Выборка 1'!AV213)+('Выборка 1'!AX213-'Выборка 1'!AW213))/4000</f>
        <v>0</v>
      </c>
    </row>
    <row r="214" spans="2:9" x14ac:dyDescent="0.25">
      <c r="B214" s="42">
        <f>('Выборка 1'!AL214+'Выборка 1'!AG214)/1000</f>
        <v>0</v>
      </c>
      <c r="C214" s="17">
        <f>(('Выборка 1'!E214-'Выборка 1'!D214)+('Выборка 1'!F214-'Выборка 1'!E214)+('Выборка 1'!G214-'Выборка 1'!F214)+('Выборка 1'!H214-'Выборка 1'!G214))/4000</f>
        <v>0</v>
      </c>
      <c r="H214" s="42">
        <f>('Выборка 1'!AS214+'Выборка 1'!AN214)/1000</f>
        <v>0</v>
      </c>
      <c r="I214" s="17">
        <f>(('Выборка 1'!AU214-'Выборка 1'!AT214)+('Выборка 1'!AV214-'Выборка 1'!AU214)+('Выборка 1'!AW214-'Выборка 1'!AV214)+('Выборка 1'!AX214-'Выборка 1'!AW214))/4000</f>
        <v>-60.5</v>
      </c>
    </row>
    <row r="215" spans="2:9" x14ac:dyDescent="0.25">
      <c r="B215" s="42">
        <f>('Выборка 1'!AL215+'Выборка 1'!AG215)/1000</f>
        <v>0</v>
      </c>
      <c r="C215" s="17">
        <f>(('Выборка 1'!E215-'Выборка 1'!D215)+('Выборка 1'!F215-'Выборка 1'!E215)+('Выборка 1'!G215-'Выборка 1'!F215)+('Выборка 1'!H215-'Выборка 1'!G215))/4000</f>
        <v>0</v>
      </c>
      <c r="H215" s="42">
        <f>('Выборка 1'!AS215+'Выборка 1'!AN215)/1000</f>
        <v>51393</v>
      </c>
      <c r="I215" s="17">
        <f>(('Выборка 1'!AU215-'Выборка 1'!AT215)+('Выборка 1'!AV215-'Выборка 1'!AU215)+('Выборка 1'!AW215-'Выборка 1'!AV215)+('Выборка 1'!AX215-'Выборка 1'!AW215))/4000</f>
        <v>-9359.75</v>
      </c>
    </row>
    <row r="216" spans="2:9" x14ac:dyDescent="0.25">
      <c r="B216" s="42">
        <f>('Выборка 1'!AL216+'Выборка 1'!AG216)/1000</f>
        <v>0</v>
      </c>
      <c r="C216" s="17">
        <f>(('Выборка 1'!E216-'Выборка 1'!D216)+('Выборка 1'!F216-'Выборка 1'!E216)+('Выборка 1'!G216-'Выборка 1'!F216)+('Выборка 1'!H216-'Выборка 1'!G216))/4000</f>
        <v>0</v>
      </c>
      <c r="H216" s="42">
        <f>('Выборка 1'!AS216+'Выборка 1'!AN216)/1000</f>
        <v>0</v>
      </c>
      <c r="I216" s="17">
        <f>(('Выборка 1'!AU216-'Выборка 1'!AT216)+('Выборка 1'!AV216-'Выборка 1'!AU216)+('Выборка 1'!AW216-'Выборка 1'!AV216)+('Выборка 1'!AX216-'Выборка 1'!AW216))/4000</f>
        <v>0</v>
      </c>
    </row>
    <row r="217" spans="2:9" x14ac:dyDescent="0.25">
      <c r="B217" s="42">
        <f>('Выборка 1'!AL217+'Выборка 1'!AG217)/1000</f>
        <v>0</v>
      </c>
      <c r="C217" s="17">
        <f>(('Выборка 1'!E217-'Выборка 1'!D217)+('Выборка 1'!F217-'Выборка 1'!E217)+('Выборка 1'!G217-'Выборка 1'!F217)+('Выборка 1'!H217-'Выборка 1'!G217))/4000</f>
        <v>0</v>
      </c>
      <c r="H217" s="42">
        <f>('Выборка 1'!AS217+'Выборка 1'!AN217)/1000</f>
        <v>0</v>
      </c>
      <c r="I217" s="17">
        <f>(('Выборка 1'!AU217-'Выборка 1'!AT217)+('Выборка 1'!AV217-'Выборка 1'!AU217)+('Выборка 1'!AW217-'Выборка 1'!AV217)+('Выборка 1'!AX217-'Выборка 1'!AW217))/4000</f>
        <v>0</v>
      </c>
    </row>
    <row r="218" spans="2:9" x14ac:dyDescent="0.25">
      <c r="B218" s="42">
        <f>('Выборка 1'!AL218+'Выборка 1'!AG218)/1000</f>
        <v>0</v>
      </c>
      <c r="C218" s="17">
        <f>(('Выборка 1'!E218-'Выборка 1'!D218)+('Выборка 1'!F218-'Выборка 1'!E218)+('Выборка 1'!G218-'Выборка 1'!F218)+('Выборка 1'!H218-'Выборка 1'!G218))/4000</f>
        <v>0</v>
      </c>
      <c r="H218" s="42">
        <f>('Выборка 1'!AS218+'Выборка 1'!AN218)/1000</f>
        <v>100</v>
      </c>
      <c r="I218" s="17">
        <f>(('Выборка 1'!AU218-'Выборка 1'!AT218)+('Выборка 1'!AV218-'Выборка 1'!AU218)+('Выборка 1'!AW218-'Выборка 1'!AV218)+('Выборка 1'!AX218-'Выборка 1'!AW218))/4000</f>
        <v>0</v>
      </c>
    </row>
    <row r="219" spans="2:9" x14ac:dyDescent="0.25">
      <c r="B219" s="42">
        <f>('Выборка 1'!AL219+'Выборка 1'!AG219)/1000</f>
        <v>2121965</v>
      </c>
      <c r="C219" s="17">
        <f>(('Выборка 1'!E219-'Выборка 1'!D219)+('Выборка 1'!F219-'Выборка 1'!E219)+('Выборка 1'!G219-'Выборка 1'!F219)+('Выборка 1'!H219-'Выборка 1'!G219))/4000</f>
        <v>-19997.5</v>
      </c>
      <c r="H219" s="42">
        <f>('Выборка 1'!AS219+'Выборка 1'!AN219)/1000</f>
        <v>2836444</v>
      </c>
      <c r="I219" s="17">
        <f>(('Выборка 1'!AU219-'Выборка 1'!AT219)+('Выборка 1'!AV219-'Выборка 1'!AU219)+('Выборка 1'!AW219-'Выборка 1'!AV219)+('Выборка 1'!AX219-'Выборка 1'!AW219))/4000</f>
        <v>-4356.75</v>
      </c>
    </row>
    <row r="220" spans="2:9" x14ac:dyDescent="0.25">
      <c r="B220" s="42">
        <f>('Выборка 1'!AL220+'Выборка 1'!AG220)/1000</f>
        <v>326462</v>
      </c>
      <c r="C220" s="17">
        <f>(('Выборка 1'!E220-'Выборка 1'!D220)+('Выборка 1'!F220-'Выборка 1'!E220)+('Выборка 1'!G220-'Выборка 1'!F220)+('Выборка 1'!H220-'Выборка 1'!G220))/4000</f>
        <v>-120093.25</v>
      </c>
      <c r="H220" s="42">
        <f>('Выборка 1'!AS220+'Выборка 1'!AN220)/1000</f>
        <v>64607</v>
      </c>
      <c r="I220" s="17">
        <f>(('Выборка 1'!AU220-'Выборка 1'!AT220)+('Выборка 1'!AV220-'Выборка 1'!AU220)+('Выборка 1'!AW220-'Выборка 1'!AV220)+('Выборка 1'!AX220-'Выборка 1'!AW220))/4000</f>
        <v>0</v>
      </c>
    </row>
    <row r="221" spans="2:9" x14ac:dyDescent="0.25">
      <c r="B221" s="42">
        <f>('Выборка 1'!AL221+'Выборка 1'!AG221)/1000</f>
        <v>857653</v>
      </c>
      <c r="C221" s="17">
        <f>(('Выборка 1'!E221-'Выборка 1'!D221)+('Выборка 1'!F221-'Выборка 1'!E221)+('Выборка 1'!G221-'Выборка 1'!F221)+('Выборка 1'!H221-'Выборка 1'!G221))/4000</f>
        <v>-9110.25</v>
      </c>
      <c r="H221" s="42">
        <f>('Выборка 1'!AS221+'Выборка 1'!AN221)/1000</f>
        <v>3038360</v>
      </c>
      <c r="I221" s="17">
        <f>(('Выборка 1'!AU221-'Выборка 1'!AT221)+('Выборка 1'!AV221-'Выборка 1'!AU221)+('Выборка 1'!AW221-'Выборка 1'!AV221)+('Выборка 1'!AX221-'Выборка 1'!AW221))/4000</f>
        <v>-84508.25</v>
      </c>
    </row>
    <row r="222" spans="2:9" x14ac:dyDescent="0.25">
      <c r="B222" s="42">
        <f>('Выборка 1'!AL222+'Выборка 1'!AG222)/1000</f>
        <v>0</v>
      </c>
      <c r="C222" s="17">
        <f>(('Выборка 1'!E222-'Выборка 1'!D222)+('Выборка 1'!F222-'Выборка 1'!E222)+('Выборка 1'!G222-'Выборка 1'!F222)+('Выборка 1'!H222-'Выборка 1'!G222))/4000</f>
        <v>54256.25</v>
      </c>
      <c r="H222" s="42">
        <f>('Выборка 1'!AS222+'Выборка 1'!AN222)/1000</f>
        <v>2290165</v>
      </c>
      <c r="I222" s="17">
        <f>(('Выборка 1'!AU222-'Выборка 1'!AT222)+('Выборка 1'!AV222-'Выборка 1'!AU222)+('Выборка 1'!AW222-'Выборка 1'!AV222)+('Выборка 1'!AX222-'Выборка 1'!AW222))/4000</f>
        <v>-220874.25</v>
      </c>
    </row>
    <row r="223" spans="2:9" x14ac:dyDescent="0.25">
      <c r="B223" s="42">
        <f>('Выборка 1'!AL223+'Выборка 1'!AG223)/1000</f>
        <v>0</v>
      </c>
      <c r="C223" s="17">
        <f>(('Выборка 1'!E223-'Выборка 1'!D223)+('Выборка 1'!F223-'Выборка 1'!E223)+('Выборка 1'!G223-'Выборка 1'!F223)+('Выборка 1'!H223-'Выборка 1'!G223))/4000</f>
        <v>-3187.25</v>
      </c>
      <c r="H223" s="42">
        <f>('Выборка 1'!AS223+'Выборка 1'!AN223)/1000</f>
        <v>9908</v>
      </c>
      <c r="I223" s="17">
        <f>(('Выборка 1'!AU223-'Выборка 1'!AT223)+('Выборка 1'!AV223-'Выборка 1'!AU223)+('Выборка 1'!AW223-'Выборка 1'!AV223)+('Выборка 1'!AX223-'Выборка 1'!AW223))/4000</f>
        <v>0</v>
      </c>
    </row>
    <row r="224" spans="2:9" x14ac:dyDescent="0.25">
      <c r="B224" s="42">
        <f>('Выборка 1'!AL224+'Выборка 1'!AG224)/1000</f>
        <v>0</v>
      </c>
      <c r="C224" s="17">
        <f>(('Выборка 1'!E224-'Выборка 1'!D224)+('Выборка 1'!F224-'Выборка 1'!E224)+('Выборка 1'!G224-'Выборка 1'!F224)+('Выборка 1'!H224-'Выборка 1'!G224))/4000</f>
        <v>0</v>
      </c>
      <c r="H224" s="42">
        <f>('Выборка 1'!AS224+'Выборка 1'!AN224)/1000</f>
        <v>0</v>
      </c>
      <c r="I224" s="17">
        <f>(('Выборка 1'!AU224-'Выборка 1'!AT224)+('Выборка 1'!AV224-'Выборка 1'!AU224)+('Выборка 1'!AW224-'Выборка 1'!AV224)+('Выборка 1'!AX224-'Выборка 1'!AW224))/4000</f>
        <v>0</v>
      </c>
    </row>
    <row r="225" spans="2:9" x14ac:dyDescent="0.25">
      <c r="B225" s="42">
        <f>('Выборка 1'!AL225+'Выборка 1'!AG225)/1000</f>
        <v>0</v>
      </c>
      <c r="C225" s="17">
        <f>(('Выборка 1'!E225-'Выборка 1'!D225)+('Выборка 1'!F225-'Выборка 1'!E225)+('Выборка 1'!G225-'Выборка 1'!F225)+('Выборка 1'!H225-'Выборка 1'!G225))/4000</f>
        <v>-49582.5</v>
      </c>
      <c r="H225" s="42">
        <f>('Выборка 1'!AS225+'Выборка 1'!AN225)/1000</f>
        <v>8697784</v>
      </c>
      <c r="I225" s="17">
        <f>(('Выборка 1'!AU225-'Выборка 1'!AT225)+('Выборка 1'!AV225-'Выборка 1'!AU225)+('Выборка 1'!AW225-'Выборка 1'!AV225)+('Выборка 1'!AX225-'Выборка 1'!AW225))/4000</f>
        <v>-259997</v>
      </c>
    </row>
    <row r="226" spans="2:9" x14ac:dyDescent="0.25">
      <c r="B226" s="42">
        <f>('Выборка 1'!AL226+'Выборка 1'!AG226)/1000</f>
        <v>1891841</v>
      </c>
      <c r="C226" s="17">
        <f>(('Выборка 1'!E226-'Выборка 1'!D226)+('Выборка 1'!F226-'Выборка 1'!E226)+('Выборка 1'!G226-'Выборка 1'!F226)+('Выборка 1'!H226-'Выборка 1'!G226))/4000</f>
        <v>-14276.5</v>
      </c>
      <c r="H226" s="42">
        <f>('Выборка 1'!AS226+'Выборка 1'!AN226)/1000</f>
        <v>0</v>
      </c>
      <c r="I226" s="17">
        <f>(('Выборка 1'!AU226-'Выборка 1'!AT226)+('Выборка 1'!AV226-'Выборка 1'!AU226)+('Выборка 1'!AW226-'Выборка 1'!AV226)+('Выборка 1'!AX226-'Выборка 1'!AW226))/4000</f>
        <v>0</v>
      </c>
    </row>
    <row r="227" spans="2:9" x14ac:dyDescent="0.25">
      <c r="B227" s="42">
        <f>('Выборка 1'!AL227+'Выборка 1'!AG227)/1000</f>
        <v>304914</v>
      </c>
      <c r="C227" s="17">
        <f>(('Выборка 1'!E227-'Выборка 1'!D227)+('Выборка 1'!F227-'Выборка 1'!E227)+('Выборка 1'!G227-'Выборка 1'!F227)+('Выборка 1'!H227-'Выборка 1'!G227))/4000</f>
        <v>18131</v>
      </c>
      <c r="H227" s="42">
        <f>('Выборка 1'!AS227+'Выборка 1'!AN227)/1000</f>
        <v>0</v>
      </c>
      <c r="I227" s="17">
        <f>(('Выборка 1'!AU227-'Выборка 1'!AT227)+('Выборка 1'!AV227-'Выборка 1'!AU227)+('Выборка 1'!AW227-'Выборка 1'!AV227)+('Выборка 1'!AX227-'Выборка 1'!AW227))/4000</f>
        <v>0</v>
      </c>
    </row>
    <row r="228" spans="2:9" x14ac:dyDescent="0.25">
      <c r="B228" s="42">
        <f>('Выборка 1'!AL228+'Выборка 1'!AG228)/1000</f>
        <v>1870</v>
      </c>
      <c r="C228" s="17">
        <f>(('Выборка 1'!E228-'Выборка 1'!D228)+('Выборка 1'!F228-'Выборка 1'!E228)+('Выборка 1'!G228-'Выборка 1'!F228)+('Выборка 1'!H228-'Выборка 1'!G228))/4000</f>
        <v>-19.5</v>
      </c>
      <c r="H228" s="42">
        <f>('Выборка 1'!AS228+'Выборка 1'!AN228)/1000</f>
        <v>8573</v>
      </c>
      <c r="I228" s="17">
        <f>(('Выборка 1'!AU228-'Выборка 1'!AT228)+('Выборка 1'!AV228-'Выборка 1'!AU228)+('Выборка 1'!AW228-'Выборка 1'!AV228)+('Выборка 1'!AX228-'Выборка 1'!AW228))/4000</f>
        <v>-848.75</v>
      </c>
    </row>
    <row r="229" spans="2:9" x14ac:dyDescent="0.25">
      <c r="B229" s="42">
        <f>('Выборка 1'!AL229+'Выборка 1'!AG229)/1000</f>
        <v>179183</v>
      </c>
      <c r="C229" s="17">
        <f>(('Выборка 1'!E229-'Выборка 1'!D229)+('Выборка 1'!F229-'Выборка 1'!E229)+('Выборка 1'!G229-'Выборка 1'!F229)+('Выборка 1'!H229-'Выборка 1'!G229))/4000</f>
        <v>-5568</v>
      </c>
      <c r="H229" s="42">
        <f>('Выборка 1'!AS229+'Выборка 1'!AN229)/1000</f>
        <v>0</v>
      </c>
      <c r="I229" s="17">
        <f>(('Выборка 1'!AU229-'Выборка 1'!AT229)+('Выборка 1'!AV229-'Выборка 1'!AU229)+('Выборка 1'!AW229-'Выборка 1'!AV229)+('Выборка 1'!AX229-'Выборка 1'!AW229))/4000</f>
        <v>0</v>
      </c>
    </row>
    <row r="230" spans="2:9" x14ac:dyDescent="0.25">
      <c r="B230" s="42">
        <f>('Выборка 1'!AL230+'Выборка 1'!AG230)/1000</f>
        <v>1543922</v>
      </c>
      <c r="C230" s="17">
        <f>(('Выборка 1'!E230-'Выборка 1'!D230)+('Выборка 1'!F230-'Выборка 1'!E230)+('Выборка 1'!G230-'Выборка 1'!F230)+('Выборка 1'!H230-'Выборка 1'!G230))/4000</f>
        <v>0</v>
      </c>
      <c r="H230" s="42">
        <f>('Выборка 1'!AS230+'Выборка 1'!AN230)/1000</f>
        <v>17671</v>
      </c>
      <c r="I230" s="17">
        <f>(('Выборка 1'!AU230-'Выборка 1'!AT230)+('Выборка 1'!AV230-'Выборка 1'!AU230)+('Выборка 1'!AW230-'Выборка 1'!AV230)+('Выборка 1'!AX230-'Выборка 1'!AW230))/4000</f>
        <v>-2607.25</v>
      </c>
    </row>
    <row r="231" spans="2:9" x14ac:dyDescent="0.25">
      <c r="B231" s="42">
        <f>('Выборка 1'!AL231+'Выборка 1'!AG231)/1000</f>
        <v>46659</v>
      </c>
      <c r="C231" s="17">
        <f>(('Выборка 1'!E231-'Выборка 1'!D231)+('Выборка 1'!F231-'Выборка 1'!E231)+('Выборка 1'!G231-'Выборка 1'!F231)+('Выборка 1'!H231-'Выборка 1'!G231))/4000</f>
        <v>-8574.25</v>
      </c>
      <c r="H231" s="42">
        <f>('Выборка 1'!AS231+'Выборка 1'!AN231)/1000</f>
        <v>108873</v>
      </c>
      <c r="I231" s="17">
        <f>(('Выборка 1'!AU231-'Выборка 1'!AT231)+('Выборка 1'!AV231-'Выборка 1'!AU231)+('Выборка 1'!AW231-'Выборка 1'!AV231)+('Выборка 1'!AX231-'Выборка 1'!AW231))/4000</f>
        <v>-3305</v>
      </c>
    </row>
    <row r="232" spans="2:9" x14ac:dyDescent="0.25">
      <c r="B232" s="42">
        <f>('Выборка 1'!AL232+'Выборка 1'!AG232)/1000</f>
        <v>0</v>
      </c>
      <c r="C232" s="17">
        <f>(('Выборка 1'!E232-'Выборка 1'!D232)+('Выборка 1'!F232-'Выборка 1'!E232)+('Выборка 1'!G232-'Выборка 1'!F232)+('Выборка 1'!H232-'Выборка 1'!G232))/4000</f>
        <v>-12016</v>
      </c>
      <c r="H232" s="42">
        <f>('Выборка 1'!AS232+'Выборка 1'!AN232)/1000</f>
        <v>167496</v>
      </c>
      <c r="I232" s="17">
        <f>(('Выборка 1'!AU232-'Выборка 1'!AT232)+('Выборка 1'!AV232-'Выборка 1'!AU232)+('Выборка 1'!AW232-'Выборка 1'!AV232)+('Выборка 1'!AX232-'Выборка 1'!AW232))/4000</f>
        <v>-2025</v>
      </c>
    </row>
    <row r="233" spans="2:9" x14ac:dyDescent="0.25">
      <c r="B233" s="42">
        <f>('Выборка 1'!AL233+'Выборка 1'!AG233)/1000</f>
        <v>0</v>
      </c>
      <c r="C233" s="17">
        <f>(('Выборка 1'!E233-'Выборка 1'!D233)+('Выборка 1'!F233-'Выборка 1'!E233)+('Выборка 1'!G233-'Выборка 1'!F233)+('Выборка 1'!H233-'Выборка 1'!G233))/4000</f>
        <v>-683</v>
      </c>
      <c r="H233" s="42">
        <f>('Выборка 1'!AS233+'Выборка 1'!AN233)/1000</f>
        <v>188779</v>
      </c>
      <c r="I233" s="17">
        <f>(('Выборка 1'!AU233-'Выборка 1'!AT233)+('Выборка 1'!AV233-'Выборка 1'!AU233)+('Выборка 1'!AW233-'Выборка 1'!AV233)+('Выборка 1'!AX233-'Выборка 1'!AW233))/4000</f>
        <v>0</v>
      </c>
    </row>
    <row r="234" spans="2:9" x14ac:dyDescent="0.25">
      <c r="B234" s="42">
        <f>('Выборка 1'!AL234+'Выборка 1'!AG234)/1000</f>
        <v>417000</v>
      </c>
      <c r="C234" s="17">
        <f>(('Выборка 1'!E234-'Выборка 1'!D234)+('Выборка 1'!F234-'Выборка 1'!E234)+('Выборка 1'!G234-'Выборка 1'!F234)+('Выборка 1'!H234-'Выборка 1'!G234))/4000</f>
        <v>-13792</v>
      </c>
      <c r="H234" s="42">
        <f>('Выборка 1'!AS234+'Выборка 1'!AN234)/1000</f>
        <v>1592349</v>
      </c>
      <c r="I234" s="17">
        <f>(('Выборка 1'!AU234-'Выборка 1'!AT234)+('Выборка 1'!AV234-'Выборка 1'!AU234)+('Выборка 1'!AW234-'Выборка 1'!AV234)+('Выборка 1'!AX234-'Выборка 1'!AW234))/4000</f>
        <v>-143357.25</v>
      </c>
    </row>
    <row r="235" spans="2:9" x14ac:dyDescent="0.25">
      <c r="B235" s="42">
        <f>('Выборка 1'!AL235+'Выборка 1'!AG235)/1000</f>
        <v>0</v>
      </c>
      <c r="C235" s="17">
        <f>(('Выборка 1'!E235-'Выборка 1'!D235)+('Выборка 1'!F235-'Выборка 1'!E235)+('Выборка 1'!G235-'Выборка 1'!F235)+('Выборка 1'!H235-'Выборка 1'!G235))/4000</f>
        <v>-2895.75</v>
      </c>
      <c r="H235" s="42">
        <f>('Выборка 1'!AS235+'Выборка 1'!AN235)/1000</f>
        <v>11754</v>
      </c>
      <c r="I235" s="17">
        <f>(('Выборка 1'!AU235-'Выборка 1'!AT235)+('Выборка 1'!AV235-'Выборка 1'!AU235)+('Выборка 1'!AW235-'Выборка 1'!AV235)+('Выборка 1'!AX235-'Выборка 1'!AW235))/4000</f>
        <v>0</v>
      </c>
    </row>
    <row r="236" spans="2:9" x14ac:dyDescent="0.25">
      <c r="B236" s="42">
        <f>('Выборка 1'!AL236+'Выборка 1'!AG236)/1000</f>
        <v>0</v>
      </c>
      <c r="C236" s="17">
        <f>(('Выборка 1'!E236-'Выборка 1'!D236)+('Выборка 1'!F236-'Выборка 1'!E236)+('Выборка 1'!G236-'Выборка 1'!F236)+('Выборка 1'!H236-'Выборка 1'!G236))/4000</f>
        <v>0</v>
      </c>
      <c r="H236" s="42">
        <f>('Выборка 1'!AS236+'Выборка 1'!AN236)/1000</f>
        <v>0</v>
      </c>
      <c r="I236" s="17">
        <f>(('Выборка 1'!AU236-'Выборка 1'!AT236)+('Выборка 1'!AV236-'Выборка 1'!AU236)+('Выборка 1'!AW236-'Выборка 1'!AV236)+('Выборка 1'!AX236-'Выборка 1'!AW236))/4000</f>
        <v>0</v>
      </c>
    </row>
    <row r="237" spans="2:9" x14ac:dyDescent="0.25">
      <c r="B237" s="42">
        <f>('Выборка 1'!AL237+'Выборка 1'!AG237)/1000</f>
        <v>0</v>
      </c>
      <c r="C237" s="17">
        <f>(('Выборка 1'!E237-'Выборка 1'!D237)+('Выборка 1'!F237-'Выборка 1'!E237)+('Выборка 1'!G237-'Выборка 1'!F237)+('Выборка 1'!H237-'Выборка 1'!G237))/4000</f>
        <v>0</v>
      </c>
      <c r="H237" s="42">
        <f>('Выборка 1'!AS237+'Выборка 1'!AN237)/1000</f>
        <v>0</v>
      </c>
      <c r="I237" s="17">
        <f>(('Выборка 1'!AU237-'Выборка 1'!AT237)+('Выборка 1'!AV237-'Выборка 1'!AU237)+('Выборка 1'!AW237-'Выборка 1'!AV237)+('Выборка 1'!AX237-'Выборка 1'!AW237))/4000</f>
        <v>0</v>
      </c>
    </row>
    <row r="238" spans="2:9" x14ac:dyDescent="0.25">
      <c r="B238" s="42">
        <f>('Выборка 1'!AL238+'Выборка 1'!AG238)/1000</f>
        <v>0</v>
      </c>
      <c r="C238" s="17">
        <f>(('Выборка 1'!E238-'Выборка 1'!D238)+('Выборка 1'!F238-'Выборка 1'!E238)+('Выборка 1'!G238-'Выборка 1'!F238)+('Выборка 1'!H238-'Выборка 1'!G238))/4000</f>
        <v>0</v>
      </c>
      <c r="H238" s="42">
        <f>('Выборка 1'!AS238+'Выборка 1'!AN238)/1000</f>
        <v>0</v>
      </c>
      <c r="I238" s="17">
        <f>(('Выборка 1'!AU238-'Выборка 1'!AT238)+('Выборка 1'!AV238-'Выборка 1'!AU238)+('Выборка 1'!AW238-'Выборка 1'!AV238)+('Выборка 1'!AX238-'Выборка 1'!AW238))/4000</f>
        <v>0</v>
      </c>
    </row>
    <row r="239" spans="2:9" x14ac:dyDescent="0.25">
      <c r="B239" s="42">
        <f>('Выборка 1'!AL239+'Выборка 1'!AG239)/1000</f>
        <v>0</v>
      </c>
      <c r="C239" s="17">
        <f>(('Выборка 1'!E239-'Выборка 1'!D239)+('Выборка 1'!F239-'Выборка 1'!E239)+('Выборка 1'!G239-'Выборка 1'!F239)+('Выборка 1'!H239-'Выборка 1'!G239))/4000</f>
        <v>0</v>
      </c>
      <c r="H239" s="42">
        <f>('Выборка 1'!AS239+'Выборка 1'!AN239)/1000</f>
        <v>0</v>
      </c>
      <c r="I239" s="17">
        <f>(('Выборка 1'!AU239-'Выборка 1'!AT239)+('Выборка 1'!AV239-'Выборка 1'!AU239)+('Выборка 1'!AW239-'Выборка 1'!AV239)+('Выборка 1'!AX239-'Выборка 1'!AW239))/4000</f>
        <v>0</v>
      </c>
    </row>
    <row r="240" spans="2:9" x14ac:dyDescent="0.25">
      <c r="B240" s="42">
        <f>('Выборка 1'!AL240+'Выборка 1'!AG240)/1000</f>
        <v>0</v>
      </c>
      <c r="C240" s="17">
        <f>(('Выборка 1'!E240-'Выборка 1'!D240)+('Выборка 1'!F240-'Выборка 1'!E240)+('Выборка 1'!G240-'Выборка 1'!F240)+('Выборка 1'!H240-'Выборка 1'!G240))/4000</f>
        <v>0</v>
      </c>
      <c r="H240" s="42">
        <f>('Выборка 1'!AS240+'Выборка 1'!AN240)/1000</f>
        <v>36394</v>
      </c>
      <c r="I240" s="17">
        <f>(('Выборка 1'!AU240-'Выборка 1'!AT240)+('Выборка 1'!AV240-'Выборка 1'!AU240)+('Выборка 1'!AW240-'Выборка 1'!AV240)+('Выборка 1'!AX240-'Выборка 1'!AW240))/4000</f>
        <v>-1030.25</v>
      </c>
    </row>
    <row r="241" spans="2:9" x14ac:dyDescent="0.25">
      <c r="B241" s="42">
        <f>('Выборка 1'!AL241+'Выборка 1'!AG241)/1000</f>
        <v>0</v>
      </c>
      <c r="C241" s="17">
        <f>(('Выборка 1'!E241-'Выборка 1'!D241)+('Выборка 1'!F241-'Выборка 1'!E241)+('Выборка 1'!G241-'Выборка 1'!F241)+('Выборка 1'!H241-'Выборка 1'!G241))/4000</f>
        <v>0</v>
      </c>
      <c r="H241" s="42">
        <f>('Выборка 1'!AS241+'Выборка 1'!AN241)/1000</f>
        <v>0</v>
      </c>
      <c r="I241" s="17">
        <f>(('Выборка 1'!AU241-'Выборка 1'!AT241)+('Выборка 1'!AV241-'Выборка 1'!AU241)+('Выборка 1'!AW241-'Выборка 1'!AV241)+('Выборка 1'!AX241-'Выборка 1'!AW241))/4000</f>
        <v>0</v>
      </c>
    </row>
    <row r="242" spans="2:9" x14ac:dyDescent="0.25">
      <c r="B242" s="42">
        <f>('Выборка 1'!AL242+'Выборка 1'!AG242)/1000</f>
        <v>0</v>
      </c>
      <c r="C242" s="17">
        <f>(('Выборка 1'!E242-'Выборка 1'!D242)+('Выборка 1'!F242-'Выборка 1'!E242)+('Выборка 1'!G242-'Выборка 1'!F242)+('Выборка 1'!H242-'Выборка 1'!G242))/4000</f>
        <v>0</v>
      </c>
      <c r="H242" s="42">
        <f>('Выборка 1'!AS242+'Выборка 1'!AN242)/1000</f>
        <v>0</v>
      </c>
      <c r="I242" s="17">
        <f>(('Выборка 1'!AU242-'Выборка 1'!AT242)+('Выборка 1'!AV242-'Выборка 1'!AU242)+('Выборка 1'!AW242-'Выборка 1'!AV242)+('Выборка 1'!AX242-'Выборка 1'!AW242))/4000</f>
        <v>0</v>
      </c>
    </row>
    <row r="243" spans="2:9" x14ac:dyDescent="0.25">
      <c r="B243" s="42">
        <f>('Выборка 1'!AL243+'Выборка 1'!AG243)/1000</f>
        <v>0</v>
      </c>
      <c r="C243" s="17">
        <f>(('Выборка 1'!E243-'Выборка 1'!D243)+('Выборка 1'!F243-'Выборка 1'!E243)+('Выборка 1'!G243-'Выборка 1'!F243)+('Выборка 1'!H243-'Выборка 1'!G243))/4000</f>
        <v>0</v>
      </c>
      <c r="H243" s="42">
        <f>('Выборка 1'!AS243+'Выборка 1'!AN243)/1000</f>
        <v>0</v>
      </c>
      <c r="I243" s="17">
        <f>(('Выборка 1'!AU243-'Выборка 1'!AT243)+('Выборка 1'!AV243-'Выборка 1'!AU243)+('Выборка 1'!AW243-'Выборка 1'!AV243)+('Выборка 1'!AX243-'Выборка 1'!AW243))/4000</f>
        <v>0</v>
      </c>
    </row>
    <row r="244" spans="2:9" x14ac:dyDescent="0.25">
      <c r="B244" s="42">
        <f>('Выборка 1'!AL244+'Выборка 1'!AG244)/1000</f>
        <v>0</v>
      </c>
      <c r="C244" s="17">
        <f>(('Выборка 1'!E244-'Выборка 1'!D244)+('Выборка 1'!F244-'Выборка 1'!E244)+('Выборка 1'!G244-'Выборка 1'!F244)+('Выборка 1'!H244-'Выборка 1'!G244))/4000</f>
        <v>0</v>
      </c>
      <c r="H244" s="42">
        <f>('Выборка 1'!AS244+'Выборка 1'!AN244)/1000</f>
        <v>0</v>
      </c>
      <c r="I244" s="17">
        <f>(('Выборка 1'!AU244-'Выборка 1'!AT244)+('Выборка 1'!AV244-'Выборка 1'!AU244)+('Выборка 1'!AW244-'Выборка 1'!AV244)+('Выборка 1'!AX244-'Выборка 1'!AW244))/4000</f>
        <v>0</v>
      </c>
    </row>
    <row r="245" spans="2:9" x14ac:dyDescent="0.25">
      <c r="B245" s="42">
        <f>('Выборка 1'!AL245+'Выборка 1'!AG245)/1000</f>
        <v>0</v>
      </c>
      <c r="C245" s="17">
        <f>(('Выборка 1'!E245-'Выборка 1'!D245)+('Выборка 1'!F245-'Выборка 1'!E245)+('Выборка 1'!G245-'Выборка 1'!F245)+('Выборка 1'!H245-'Выборка 1'!G245))/4000</f>
        <v>0</v>
      </c>
      <c r="H245" s="42">
        <f>('Выборка 1'!AS245+'Выборка 1'!AN245)/1000</f>
        <v>0</v>
      </c>
      <c r="I245" s="17">
        <f>(('Выборка 1'!AU245-'Выборка 1'!AT245)+('Выборка 1'!AV245-'Выборка 1'!AU245)+('Выборка 1'!AW245-'Выборка 1'!AV245)+('Выборка 1'!AX245-'Выборка 1'!AW245))/4000</f>
        <v>0</v>
      </c>
    </row>
    <row r="246" spans="2:9" x14ac:dyDescent="0.25">
      <c r="B246" s="42">
        <f>('Выборка 1'!AL246+'Выборка 1'!AG246)/1000</f>
        <v>0</v>
      </c>
      <c r="C246" s="17">
        <f>(('Выборка 1'!E246-'Выборка 1'!D246)+('Выборка 1'!F246-'Выборка 1'!E246)+('Выборка 1'!G246-'Выборка 1'!F246)+('Выборка 1'!H246-'Выборка 1'!G246))/4000</f>
        <v>0</v>
      </c>
      <c r="H246" s="42">
        <f>('Выборка 1'!AS246+'Выборка 1'!AN246)/1000</f>
        <v>0</v>
      </c>
      <c r="I246" s="17">
        <f>(('Выборка 1'!AU246-'Выборка 1'!AT246)+('Выборка 1'!AV246-'Выборка 1'!AU246)+('Выборка 1'!AW246-'Выборка 1'!AV246)+('Выборка 1'!AX246-'Выборка 1'!AW246))/4000</f>
        <v>0</v>
      </c>
    </row>
    <row r="247" spans="2:9" x14ac:dyDescent="0.25">
      <c r="B247" s="42">
        <f>('Выборка 1'!AL247+'Выборка 1'!AG247)/1000</f>
        <v>0</v>
      </c>
      <c r="C247" s="17">
        <f>(('Выборка 1'!E247-'Выборка 1'!D247)+('Выборка 1'!F247-'Выборка 1'!E247)+('Выборка 1'!G247-'Выборка 1'!F247)+('Выборка 1'!H247-'Выборка 1'!G247))/4000</f>
        <v>0</v>
      </c>
      <c r="H247" s="42">
        <f>('Выборка 1'!AS247+'Выборка 1'!AN247)/1000</f>
        <v>0</v>
      </c>
      <c r="I247" s="17">
        <f>(('Выборка 1'!AU247-'Выборка 1'!AT247)+('Выборка 1'!AV247-'Выборка 1'!AU247)+('Выборка 1'!AW247-'Выборка 1'!AV247)+('Выборка 1'!AX247-'Выборка 1'!AW247))/4000</f>
        <v>0</v>
      </c>
    </row>
    <row r="248" spans="2:9" x14ac:dyDescent="0.25">
      <c r="B248" s="42">
        <f>('Выборка 1'!AL248+'Выборка 1'!AG248)/1000</f>
        <v>0</v>
      </c>
      <c r="C248" s="17">
        <f>(('Выборка 1'!E248-'Выборка 1'!D248)+('Выборка 1'!F248-'Выборка 1'!E248)+('Выборка 1'!G248-'Выборка 1'!F248)+('Выборка 1'!H248-'Выборка 1'!G248))/4000</f>
        <v>0</v>
      </c>
      <c r="H248" s="42">
        <f>('Выборка 1'!AS248+'Выборка 1'!AN248)/1000</f>
        <v>0</v>
      </c>
      <c r="I248" s="17">
        <f>(('Выборка 1'!AU248-'Выборка 1'!AT248)+('Выборка 1'!AV248-'Выборка 1'!AU248)+('Выборка 1'!AW248-'Выборка 1'!AV248)+('Выборка 1'!AX248-'Выборка 1'!AW248))/4000</f>
        <v>0</v>
      </c>
    </row>
    <row r="249" spans="2:9" x14ac:dyDescent="0.25">
      <c r="B249" s="42">
        <f>('Выборка 1'!AL249+'Выборка 1'!AG249)/1000</f>
        <v>107694</v>
      </c>
      <c r="C249" s="17">
        <f>(('Выборка 1'!E249-'Выборка 1'!D249)+('Выборка 1'!F249-'Выборка 1'!E249)+('Выборка 1'!G249-'Выборка 1'!F249)+('Выборка 1'!H249-'Выборка 1'!G249))/4000</f>
        <v>-837.75</v>
      </c>
      <c r="H249" s="42">
        <f>('Выборка 1'!AS249+'Выборка 1'!AN249)/1000</f>
        <v>44151</v>
      </c>
      <c r="I249" s="17">
        <f>(('Выборка 1'!AU249-'Выборка 1'!AT249)+('Выборка 1'!AV249-'Выборка 1'!AU249)+('Выборка 1'!AW249-'Выборка 1'!AV249)+('Выборка 1'!AX249-'Выборка 1'!AW249))/4000</f>
        <v>-3436.25</v>
      </c>
    </row>
    <row r="250" spans="2:9" x14ac:dyDescent="0.25">
      <c r="B250" s="42">
        <f>('Выборка 1'!AL250+'Выборка 1'!AG250)/1000</f>
        <v>17444</v>
      </c>
      <c r="C250" s="17">
        <f>(('Выборка 1'!E250-'Выборка 1'!D250)+('Выборка 1'!F250-'Выборка 1'!E250)+('Выборка 1'!G250-'Выборка 1'!F250)+('Выборка 1'!H250-'Выборка 1'!G250))/4000</f>
        <v>-724.5</v>
      </c>
      <c r="H250" s="42">
        <f>('Выборка 1'!AS250+'Выборка 1'!AN250)/1000</f>
        <v>593</v>
      </c>
      <c r="I250" s="17">
        <f>(('Выборка 1'!AU250-'Выборка 1'!AT250)+('Выборка 1'!AV250-'Выборка 1'!AU250)+('Выборка 1'!AW250-'Выборка 1'!AV250)+('Выборка 1'!AX250-'Выборка 1'!AW250))/4000</f>
        <v>-501.75</v>
      </c>
    </row>
    <row r="251" spans="2:9" x14ac:dyDescent="0.25">
      <c r="B251" s="42">
        <f>('Выборка 1'!AL251+'Выборка 1'!AG251)/1000</f>
        <v>22416</v>
      </c>
      <c r="C251" s="17">
        <f>(('Выборка 1'!E251-'Выборка 1'!D251)+('Выборка 1'!F251-'Выборка 1'!E251)+('Выборка 1'!G251-'Выборка 1'!F251)+('Выборка 1'!H251-'Выборка 1'!G251))/4000</f>
        <v>-2809.25</v>
      </c>
      <c r="H251" s="42">
        <f>('Выборка 1'!AS251+'Выборка 1'!AN251)/1000</f>
        <v>13400</v>
      </c>
      <c r="I251" s="17">
        <f>(('Выборка 1'!AU251-'Выборка 1'!AT251)+('Выборка 1'!AV251-'Выборка 1'!AU251)+('Выборка 1'!AW251-'Выборка 1'!AV251)+('Выборка 1'!AX251-'Выборка 1'!AW251))/4000</f>
        <v>-14.5</v>
      </c>
    </row>
    <row r="252" spans="2:9" x14ac:dyDescent="0.25">
      <c r="B252" s="42">
        <f>('Выборка 1'!AL252+'Выборка 1'!AG252)/1000</f>
        <v>0</v>
      </c>
      <c r="C252" s="17">
        <f>(('Выборка 1'!E252-'Выборка 1'!D252)+('Выборка 1'!F252-'Выборка 1'!E252)+('Выборка 1'!G252-'Выборка 1'!F252)+('Выборка 1'!H252-'Выборка 1'!G252))/4000</f>
        <v>10425</v>
      </c>
      <c r="H252" s="42">
        <f>('Выборка 1'!AS252+'Выборка 1'!AN252)/1000</f>
        <v>0</v>
      </c>
      <c r="I252" s="17">
        <f>(('Выборка 1'!AU252-'Выборка 1'!AT252)+('Выборка 1'!AV252-'Выборка 1'!AU252)+('Выборка 1'!AW252-'Выборка 1'!AV252)+('Выборка 1'!AX252-'Выборка 1'!AW252))/4000</f>
        <v>0</v>
      </c>
    </row>
    <row r="253" spans="2:9" x14ac:dyDescent="0.25">
      <c r="B253" s="42">
        <f>('Выборка 1'!AL253+'Выборка 1'!AG253)/1000</f>
        <v>520712</v>
      </c>
      <c r="C253" s="17">
        <f>(('Выборка 1'!E253-'Выборка 1'!D253)+('Выборка 1'!F253-'Выборка 1'!E253)+('Выборка 1'!G253-'Выборка 1'!F253)+('Выборка 1'!H253-'Выборка 1'!G253))/4000</f>
        <v>-1899.75</v>
      </c>
      <c r="H253" s="42">
        <f>('Выборка 1'!AS253+'Выборка 1'!AN253)/1000</f>
        <v>698650</v>
      </c>
      <c r="I253" s="17">
        <f>(('Выборка 1'!AU253-'Выборка 1'!AT253)+('Выборка 1'!AV253-'Выборка 1'!AU253)+('Выборка 1'!AW253-'Выборка 1'!AV253)+('Выборка 1'!AX253-'Выборка 1'!AW253))/4000</f>
        <v>-35815.5</v>
      </c>
    </row>
    <row r="255" spans="2:9" ht="30" x14ac:dyDescent="0.25">
      <c r="B255" s="43" t="s">
        <v>848</v>
      </c>
    </row>
  </sheetData>
  <pageMargins left="0.75" right="0.75" top="0.75" bottom="0.5" header="0.5" footer="0.75"/>
  <pageSetup paperSize="9"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277"/>
  <sheetViews>
    <sheetView tabSelected="1" workbookViewId="0">
      <selection activeCell="B19" sqref="B19"/>
    </sheetView>
  </sheetViews>
  <sheetFormatPr defaultRowHeight="15" x14ac:dyDescent="0.25"/>
  <cols>
    <col min="1" max="1" width="53.5703125" customWidth="1"/>
    <col min="2" max="2" width="44.85546875" customWidth="1"/>
    <col min="3" max="3" width="22.28515625" customWidth="1"/>
    <col min="4" max="4" width="16.42578125" customWidth="1"/>
    <col min="5" max="5" width="13.7109375" customWidth="1"/>
  </cols>
  <sheetData>
    <row r="1" spans="1:9" x14ac:dyDescent="0.25">
      <c r="A1" t="s">
        <v>855</v>
      </c>
    </row>
    <row r="2" spans="1:9" ht="15.75" thickBot="1" x14ac:dyDescent="0.3"/>
    <row r="3" spans="1:9" x14ac:dyDescent="0.25">
      <c r="A3" s="48" t="s">
        <v>856</v>
      </c>
      <c r="B3" s="48"/>
    </row>
    <row r="4" spans="1:9" x14ac:dyDescent="0.25">
      <c r="A4" s="23" t="s">
        <v>857</v>
      </c>
      <c r="B4" s="23">
        <v>0.90749038860553</v>
      </c>
    </row>
    <row r="5" spans="1:9" x14ac:dyDescent="0.25">
      <c r="A5" s="23" t="s">
        <v>858</v>
      </c>
      <c r="B5" s="23">
        <v>0.82353880541141589</v>
      </c>
    </row>
    <row r="6" spans="1:9" x14ac:dyDescent="0.25">
      <c r="A6" s="23" t="s">
        <v>859</v>
      </c>
      <c r="B6" s="23">
        <v>0.82212144641873652</v>
      </c>
    </row>
    <row r="7" spans="1:9" x14ac:dyDescent="0.25">
      <c r="A7" s="23" t="s">
        <v>834</v>
      </c>
      <c r="B7" s="23">
        <v>1614172.0563751492</v>
      </c>
    </row>
    <row r="8" spans="1:9" ht="15.75" thickBot="1" x14ac:dyDescent="0.3">
      <c r="A8" s="24" t="s">
        <v>860</v>
      </c>
      <c r="B8" s="24">
        <v>252</v>
      </c>
    </row>
    <row r="10" spans="1:9" ht="15.75" thickBot="1" x14ac:dyDescent="0.3">
      <c r="A10" t="s">
        <v>861</v>
      </c>
    </row>
    <row r="11" spans="1:9" x14ac:dyDescent="0.25">
      <c r="A11" s="25"/>
      <c r="B11" s="25" t="s">
        <v>866</v>
      </c>
      <c r="C11" s="25" t="s">
        <v>867</v>
      </c>
      <c r="D11" s="25" t="s">
        <v>868</v>
      </c>
      <c r="E11" s="25" t="s">
        <v>869</v>
      </c>
      <c r="F11" s="25" t="s">
        <v>870</v>
      </c>
    </row>
    <row r="12" spans="1:9" x14ac:dyDescent="0.25">
      <c r="A12" s="23" t="s">
        <v>862</v>
      </c>
      <c r="B12" s="23">
        <v>2</v>
      </c>
      <c r="C12" s="23">
        <v>3027846468244166</v>
      </c>
      <c r="D12" s="23">
        <v>1513923234122083</v>
      </c>
      <c r="E12" s="23">
        <v>581.03755623308211</v>
      </c>
      <c r="F12" s="23">
        <v>1.6137165769028267E-94</v>
      </c>
    </row>
    <row r="13" spans="1:9" x14ac:dyDescent="0.25">
      <c r="A13" s="23" t="s">
        <v>863</v>
      </c>
      <c r="B13" s="23">
        <v>249</v>
      </c>
      <c r="C13" s="23">
        <v>648782305468012</v>
      </c>
      <c r="D13" s="23">
        <v>2605551427582.3774</v>
      </c>
      <c r="E13" s="23"/>
      <c r="F13" s="23"/>
    </row>
    <row r="14" spans="1:9" ht="15.75" thickBot="1" x14ac:dyDescent="0.3">
      <c r="A14" s="24" t="s">
        <v>864</v>
      </c>
      <c r="B14" s="24">
        <v>251</v>
      </c>
      <c r="C14" s="24">
        <v>3676628773712178</v>
      </c>
      <c r="D14" s="24"/>
      <c r="E14" s="24"/>
      <c r="F14" s="24"/>
    </row>
    <row r="15" spans="1:9" ht="15.75" thickBot="1" x14ac:dyDescent="0.3"/>
    <row r="16" spans="1:9" x14ac:dyDescent="0.25">
      <c r="A16" s="25"/>
      <c r="B16" s="25" t="s">
        <v>871</v>
      </c>
      <c r="C16" s="25" t="s">
        <v>834</v>
      </c>
      <c r="D16" s="25" t="s">
        <v>872</v>
      </c>
      <c r="E16" s="25" t="s">
        <v>873</v>
      </c>
      <c r="F16" s="25" t="s">
        <v>874</v>
      </c>
      <c r="G16" s="25" t="s">
        <v>875</v>
      </c>
      <c r="H16" s="25" t="s">
        <v>876</v>
      </c>
      <c r="I16" s="25" t="s">
        <v>877</v>
      </c>
    </row>
    <row r="17" spans="1:9" x14ac:dyDescent="0.25">
      <c r="A17" s="23" t="s">
        <v>865</v>
      </c>
      <c r="B17" s="23">
        <v>181851.13082721108</v>
      </c>
      <c r="C17" s="23">
        <v>103224.90128286702</v>
      </c>
      <c r="D17" s="23">
        <v>1.7616982779076216</v>
      </c>
      <c r="E17" s="23">
        <v>7.9347442419259687E-2</v>
      </c>
      <c r="F17" s="23">
        <v>-21454.112134689058</v>
      </c>
      <c r="G17" s="23">
        <v>385156.37378911121</v>
      </c>
      <c r="H17" s="23">
        <v>-21454.112134689058</v>
      </c>
      <c r="I17" s="23">
        <v>385156.37378911121</v>
      </c>
    </row>
    <row r="18" spans="1:9" x14ac:dyDescent="0.25">
      <c r="A18" s="23" t="s">
        <v>820</v>
      </c>
      <c r="B18" s="23">
        <v>-3.4778814123416599</v>
      </c>
      <c r="C18" s="23">
        <v>1.7059484527690043</v>
      </c>
      <c r="D18" s="23">
        <v>-2.0386790742103309</v>
      </c>
      <c r="E18" s="23">
        <v>4.2538473057340702E-2</v>
      </c>
      <c r="F18" s="23">
        <v>-6.8378096889526212</v>
      </c>
      <c r="G18" s="23">
        <v>-0.11795313573069865</v>
      </c>
      <c r="H18" s="23">
        <v>-6.8378096889526212</v>
      </c>
      <c r="I18" s="23">
        <v>-0.11795313573069865</v>
      </c>
    </row>
    <row r="19" spans="1:9" ht="15.75" thickBot="1" x14ac:dyDescent="0.3">
      <c r="A19" s="24" t="s">
        <v>827</v>
      </c>
      <c r="B19" s="24">
        <v>-2.0241947725667395</v>
      </c>
      <c r="C19" s="24">
        <v>6.0971856307434839E-2</v>
      </c>
      <c r="D19" s="24">
        <v>-33.198837876286071</v>
      </c>
      <c r="E19" s="24">
        <v>1.9996611434447497E-93</v>
      </c>
      <c r="F19" s="24">
        <v>-2.1442810880426211</v>
      </c>
      <c r="G19" s="24">
        <v>-1.904108457090858</v>
      </c>
      <c r="H19" s="24">
        <v>-2.1442810880426211</v>
      </c>
      <c r="I19" s="24">
        <v>-1.904108457090858</v>
      </c>
    </row>
    <row r="23" spans="1:9" x14ac:dyDescent="0.25">
      <c r="A23" t="s">
        <v>878</v>
      </c>
    </row>
    <row r="24" spans="1:9" ht="15.75" thickBot="1" x14ac:dyDescent="0.3"/>
    <row r="25" spans="1:9" ht="30" x14ac:dyDescent="0.25">
      <c r="A25" s="25" t="s">
        <v>879</v>
      </c>
      <c r="B25" s="57" t="s">
        <v>880</v>
      </c>
      <c r="C25" s="25" t="s">
        <v>881</v>
      </c>
    </row>
    <row r="26" spans="1:9" x14ac:dyDescent="0.25">
      <c r="A26" s="23">
        <v>1</v>
      </c>
      <c r="B26" s="23">
        <v>187398.43660143024</v>
      </c>
      <c r="C26" s="23">
        <v>-187340.43660143024</v>
      </c>
    </row>
    <row r="27" spans="1:9" x14ac:dyDescent="0.25">
      <c r="A27" s="23">
        <v>2</v>
      </c>
      <c r="B27" s="23">
        <v>239631.44706827716</v>
      </c>
      <c r="C27" s="23">
        <v>-223331.44706827716</v>
      </c>
    </row>
    <row r="28" spans="1:9" x14ac:dyDescent="0.25">
      <c r="A28" s="23">
        <v>3</v>
      </c>
      <c r="B28" s="23">
        <v>181851.13082721108</v>
      </c>
      <c r="C28" s="23">
        <v>-181851.13082721108</v>
      </c>
    </row>
    <row r="29" spans="1:9" x14ac:dyDescent="0.25">
      <c r="A29" s="23">
        <v>4</v>
      </c>
      <c r="B29" s="23">
        <v>240551.76713426024</v>
      </c>
      <c r="C29" s="23">
        <v>-197995.76713426024</v>
      </c>
    </row>
    <row r="30" spans="1:9" x14ac:dyDescent="0.25">
      <c r="A30" s="23">
        <v>5</v>
      </c>
      <c r="B30" s="23">
        <v>195270.02402324913</v>
      </c>
      <c r="C30" s="23">
        <v>-195270.02402324913</v>
      </c>
    </row>
    <row r="31" spans="1:9" x14ac:dyDescent="0.25">
      <c r="A31" s="23">
        <v>6</v>
      </c>
      <c r="B31" s="23">
        <v>189743.86315958519</v>
      </c>
      <c r="C31" s="23">
        <v>-161642.86315958519</v>
      </c>
    </row>
    <row r="32" spans="1:9" x14ac:dyDescent="0.25">
      <c r="A32" s="23">
        <v>7</v>
      </c>
      <c r="B32" s="23">
        <v>181851.13082721108</v>
      </c>
      <c r="C32" s="23">
        <v>-132087.13082721108</v>
      </c>
    </row>
    <row r="33" spans="1:3" x14ac:dyDescent="0.25">
      <c r="A33" s="23">
        <v>8</v>
      </c>
      <c r="B33" s="23">
        <v>181907.30223214981</v>
      </c>
      <c r="C33" s="23">
        <v>-133158.30223214981</v>
      </c>
    </row>
    <row r="34" spans="1:3" x14ac:dyDescent="0.25">
      <c r="A34" s="23">
        <v>9</v>
      </c>
      <c r="B34" s="23">
        <v>188356.38677754742</v>
      </c>
      <c r="C34" s="23">
        <v>-173708.38677754742</v>
      </c>
    </row>
    <row r="35" spans="1:3" x14ac:dyDescent="0.25">
      <c r="A35" s="23">
        <v>10</v>
      </c>
      <c r="B35" s="23">
        <v>184284.21294383629</v>
      </c>
      <c r="C35" s="23">
        <v>-171156.21294383629</v>
      </c>
    </row>
    <row r="36" spans="1:3" x14ac:dyDescent="0.25">
      <c r="A36" s="23">
        <v>11</v>
      </c>
      <c r="B36" s="23">
        <v>193700.76702581678</v>
      </c>
      <c r="C36" s="23">
        <v>-174419.76702581678</v>
      </c>
    </row>
    <row r="37" spans="1:3" x14ac:dyDescent="0.25">
      <c r="A37" s="23">
        <v>12</v>
      </c>
      <c r="B37" s="23">
        <v>181851.13082721108</v>
      </c>
      <c r="C37" s="23">
        <v>-181851.13082721108</v>
      </c>
    </row>
    <row r="38" spans="1:3" x14ac:dyDescent="0.25">
      <c r="A38" s="23">
        <v>13</v>
      </c>
      <c r="B38" s="23">
        <v>185798.31063371623</v>
      </c>
      <c r="C38" s="23">
        <v>-160409.31063371623</v>
      </c>
    </row>
    <row r="39" spans="1:3" x14ac:dyDescent="0.25">
      <c r="A39" s="23">
        <v>14</v>
      </c>
      <c r="B39" s="23">
        <v>206746.70233500941</v>
      </c>
      <c r="C39" s="23">
        <v>-206746.70233500941</v>
      </c>
    </row>
    <row r="40" spans="1:3" x14ac:dyDescent="0.25">
      <c r="A40" s="23">
        <v>15</v>
      </c>
      <c r="B40" s="23">
        <v>192747.87733663098</v>
      </c>
      <c r="C40" s="23">
        <v>-80276.877336630976</v>
      </c>
    </row>
    <row r="41" spans="1:3" x14ac:dyDescent="0.25">
      <c r="A41" s="23">
        <v>16</v>
      </c>
      <c r="B41" s="23">
        <v>181851.13082721108</v>
      </c>
      <c r="C41" s="23">
        <v>10943.869172788924</v>
      </c>
    </row>
    <row r="42" spans="1:3" x14ac:dyDescent="0.25">
      <c r="A42" s="23">
        <v>17</v>
      </c>
      <c r="B42" s="23">
        <v>181851.13082721108</v>
      </c>
      <c r="C42" s="23">
        <v>-147352.13082721108</v>
      </c>
    </row>
    <row r="43" spans="1:3" x14ac:dyDescent="0.25">
      <c r="A43" s="23">
        <v>18</v>
      </c>
      <c r="B43" s="23">
        <v>181851.13082721108</v>
      </c>
      <c r="C43" s="23">
        <v>-181851.13082721108</v>
      </c>
    </row>
    <row r="44" spans="1:3" x14ac:dyDescent="0.25">
      <c r="A44" s="23">
        <v>19</v>
      </c>
      <c r="B44" s="23">
        <v>199378.12731417333</v>
      </c>
      <c r="C44" s="23">
        <v>-181277.12731417333</v>
      </c>
    </row>
    <row r="45" spans="1:3" x14ac:dyDescent="0.25">
      <c r="A45" s="23">
        <v>20</v>
      </c>
      <c r="B45" s="23">
        <v>181851.13082721108</v>
      </c>
      <c r="C45" s="23">
        <v>32018.869172788924</v>
      </c>
    </row>
    <row r="46" spans="1:3" x14ac:dyDescent="0.25">
      <c r="A46" s="23">
        <v>21</v>
      </c>
      <c r="B46" s="23">
        <v>181851.13082721108</v>
      </c>
      <c r="C46" s="23">
        <v>-181851.13082721108</v>
      </c>
    </row>
    <row r="47" spans="1:3" x14ac:dyDescent="0.25">
      <c r="A47" s="23">
        <v>22</v>
      </c>
      <c r="B47" s="23">
        <v>181851.13082721108</v>
      </c>
      <c r="C47" s="23">
        <v>-181851.13082721108</v>
      </c>
    </row>
    <row r="48" spans="1:3" x14ac:dyDescent="0.25">
      <c r="A48" s="23">
        <v>23</v>
      </c>
      <c r="B48" s="23">
        <v>181851.13082721108</v>
      </c>
      <c r="C48" s="23">
        <v>-118069.13082721108</v>
      </c>
    </row>
    <row r="49" spans="1:3" x14ac:dyDescent="0.25">
      <c r="A49" s="23">
        <v>24</v>
      </c>
      <c r="B49" s="23">
        <v>181902.24174521837</v>
      </c>
      <c r="C49" s="23">
        <v>-78375.241745218373</v>
      </c>
    </row>
    <row r="50" spans="1:3" x14ac:dyDescent="0.25">
      <c r="A50" s="23">
        <v>25</v>
      </c>
      <c r="B50" s="23">
        <v>236600.53893820997</v>
      </c>
      <c r="C50" s="23">
        <v>-236600.53893820997</v>
      </c>
    </row>
    <row r="51" spans="1:3" x14ac:dyDescent="0.25">
      <c r="A51" s="23">
        <v>26</v>
      </c>
      <c r="B51" s="23">
        <v>455191.98840628355</v>
      </c>
      <c r="C51" s="23">
        <v>-246007.98840628355</v>
      </c>
    </row>
    <row r="52" spans="1:3" x14ac:dyDescent="0.25">
      <c r="A52" s="23">
        <v>27</v>
      </c>
      <c r="B52" s="23">
        <v>181851.13082721108</v>
      </c>
      <c r="C52" s="23">
        <v>135712.86917278892</v>
      </c>
    </row>
    <row r="53" spans="1:3" x14ac:dyDescent="0.25">
      <c r="A53" s="23">
        <v>28</v>
      </c>
      <c r="B53" s="23">
        <v>181851.13082721108</v>
      </c>
      <c r="C53" s="23">
        <v>-181851.13082721108</v>
      </c>
    </row>
    <row r="54" spans="1:3" x14ac:dyDescent="0.25">
      <c r="A54" s="23">
        <v>29</v>
      </c>
      <c r="B54" s="23">
        <v>84229.111113710023</v>
      </c>
      <c r="C54" s="23">
        <v>-72635.111113710023</v>
      </c>
    </row>
    <row r="55" spans="1:3" x14ac:dyDescent="0.25">
      <c r="A55" s="23">
        <v>30</v>
      </c>
      <c r="B55" s="23">
        <v>181851.13082721108</v>
      </c>
      <c r="C55" s="23">
        <v>-166968.13082721108</v>
      </c>
    </row>
    <row r="56" spans="1:3" x14ac:dyDescent="0.25">
      <c r="A56" s="23">
        <v>31</v>
      </c>
      <c r="B56" s="23">
        <v>52421090.746537015</v>
      </c>
      <c r="C56" s="23">
        <v>3123250.2534629852</v>
      </c>
    </row>
    <row r="57" spans="1:3" x14ac:dyDescent="0.25">
      <c r="A57" s="23">
        <v>32</v>
      </c>
      <c r="B57" s="23">
        <v>102333.8911967543</v>
      </c>
      <c r="C57" s="23">
        <v>337383.1088032457</v>
      </c>
    </row>
    <row r="58" spans="1:3" x14ac:dyDescent="0.25">
      <c r="A58" s="23">
        <v>33</v>
      </c>
      <c r="B58" s="23">
        <v>170021.76271177881</v>
      </c>
      <c r="C58" s="23">
        <v>-153282.76271177881</v>
      </c>
    </row>
    <row r="59" spans="1:3" x14ac:dyDescent="0.25">
      <c r="A59" s="23">
        <v>34</v>
      </c>
      <c r="B59" s="23">
        <v>181851.13082721108</v>
      </c>
      <c r="C59" s="23">
        <v>-167592.13082721108</v>
      </c>
    </row>
    <row r="60" spans="1:3" x14ac:dyDescent="0.25">
      <c r="A60" s="23">
        <v>35</v>
      </c>
      <c r="B60" s="23">
        <v>181169.72361622597</v>
      </c>
      <c r="C60" s="23">
        <v>-30413.723616225965</v>
      </c>
    </row>
    <row r="61" spans="1:3" x14ac:dyDescent="0.25">
      <c r="A61" s="23">
        <v>36</v>
      </c>
      <c r="B61" s="23">
        <v>257280.2187834449</v>
      </c>
      <c r="C61" s="23">
        <v>-232384.2187834449</v>
      </c>
    </row>
    <row r="62" spans="1:3" x14ac:dyDescent="0.25">
      <c r="A62" s="23">
        <v>37</v>
      </c>
      <c r="B62" s="23">
        <v>328203.04693582573</v>
      </c>
      <c r="C62" s="23">
        <v>-95148.046935825725</v>
      </c>
    </row>
    <row r="63" spans="1:3" x14ac:dyDescent="0.25">
      <c r="A63" s="23">
        <v>38</v>
      </c>
      <c r="B63" s="23">
        <v>1187109.6688584252</v>
      </c>
      <c r="C63" s="23">
        <v>-1187109.6688584252</v>
      </c>
    </row>
    <row r="64" spans="1:3" x14ac:dyDescent="0.25">
      <c r="A64" s="23">
        <v>39</v>
      </c>
      <c r="B64" s="23">
        <v>4072957.1746414257</v>
      </c>
      <c r="C64" s="23">
        <v>14006261.825358573</v>
      </c>
    </row>
    <row r="65" spans="1:3" x14ac:dyDescent="0.25">
      <c r="A65" s="23">
        <v>40</v>
      </c>
      <c r="B65" s="23">
        <v>215810.04063320463</v>
      </c>
      <c r="C65" s="23">
        <v>-215810.04063320463</v>
      </c>
    </row>
    <row r="66" spans="1:3" x14ac:dyDescent="0.25">
      <c r="A66" s="23">
        <v>41</v>
      </c>
      <c r="B66" s="23">
        <v>1096815.0709299452</v>
      </c>
      <c r="C66" s="23">
        <v>1739514.9290700548</v>
      </c>
    </row>
    <row r="67" spans="1:3" x14ac:dyDescent="0.25">
      <c r="A67" s="23">
        <v>42</v>
      </c>
      <c r="B67" s="23">
        <v>6237940.9075752134</v>
      </c>
      <c r="C67" s="23">
        <v>-1469051.9075752134</v>
      </c>
    </row>
    <row r="68" spans="1:3" x14ac:dyDescent="0.25">
      <c r="A68" s="23">
        <v>43</v>
      </c>
      <c r="B68" s="23">
        <v>222067.30318489595</v>
      </c>
      <c r="C68" s="23">
        <v>-222067.30318489595</v>
      </c>
    </row>
    <row r="69" spans="1:3" x14ac:dyDescent="0.25">
      <c r="A69" s="23">
        <v>44</v>
      </c>
      <c r="B69" s="23">
        <v>10517515.129503049</v>
      </c>
      <c r="C69" s="23">
        <v>-5939159.129503049</v>
      </c>
    </row>
    <row r="70" spans="1:3" x14ac:dyDescent="0.25">
      <c r="A70" s="23">
        <v>45</v>
      </c>
      <c r="B70" s="23">
        <v>274066.28700509714</v>
      </c>
      <c r="C70" s="23">
        <v>-274066.28700509714</v>
      </c>
    </row>
    <row r="71" spans="1:3" x14ac:dyDescent="0.25">
      <c r="A71" s="23">
        <v>46</v>
      </c>
      <c r="B71" s="23">
        <v>228979.46937198756</v>
      </c>
      <c r="C71" s="23">
        <v>2105106.5306280125</v>
      </c>
    </row>
    <row r="72" spans="1:3" x14ac:dyDescent="0.25">
      <c r="A72" s="23">
        <v>47</v>
      </c>
      <c r="B72" s="23">
        <v>229161.62114964775</v>
      </c>
      <c r="C72" s="23">
        <v>-229161.62114964775</v>
      </c>
    </row>
    <row r="73" spans="1:3" x14ac:dyDescent="0.25">
      <c r="A73" s="23">
        <v>48</v>
      </c>
      <c r="B73" s="23">
        <v>181851.13082721108</v>
      </c>
      <c r="C73" s="23">
        <v>-181851.13082721108</v>
      </c>
    </row>
    <row r="74" spans="1:3" x14ac:dyDescent="0.25">
      <c r="A74" s="23">
        <v>49</v>
      </c>
      <c r="B74" s="23">
        <v>231744.85758087254</v>
      </c>
      <c r="C74" s="23">
        <v>-219560.85758087254</v>
      </c>
    </row>
    <row r="75" spans="1:3" x14ac:dyDescent="0.25">
      <c r="A75" s="23">
        <v>50</v>
      </c>
      <c r="B75" s="23">
        <v>423428.57134881773</v>
      </c>
      <c r="C75" s="23">
        <v>5231621.428651182</v>
      </c>
    </row>
    <row r="76" spans="1:3" x14ac:dyDescent="0.25">
      <c r="A76" s="23">
        <v>51</v>
      </c>
      <c r="B76" s="23">
        <v>12242670.782884268</v>
      </c>
      <c r="C76" s="23">
        <v>-12242670.782884268</v>
      </c>
    </row>
    <row r="77" spans="1:3" x14ac:dyDescent="0.25">
      <c r="A77" s="23">
        <v>52</v>
      </c>
      <c r="B77" s="23">
        <v>228935.47372134079</v>
      </c>
      <c r="C77" s="23">
        <v>-41678.473721340793</v>
      </c>
    </row>
    <row r="78" spans="1:3" x14ac:dyDescent="0.25">
      <c r="A78" s="23">
        <v>53</v>
      </c>
      <c r="B78" s="23">
        <v>184398.57994848632</v>
      </c>
      <c r="C78" s="23">
        <v>-184398.57994848632</v>
      </c>
    </row>
    <row r="79" spans="1:3" x14ac:dyDescent="0.25">
      <c r="A79" s="23">
        <v>54</v>
      </c>
      <c r="B79" s="23">
        <v>255040.1002991182</v>
      </c>
      <c r="C79" s="23">
        <v>-255040.1002991182</v>
      </c>
    </row>
    <row r="80" spans="1:3" x14ac:dyDescent="0.25">
      <c r="A80" s="23">
        <v>55</v>
      </c>
      <c r="B80" s="23">
        <v>181942.21959197658</v>
      </c>
      <c r="C80" s="23">
        <v>-181942.21959197658</v>
      </c>
    </row>
    <row r="81" spans="1:3" x14ac:dyDescent="0.25">
      <c r="A81" s="23">
        <v>56</v>
      </c>
      <c r="B81" s="23">
        <v>214896.52931051992</v>
      </c>
      <c r="C81" s="23">
        <v>-214896.52931051992</v>
      </c>
    </row>
    <row r="82" spans="1:3" x14ac:dyDescent="0.25">
      <c r="A82" s="23">
        <v>57</v>
      </c>
      <c r="B82" s="23">
        <v>428539.46041936218</v>
      </c>
      <c r="C82" s="23">
        <v>-337617.46041936218</v>
      </c>
    </row>
    <row r="83" spans="1:3" x14ac:dyDescent="0.25">
      <c r="A83" s="23">
        <v>58</v>
      </c>
      <c r="B83" s="23">
        <v>181851.13082721108</v>
      </c>
      <c r="C83" s="23">
        <v>-181851.13082721108</v>
      </c>
    </row>
    <row r="84" spans="1:3" x14ac:dyDescent="0.25">
      <c r="A84" s="23">
        <v>59</v>
      </c>
      <c r="B84" s="23">
        <v>237575.69476989401</v>
      </c>
      <c r="C84" s="23">
        <v>-237575.69476989401</v>
      </c>
    </row>
    <row r="85" spans="1:3" x14ac:dyDescent="0.25">
      <c r="A85" s="23">
        <v>60</v>
      </c>
      <c r="B85" s="23">
        <v>182559.59899760943</v>
      </c>
      <c r="C85" s="23">
        <v>-155008.59899760943</v>
      </c>
    </row>
    <row r="86" spans="1:3" x14ac:dyDescent="0.25">
      <c r="A86" s="23">
        <v>61</v>
      </c>
      <c r="B86" s="23">
        <v>181851.13082721108</v>
      </c>
      <c r="C86" s="23">
        <v>-181851.13082721108</v>
      </c>
    </row>
    <row r="87" spans="1:3" x14ac:dyDescent="0.25">
      <c r="A87" s="23">
        <v>62</v>
      </c>
      <c r="B87" s="23">
        <v>250202.82846179095</v>
      </c>
      <c r="C87" s="23">
        <v>-250202.82846179095</v>
      </c>
    </row>
    <row r="88" spans="1:3" x14ac:dyDescent="0.25">
      <c r="A88" s="23">
        <v>63</v>
      </c>
      <c r="B88" s="23">
        <v>181851.13082721108</v>
      </c>
      <c r="C88" s="23">
        <v>-181851.13082721108</v>
      </c>
    </row>
    <row r="89" spans="1:3" x14ac:dyDescent="0.25">
      <c r="A89" s="23">
        <v>64</v>
      </c>
      <c r="B89" s="23">
        <v>181886.04818703784</v>
      </c>
      <c r="C89" s="23">
        <v>164736.95181296216</v>
      </c>
    </row>
    <row r="90" spans="1:3" x14ac:dyDescent="0.25">
      <c r="A90" s="23">
        <v>65</v>
      </c>
      <c r="B90" s="23">
        <v>212474.66749268014</v>
      </c>
      <c r="C90" s="23">
        <v>-212474.66749268014</v>
      </c>
    </row>
    <row r="91" spans="1:3" x14ac:dyDescent="0.25">
      <c r="A91" s="23">
        <v>66</v>
      </c>
      <c r="B91" s="23">
        <v>201391.24597080436</v>
      </c>
      <c r="C91" s="23">
        <v>-201391.24597080436</v>
      </c>
    </row>
    <row r="92" spans="1:3" x14ac:dyDescent="0.25">
      <c r="A92" s="23">
        <v>67</v>
      </c>
      <c r="B92" s="23">
        <v>181851.13082721108</v>
      </c>
      <c r="C92" s="23">
        <v>-181851.13082721108</v>
      </c>
    </row>
    <row r="93" spans="1:3" x14ac:dyDescent="0.25">
      <c r="A93" s="23">
        <v>68</v>
      </c>
      <c r="B93" s="23">
        <v>187089.0054136501</v>
      </c>
      <c r="C93" s="23">
        <v>-187089.0054136501</v>
      </c>
    </row>
    <row r="94" spans="1:3" x14ac:dyDescent="0.25">
      <c r="A94" s="23">
        <v>69</v>
      </c>
      <c r="B94" s="23">
        <v>185684.85839686298</v>
      </c>
      <c r="C94" s="23">
        <v>-153069.85839686298</v>
      </c>
    </row>
    <row r="95" spans="1:3" x14ac:dyDescent="0.25">
      <c r="A95" s="23">
        <v>70</v>
      </c>
      <c r="B95" s="23">
        <v>183915.62512140765</v>
      </c>
      <c r="C95" s="23">
        <v>509364.37487859232</v>
      </c>
    </row>
    <row r="96" spans="1:3" x14ac:dyDescent="0.25">
      <c r="A96" s="23">
        <v>71</v>
      </c>
      <c r="B96" s="23">
        <v>328379.91483400081</v>
      </c>
      <c r="C96" s="23">
        <v>-217176.91483400081</v>
      </c>
    </row>
    <row r="97" spans="1:3" x14ac:dyDescent="0.25">
      <c r="A97" s="23">
        <v>72</v>
      </c>
      <c r="B97" s="23">
        <v>285393.19917442562</v>
      </c>
      <c r="C97" s="23">
        <v>120752.80082557438</v>
      </c>
    </row>
    <row r="98" spans="1:3" x14ac:dyDescent="0.25">
      <c r="A98" s="23">
        <v>73</v>
      </c>
      <c r="B98" s="23">
        <v>143717.06766906768</v>
      </c>
      <c r="C98" s="23">
        <v>-70980.067669067677</v>
      </c>
    </row>
    <row r="99" spans="1:3" x14ac:dyDescent="0.25">
      <c r="A99" s="23">
        <v>74</v>
      </c>
      <c r="B99" s="23">
        <v>561678.42360617127</v>
      </c>
      <c r="C99" s="23">
        <v>3294021.5763938287</v>
      </c>
    </row>
    <row r="100" spans="1:3" x14ac:dyDescent="0.25">
      <c r="A100" s="23">
        <v>75</v>
      </c>
      <c r="B100" s="23">
        <v>181851.13082721108</v>
      </c>
      <c r="C100" s="23">
        <v>137428.86917278892</v>
      </c>
    </row>
    <row r="101" spans="1:3" x14ac:dyDescent="0.25">
      <c r="A101" s="23">
        <v>76</v>
      </c>
      <c r="B101" s="23">
        <v>166462.71165639255</v>
      </c>
      <c r="C101" s="23">
        <v>-134814.71165639255</v>
      </c>
    </row>
    <row r="102" spans="1:3" x14ac:dyDescent="0.25">
      <c r="A102" s="23">
        <v>77</v>
      </c>
      <c r="B102" s="23">
        <v>181851.13082721108</v>
      </c>
      <c r="C102" s="23">
        <v>-181851.13082721108</v>
      </c>
    </row>
    <row r="103" spans="1:3" x14ac:dyDescent="0.25">
      <c r="A103" s="23">
        <v>78</v>
      </c>
      <c r="B103" s="23">
        <v>203033.18748352982</v>
      </c>
      <c r="C103" s="23">
        <v>-203033.18748352982</v>
      </c>
    </row>
    <row r="104" spans="1:3" x14ac:dyDescent="0.25">
      <c r="A104" s="23">
        <v>79</v>
      </c>
      <c r="B104" s="23">
        <v>181851.13082721108</v>
      </c>
      <c r="C104" s="23">
        <v>-181851.13082721108</v>
      </c>
    </row>
    <row r="105" spans="1:3" x14ac:dyDescent="0.25">
      <c r="A105" s="23">
        <v>80</v>
      </c>
      <c r="B105" s="23">
        <v>188398.89486777133</v>
      </c>
      <c r="C105" s="23">
        <v>-188398.89486777133</v>
      </c>
    </row>
    <row r="106" spans="1:3" x14ac:dyDescent="0.25">
      <c r="A106" s="23">
        <v>81</v>
      </c>
      <c r="B106" s="23">
        <v>184714.43511776574</v>
      </c>
      <c r="C106" s="23">
        <v>-184714.43511776574</v>
      </c>
    </row>
    <row r="107" spans="1:3" x14ac:dyDescent="0.25">
      <c r="A107" s="23">
        <v>82</v>
      </c>
      <c r="B107" s="23">
        <v>185744.90640888497</v>
      </c>
      <c r="C107" s="23">
        <v>-185744.90640888497</v>
      </c>
    </row>
    <row r="108" spans="1:3" x14ac:dyDescent="0.25">
      <c r="A108" s="23">
        <v>83</v>
      </c>
      <c r="B108" s="23">
        <v>181851.13082721108</v>
      </c>
      <c r="C108" s="23">
        <v>-156763.13082721108</v>
      </c>
    </row>
    <row r="109" spans="1:3" x14ac:dyDescent="0.25">
      <c r="A109" s="23">
        <v>84</v>
      </c>
      <c r="B109" s="23">
        <v>181851.13082721108</v>
      </c>
      <c r="C109" s="23">
        <v>-181851.13082721108</v>
      </c>
    </row>
    <row r="110" spans="1:3" x14ac:dyDescent="0.25">
      <c r="A110" s="23">
        <v>85</v>
      </c>
      <c r="B110" s="23">
        <v>168854.4307249439</v>
      </c>
      <c r="C110" s="23">
        <v>-153225.4307249439</v>
      </c>
    </row>
    <row r="111" spans="1:3" x14ac:dyDescent="0.25">
      <c r="A111" s="23">
        <v>86</v>
      </c>
      <c r="B111" s="23">
        <v>220420.33193269113</v>
      </c>
      <c r="C111" s="23">
        <v>-120349.33193269113</v>
      </c>
    </row>
    <row r="112" spans="1:3" x14ac:dyDescent="0.25">
      <c r="A112" s="23">
        <v>87</v>
      </c>
      <c r="B112" s="23">
        <v>207050.20426024529</v>
      </c>
      <c r="C112" s="23">
        <v>-22734.204260245286</v>
      </c>
    </row>
    <row r="113" spans="1:3" x14ac:dyDescent="0.25">
      <c r="A113" s="23">
        <v>88</v>
      </c>
      <c r="B113" s="23">
        <v>184305.46698894826</v>
      </c>
      <c r="C113" s="23">
        <v>-159716.46698894826</v>
      </c>
    </row>
    <row r="114" spans="1:3" x14ac:dyDescent="0.25">
      <c r="A114" s="23">
        <v>89</v>
      </c>
      <c r="B114" s="23">
        <v>181851.13082721108</v>
      </c>
      <c r="C114" s="23">
        <v>-163029.13082721108</v>
      </c>
    </row>
    <row r="115" spans="1:3" x14ac:dyDescent="0.25">
      <c r="A115" s="23">
        <v>90</v>
      </c>
      <c r="B115" s="23">
        <v>194245.54088938105</v>
      </c>
      <c r="C115" s="23">
        <v>-115117.54088938105</v>
      </c>
    </row>
    <row r="116" spans="1:3" x14ac:dyDescent="0.25">
      <c r="A116" s="23">
        <v>91</v>
      </c>
      <c r="B116" s="23">
        <v>335407.49387359346</v>
      </c>
      <c r="C116" s="23">
        <v>-335407.49387359346</v>
      </c>
    </row>
    <row r="117" spans="1:3" x14ac:dyDescent="0.25">
      <c r="A117" s="23">
        <v>92</v>
      </c>
      <c r="B117" s="23">
        <v>353353.0382214227</v>
      </c>
      <c r="C117" s="23">
        <v>-353353.0382214227</v>
      </c>
    </row>
    <row r="118" spans="1:3" x14ac:dyDescent="0.25">
      <c r="A118" s="23">
        <v>93</v>
      </c>
      <c r="B118" s="23">
        <v>182822.32921160749</v>
      </c>
      <c r="C118" s="23">
        <v>-182822.32921160749</v>
      </c>
    </row>
    <row r="119" spans="1:3" x14ac:dyDescent="0.25">
      <c r="A119" s="23">
        <v>94</v>
      </c>
      <c r="B119" s="23">
        <v>205315.79831434027</v>
      </c>
      <c r="C119" s="23">
        <v>550270.2016856597</v>
      </c>
    </row>
    <row r="120" spans="1:3" x14ac:dyDescent="0.25">
      <c r="A120" s="23">
        <v>95</v>
      </c>
      <c r="B120" s="23">
        <v>187049.69406830877</v>
      </c>
      <c r="C120" s="23">
        <v>-76926.694068308774</v>
      </c>
    </row>
    <row r="121" spans="1:3" x14ac:dyDescent="0.25">
      <c r="A121" s="23">
        <v>96</v>
      </c>
      <c r="B121" s="23">
        <v>183077.98676837992</v>
      </c>
      <c r="C121" s="23">
        <v>-171279.98676837992</v>
      </c>
    </row>
    <row r="122" spans="1:3" x14ac:dyDescent="0.25">
      <c r="A122" s="23">
        <v>97</v>
      </c>
      <c r="B122" s="23">
        <v>304431.31419772666</v>
      </c>
      <c r="C122" s="23">
        <v>-304431.31419772666</v>
      </c>
    </row>
    <row r="123" spans="1:3" x14ac:dyDescent="0.25">
      <c r="A123" s="23">
        <v>98</v>
      </c>
      <c r="B123" s="23">
        <v>545902.67798298318</v>
      </c>
      <c r="C123" s="23">
        <v>685106.32201701682</v>
      </c>
    </row>
    <row r="124" spans="1:3" x14ac:dyDescent="0.25">
      <c r="A124" s="23">
        <v>99</v>
      </c>
      <c r="B124" s="23">
        <v>181851.13082721108</v>
      </c>
      <c r="C124" s="23">
        <v>-181851.13082721108</v>
      </c>
    </row>
    <row r="125" spans="1:3" x14ac:dyDescent="0.25">
      <c r="A125" s="23">
        <v>100</v>
      </c>
      <c r="B125" s="23">
        <v>196619.85334750678</v>
      </c>
      <c r="C125" s="23">
        <v>-196619.85334750678</v>
      </c>
    </row>
    <row r="126" spans="1:3" x14ac:dyDescent="0.25">
      <c r="A126" s="23">
        <v>101</v>
      </c>
      <c r="B126" s="23">
        <v>568600.1084004814</v>
      </c>
      <c r="C126" s="23">
        <v>-448325.1084004814</v>
      </c>
    </row>
    <row r="127" spans="1:3" x14ac:dyDescent="0.25">
      <c r="A127" s="23">
        <v>102</v>
      </c>
      <c r="B127" s="23">
        <v>505962.14762698032</v>
      </c>
      <c r="C127" s="23">
        <v>24746.852373019676</v>
      </c>
    </row>
    <row r="128" spans="1:3" x14ac:dyDescent="0.25">
      <c r="A128" s="23">
        <v>103</v>
      </c>
      <c r="B128" s="23">
        <v>308153.87219781079</v>
      </c>
      <c r="C128" s="23">
        <v>-187290.87219781079</v>
      </c>
    </row>
    <row r="129" spans="1:3" x14ac:dyDescent="0.25">
      <c r="A129" s="23">
        <v>104</v>
      </c>
      <c r="B129" s="23">
        <v>296802.4889371125</v>
      </c>
      <c r="C129" s="23">
        <v>-296802.4889371125</v>
      </c>
    </row>
    <row r="130" spans="1:3" x14ac:dyDescent="0.25">
      <c r="A130" s="23">
        <v>105</v>
      </c>
      <c r="B130" s="23">
        <v>232347.70572104724</v>
      </c>
      <c r="C130" s="23">
        <v>-232347.70572104724</v>
      </c>
    </row>
    <row r="131" spans="1:3" x14ac:dyDescent="0.25">
      <c r="A131" s="23">
        <v>106</v>
      </c>
      <c r="B131" s="23">
        <v>179839.08122327973</v>
      </c>
      <c r="C131" s="23">
        <v>-179839.08122327973</v>
      </c>
    </row>
    <row r="132" spans="1:3" x14ac:dyDescent="0.25">
      <c r="A132" s="23">
        <v>107</v>
      </c>
      <c r="B132" s="23">
        <v>181851.13082721108</v>
      </c>
      <c r="C132" s="23">
        <v>-22924.130827211076</v>
      </c>
    </row>
    <row r="133" spans="1:3" x14ac:dyDescent="0.25">
      <c r="A133" s="23">
        <v>108</v>
      </c>
      <c r="B133" s="23">
        <v>228648.44012045147</v>
      </c>
      <c r="C133" s="23">
        <v>-211145.44012045147</v>
      </c>
    </row>
    <row r="134" spans="1:3" x14ac:dyDescent="0.25">
      <c r="A134" s="23">
        <v>109</v>
      </c>
      <c r="B134" s="23">
        <v>186151.53262152913</v>
      </c>
      <c r="C134" s="23">
        <v>-186151.53262152913</v>
      </c>
    </row>
    <row r="135" spans="1:3" x14ac:dyDescent="0.25">
      <c r="A135" s="23">
        <v>110</v>
      </c>
      <c r="B135" s="23">
        <v>286315.8022856543</v>
      </c>
      <c r="C135" s="23">
        <v>-228707.8022856543</v>
      </c>
    </row>
    <row r="136" spans="1:3" x14ac:dyDescent="0.25">
      <c r="A136" s="23">
        <v>111</v>
      </c>
      <c r="B136" s="23">
        <v>222711.90542835309</v>
      </c>
      <c r="C136" s="23">
        <v>-174352.90542835309</v>
      </c>
    </row>
    <row r="137" spans="1:3" x14ac:dyDescent="0.25">
      <c r="A137" s="23">
        <v>112</v>
      </c>
      <c r="B137" s="23">
        <v>297334.06079620559</v>
      </c>
      <c r="C137" s="23">
        <v>11503108.939203795</v>
      </c>
    </row>
    <row r="138" spans="1:3" x14ac:dyDescent="0.25">
      <c r="A138" s="23">
        <v>113</v>
      </c>
      <c r="B138" s="23">
        <v>275629.35083513916</v>
      </c>
      <c r="C138" s="23">
        <v>-56258.350835139165</v>
      </c>
    </row>
    <row r="139" spans="1:3" x14ac:dyDescent="0.25">
      <c r="A139" s="23">
        <v>114</v>
      </c>
      <c r="B139" s="23">
        <v>244833.50758926256</v>
      </c>
      <c r="C139" s="23">
        <v>-244833.50758926256</v>
      </c>
    </row>
    <row r="140" spans="1:3" x14ac:dyDescent="0.25">
      <c r="A140" s="23">
        <v>115</v>
      </c>
      <c r="B140" s="23">
        <v>191066.64709956339</v>
      </c>
      <c r="C140" s="23">
        <v>-115652.64709956339</v>
      </c>
    </row>
    <row r="141" spans="1:3" x14ac:dyDescent="0.25">
      <c r="A141" s="23">
        <v>116</v>
      </c>
      <c r="B141" s="23">
        <v>187020.13101495497</v>
      </c>
      <c r="C141" s="23">
        <v>-137718.13101495497</v>
      </c>
    </row>
    <row r="142" spans="1:3" x14ac:dyDescent="0.25">
      <c r="A142" s="23">
        <v>117</v>
      </c>
      <c r="B142" s="23">
        <v>223871.65123907945</v>
      </c>
      <c r="C142" s="23">
        <v>1710386.3487609206</v>
      </c>
    </row>
    <row r="143" spans="1:3" x14ac:dyDescent="0.25">
      <c r="A143" s="23">
        <v>118</v>
      </c>
      <c r="B143" s="23">
        <v>183440.5981830793</v>
      </c>
      <c r="C143" s="23">
        <v>-183440.5981830793</v>
      </c>
    </row>
    <row r="144" spans="1:3" x14ac:dyDescent="0.25">
      <c r="A144" s="23">
        <v>119</v>
      </c>
      <c r="B144" s="23">
        <v>529968.5054848846</v>
      </c>
      <c r="C144" s="23">
        <v>-529968.5054848846</v>
      </c>
    </row>
    <row r="145" spans="1:3" x14ac:dyDescent="0.25">
      <c r="A145" s="23">
        <v>120</v>
      </c>
      <c r="B145" s="23">
        <v>181851.13082721108</v>
      </c>
      <c r="C145" s="23">
        <v>-181851.13082721108</v>
      </c>
    </row>
    <row r="146" spans="1:3" x14ac:dyDescent="0.25">
      <c r="A146" s="23">
        <v>121</v>
      </c>
      <c r="B146" s="23">
        <v>181851.13082721108</v>
      </c>
      <c r="C146" s="23">
        <v>-181851.13082721108</v>
      </c>
    </row>
    <row r="147" spans="1:3" x14ac:dyDescent="0.25">
      <c r="A147" s="23">
        <v>122</v>
      </c>
      <c r="B147" s="23">
        <v>181851.13082721108</v>
      </c>
      <c r="C147" s="23">
        <v>-109423.13082721108</v>
      </c>
    </row>
    <row r="148" spans="1:3" x14ac:dyDescent="0.25">
      <c r="A148" s="23">
        <v>123</v>
      </c>
      <c r="B148" s="23">
        <v>260003.25278192313</v>
      </c>
      <c r="C148" s="23">
        <v>-212887.25278192313</v>
      </c>
    </row>
    <row r="149" spans="1:3" x14ac:dyDescent="0.25">
      <c r="A149" s="23">
        <v>124</v>
      </c>
      <c r="B149" s="23">
        <v>189466.65210101288</v>
      </c>
      <c r="C149" s="23">
        <v>-189466.65210101288</v>
      </c>
    </row>
    <row r="150" spans="1:3" x14ac:dyDescent="0.25">
      <c r="A150" s="23">
        <v>125</v>
      </c>
      <c r="B150" s="23">
        <v>188678.19829527705</v>
      </c>
      <c r="C150" s="23">
        <v>-188678.19829527705</v>
      </c>
    </row>
    <row r="151" spans="1:3" x14ac:dyDescent="0.25">
      <c r="A151" s="23">
        <v>126</v>
      </c>
      <c r="B151" s="23">
        <v>378729.35535402747</v>
      </c>
      <c r="C151" s="23">
        <v>-378729.35535402747</v>
      </c>
    </row>
    <row r="152" spans="1:3" x14ac:dyDescent="0.25">
      <c r="A152" s="23">
        <v>127</v>
      </c>
      <c r="B152" s="23">
        <v>467579.58619027393</v>
      </c>
      <c r="C152" s="23">
        <v>-124125.58619027393</v>
      </c>
    </row>
    <row r="153" spans="1:3" x14ac:dyDescent="0.25">
      <c r="A153" s="23">
        <v>128</v>
      </c>
      <c r="B153" s="23">
        <v>378604.1128363898</v>
      </c>
      <c r="C153" s="23">
        <v>-378604.1128363898</v>
      </c>
    </row>
    <row r="154" spans="1:3" x14ac:dyDescent="0.25">
      <c r="A154" s="23">
        <v>129</v>
      </c>
      <c r="B154" s="23">
        <v>455688.37978136149</v>
      </c>
      <c r="C154" s="23">
        <v>33517.620218638505</v>
      </c>
    </row>
    <row r="155" spans="1:3" x14ac:dyDescent="0.25">
      <c r="A155" s="23">
        <v>130</v>
      </c>
      <c r="B155" s="23">
        <v>181934.59998110728</v>
      </c>
      <c r="C155" s="23">
        <v>-181934.59998110728</v>
      </c>
    </row>
    <row r="156" spans="1:3" x14ac:dyDescent="0.25">
      <c r="A156" s="23">
        <v>131</v>
      </c>
      <c r="B156" s="23">
        <v>181851.13082721108</v>
      </c>
      <c r="C156" s="23">
        <v>-181851.13082721108</v>
      </c>
    </row>
    <row r="157" spans="1:3" x14ac:dyDescent="0.25">
      <c r="A157" s="23">
        <v>132</v>
      </c>
      <c r="B157" s="23">
        <v>379033.30601738591</v>
      </c>
      <c r="C157" s="23">
        <v>-379033.30601738591</v>
      </c>
    </row>
    <row r="158" spans="1:3" x14ac:dyDescent="0.25">
      <c r="A158" s="23">
        <v>133</v>
      </c>
      <c r="B158" s="23">
        <v>181851.13082721108</v>
      </c>
      <c r="C158" s="23">
        <v>-181851.13082721108</v>
      </c>
    </row>
    <row r="159" spans="1:3" x14ac:dyDescent="0.25">
      <c r="A159" s="23">
        <v>134</v>
      </c>
      <c r="B159" s="23">
        <v>173504.90384602835</v>
      </c>
      <c r="C159" s="23">
        <v>-140959.90384602835</v>
      </c>
    </row>
    <row r="160" spans="1:3" x14ac:dyDescent="0.25">
      <c r="A160" s="23">
        <v>135</v>
      </c>
      <c r="B160" s="23">
        <v>188168.13666369874</v>
      </c>
      <c r="C160" s="23">
        <v>-134217.13666369874</v>
      </c>
    </row>
    <row r="161" spans="1:3" x14ac:dyDescent="0.25">
      <c r="A161" s="23">
        <v>136</v>
      </c>
      <c r="B161" s="23">
        <v>197323.09106004637</v>
      </c>
      <c r="C161" s="23">
        <v>-144122.09106004637</v>
      </c>
    </row>
    <row r="162" spans="1:3" x14ac:dyDescent="0.25">
      <c r="A162" s="23">
        <v>137</v>
      </c>
      <c r="B162" s="23">
        <v>294185.90891568898</v>
      </c>
      <c r="C162" s="23">
        <v>-294185.90891568898</v>
      </c>
    </row>
    <row r="163" spans="1:3" x14ac:dyDescent="0.25">
      <c r="A163" s="23">
        <v>138</v>
      </c>
      <c r="B163" s="23">
        <v>179097.32328485406</v>
      </c>
      <c r="C163" s="23">
        <v>-42802.323284854065</v>
      </c>
    </row>
    <row r="164" spans="1:3" x14ac:dyDescent="0.25">
      <c r="A164" s="23">
        <v>139</v>
      </c>
      <c r="B164" s="23">
        <v>182116.80639111047</v>
      </c>
      <c r="C164" s="23">
        <v>-182116.80639111047</v>
      </c>
    </row>
    <row r="165" spans="1:3" x14ac:dyDescent="0.25">
      <c r="A165" s="23">
        <v>140</v>
      </c>
      <c r="B165" s="23">
        <v>185659.878167752</v>
      </c>
      <c r="C165" s="23">
        <v>-185659.878167752</v>
      </c>
    </row>
    <row r="166" spans="1:3" x14ac:dyDescent="0.25">
      <c r="A166" s="23">
        <v>141</v>
      </c>
      <c r="B166" s="23">
        <v>181851.13082721108</v>
      </c>
      <c r="C166" s="23">
        <v>832354.86917278892</v>
      </c>
    </row>
    <row r="167" spans="1:3" x14ac:dyDescent="0.25">
      <c r="A167" s="23">
        <v>142</v>
      </c>
      <c r="B167" s="23">
        <v>181851.13082721108</v>
      </c>
      <c r="C167" s="23">
        <v>-181851.13082721108</v>
      </c>
    </row>
    <row r="168" spans="1:3" x14ac:dyDescent="0.25">
      <c r="A168" s="23">
        <v>143</v>
      </c>
      <c r="B168" s="23">
        <v>210005.32159943553</v>
      </c>
      <c r="C168" s="23">
        <v>-82360.321599435527</v>
      </c>
    </row>
    <row r="169" spans="1:3" x14ac:dyDescent="0.25">
      <c r="A169" s="23">
        <v>144</v>
      </c>
      <c r="B169" s="23">
        <v>203291.78735098409</v>
      </c>
      <c r="C169" s="23">
        <v>-161074.78735098409</v>
      </c>
    </row>
    <row r="170" spans="1:3" x14ac:dyDescent="0.25">
      <c r="A170" s="23">
        <v>145</v>
      </c>
      <c r="B170" s="23">
        <v>303627.60730484349</v>
      </c>
      <c r="C170" s="23">
        <v>669133.39269515651</v>
      </c>
    </row>
    <row r="171" spans="1:3" x14ac:dyDescent="0.25">
      <c r="A171" s="23">
        <v>146</v>
      </c>
      <c r="B171" s="23">
        <v>204057.73370432534</v>
      </c>
      <c r="C171" s="23">
        <v>-204057.73370432534</v>
      </c>
    </row>
    <row r="172" spans="1:3" x14ac:dyDescent="0.25">
      <c r="A172" s="23">
        <v>147</v>
      </c>
      <c r="B172" s="23">
        <v>442859.76045261871</v>
      </c>
      <c r="C172" s="23">
        <v>-442859.76045261871</v>
      </c>
    </row>
    <row r="173" spans="1:3" x14ac:dyDescent="0.25">
      <c r="A173" s="23">
        <v>148</v>
      </c>
      <c r="B173" s="23">
        <v>320732.86947141367</v>
      </c>
      <c r="C173" s="23">
        <v>-320732.86947141367</v>
      </c>
    </row>
    <row r="174" spans="1:3" x14ac:dyDescent="0.25">
      <c r="A174" s="23">
        <v>149</v>
      </c>
      <c r="B174" s="23">
        <v>3334426.0907014515</v>
      </c>
      <c r="C174" s="23">
        <v>-1603483.0907014515</v>
      </c>
    </row>
    <row r="175" spans="1:3" x14ac:dyDescent="0.25">
      <c r="A175" s="23">
        <v>150</v>
      </c>
      <c r="B175" s="23">
        <v>316388.5982206185</v>
      </c>
      <c r="C175" s="23">
        <v>4265364.4017793816</v>
      </c>
    </row>
    <row r="176" spans="1:3" x14ac:dyDescent="0.25">
      <c r="A176" s="23">
        <v>151</v>
      </c>
      <c r="B176" s="23">
        <v>181851.13082721108</v>
      </c>
      <c r="C176" s="23">
        <v>-82006.130827211076</v>
      </c>
    </row>
    <row r="177" spans="1:3" x14ac:dyDescent="0.25">
      <c r="A177" s="23">
        <v>152</v>
      </c>
      <c r="B177" s="23">
        <v>186276.18917921858</v>
      </c>
      <c r="C177" s="23">
        <v>-175391.18917921858</v>
      </c>
    </row>
    <row r="178" spans="1:3" x14ac:dyDescent="0.25">
      <c r="A178" s="23">
        <v>153</v>
      </c>
      <c r="B178" s="23">
        <v>243391.09320800527</v>
      </c>
      <c r="C178" s="23">
        <v>-243391.09320800527</v>
      </c>
    </row>
    <row r="179" spans="1:3" x14ac:dyDescent="0.25">
      <c r="A179" s="23">
        <v>154</v>
      </c>
      <c r="B179" s="23">
        <v>117404.8914502999</v>
      </c>
      <c r="C179" s="23">
        <v>71886.108549700104</v>
      </c>
    </row>
    <row r="180" spans="1:3" x14ac:dyDescent="0.25">
      <c r="A180" s="23">
        <v>155</v>
      </c>
      <c r="B180" s="23">
        <v>188608.05601172123</v>
      </c>
      <c r="C180" s="23">
        <v>-181489.05601172123</v>
      </c>
    </row>
    <row r="181" spans="1:3" x14ac:dyDescent="0.25">
      <c r="A181" s="23">
        <v>156</v>
      </c>
      <c r="B181" s="23">
        <v>344819.48676566529</v>
      </c>
      <c r="C181" s="23">
        <v>-344819.48676566529</v>
      </c>
    </row>
    <row r="182" spans="1:3" x14ac:dyDescent="0.25">
      <c r="A182" s="23">
        <v>157</v>
      </c>
      <c r="B182" s="23">
        <v>227776.36276502584</v>
      </c>
      <c r="C182" s="23">
        <v>-208519.36276502584</v>
      </c>
    </row>
    <row r="183" spans="1:3" x14ac:dyDescent="0.25">
      <c r="A183" s="23">
        <v>158</v>
      </c>
      <c r="B183" s="23">
        <v>208861.21918542011</v>
      </c>
      <c r="C183" s="23">
        <v>-208861.21918542011</v>
      </c>
    </row>
    <row r="184" spans="1:3" x14ac:dyDescent="0.25">
      <c r="A184" s="23">
        <v>159</v>
      </c>
      <c r="B184" s="23">
        <v>181851.13082721108</v>
      </c>
      <c r="C184" s="23">
        <v>-181851.13082721108</v>
      </c>
    </row>
    <row r="185" spans="1:3" x14ac:dyDescent="0.25">
      <c r="A185" s="23">
        <v>160</v>
      </c>
      <c r="B185" s="23">
        <v>293904.48085218808</v>
      </c>
      <c r="C185" s="23">
        <v>-244690.48085218808</v>
      </c>
    </row>
    <row r="186" spans="1:3" x14ac:dyDescent="0.25">
      <c r="A186" s="23">
        <v>161</v>
      </c>
      <c r="B186" s="23">
        <v>206488.82378234903</v>
      </c>
      <c r="C186" s="23">
        <v>-183573.82378234903</v>
      </c>
    </row>
    <row r="187" spans="1:3" x14ac:dyDescent="0.25">
      <c r="A187" s="23">
        <v>162</v>
      </c>
      <c r="B187" s="23">
        <v>182237.24598007818</v>
      </c>
      <c r="C187" s="23">
        <v>-182237.24598007818</v>
      </c>
    </row>
    <row r="188" spans="1:3" x14ac:dyDescent="0.25">
      <c r="A188" s="23">
        <v>163</v>
      </c>
      <c r="B188" s="23">
        <v>181851.13082721108</v>
      </c>
      <c r="C188" s="23">
        <v>-181851.13082721108</v>
      </c>
    </row>
    <row r="189" spans="1:3" x14ac:dyDescent="0.25">
      <c r="A189" s="23">
        <v>164</v>
      </c>
      <c r="B189" s="23">
        <v>181851.13082721108</v>
      </c>
      <c r="C189" s="23">
        <v>-125776.13082721108</v>
      </c>
    </row>
    <row r="190" spans="1:3" x14ac:dyDescent="0.25">
      <c r="A190" s="23">
        <v>165</v>
      </c>
      <c r="B190" s="23">
        <v>181851.13082721108</v>
      </c>
      <c r="C190" s="23">
        <v>-62898.130827211076</v>
      </c>
    </row>
    <row r="191" spans="1:3" x14ac:dyDescent="0.25">
      <c r="A191" s="23">
        <v>166</v>
      </c>
      <c r="B191" s="23">
        <v>204077.42963189725</v>
      </c>
      <c r="C191" s="23">
        <v>-130286.42963189725</v>
      </c>
    </row>
    <row r="192" spans="1:3" x14ac:dyDescent="0.25">
      <c r="A192" s="23">
        <v>167</v>
      </c>
      <c r="B192" s="23">
        <v>340743.75126384629</v>
      </c>
      <c r="C192" s="23">
        <v>371637.24873615371</v>
      </c>
    </row>
    <row r="193" spans="1:3" x14ac:dyDescent="0.25">
      <c r="A193" s="23">
        <v>168</v>
      </c>
      <c r="B193" s="23">
        <v>394324.02197498124</v>
      </c>
      <c r="C193" s="23">
        <v>418868.97802501876</v>
      </c>
    </row>
    <row r="194" spans="1:3" x14ac:dyDescent="0.25">
      <c r="A194" s="23">
        <v>169</v>
      </c>
      <c r="B194" s="23">
        <v>3971878.2133728634</v>
      </c>
      <c r="C194" s="23">
        <v>3456037.7866271366</v>
      </c>
    </row>
    <row r="195" spans="1:3" x14ac:dyDescent="0.25">
      <c r="A195" s="23">
        <v>170</v>
      </c>
      <c r="B195" s="23">
        <v>214037.03842105839</v>
      </c>
      <c r="C195" s="23">
        <v>-194650.03842105839</v>
      </c>
    </row>
    <row r="196" spans="1:3" x14ac:dyDescent="0.25">
      <c r="A196" s="23">
        <v>171</v>
      </c>
      <c r="B196" s="23">
        <v>235507.01578646511</v>
      </c>
      <c r="C196" s="23">
        <v>3596831.9842135347</v>
      </c>
    </row>
    <row r="197" spans="1:3" x14ac:dyDescent="0.25">
      <c r="A197" s="23">
        <v>172</v>
      </c>
      <c r="B197" s="23">
        <v>254951.52899634355</v>
      </c>
      <c r="C197" s="23">
        <v>-100128.52899634355</v>
      </c>
    </row>
    <row r="198" spans="1:3" x14ac:dyDescent="0.25">
      <c r="A198" s="23">
        <v>173</v>
      </c>
      <c r="B198" s="23">
        <v>588160.62414541724</v>
      </c>
      <c r="C198" s="23">
        <v>524479.37585458276</v>
      </c>
    </row>
    <row r="199" spans="1:3" x14ac:dyDescent="0.25">
      <c r="A199" s="23">
        <v>174</v>
      </c>
      <c r="B199" s="23">
        <v>179839.44003293538</v>
      </c>
      <c r="C199" s="23">
        <v>155990.55996706462</v>
      </c>
    </row>
    <row r="200" spans="1:3" x14ac:dyDescent="0.25">
      <c r="A200" s="23">
        <v>175</v>
      </c>
      <c r="B200" s="23">
        <v>228603.10893691707</v>
      </c>
      <c r="C200" s="23">
        <v>-228603.10893691707</v>
      </c>
    </row>
    <row r="201" spans="1:3" x14ac:dyDescent="0.25">
      <c r="A201" s="23">
        <v>176</v>
      </c>
      <c r="B201" s="23">
        <v>181851.13082721108</v>
      </c>
      <c r="C201" s="23">
        <v>-156462.13082721108</v>
      </c>
    </row>
    <row r="202" spans="1:3" x14ac:dyDescent="0.25">
      <c r="A202" s="23">
        <v>177</v>
      </c>
      <c r="B202" s="23">
        <v>181851.13082721108</v>
      </c>
      <c r="C202" s="23">
        <v>-181851.13082721108</v>
      </c>
    </row>
    <row r="203" spans="1:3" x14ac:dyDescent="0.25">
      <c r="A203" s="23">
        <v>178</v>
      </c>
      <c r="B203" s="23">
        <v>-350.94246589903196</v>
      </c>
      <c r="C203" s="23">
        <v>315361.94246589905</v>
      </c>
    </row>
    <row r="204" spans="1:3" x14ac:dyDescent="0.25">
      <c r="A204" s="23">
        <v>179</v>
      </c>
      <c r="B204" s="23">
        <v>227055.29681589347</v>
      </c>
      <c r="C204" s="23">
        <v>-227055.29681589347</v>
      </c>
    </row>
    <row r="205" spans="1:3" x14ac:dyDescent="0.25">
      <c r="A205" s="23">
        <v>180</v>
      </c>
      <c r="B205" s="23">
        <v>252788.63350910781</v>
      </c>
      <c r="C205" s="23">
        <v>-252788.63350910781</v>
      </c>
    </row>
    <row r="206" spans="1:3" x14ac:dyDescent="0.25">
      <c r="A206" s="23">
        <v>181</v>
      </c>
      <c r="B206" s="23">
        <v>192102.84900437022</v>
      </c>
      <c r="C206" s="23">
        <v>-185548.84900437022</v>
      </c>
    </row>
    <row r="207" spans="1:3" x14ac:dyDescent="0.25">
      <c r="A207" s="23">
        <v>182</v>
      </c>
      <c r="B207" s="23">
        <v>371871.67880145228</v>
      </c>
      <c r="C207" s="23">
        <v>-165541.67880145228</v>
      </c>
    </row>
    <row r="208" spans="1:3" x14ac:dyDescent="0.25">
      <c r="A208" s="23">
        <v>183</v>
      </c>
      <c r="B208" s="23">
        <v>49203.712106433144</v>
      </c>
      <c r="C208" s="23">
        <v>96006.287893566856</v>
      </c>
    </row>
    <row r="209" spans="1:3" x14ac:dyDescent="0.25">
      <c r="A209" s="23">
        <v>184</v>
      </c>
      <c r="B209" s="23">
        <v>212293.7117619034</v>
      </c>
      <c r="C209" s="23">
        <v>-212293.7117619034</v>
      </c>
    </row>
    <row r="210" spans="1:3" x14ac:dyDescent="0.25">
      <c r="A210" s="23">
        <v>185</v>
      </c>
      <c r="B210" s="23">
        <v>191867.5411019226</v>
      </c>
      <c r="C210" s="23">
        <v>-191867.5411019226</v>
      </c>
    </row>
    <row r="211" spans="1:3" x14ac:dyDescent="0.25">
      <c r="A211" s="23">
        <v>186</v>
      </c>
      <c r="B211" s="23">
        <v>416820.66145293973</v>
      </c>
      <c r="C211" s="23">
        <v>-16344.661452939734</v>
      </c>
    </row>
    <row r="212" spans="1:3" x14ac:dyDescent="0.25">
      <c r="A212" s="23">
        <v>187</v>
      </c>
      <c r="B212" s="23">
        <v>185275.05628500771</v>
      </c>
      <c r="C212" s="23">
        <v>-44514.056285007711</v>
      </c>
    </row>
    <row r="213" spans="1:3" x14ac:dyDescent="0.25">
      <c r="A213" s="23">
        <v>188</v>
      </c>
      <c r="B213" s="23">
        <v>181851.13082721108</v>
      </c>
      <c r="C213" s="23">
        <v>-181851.13082721108</v>
      </c>
    </row>
    <row r="214" spans="1:3" x14ac:dyDescent="0.25">
      <c r="A214" s="23">
        <v>189</v>
      </c>
      <c r="B214" s="23">
        <v>182362.8886830105</v>
      </c>
      <c r="C214" s="23">
        <v>-178117.8886830105</v>
      </c>
    </row>
    <row r="215" spans="1:3" x14ac:dyDescent="0.25">
      <c r="A215" s="23">
        <v>190</v>
      </c>
      <c r="B215" s="23">
        <v>226283.35056031981</v>
      </c>
      <c r="C215" s="23">
        <v>-181969.35056031981</v>
      </c>
    </row>
    <row r="216" spans="1:3" x14ac:dyDescent="0.25">
      <c r="A216" s="23">
        <v>191</v>
      </c>
      <c r="B216" s="23">
        <v>181958.91919885026</v>
      </c>
      <c r="C216" s="23">
        <v>-181958.91919885026</v>
      </c>
    </row>
    <row r="217" spans="1:3" x14ac:dyDescent="0.25">
      <c r="A217" s="23">
        <v>192</v>
      </c>
      <c r="B217" s="23">
        <v>203556.41033460066</v>
      </c>
      <c r="C217" s="23">
        <v>-184965.41033460066</v>
      </c>
    </row>
    <row r="218" spans="1:3" x14ac:dyDescent="0.25">
      <c r="A218" s="23">
        <v>193</v>
      </c>
      <c r="B218" s="23">
        <v>181851.13082721108</v>
      </c>
      <c r="C218" s="23">
        <v>-181851.13082721108</v>
      </c>
    </row>
    <row r="219" spans="1:3" x14ac:dyDescent="0.25">
      <c r="A219" s="23">
        <v>194</v>
      </c>
      <c r="B219" s="23">
        <v>233363.46036244265</v>
      </c>
      <c r="C219" s="23">
        <v>-127171.46036244265</v>
      </c>
    </row>
    <row r="220" spans="1:3" x14ac:dyDescent="0.25">
      <c r="A220" s="23">
        <v>195</v>
      </c>
      <c r="B220" s="23">
        <v>214338.69662731769</v>
      </c>
      <c r="C220" s="23">
        <v>100867.30337268231</v>
      </c>
    </row>
    <row r="221" spans="1:3" x14ac:dyDescent="0.25">
      <c r="A221" s="23">
        <v>196</v>
      </c>
      <c r="B221" s="23">
        <v>319445.47869485809</v>
      </c>
      <c r="C221" s="23">
        <v>-112492.47869485809</v>
      </c>
    </row>
    <row r="222" spans="1:3" x14ac:dyDescent="0.25">
      <c r="A222" s="23">
        <v>197</v>
      </c>
      <c r="B222" s="23">
        <v>181851.13082721108</v>
      </c>
      <c r="C222" s="23">
        <v>-175583.13082721108</v>
      </c>
    </row>
    <row r="223" spans="1:3" x14ac:dyDescent="0.25">
      <c r="A223" s="23">
        <v>198</v>
      </c>
      <c r="B223" s="23">
        <v>220747.19581089931</v>
      </c>
      <c r="C223" s="23">
        <v>-20578.195810899313</v>
      </c>
    </row>
    <row r="224" spans="1:3" x14ac:dyDescent="0.25">
      <c r="A224" s="23">
        <v>199</v>
      </c>
      <c r="B224" s="23">
        <v>222616.95594053107</v>
      </c>
      <c r="C224" s="23">
        <v>-222616.95594053107</v>
      </c>
    </row>
    <row r="225" spans="1:3" x14ac:dyDescent="0.25">
      <c r="A225" s="23">
        <v>200</v>
      </c>
      <c r="B225" s="23">
        <v>185509.35682993231</v>
      </c>
      <c r="C225" s="23">
        <v>-181794.35682993231</v>
      </c>
    </row>
    <row r="226" spans="1:3" x14ac:dyDescent="0.25">
      <c r="A226" s="23">
        <v>201</v>
      </c>
      <c r="B226" s="23">
        <v>181851.13082721108</v>
      </c>
      <c r="C226" s="23">
        <v>-181851.13082721108</v>
      </c>
    </row>
    <row r="227" spans="1:3" x14ac:dyDescent="0.25">
      <c r="A227" s="23">
        <v>202</v>
      </c>
      <c r="B227" s="23">
        <v>181851.13082721108</v>
      </c>
      <c r="C227" s="23">
        <v>-181851.13082721108</v>
      </c>
    </row>
    <row r="228" spans="1:3" x14ac:dyDescent="0.25">
      <c r="A228" s="23">
        <v>203</v>
      </c>
      <c r="B228" s="23">
        <v>740878.33691453259</v>
      </c>
      <c r="C228" s="23">
        <v>-207542.33691453259</v>
      </c>
    </row>
    <row r="229" spans="1:3" x14ac:dyDescent="0.25">
      <c r="A229" s="23">
        <v>204</v>
      </c>
      <c r="B229" s="23">
        <v>231720.57908477579</v>
      </c>
      <c r="C229" s="23">
        <v>-231720.57908477579</v>
      </c>
    </row>
    <row r="230" spans="1:3" x14ac:dyDescent="0.25">
      <c r="A230" s="23">
        <v>205</v>
      </c>
      <c r="B230" s="23">
        <v>232642.95857258819</v>
      </c>
      <c r="C230" s="23">
        <v>333911.04142741184</v>
      </c>
    </row>
    <row r="231" spans="1:3" x14ac:dyDescent="0.25">
      <c r="A231" s="23">
        <v>206</v>
      </c>
      <c r="B231" s="23">
        <v>195892.23623938704</v>
      </c>
      <c r="C231" s="23">
        <v>524020.76376061293</v>
      </c>
    </row>
    <row r="232" spans="1:3" x14ac:dyDescent="0.25">
      <c r="A232" s="23">
        <v>207</v>
      </c>
      <c r="B232" s="23">
        <v>246355.3243785059</v>
      </c>
      <c r="C232" s="23">
        <v>-129317.3243785059</v>
      </c>
    </row>
    <row r="233" spans="1:3" x14ac:dyDescent="0.25">
      <c r="A233" s="23">
        <v>208</v>
      </c>
      <c r="B233" s="23">
        <v>181851.13082721108</v>
      </c>
      <c r="C233" s="23">
        <v>-181851.13082721108</v>
      </c>
    </row>
    <row r="234" spans="1:3" x14ac:dyDescent="0.25">
      <c r="A234" s="23">
        <v>209</v>
      </c>
      <c r="B234" s="23">
        <v>202509.96752231059</v>
      </c>
      <c r="C234" s="23">
        <v>-200274.96752231059</v>
      </c>
    </row>
    <row r="235" spans="1:3" x14ac:dyDescent="0.25">
      <c r="A235" s="23">
        <v>210</v>
      </c>
      <c r="B235" s="23">
        <v>397526.72979146062</v>
      </c>
      <c r="C235" s="23">
        <v>-53197.729791460617</v>
      </c>
    </row>
    <row r="236" spans="1:3" x14ac:dyDescent="0.25">
      <c r="A236" s="23">
        <v>211</v>
      </c>
      <c r="B236" s="23">
        <v>259432.80994359782</v>
      </c>
      <c r="C236" s="23">
        <v>229426.19005640218</v>
      </c>
    </row>
    <row r="237" spans="1:3" x14ac:dyDescent="0.25">
      <c r="A237" s="23">
        <v>212</v>
      </c>
      <c r="B237" s="23">
        <v>195301.90509091705</v>
      </c>
      <c r="C237" s="23">
        <v>-195301.90509091705</v>
      </c>
    </row>
    <row r="238" spans="1:3" x14ac:dyDescent="0.25">
      <c r="A238" s="23">
        <v>213</v>
      </c>
      <c r="B238" s="23">
        <v>181851.13082721108</v>
      </c>
      <c r="C238" s="23">
        <v>-181851.13082721108</v>
      </c>
    </row>
    <row r="239" spans="1:3" x14ac:dyDescent="0.25">
      <c r="A239" s="23">
        <v>214</v>
      </c>
      <c r="B239" s="23">
        <v>187728.3803493586</v>
      </c>
      <c r="C239" s="23">
        <v>-187728.3803493586</v>
      </c>
    </row>
    <row r="240" spans="1:3" x14ac:dyDescent="0.25">
      <c r="A240" s="23">
        <v>215</v>
      </c>
      <c r="B240" s="23">
        <v>181851.13082721108</v>
      </c>
      <c r="C240" s="23">
        <v>-181851.13082721108</v>
      </c>
    </row>
    <row r="241" spans="1:3" x14ac:dyDescent="0.25">
      <c r="A241" s="23">
        <v>216</v>
      </c>
      <c r="B241" s="23">
        <v>181851.13082721108</v>
      </c>
      <c r="C241" s="23">
        <v>-181851.13082721108</v>
      </c>
    </row>
    <row r="242" spans="1:3" x14ac:dyDescent="0.25">
      <c r="A242" s="23">
        <v>217</v>
      </c>
      <c r="B242" s="23">
        <v>185418.77411385995</v>
      </c>
      <c r="C242" s="23">
        <v>-185418.77411385995</v>
      </c>
    </row>
    <row r="243" spans="1:3" x14ac:dyDescent="0.25">
      <c r="A243" s="23">
        <v>218</v>
      </c>
      <c r="B243" s="23">
        <v>2112481.1737742797</v>
      </c>
      <c r="C243" s="23">
        <v>9483.826225720346</v>
      </c>
    </row>
    <row r="244" spans="1:3" x14ac:dyDescent="0.25">
      <c r="A244" s="23">
        <v>219</v>
      </c>
      <c r="B244" s="23">
        <v>594085.23768818309</v>
      </c>
      <c r="C244" s="23">
        <v>-267623.23768818309</v>
      </c>
    </row>
    <row r="245" spans="1:3" x14ac:dyDescent="0.25">
      <c r="A245" s="23">
        <v>220</v>
      </c>
      <c r="B245" s="23">
        <v>1952230.7571262193</v>
      </c>
      <c r="C245" s="23">
        <v>-1094577.7571262193</v>
      </c>
    </row>
    <row r="246" spans="1:3" x14ac:dyDescent="0.25">
      <c r="A246" s="23">
        <v>221</v>
      </c>
      <c r="B246" s="23">
        <v>525925.93392926676</v>
      </c>
      <c r="C246" s="23">
        <v>-525925.93392926676</v>
      </c>
    </row>
    <row r="247" spans="1:3" x14ac:dyDescent="0.25">
      <c r="A247" s="23">
        <v>222</v>
      </c>
      <c r="B247" s="23">
        <v>206927.24262667834</v>
      </c>
      <c r="C247" s="23">
        <v>-206927.24262667834</v>
      </c>
    </row>
    <row r="248" spans="1:3" x14ac:dyDescent="0.25">
      <c r="A248" s="23">
        <v>223</v>
      </c>
      <c r="B248" s="23">
        <v>181851.13082721108</v>
      </c>
      <c r="C248" s="23">
        <v>-181851.13082721108</v>
      </c>
    </row>
    <row r="249" spans="1:3" x14ac:dyDescent="0.25">
      <c r="A249" s="23">
        <v>224</v>
      </c>
      <c r="B249" s="23">
        <v>3151581.583326092</v>
      </c>
      <c r="C249" s="23">
        <v>-3151581.583326092</v>
      </c>
    </row>
    <row r="250" spans="1:3" x14ac:dyDescent="0.25">
      <c r="A250" s="23">
        <v>225</v>
      </c>
      <c r="B250" s="23">
        <v>231503.10481050677</v>
      </c>
      <c r="C250" s="23">
        <v>1660337.8951894932</v>
      </c>
    </row>
    <row r="251" spans="1:3" x14ac:dyDescent="0.25">
      <c r="A251" s="23">
        <v>226</v>
      </c>
      <c r="B251" s="23">
        <v>118793.66294004445</v>
      </c>
      <c r="C251" s="23">
        <v>186120.33705995555</v>
      </c>
    </row>
    <row r="252" spans="1:3" x14ac:dyDescent="0.25">
      <c r="A252" s="23">
        <v>227</v>
      </c>
      <c r="B252" s="23">
        <v>184490.68897329777</v>
      </c>
      <c r="C252" s="23">
        <v>-182620.68897329777</v>
      </c>
    </row>
    <row r="253" spans="1:3" x14ac:dyDescent="0.25">
      <c r="A253" s="23">
        <v>228</v>
      </c>
      <c r="B253" s="23">
        <v>201467.98678031401</v>
      </c>
      <c r="C253" s="23">
        <v>-22284.986780314008</v>
      </c>
    </row>
    <row r="254" spans="1:3" x14ac:dyDescent="0.25">
      <c r="A254" s="23">
        <v>229</v>
      </c>
      <c r="B254" s="23">
        <v>182917.37542366062</v>
      </c>
      <c r="C254" s="23">
        <v>1361004.6245763395</v>
      </c>
    </row>
    <row r="255" spans="1:3" x14ac:dyDescent="0.25">
      <c r="A255" s="23">
        <v>230</v>
      </c>
      <c r="B255" s="23">
        <v>297123.24389957963</v>
      </c>
      <c r="C255" s="23">
        <v>-250464.24389957963</v>
      </c>
    </row>
    <row r="256" spans="1:3" x14ac:dyDescent="0.25">
      <c r="A256" s="23">
        <v>231</v>
      </c>
      <c r="B256" s="23">
        <v>271528.23566121294</v>
      </c>
      <c r="C256" s="23">
        <v>-271528.23566121294</v>
      </c>
    </row>
    <row r="257" spans="1:3" x14ac:dyDescent="0.25">
      <c r="A257" s="23">
        <v>232</v>
      </c>
      <c r="B257" s="23">
        <v>239426.82132842857</v>
      </c>
      <c r="C257" s="23">
        <v>-239426.82132842857</v>
      </c>
    </row>
    <row r="258" spans="1:3" x14ac:dyDescent="0.25">
      <c r="A258" s="23">
        <v>233</v>
      </c>
      <c r="B258" s="23">
        <v>613246.10557275044</v>
      </c>
      <c r="C258" s="23">
        <v>-196246.10557275044</v>
      </c>
    </row>
    <row r="259" spans="1:3" x14ac:dyDescent="0.25">
      <c r="A259" s="23">
        <v>234</v>
      </c>
      <c r="B259" s="23">
        <v>207320.76161060779</v>
      </c>
      <c r="C259" s="23">
        <v>-207320.76161060779</v>
      </c>
    </row>
    <row r="260" spans="1:3" x14ac:dyDescent="0.25">
      <c r="A260" s="23">
        <v>235</v>
      </c>
      <c r="B260" s="23">
        <v>181851.13082721108</v>
      </c>
      <c r="C260" s="23">
        <v>-181851.13082721108</v>
      </c>
    </row>
    <row r="261" spans="1:3" x14ac:dyDescent="0.25">
      <c r="A261" s="23">
        <v>236</v>
      </c>
      <c r="B261" s="23">
        <v>181851.13082721108</v>
      </c>
      <c r="C261" s="23">
        <v>-181851.13082721108</v>
      </c>
    </row>
    <row r="262" spans="1:3" x14ac:dyDescent="0.25">
      <c r="A262" s="23">
        <v>237</v>
      </c>
      <c r="B262" s="23">
        <v>181851.13082721108</v>
      </c>
      <c r="C262" s="23">
        <v>-181851.13082721108</v>
      </c>
    </row>
    <row r="263" spans="1:3" x14ac:dyDescent="0.25">
      <c r="A263" s="23">
        <v>238</v>
      </c>
      <c r="B263" s="23">
        <v>181851.13082721108</v>
      </c>
      <c r="C263" s="23">
        <v>-181851.13082721108</v>
      </c>
    </row>
    <row r="264" spans="1:3" x14ac:dyDescent="0.25">
      <c r="A264" s="23">
        <v>239</v>
      </c>
      <c r="B264" s="23">
        <v>191661.89684114893</v>
      </c>
      <c r="C264" s="23">
        <v>-191661.89684114893</v>
      </c>
    </row>
    <row r="265" spans="1:3" x14ac:dyDescent="0.25">
      <c r="A265" s="23">
        <v>240</v>
      </c>
      <c r="B265" s="23">
        <v>181851.13082721108</v>
      </c>
      <c r="C265" s="23">
        <v>-181851.13082721108</v>
      </c>
    </row>
    <row r="266" spans="1:3" x14ac:dyDescent="0.25">
      <c r="A266" s="23">
        <v>241</v>
      </c>
      <c r="B266" s="23">
        <v>181851.13082721108</v>
      </c>
      <c r="C266" s="23">
        <v>-181851.13082721108</v>
      </c>
    </row>
    <row r="267" spans="1:3" x14ac:dyDescent="0.25">
      <c r="A267" s="23">
        <v>242</v>
      </c>
      <c r="B267" s="23">
        <v>181851.13082721108</v>
      </c>
      <c r="C267" s="23">
        <v>-181851.13082721108</v>
      </c>
    </row>
    <row r="268" spans="1:3" x14ac:dyDescent="0.25">
      <c r="A268" s="23">
        <v>243</v>
      </c>
      <c r="B268" s="23">
        <v>181851.13082721108</v>
      </c>
      <c r="C268" s="23">
        <v>-181851.13082721108</v>
      </c>
    </row>
    <row r="269" spans="1:3" x14ac:dyDescent="0.25">
      <c r="A269" s="23">
        <v>244</v>
      </c>
      <c r="B269" s="23">
        <v>181851.13082721108</v>
      </c>
      <c r="C269" s="23">
        <v>-181851.13082721108</v>
      </c>
    </row>
    <row r="270" spans="1:3" x14ac:dyDescent="0.25">
      <c r="A270" s="23">
        <v>245</v>
      </c>
      <c r="B270" s="23">
        <v>181851.13082721108</v>
      </c>
      <c r="C270" s="23">
        <v>-181851.13082721108</v>
      </c>
    </row>
    <row r="271" spans="1:3" x14ac:dyDescent="0.25">
      <c r="A271" s="23">
        <v>246</v>
      </c>
      <c r="B271" s="23">
        <v>181851.13082721108</v>
      </c>
      <c r="C271" s="23">
        <v>-181851.13082721108</v>
      </c>
    </row>
    <row r="272" spans="1:3" x14ac:dyDescent="0.25">
      <c r="A272" s="23">
        <v>247</v>
      </c>
      <c r="B272" s="23">
        <v>181851.13082721108</v>
      </c>
      <c r="C272" s="23">
        <v>-181851.13082721108</v>
      </c>
    </row>
    <row r="273" spans="1:3" x14ac:dyDescent="0.25">
      <c r="A273" s="23">
        <v>248</v>
      </c>
      <c r="B273" s="23">
        <v>176523.21696389484</v>
      </c>
      <c r="C273" s="23">
        <v>-68829.21696389484</v>
      </c>
    </row>
    <row r="274" spans="1:3" x14ac:dyDescent="0.25">
      <c r="A274" s="23">
        <v>249</v>
      </c>
      <c r="B274" s="23">
        <v>184370.85591045261</v>
      </c>
      <c r="C274" s="23">
        <v>-166926.85591045261</v>
      </c>
    </row>
    <row r="275" spans="1:3" x14ac:dyDescent="0.25">
      <c r="A275" s="23">
        <v>250</v>
      </c>
      <c r="B275" s="23">
        <v>188773.83318852363</v>
      </c>
      <c r="C275" s="23">
        <v>-166357.83318852363</v>
      </c>
    </row>
    <row r="276" spans="1:3" x14ac:dyDescent="0.25">
      <c r="A276" s="23">
        <v>251</v>
      </c>
      <c r="B276" s="23">
        <v>145594.21710354928</v>
      </c>
      <c r="C276" s="23">
        <v>-145594.21710354928</v>
      </c>
    </row>
    <row r="277" spans="1:3" ht="15.75" thickBot="1" x14ac:dyDescent="0.3">
      <c r="A277" s="24">
        <v>252</v>
      </c>
      <c r="B277" s="24">
        <v>541650.87302900106</v>
      </c>
      <c r="C277" s="24">
        <v>-20938.873029001057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14</vt:i4>
      </vt:variant>
    </vt:vector>
  </HeadingPairs>
  <TitlesOfParts>
    <vt:vector size="14" baseType="lpstr">
      <vt:lpstr>report</vt:lpstr>
      <vt:lpstr>Лист2</vt:lpstr>
      <vt:lpstr>Выборка 1</vt:lpstr>
      <vt:lpstr>Обработка</vt:lpstr>
      <vt:lpstr>Описательные статистики</vt:lpstr>
      <vt:lpstr>Корреляция</vt:lpstr>
      <vt:lpstr>Обработка (2)</vt:lpstr>
      <vt:lpstr>Данные для регрессии</vt:lpstr>
      <vt:lpstr>Описание КЗ</vt:lpstr>
      <vt:lpstr>Корреляция 2</vt:lpstr>
      <vt:lpstr>Лист13</vt:lpstr>
      <vt:lpstr>Регрессия</vt:lpstr>
      <vt:lpstr>Данные для регрессии (2)</vt:lpstr>
      <vt:lpstr>Регрессия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</dc:creator>
  <cp:lastModifiedBy>Пащенко Татьяна Васильевна</cp:lastModifiedBy>
  <dcterms:created xsi:type="dcterms:W3CDTF">2025-10-21T16:40:55Z</dcterms:created>
  <dcterms:modified xsi:type="dcterms:W3CDTF">2026-06-06T11:50:04Z</dcterms:modified>
</cp:coreProperties>
</file>